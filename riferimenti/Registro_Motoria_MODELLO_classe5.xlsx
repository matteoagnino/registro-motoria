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8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struzioni" sheetId="1" state="visible" r:id="rId3"/>
    <sheet name="Calendario" sheetId="2" state="visible" r:id="rId4"/>
    <sheet name="Alunni" sheetId="3" state="visible" r:id="rId5"/>
    <sheet name="Registro" sheetId="4" state="visible" r:id="rId6"/>
    <sheet name="Riepilogo" sheetId="5" state="visible" r:id="rId7"/>
    <sheet name="Verifica voti" sheetId="6" state="visible" r:id="rId8"/>
    <sheet name="Giochi" sheetId="7" state="visible" r:id="rId9"/>
    <sheet name="Rubriche" sheetId="8" state="visible" r:id="rId10"/>
    <sheet name="Impostazioni" sheetId="9" state="visible" r:id="rId11"/>
    <sheet name="Dati" sheetId="10" state="hidden" r:id="rId12"/>
  </sheets>
  <definedNames>
    <definedName function="false" hidden="false" localSheetId="2" name="_xlnm.Print_Titles" vbProcedure="false">Alunni!$4:$4</definedName>
    <definedName function="false" hidden="false" localSheetId="1" name="_xlnm.Print_Titles" vbProcedure="false">Calendario!$6:$6</definedName>
    <definedName function="false" hidden="false" localSheetId="4" name="_xlnm.Print_Titles" vbProcedure="false">Riepilogo!$1:$7</definedName>
    <definedName function="false" hidden="false" localSheetId="7" name="_xlnm.Print_Titles" vbProcedure="false">Rubriche!$4:$4</definedName>
    <definedName function="false" hidden="false" localSheetId="5" name="_xlnm.Print_Titles" vbProcedure="false">'Verifica voti'!$1:$4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Ottimo (10): Valuta la traiettoria di oggetti e compagni per lanciare, afferrare, intercettare con piena autonomia e consapevolezza, con continuità, anche in situazioni complesse e mai proposte prima, in modo personale.
Distinto (9): Valuta la traiettoria di oggetti e compagni per lanciare, afferrare, intercettare con autonomia e consapevolezza, con continuità, anche in situazioni complesse.
Buono (8): Valuta la traiettoria di oggetti e compagni per lanciare, afferrare, intercettare con autonomia e con continuità nelle situazioni note.
Discreto (7): Valuta la traiettoria di oggetti e compagni per lanciare, afferrare, intercettare con parziale autonomia, in situazioni non particolarmente complesse.
Sufficiente (6): Valuta la traiettoria di oggetti e compagni per lanciare, afferrare, intercettare principalmente con la guida e il supporto del docente, solo in situazioni già affrontate.
Non sufficiente (5): Valuta la traiettoria di oggetti e compagni per lanciare, afferrare, intercettare solo saltuariamente, anche se guidato dal docente.</t>
        </r>
      </text>
    </comment>
    <comment ref="C6" authorId="0">
      <text>
        <r>
          <rPr>
            <sz val="10"/>
            <rFont val="Arial"/>
            <family val="2"/>
          </rPr>
          <t xml:space="preserve">Ottimo (10): Valuta distanze e velocità, regolando forza e tempi d'azione con piena autonomia e consapevolezza, con continuità, anche in situazioni complesse e mai proposte prima, in modo personale.
Distinto (9): Valuta distanze e velocità, regolando forza e tempi d'azione con autonomia e consapevolezza, con continuità, anche in situazioni complesse.
Buono (8): Valuta distanze e velocità, regolando forza e tempi d'azione con autonomia e con continuità nelle situazioni note.
Discreto (7): Valuta distanze e velocità, regolando forza e tempi d'azione con parziale autonomia, in situazioni non particolarmente complesse.
Sufficiente (6): Valuta distanze e velocità, regolando forza e tempi d'azione principalmente con la guida e il supporto del docente, solo in situazioni già affrontate.
Non sufficiente (5): Valuta distanze e velocità, regolando forza e tempi d'azione solo saltuariamente, anche se guidato dal docente.</t>
        </r>
      </text>
    </comment>
    <comment ref="C7" authorId="0">
      <text>
        <r>
          <rPr>
            <sz val="10"/>
            <rFont val="Arial"/>
            <family val="2"/>
          </rPr>
          <t xml:space="preserve">Ottimo (10): Esegue sequenze con ritmo regolare e rapido con piena autonomia e consapevolezza, con continuità, anche in situazioni complesse e mai proposte prima, in modo personale.
Distinto (9): Esegue sequenze con ritmo regolare e rapido con autonomia e consapevolezza, con continuità, anche in situazioni complesse.
Buono (8): Esegue sequenze con ritmo regolare e rapido con autonomia e con continuità nelle situazioni note.
Discreto (7): Esegue sequenze con ritmo regolare e rapido con parziale autonomia, in situazioni non particolarmente complesse.
Sufficiente (6): Esegue sequenze con ritmo regolare e rapido principalmente con la guida e il supporto del docente, solo in situazioni già affrontate.
Non sufficiente (5): Esegue sequenze con ritmo regolare e rapido solo saltuariamente, anche se guidato dal docente.</t>
        </r>
      </text>
    </comment>
    <comment ref="C8" authorId="0">
      <text>
        <r>
          <rPr>
            <sz val="10"/>
            <rFont val="Arial"/>
            <family val="2"/>
          </rPr>
          <t xml:space="preserve">Ottimo (10): Organizza il proprio movimento in relazione ai compagni e a situazioni nuove (varianti) con piena autonomia e consapevolezza, con continuità, anche in situazioni complesse e mai proposte prima, in modo personale.
Distinto (9): Organizza il proprio movimento in relazione ai compagni e a situazioni nuove (varianti) con autonomia e consapevolezza, con continuità, anche in situazioni complesse.
Buono (8): Organizza il proprio movimento in relazione ai compagni e a situazioni nuove (varianti) con autonomia e con continuità nelle situazioni note.
Discreto (7): Organizza il proprio movimento in relazione ai compagni e a situazioni nuove (varianti) con parziale autonomia, in situazioni non particolarmente complesse.
Sufficiente (6): Organizza il proprio movimento in relazione ai compagni e a situazioni nuove (varianti) principalmente con la guida e il supporto del docente, solo in situazioni già affrontate.
Non sufficiente (5): Organizza il proprio movimento in relazione ai compagni e a situazioni nuove (varianti) solo saltuariamente, anche se guidato dal docente.</t>
        </r>
      </text>
    </comment>
    <comment ref="C9" authorId="0">
      <text>
        <r>
          <rPr>
            <sz val="10"/>
            <rFont val="Arial"/>
            <family val="2"/>
          </rPr>
          <t xml:space="preserve">Ottimo (10): Memorizza ed esegue la sequenza nell'ordine corretto con piena autonomia e consapevolezza, con continuità, anche in situazioni complesse e mai proposte prima, in modo personale.
Distinto (9): Memorizza ed esegue la sequenza nell'ordine corretto con autonomia e consapevolezza, con continuità, anche in situazioni complesse.
Buono (8): Memorizza ed esegue la sequenza nell'ordine corretto con autonomia e con continuità nelle situazioni note.
Discreto (7): Memorizza ed esegue la sequenza nell'ordine corretto con parziale autonomia, in situazioni non particolarmente complesse.
Sufficiente (6): Memorizza ed esegue la sequenza nell'ordine corretto principalmente con la guida e il supporto del docente, solo in situazioni già affrontate.
Non sufficiente (5): Memorizza ed esegue la sequenza nell'ordine corretto solo saltuariamente, anche se guidato dal docente.</t>
        </r>
      </text>
    </comment>
    <comment ref="C10" authorId="0">
      <text>
        <r>
          <rPr>
            <sz val="10"/>
            <rFont val="Arial"/>
            <family val="2"/>
          </rPr>
          <t xml:space="preserve">Ottimo (10): Coordina i movimenti con il ritmo e la musica con piena autonomia e consapevolezza, con continuità, anche in situazioni complesse e mai proposte prima, in modo personale.
Distinto (9): Coordina i movimenti con il ritmo e la musica con autonomia e consapevolezza, con continuità, anche in situazioni complesse.
Buono (8): Coordina i movimenti con il ritmo e la musica con autonomia e con continuità nelle situazioni note.
Discreto (7): Coordina i movimenti con il ritmo e la musica con parziale autonomia, in situazioni non particolarmente complesse.
Sufficiente (6): Coordina i movimenti con il ritmo e la musica principalmente con la guida e il supporto del docente, solo in situazioni già affrontate.
Non sufficiente (5): Coordina i movimenti con il ritmo e la musica solo saltuariamente, anche se guidato dal docente.</t>
        </r>
      </text>
    </comment>
    <comment ref="C11" authorId="0">
      <text>
        <r>
          <rPr>
            <sz val="10"/>
            <rFont val="Arial"/>
            <family val="2"/>
          </rPr>
          <t xml:space="preserve">Ottimo (10): Elabora e propone movimenti personali nella sequenza con piena autonomia e consapevolezza, con continuità, anche in situazioni complesse e mai proposte prima, in modo personale.
Distinto (9): Elabora e propone movimenti personali nella sequenza con autonomia e consapevolezza, con continuità, anche in situazioni complesse.
Buono (8): Elabora e propone movimenti personali nella sequenza con autonomia e con continuità nelle situazioni note.
Discreto (7): Elabora e propone movimenti personali nella sequenza con parziale autonomia, in situazioni non particolarmente complesse.
Sufficiente (6): Elabora e propone movimenti personali nella sequenza principalmente con la guida e il supporto del docente, solo in situazioni già affrontate.
Non sufficiente (5): Elabora e propone movimenti personali nella sequenza solo saltuariamente, anche se guidato dal docente.</t>
        </r>
      </text>
    </comment>
    <comment ref="C12" authorId="0">
      <text>
        <r>
          <rPr>
            <sz val="10"/>
            <rFont val="Arial"/>
            <family val="2"/>
          </rPr>
          <t xml:space="preserve">Ottimo (10): Si sincronizza con i compagni nella coreografia collettiva con piena autonomia e consapevolezza, con continuità, anche in situazioni complesse e mai proposte prima, in modo personale.
Distinto (9): Si sincronizza con i compagni nella coreografia collettiva con autonomia e consapevolezza, con continuità, anche in situazioni complesse.
Buono (8): Si sincronizza con i compagni nella coreografia collettiva con autonomia e con continuità nelle situazioni note.
Discreto (7): Si sincronizza con i compagni nella coreografia collettiva con parziale autonomia, in situazioni non particolarmente complesse.
Sufficiente (6): Si sincronizza con i compagni nella coreografia collettiva principalmente con la guida e il supporto del docente, solo in situazioni già affrontate.
Non sufficiente (5): Si sincronizza con i compagni nella coreografia collettiva solo saltuariamente, anche se guidato dal docente.</t>
        </r>
      </text>
    </comment>
    <comment ref="C13" authorId="0">
      <text>
        <r>
          <rPr>
            <sz val="10"/>
            <rFont val="Arial"/>
            <family val="2"/>
          </rPr>
          <t xml:space="preserve">Ottimo (10): Esegue i gesti tecnici di base del gioco-sport (passaggio, tiro, ricezione, battuta) con piena autonomia e consapevolezza, con continuità, anche in situazioni complesse e mai proposte prima, in modo personale.
Distinto (9): Esegue i gesti tecnici di base del gioco-sport (passaggio, tiro, ricezione, battuta) con autonomia e consapevolezza, con continuità, anche in situazioni complesse.
Buono (8): Esegue i gesti tecnici di base del gioco-sport (passaggio, tiro, ricezione, battuta) con autonomia e con continuità nelle situazioni note.
Discreto (7): Esegue i gesti tecnici di base del gioco-sport (passaggio, tiro, ricezione, battuta) con parziale autonomia, in situazioni non particolarmente complesse.
Sufficiente (6): Esegue i gesti tecnici di base del gioco-sport (passaggio, tiro, ricezione, battuta) principalmente con la guida e il supporto del docente, solo in situazioni già affrontate.
Non sufficiente (5): Esegue i gesti tecnici di base del gioco-sport (passaggio, tiro, ricezione, battuta) solo saltuariamente, anche se guidato dal docente.</t>
        </r>
      </text>
    </comment>
    <comment ref="C14" authorId="0">
      <text>
        <r>
          <rPr>
            <sz val="10"/>
            <rFont val="Arial"/>
            <family val="2"/>
          </rPr>
          <t xml:space="preserve">Ottimo (10): Conosce e applica le regole specifiche del gioco-sport con piena autonomia e consapevolezza, con continuità, anche in situazioni complesse e mai proposte prima, in modo personale.
Distinto (9): Conosce e applica le regole specifiche del gioco-sport con autonomia e consapevolezza, con continuità, anche in situazioni complesse.
Buono (8): Conosce e applica le regole specifiche del gioco-sport con autonomia e con continuità nelle situazioni note.
Discreto (7): Conosce e applica le regole specifiche del gioco-sport con parziale autonomia, in situazioni non particolarmente complesse.
Sufficiente (6): Conosce e applica le regole specifiche del gioco-sport principalmente con la guida e il supporto del docente, solo in situazioni già affrontate.
Non sufficiente (5): Conosce e applica le regole specifiche del gioco-sport solo saltuariamente, anche se guidato dal docente.</t>
        </r>
      </text>
    </comment>
    <comment ref="C15" authorId="0">
      <text>
        <r>
          <rPr>
            <sz val="10"/>
            <rFont val="Arial"/>
            <family val="2"/>
          </rPr>
          <t xml:space="preserve">Ottimo (10): Compie semplici scelte tattiche (smarcarsi, passare al compagno libero) con piena autonomia e consapevolezza, con continuità, anche in situazioni complesse e mai proposte prima, in modo personale.
Distinto (9): Compie semplici scelte tattiche (smarcarsi, passare al compagno libero) con autonomia e consapevolezza, con continuità, anche in situazioni complesse.
Buono (8): Compie semplici scelte tattiche (smarcarsi, passare al compagno libero) con autonomia e con continuità nelle situazioni note.
Discreto (7): Compie semplici scelte tattiche (smarcarsi, passare al compagno libero) con parziale autonomia, in situazioni non particolarmente complesse.
Sufficiente (6): Compie semplici scelte tattiche (smarcarsi, passare al compagno libero) principalmente con la guida e il supporto del docente, solo in situazioni già affrontate.
Non sufficiente (5): Compie semplici scelte tattiche (smarcarsi, passare al compagno libero) solo saltuariamente, anche se guidato dal docente.</t>
        </r>
      </text>
    </comment>
    <comment ref="C16" authorId="0">
      <text>
        <r>
          <rPr>
            <sz val="10"/>
            <rFont val="Arial"/>
            <family val="2"/>
          </rPr>
          <t xml:space="preserve">Ottimo (10): Svolge il proprio ruolo in attacco e in difesa con piena autonomia e consapevolezza, con continuità, anche in situazioni complesse e mai proposte prima, in modo personale.
Distinto (9): Svolge il proprio ruolo in attacco e in difesa con autonomia e consapevolezza, con continuità, anche in situazioni complesse.
Buono (8): Svolge il proprio ruolo in attacco e in difesa con autonomia e con continuità nelle situazioni note.
Discreto (7): Svolge il proprio ruolo in attacco e in difesa con parziale autonomia, in situazioni non particolarmente complesse.
Sufficiente (6): Svolge il proprio ruolo in attacco e in difesa principalmente con la guida e il supporto del docente, solo in situazioni già affrontate.
Non sufficiente (5): Svolge il proprio ruolo in attacco e in difesa solo saltuariamente, anche se guidato dal docente.</t>
        </r>
      </text>
    </comment>
    <comment ref="C17" authorId="0">
      <text>
        <r>
          <rPr>
            <sz val="10"/>
            <rFont val="Arial"/>
            <family val="2"/>
          </rPr>
          <t xml:space="preserve">Ottimo (10): Partecipa attivamente a tutte le forme di gioco e di gara con piena autonomia e consapevolezza, con continuità, anche in situazioni complesse e mai proposte prima, in modo personale.
Distinto (9): Partecipa attivamente a tutte le forme di gioco e di gara con autonomia e consapevolezza, con continuità, anche in situazioni complesse.
Buono (8): Partecipa attivamente a tutte le forme di gioco e di gara con autonomia e con continuità nelle situazioni note.
Discreto (7): Partecipa attivamente a tutte le forme di gioco e di gara con parziale autonomia, in situazioni non particolarmente complesse.
Sufficiente (6): Partecipa attivamente a tutte le forme di gioco e di gara principalmente con la guida e il supporto del docente, solo in situazioni già affrontate.
Non sufficiente (5): Partecipa attivamente a tutte le forme di gioco e di gara solo saltuariamente, anche se guidato dal docente.</t>
        </r>
      </text>
    </comment>
    <comment ref="C18" authorId="0">
      <text>
        <r>
          <rPr>
            <sz val="10"/>
            <rFont val="Arial"/>
            <family val="2"/>
          </rPr>
          <t xml:space="preserve">Ottimo (10): Collabora con la squadra per raggiungere l'obiettivo comune con piena autonomia e consapevolezza, con continuità, anche in situazioni complesse e mai proposte prima, in modo personale.
Distinto (9): Collabora con la squadra per raggiungere l'obiettivo comune con autonomia e consapevolezza, con continuità, anche in situazioni complesse.
Buono (8): Collabora con la squadra per raggiungere l'obiettivo comune con autonomia e con continuità nelle situazioni note.
Discreto (7): Collabora con la squadra per raggiungere l'obiettivo comune con parziale autonomia, in situazioni non particolarmente complesse.
Sufficiente (6): Collabora con la squadra per raggiungere l'obiettivo comune principalmente con la guida e il supporto del docente, solo in situazioni già affrontate.
Non sufficiente (5): Collabora con la squadra per raggiungere l'obiettivo comune solo saltuariamente, anche se guidato dal docente.</t>
        </r>
      </text>
    </comment>
    <comment ref="C19" authorId="0">
      <text>
        <r>
          <rPr>
            <sz val="10"/>
            <rFont val="Arial"/>
            <family val="2"/>
          </rPr>
          <t xml:space="preserve">Ottimo (10): Porta un contributo personale e incoraggia i compagni con piena autonomia e consapevolezza, con continuità, anche in situazioni complesse e mai proposte prima, in modo personale.
Distinto (9): Porta un contributo personale e incoraggia i compagni con autonomia e consapevolezza, con continuità, anche in situazioni complesse.
Buono (8): Porta un contributo personale e incoraggia i compagni con autonomia e con continuità nelle situazioni note.
Discreto (7): Porta un contributo personale e incoraggia i compagni con parziale autonomia, in situazioni non particolarmente complesse.
Sufficiente (6): Porta un contributo personale e incoraggia i compagni principalmente con la guida e il supporto del docente, solo in situazioni già affrontate.
Non sufficiente (5): Porta un contributo personale e incoraggia i compagni solo saltuariamente, anche se guidato dal docente.</t>
        </r>
      </text>
    </comment>
    <comment ref="C20" authorId="0">
      <text>
        <r>
          <rPr>
            <sz val="10"/>
            <rFont val="Arial"/>
            <family val="2"/>
          </rPr>
          <t xml:space="preserve">Ottimo (10): Si impegna con continuità anche quando la gara è difficile con piena autonomia e consapevolezza, con continuità, anche in situazioni complesse e mai proposte prima, in modo personale.
Distinto (9): Si impegna con continuità anche quando la gara è difficile con autonomia e consapevolezza, con continuità, anche in situazioni complesse.
Buono (8): Si impegna con continuità anche quando la gara è difficile con autonomia e con continuità nelle situazioni note.
Discreto (7): Si impegna con continuità anche quando la gara è difficile con parziale autonomia, in situazioni non particolarmente complesse.
Sufficiente (6): Si impegna con continuità anche quando la gara è difficile principalmente con la guida e il supporto del docente, solo in situazioni già affrontate.
Non sufficiente (5): Si impegna con continuità anche quando la gara è difficile solo saltuariamente, anche se guidato dal docente.</t>
        </r>
      </text>
    </comment>
    <comment ref="C21" authorId="0">
      <text>
        <r>
          <rPr>
            <sz val="10"/>
            <rFont val="Arial"/>
            <family val="2"/>
          </rPr>
          <t xml:space="preserve">Ottimo (10): Rispetta le regole anche nei momenti decisivi della gara con piena autonomia e consapevolezza, con continuità, anche in situazioni complesse e mai proposte prima, in modo personale.
Distinto (9): Rispetta le regole anche nei momenti decisivi della gara con autonomia e consapevolezza, con continuità, anche in situazioni complesse.
Buono (8): Rispetta le regole anche nei momenti decisivi della gara con autonomia e con continuità nelle situazioni note.
Discreto (7): Rispetta le regole anche nei momenti decisivi della gara con parziale autonomia, in situazioni non particolarmente complesse.
Sufficiente (6): Rispetta le regole anche nei momenti decisivi della gara principalmente con la guida e il supporto del docente, solo in situazioni già affrontate.
Non sufficiente (5): Rispetta le regole anche nei momenti decisivi della gara solo saltuariamente, anche se guidato dal docente.</t>
        </r>
      </text>
    </comment>
    <comment ref="C22" authorId="0">
      <text>
        <r>
          <rPr>
            <sz val="10"/>
            <rFont val="Arial"/>
            <family val="2"/>
          </rPr>
          <t xml:space="preserve">Ottimo (10): Si comporta con lealtà e rispetto verso avversari e arbitro con piena autonomia e consapevolezza, con continuità, anche in situazioni complesse e mai proposte prima, in modo personale.
Distinto (9): Si comporta con lealtà e rispetto verso avversari e arbitro con autonomia e consapevolezza, con continuità, anche in situazioni complesse.
Buono (8): Si comporta con lealtà e rispetto verso avversari e arbitro con autonomia e con continuità nelle situazioni note.
Discreto (7): Si comporta con lealtà e rispetto verso avversari e arbitro con parziale autonomia, in situazioni non particolarmente complesse.
Sufficiente (6): Si comporta con lealtà e rispetto verso avversari e arbitro principalmente con la guida e il supporto del docente, solo in situazioni già affrontate.
Non sufficiente (5): Si comporta con lealtà e rispetto verso avversari e arbitro solo saltuariamente, anche se guidato dal docente.</t>
        </r>
      </text>
    </comment>
    <comment ref="C23" authorId="0">
      <text>
        <r>
          <rPr>
            <sz val="10"/>
            <rFont val="Arial"/>
            <family val="2"/>
          </rPr>
          <t xml:space="preserve">Ottimo (10): Accetta la sconfitta con equilibrio e vive la vittoria con rispetto dei perdenti con piena autonomia e consapevolezza, con continuità, anche in situazioni complesse e mai proposte prima, in modo personale.
Distinto (9): Accetta la sconfitta con equilibrio e vive la vittoria con rispetto dei perdenti con autonomia e consapevolezza, con continuità, anche in situazioni complesse.
Buono (8): Accetta la sconfitta con equilibrio e vive la vittoria con rispetto dei perdenti con autonomia e con continuità nelle situazioni note.
Discreto (7): Accetta la sconfitta con equilibrio e vive la vittoria con rispetto dei perdenti con parziale autonomia, in situazioni non particolarmente complesse.
Sufficiente (6): Accetta la sconfitta con equilibrio e vive la vittoria con rispetto dei perdenti principalmente con la guida e il supporto del docente, solo in situazioni già affrontate.
Non sufficiente (5): Accetta la sconfitta con equilibrio e vive la vittoria con rispetto dei perdenti solo saltuariamente, anche se guidato dal docente.</t>
        </r>
      </text>
    </comment>
    <comment ref="C24" authorId="0">
      <text>
        <r>
          <rPr>
            <sz val="10"/>
            <rFont val="Arial"/>
            <family val="2"/>
          </rPr>
          <t xml:space="preserve">Ottimo (10): Si assume responsabilità (autoarbitraggio, ammettere un fallo, aiutare chi è in difficoltà) con piena autonomia e consapevolezza, con continuità, anche in situazioni complesse e mai proposte prima, in modo personale.
Distinto (9): Si assume responsabilità (autoarbitraggio, ammettere un fallo, aiutare chi è in difficoltà) con autonomia e consapevolezza, con continuità, anche in situazioni complesse.
Buono (8): Si assume responsabilità (autoarbitraggio, ammettere un fallo, aiutare chi è in difficoltà) con autonomia e con continuità nelle situazioni note.
Discreto (7): Si assume responsabilità (autoarbitraggio, ammettere un fallo, aiutare chi è in difficoltà) con parziale autonomia, in situazioni non particolarmente complesse.
Sufficiente (6): Si assume responsabilità (autoarbitraggio, ammettere un fallo, aiutare chi è in difficoltà) principalmente con la guida e il supporto del docente, solo in situazioni già affrontate.
Non sufficiente (5): Si assume responsabilità (autoarbitraggio, ammettere un fallo, aiutare chi è in difficoltà) solo saltuariamente, anche se guidato dal docente.</t>
        </r>
      </text>
    </comment>
    <comment ref="C25" authorId="0">
      <text>
        <r>
          <rPr>
            <sz val="10"/>
            <rFont val="Arial"/>
            <family val="2"/>
          </rPr>
          <t xml:space="preserve">Ottimo (10): Si muove nello spazio disponibile evitando ostacoli e compagni, anche ad alta velocità con piena autonomia e consapevolezza, con continuità, anche in situazioni complesse e mai proposte prima, in modo personale.
Distinto (9): Si muove nello spazio disponibile evitando ostacoli e compagni, anche ad alta velocità con autonomia e consapevolezza, con continuità, anche in situazioni complesse.
Buono (8): Si muove nello spazio disponibile evitando ostacoli e compagni, anche ad alta velocità con autonomia e con continuità nelle situazioni note.
Discreto (7): Si muove nello spazio disponibile evitando ostacoli e compagni, anche ad alta velocità con parziale autonomia, in situazioni non particolarmente complesse.
Sufficiente (6): Si muove nello spazio disponibile evitando ostacoli e compagni, anche ad alta velocità principalmente con la guida e il supporto del docente, solo in situazioni già affrontate.
Non sufficiente (5): Si muove nello spazio disponibile evitando ostacoli e compagni, anche ad alta velocità solo saltuariamente, anche se guidato dal docente.</t>
        </r>
      </text>
    </comment>
    <comment ref="C26" authorId="0">
      <text>
        <r>
          <rPr>
            <sz val="10"/>
            <rFont val="Arial"/>
            <family val="2"/>
          </rPr>
          <t xml:space="preserve">Ottimo (10): Adatta il movimento ad ambienti diversi (palestra, cortile, spazi aperti) con piena autonomia e consapevolezza, con continuità, anche in situazioni complesse e mai proposte prima, in modo personale.
Distinto (9): Adatta il movimento ad ambienti diversi (palestra, cortile, spazi aperti) con autonomia e consapevolezza, con continuità, anche in situazioni complesse.
Buono (8): Adatta il movimento ad ambienti diversi (palestra, cortile, spazi aperti) con autonomia e con continuità nelle situazioni note.
Discreto (7): Adatta il movimento ad ambienti diversi (palestra, cortile, spazi aperti) con parziale autonomia, in situazioni non particolarmente complesse.
Sufficiente (6): Adatta il movimento ad ambienti diversi (palestra, cortile, spazi aperti) principalmente con la guida e il supporto del docente, solo in situazioni già affrontate.
Non sufficiente (5): Adatta il movimento ad ambienti diversi (palestra, cortile, spazi aperti) solo saltuariamente, anche se guidato dal docente.</t>
        </r>
      </text>
    </comment>
    <comment ref="C27" authorId="0">
      <text>
        <r>
          <rPr>
            <sz val="10"/>
            <rFont val="Arial"/>
            <family val="2"/>
          </rPr>
          <t xml:space="preserve">Ottimo (10): Rispetta percorsi, zone e consegne di spostamento con piena autonomia e consapevolezza, con continuità, anche in situazioni complesse e mai proposte prima, in modo personale.
Distinto (9): Rispetta percorsi, zone e consegne di spostamento con autonomia e consapevolezza, con continuità, anche in situazioni complesse.
Buono (8): Rispetta percorsi, zone e consegne di spostamento con autonomia e con continuità nelle situazioni note.
Discreto (7): Rispetta percorsi, zone e consegne di spostamento con parziale autonomia, in situazioni non particolarmente complesse.
Sufficiente (6): Rispetta percorsi, zone e consegne di spostamento principalmente con la guida e il supporto del docente, solo in situazioni già affrontate.
Non sufficiente (5): Rispetta percorsi, zone e consegne di spostamento solo saltuariamente, anche se guidato dal docente.</t>
        </r>
      </text>
    </comment>
    <comment ref="C28" authorId="0">
      <text>
        <r>
          <rPr>
            <sz val="10"/>
            <rFont val="Arial"/>
            <family val="2"/>
          </rPr>
          <t xml:space="preserve">Ottimo (10): Gestisce in autonomia trasferimenti, cambio e materiale personale con piena autonomia e consapevolezza, con continuità, anche in situazioni complesse e mai proposte prima, in modo personale.
Distinto (9): Gestisce in autonomia trasferimenti, cambio e materiale personale con autonomia e consapevolezza, con continuità, anche in situazioni complesse.
Buono (8): Gestisce in autonomia trasferimenti, cambio e materiale personale con autonomia e con continuità nelle situazioni note.
Discreto (7): Gestisce in autonomia trasferimenti, cambio e materiale personale con parziale autonomia, in situazioni non particolarmente complesse.
Sufficiente (6): Gestisce in autonomia trasferimenti, cambio e materiale personale principalmente con la guida e il supporto del docente, solo in situazioni già affrontate.
Non sufficiente (5): Gestisce in autonomia trasferimenti, cambio e materiale personale solo saltuariamente, anche se guidato dal docente.</t>
        </r>
      </text>
    </comment>
    <comment ref="C29" authorId="0">
      <text>
        <r>
          <rPr>
            <sz val="10"/>
            <rFont val="Arial"/>
            <family val="2"/>
          </rPr>
          <t xml:space="preserve">Ottimo (10): Collega i principali alimenti all'energia necessaria per il movimento con piena autonomia e consapevolezza, con continuità, anche in situazioni complesse e mai proposte prima, in modo personale.
Distinto (9): Collega i principali alimenti all'energia necessaria per il movimento con autonomia e consapevolezza, con continuità, anche in situazioni complesse.
Buono (8): Collega i principali alimenti all'energia necessaria per il movimento con autonomia e con continuità nelle situazioni note.
Discreto (7): Collega i principali alimenti all'energia necessaria per il movimento con parziale autonomia, in situazioni non particolarmente complesse.
Sufficiente (6): Collega i principali alimenti all'energia necessaria per il movimento principalmente con la guida e il supporto del docente, solo in situazioni già affrontate.
Non sufficiente (5): Collega i principali alimenti all'energia necessaria per il movimento solo saltuariamente, anche se guidato dal docente.</t>
        </r>
      </text>
    </comment>
    <comment ref="C30" authorId="0">
      <text>
        <r>
          <rPr>
            <sz val="10"/>
            <rFont val="Arial"/>
            <family val="2"/>
          </rPr>
          <t xml:space="preserve">Ottimo (10): Riconosce i cambiamenti di respiro, battito e muscoli durante lo sforzo con piena autonomia e consapevolezza, con continuità, anche in situazioni complesse e mai proposte prima, in modo personale.
Distinto (9): Riconosce i cambiamenti di respiro, battito e muscoli durante lo sforzo con autonomia e consapevolezza, con continuità, anche in situazioni complesse.
Buono (8): Riconosce i cambiamenti di respiro, battito e muscoli durante lo sforzo con autonomia e con continuità nelle situazioni note.
Discreto (7): Riconosce i cambiamenti di respiro, battito e muscoli durante lo sforzo con parziale autonomia, in situazioni non particolarmente complesse.
Sufficiente (6): Riconosce i cambiamenti di respiro, battito e muscoli durante lo sforzo principalmente con la guida e il supporto del docente, solo in situazioni già affrontate.
Non sufficiente (5): Riconosce i cambiamenti di respiro, battito e muscoli durante lo sforzo solo saltuariamente, anche se guidato dal docente.</t>
        </r>
      </text>
    </comment>
    <comment ref="C31" authorId="0">
      <text>
        <r>
          <rPr>
            <sz val="10"/>
            <rFont val="Arial"/>
            <family val="2"/>
          </rPr>
          <t xml:space="preserve">Ottimo (10): Conosce l'importanza di idratazione e recupero con piena autonomia e consapevolezza, con continuità, anche in situazioni complesse e mai proposte prima, in modo personale.
Distinto (9): Conosce l'importanza di idratazione e recupero con autonomia e consapevolezza, con continuità, anche in situazioni complesse.
Buono (8): Conosce l'importanza di idratazione e recupero con autonomia e con continuità nelle situazioni note.
Discreto (7): Conosce l'importanza di idratazione e recupero con parziale autonomia, in situazioni non particolarmente complesse.
Sufficiente (6): Conosce l'importanza di idratazione e recupero principalmente con la guida e il supporto del docente, solo in situazioni già affrontate.
Non sufficiente (5): Conosce l'importanza di idratazione e recupero solo saltuariamente, anche se guidato dal docente.</t>
        </r>
      </text>
    </comment>
    <comment ref="C32" authorId="0">
      <text>
        <r>
          <rPr>
            <sz val="10"/>
            <rFont val="Arial"/>
            <family val="2"/>
          </rPr>
          <t xml:space="preserve">Ottimo (10): Motiva semplici scelte di movimento e alimentazione sane con piena autonomia e consapevolezza, con continuità, anche in situazioni complesse e mai proposte prima, in modo personale.
Distinto (9): Motiva semplici scelte di movimento e alimentazione sane con autonomia e consapevolezza, con continuità, anche in situazioni complesse.
Buono (8): Motiva semplici scelte di movimento e alimentazione sane con autonomia e con continuità nelle situazioni note.
Discreto (7): Motiva semplici scelte di movimento e alimentazione sane con parziale autonomia, in situazioni non particolarmente complesse.
Sufficiente (6): Motiva semplici scelte di movimento e alimentazione sane principalmente con la guida e il supporto del docente, solo in situazioni già affrontate.
Non sufficiente (5): Motiva semplici scelte di movimento e alimentazione sane solo saltuariamente, anche se guidato dal docente.</t>
        </r>
      </text>
    </comment>
    <comment ref="C33" authorId="0">
      <text>
        <r>
          <rPr>
            <sz val="10"/>
            <rFont val="Arial"/>
            <family val="2"/>
          </rPr>
          <t xml:space="preserve">Ottimo (10): Esegue e guida semplici esercizi di riscaldamento e defaticamento con piena autonomia e consapevolezza, con continuità, anche in situazioni complesse e mai proposte prima, in modo personale.
Distinto (9): Esegue e guida semplici esercizi di riscaldamento e defaticamento con autonomia e consapevolezza, con continuità, anche in situazioni complesse.
Buono (8): Esegue e guida semplici esercizi di riscaldamento e defaticamento con autonomia e con continuità nelle situazioni note.
Discreto (7): Esegue e guida semplici esercizi di riscaldamento e defaticamento con parziale autonomia, in situazioni non particolarmente complesse.
Sufficiente (6): Esegue e guida semplici esercizi di riscaldamento e defaticamento principalmente con la guida e il supporto del docente, solo in situazioni già affrontate.
Non sufficiente (5): Esegue e guida semplici esercizi di riscaldamento e defaticamento solo saltuariamente, anche se guidato dal docente.</t>
        </r>
      </text>
    </comment>
    <comment ref="C34" authorId="0">
      <text>
        <r>
          <rPr>
            <sz val="10"/>
            <rFont val="Arial"/>
            <family val="2"/>
          </rPr>
          <t xml:space="preserve">Ottimo (10): Usa attrezzi e spazi in sicurezza e prevede i rischi con piena autonomia e consapevolezza, con continuità, anche in situazioni complesse e mai proposte prima, in modo personale.
Distinto (9): Usa attrezzi e spazi in sicurezza e prevede i rischi con autonomia e consapevolezza, con continuità, anche in situazioni complesse.
Buono (8): Usa attrezzi e spazi in sicurezza e prevede i rischi con autonomia e con continuità nelle situazioni note.
Discreto (7): Usa attrezzi e spazi in sicurezza e prevede i rischi con parziale autonomia, in situazioni non particolarmente complesse.
Sufficiente (6): Usa attrezzi e spazi in sicurezza e prevede i rischi principalmente con la guida e il supporto del docente, solo in situazioni già affrontate.
Non sufficiente (5): Usa attrezzi e spazi in sicurezza e prevede i rischi solo saltuariamente, anche se guidato dal docente.</t>
        </r>
      </text>
    </comment>
    <comment ref="C35" authorId="0">
      <text>
        <r>
          <rPr>
            <sz val="10"/>
            <rFont val="Arial"/>
            <family val="2"/>
          </rPr>
          <t xml:space="preserve">Ottimo (10): Rispetta distanze e turni, anche nelle situazioni di gara con piena autonomia e consapevolezza, con continuità, anche in situazioni complesse e mai proposte prima, in modo personale.
Distinto (9): Rispetta distanze e turni, anche nelle situazioni di gara con autonomia e consapevolezza, con continuità, anche in situazioni complesse.
Buono (8): Rispetta distanze e turni, anche nelle situazioni di gara con autonomia e con continuità nelle situazioni note.
Discreto (7): Rispetta distanze e turni, anche nelle situazioni di gara con parziale autonomia, in situazioni non particolarmente complesse.
Sufficiente (6): Rispetta distanze e turni, anche nelle situazioni di gara principalmente con la guida e il supporto del docente, solo in situazioni già affrontate.
Non sufficiente (5): Rispetta distanze e turni, anche nelle situazioni di gara solo saltuariamente, anche se guidato dal docente.</t>
        </r>
      </text>
    </comment>
    <comment ref="C36" authorId="0">
      <text>
        <r>
          <rPr>
            <sz val="10"/>
            <rFont val="Arial"/>
            <family val="2"/>
          </rPr>
          <t xml:space="preserve">Ottimo (10): Cura abbigliamento, scarpe e igiene personale per l'attività con piena autonomia e consapevolezza, con continuità, anche in situazioni complesse e mai proposte prima, in modo personale.
Distinto (9): Cura abbigliamento, scarpe e igiene personale per l'attività con autonomia e consapevolezza, con continuità, anche in situazioni complesse.
Buono (8): Cura abbigliamento, scarpe e igiene personale per l'attività con autonomia e con continuità nelle situazioni note.
Discreto (7): Cura abbigliamento, scarpe e igiene personale per l'attività con parziale autonomia, in situazioni non particolarmente complesse.
Sufficiente (6): Cura abbigliamento, scarpe e igiene personale per l'attività principalmente con la guida e il supporto del docente, solo in situazioni già affrontate.
Non sufficiente (5): Cura abbigliamento, scarpe e igiene personale per l'attività solo saltuariamente, anche se guidato dal docente.</t>
        </r>
      </text>
    </comment>
    <comment ref="C37" authorId="0">
      <text>
        <r>
          <rPr>
            <sz val="10"/>
            <rFont val="Arial"/>
            <family val="2"/>
          </rPr>
          <t xml:space="preserve">Ottimo (10): Legge la carta-stazione e ne ricava disposizione e misure con piena autonomia e consapevolezza, con continuità, anche in situazioni complesse e mai proposte prima, in modo personale.
Distinto (9): Legge la carta-stazione e ne ricava disposizione e misure con autonomia e consapevolezza, con continuità, anche in situazioni complesse.
Buono (8): Legge la carta-stazione e ne ricava disposizione e misure con autonomia e con continuità nelle situazioni note.
Discreto (7): Legge la carta-stazione e ne ricava disposizione e misure con parziale autonomia, in situazioni non particolarmente complesse.
Sufficiente (6): Legge la carta-stazione e ne ricava disposizione e misure principalmente con la guida e il supporto del docente, solo in situazioni già affrontate.
Non sufficiente (5): Legge la carta-stazione e ne ricava disposizione e misure solo saltuariamente, anche se guidato dal docente.</t>
        </r>
      </text>
    </comment>
    <comment ref="C38" authorId="0">
      <text>
        <r>
          <rPr>
            <sz val="10"/>
            <rFont val="Arial"/>
            <family val="2"/>
          </rPr>
          <t xml:space="preserve">Ottimo (10): Allestisce la stazione rispettando disegno e misure con piena autonomia e consapevolezza, con continuità, anche in situazioni complesse e mai proposte prima, in modo personale.
Distinto (9): Allestisce la stazione rispettando disegno e misure con autonomia e consapevolezza, con continuità, anche in situazioni complesse.
Buono (8): Allestisce la stazione rispettando disegno e misure con autonomia e con continuità nelle situazioni note.
Discreto (7): Allestisce la stazione rispettando disegno e misure con parziale autonomia, in situazioni non particolarmente complesse.
Sufficiente (6): Allestisce la stazione rispettando disegno e misure principalmente con la guida e il supporto del docente, solo in situazioni già affrontate.
Non sufficiente (5): Allestisce la stazione rispettando disegno e misure solo saltuariamente, anche se guidato dal docente.</t>
        </r>
      </text>
    </comment>
    <comment ref="C39" authorId="0">
      <text>
        <r>
          <rPr>
            <sz val="10"/>
            <rFont val="Arial"/>
            <family val="2"/>
          </rPr>
          <t xml:space="preserve">Ottimo (10): Trasporta, posiziona e usa gli attrezzi in modo sicuro con piena autonomia e consapevolezza, con continuità, anche in situazioni complesse e mai proposte prima, in modo personale.
Distinto (9): Trasporta, posiziona e usa gli attrezzi in modo sicuro con autonomia e consapevolezza, con continuità, anche in situazioni complesse.
Buono (8): Trasporta, posiziona e usa gli attrezzi in modo sicuro con autonomia e con continuità nelle situazioni note.
Discreto (7): Trasporta, posiziona e usa gli attrezzi in modo sicuro con parziale autonomia, in situazioni non particolarmente complesse.
Sufficiente (6): Trasporta, posiziona e usa gli attrezzi in modo sicuro principalmente con la guida e il supporto del docente, solo in situazioni già affrontate.
Non sufficiente (5): Trasporta, posiziona e usa gli attrezzi in modo sicuro solo saltuariamente, anche se guidato dal docente.</t>
        </r>
      </text>
    </comment>
    <comment ref="C40" authorId="0">
      <text>
        <r>
          <rPr>
            <sz val="10"/>
            <rFont val="Arial"/>
            <family val="2"/>
          </rPr>
          <t xml:space="preserve">Ottimo (10): Ripristina e riordina gli attrezzi secondo i criteri condivisi con piena autonomia e consapevolezza, con continuità, anche in situazioni complesse e mai proposte prima, in modo personale.
Distinto (9): Ripristina e riordina gli attrezzi secondo i criteri condivisi con autonomia e consapevolezza, con continuità, anche in situazioni complesse.
Buono (8): Ripristina e riordina gli attrezzi secondo i criteri condivisi con autonomia e con continuità nelle situazioni note.
Discreto (7): Ripristina e riordina gli attrezzi secondo i criteri condivisi con parziale autonomia, in situazioni non particolarmente complesse.
Sufficiente (6): Ripristina e riordina gli attrezzi secondo i criteri condivisi principalmente con la guida e il supporto del docente, solo in situazioni già affrontate.
Non sufficiente (5): Ripristina e riordina gli attrezzi secondo i criteri condivisi solo saltuariamente, anche se guidato dal docente.</t>
        </r>
      </text>
    </comment>
    <comment ref="C41" authorId="0">
      <text>
        <r>
          <rPr>
            <sz val="10"/>
            <rFont val="Arial"/>
            <family val="2"/>
          </rPr>
          <t xml:space="preserve">Ottimo (10): Usa correttamente cronometro o metro con piena autonomia e consapevolezza, con continuità, anche in situazioni complesse e mai proposte prima, in modo personale.
Distinto (9): Usa correttamente cronometro o metro con autonomia e consapevolezza, con continuità, anche in situazioni complesse.
Buono (8): Usa correttamente cronometro o metro con autonomia e con continuità nelle situazioni note.
Discreto (7): Usa correttamente cronometro o metro con parziale autonomia, in situazioni non particolarmente complesse.
Sufficiente (6): Usa correttamente cronometro o metro principalmente con la guida e il supporto del docente, solo in situazioni già affrontate.
Non sufficiente (5): Usa correttamente cronometro o metro solo saltuariamente, anche se guidato dal docente.</t>
        </r>
      </text>
    </comment>
    <comment ref="C42" authorId="0">
      <text>
        <r>
          <rPr>
            <sz val="10"/>
            <rFont val="Arial"/>
            <family val="2"/>
          </rPr>
          <t xml:space="preserve">Ottimo (10): Registra i dati in tabella in modo ordinato con piena autonomia e consapevolezza, con continuità, anche in situazioni complesse e mai proposte prima, in modo personale.
Distinto (9): Registra i dati in tabella in modo ordinato con autonomia e consapevolezza, con continuità, anche in situazioni complesse.
Buono (8): Registra i dati in tabella in modo ordinato con autonomia e con continuità nelle situazioni note.
Discreto (7): Registra i dati in tabella in modo ordinato con parziale autonomia, in situazioni non particolarmente complesse.
Sufficiente (6): Registra i dati in tabella in modo ordinato principalmente con la guida e il supporto del docente, solo in situazioni già affrontate.
Non sufficiente (5): Registra i dati in tabella in modo ordinato solo saltuariamente, anche se guidato dal docente.</t>
        </r>
      </text>
    </comment>
    <comment ref="C43" authorId="0">
      <text>
        <r>
          <rPr>
            <sz val="10"/>
            <rFont val="Arial"/>
            <family val="2"/>
          </rPr>
          <t xml:space="preserve">Ottimo (10): Legge e confronta i dati (prima/dopo, compagni, classe) con piena autonomia e consapevolezza, con continuità, anche in situazioni complesse e mai proposte prima, in modo personale.
Distinto (9): Legge e confronta i dati (prima/dopo, compagni, classe) con autonomia e consapevolezza, con continuità, anche in situazioni complesse.
Buono (8): Legge e confronta i dati (prima/dopo, compagni, classe) con autonomia e con continuità nelle situazioni note.
Discreto (7): Legge e confronta i dati (prima/dopo, compagni, classe) con parziale autonomia, in situazioni non particolarmente complesse.
Sufficiente (6): Legge e confronta i dati (prima/dopo, compagni, classe) principalmente con la guida e il supporto del docente, solo in situazioni già affrontate.
Non sufficiente (5): Legge e confronta i dati (prima/dopo, compagni, classe) solo saltuariamente, anche se guidato dal docente.</t>
        </r>
      </text>
    </comment>
    <comment ref="C44" authorId="0">
      <text>
        <r>
          <rPr>
            <sz val="10"/>
            <rFont val="Arial"/>
            <family val="2"/>
          </rPr>
          <t xml:space="preserve">Ottimo (10): Ricava semplici conclusioni sui propri progressi con piena autonomia e consapevolezza, con continuità, anche in situazioni complesse e mai proposte prima, in modo personale.
Distinto (9): Ricava semplici conclusioni sui propri progressi con autonomia e consapevolezza, con continuità, anche in situazioni complesse.
Buono (8): Ricava semplici conclusioni sui propri progressi con autonomia e con continuità nelle situazioni note.
Discreto (7): Ricava semplici conclusioni sui propri progressi con parziale autonomia, in situazioni non particolarmente complesse.
Sufficiente (6): Ricava semplici conclusioni sui propri progressi principalmente con la guida e il supporto del docente, solo in situazioni già affrontate.
Non sufficiente (5): Ricava semplici conclusioni sui propri progressi solo saltuariamente, anche se guidato dal docente.</t>
        </r>
      </text>
    </comment>
    <comment ref="C45" authorId="0">
      <text>
        <r>
          <rPr>
            <sz val="10"/>
            <rFont val="Arial"/>
            <family val="2"/>
          </rPr>
          <t xml:space="preserve">Ottimo (10): Propone e discute regole utili al gioco e alla sicurezza con piena autonomia e consapevolezza, con continuità, anche in situazioni complesse e mai proposte prima, in modo personale.
Distinto (9): Propone e discute regole utili al gioco e alla sicurezza con autonomia e consapevolezza, con continuità, anche in situazioni complesse.
Buono (8): Propone e discute regole utili al gioco e alla sicurezza con autonomia e con continuità nelle situazioni note.
Discreto (7): Propone e discute regole utili al gioco e alla sicurezza con parziale autonomia, in situazioni non particolarmente complesse.
Sufficiente (6): Propone e discute regole utili al gioco e alla sicurezza principalmente con la guida e il supporto del docente, solo in situazioni già affrontate.
Non sufficiente (5): Propone e discute regole utili al gioco e alla sicurezza solo saltuariamente, anche se guidato dal docente.</t>
        </r>
      </text>
    </comment>
    <comment ref="C46" authorId="0">
      <text>
        <r>
          <rPr>
            <sz val="10"/>
            <rFont val="Arial"/>
            <family val="2"/>
          </rPr>
          <t xml:space="preserve">Ottimo (10): Rispetta le regole decise insieme con piena autonomia e consapevolezza, con continuità, anche in situazioni complesse e mai proposte prima, in modo personale.
Distinto (9): Rispetta le regole decise insieme con autonomia e consapevolezza, con continuità, anche in situazioni complesse.
Buono (8): Rispetta le regole decise insieme con autonomia e con continuità nelle situazioni note.
Discreto (7): Rispetta le regole decise insieme con parziale autonomia, in situazioni non particolarmente complesse.
Sufficiente (6): Rispetta le regole decise insieme principalmente con la guida e il supporto del docente, solo in situazioni già affrontate.
Non sufficiente (5): Rispetta le regole decise insieme solo saltuariamente, anche se guidato dal docente.</t>
        </r>
      </text>
    </comment>
    <comment ref="C47" authorId="0">
      <text>
        <r>
          <rPr>
            <sz val="10"/>
            <rFont val="Arial"/>
            <family val="2"/>
          </rPr>
          <t xml:space="preserve">Ottimo (10): Affronta i conflitti con il dialogo con piena autonomia e consapevolezza, con continuità, anche in situazioni complesse e mai proposte prima, in modo personale.
Distinto (9): Affronta i conflitti con il dialogo con autonomia e consapevolezza, con continuità, anche in situazioni complesse.
Buono (8): Affronta i conflitti con il dialogo con autonomia e con continuità nelle situazioni note.
Discreto (7): Affronta i conflitti con il dialogo con parziale autonomia, in situazioni non particolarmente complesse.
Sufficiente (6): Affronta i conflitti con il dialogo principalmente con la guida e il supporto del docente, solo in situazioni già affrontate.
Non sufficiente (5): Affronta i conflitti con il dialogo solo saltuariamente, anche se guidato dal docente.</t>
        </r>
      </text>
    </comment>
    <comment ref="C48" authorId="0">
      <text>
        <r>
          <rPr>
            <sz val="10"/>
            <rFont val="Arial"/>
            <family val="2"/>
          </rPr>
          <t xml:space="preserve">Ottimo (10): Favorisce la partecipazione di tutti i compagni con piena autonomia e consapevolezza, con continuità, anche in situazioni complesse e mai proposte prima, in modo personale.
Distinto (9): Favorisce la partecipazione di tutti i compagni con autonomia e consapevolezza, con continuità, anche in situazioni complesse.
Buono (8): Favorisce la partecipazione di tutti i compagni con autonomia e con continuità nelle situazioni note.
Discreto (7): Favorisce la partecipazione di tutti i compagni con parziale autonomia, in situazioni non particolarmente complesse.
Sufficiente (6): Favorisce la partecipazione di tutti i compagni principalmente con la guida e il supporto del docente, solo in situazioni già affrontate.
Non sufficiente (5): Favorisce la partecipazione di tutti i compagni solo saltuariamente, anche se guidato dal docente.</t>
        </r>
      </text>
    </comment>
    <comment ref="C49" authorId="0">
      <text>
        <r>
          <rPr>
            <sz val="10"/>
            <rFont val="Arial"/>
            <family val="2"/>
          </rPr>
          <t xml:space="preserve">Ottimo (10): Riconosce e adotta comportamenti per la propria salute con piena autonomia e consapevolezza, con continuità, anche in situazioni complesse e mai proposte prima, in modo personale.
Distinto (9): Riconosce e adotta comportamenti per la propria salute con autonomia e consapevolezza, con continuità, anche in situazioni complesse.
Buono (8): Riconosce e adotta comportamenti per la propria salute con autonomia e con continuità nelle situazioni note.
Discreto (7): Riconosce e adotta comportamenti per la propria salute con parziale autonomia, in situazioni non particolarmente complesse.
Sufficiente (6): Riconosce e adotta comportamenti per la propria salute principalmente con la guida e il supporto del docente, solo in situazioni già affrontate.
Non sufficiente (5): Riconosce e adotta comportamenti per la propria salute solo saltuariamente, anche se guidato dal docente.</t>
        </r>
      </text>
    </comment>
    <comment ref="C50" authorId="0">
      <text>
        <r>
          <rPr>
            <sz val="10"/>
            <rFont val="Arial"/>
            <family val="2"/>
          </rPr>
          <t xml:space="preserve">Ottimo (10): Agisce tenendo conto della sicurezza di tutti con piena autonomia e consapevolezza, con continuità, anche in situazioni complesse e mai proposte prima, in modo personale.
Distinto (9): Agisce tenendo conto della sicurezza di tutti con autonomia e consapevolezza, con continuità, anche in situazioni complesse.
Buono (8): Agisce tenendo conto della sicurezza di tutti con autonomia e con continuità nelle situazioni note.
Discreto (7): Agisce tenendo conto della sicurezza di tutti con parziale autonomia, in situazioni non particolarmente complesse.
Sufficiente (6): Agisce tenendo conto della sicurezza di tutti principalmente con la guida e il supporto del docente, solo in situazioni già affrontate.
Non sufficiente (5): Agisce tenendo conto della sicurezza di tutti solo saltuariamente, anche se guidato dal docente.</t>
        </r>
      </text>
    </comment>
    <comment ref="C51" authorId="0">
      <text>
        <r>
          <rPr>
            <sz val="10"/>
            <rFont val="Arial"/>
            <family val="2"/>
          </rPr>
          <t xml:space="preserve">Ottimo (10): Ha cura della palestra e degli spazi comuni con piena autonomia e consapevolezza, con continuità, anche in situazioni complesse e mai proposte prima, in modo personale.
Distinto (9): Ha cura della palestra e degli spazi comuni con autonomia e consapevolezza, con continuità, anche in situazioni complesse.
Buono (8): Ha cura della palestra e degli spazi comuni con autonomia e con continuità nelle situazioni note.
Discreto (7): Ha cura della palestra e degli spazi comuni con parziale autonomia, in situazioni non particolarmente complesse.
Sufficiente (6): Ha cura della palestra e degli spazi comuni principalmente con la guida e il supporto del docente, solo in situazioni già affrontate.
Non sufficiente (5): Ha cura della palestra e degli spazi comuni solo saltuariamente, anche se guidato dal docente.</t>
        </r>
      </text>
    </comment>
    <comment ref="C52" authorId="0">
      <text>
        <r>
          <rPr>
            <sz val="10"/>
            <rFont val="Arial"/>
            <family val="2"/>
          </rPr>
          <t xml:space="preserve">Ottimo (10): Collega movimento e benessere all'Obiettivo 3 dell'Agenda 2030 con piena autonomia e consapevolezza, con continuità, anche in situazioni complesse e mai proposte prima, in modo personale.
Distinto (9): Collega movimento e benessere all'Obiettivo 3 dell'Agenda 2030 con autonomia e consapevolezza, con continuità, anche in situazioni complesse.
Buono (8): Collega movimento e benessere all'Obiettivo 3 dell'Agenda 2030 con autonomia e con continuità nelle situazioni note.
Discreto (7): Collega movimento e benessere all'Obiettivo 3 dell'Agenda 2030 con parziale autonomia, in situazioni non particolarmente complesse.
Sufficiente (6): Collega movimento e benessere all'Obiettivo 3 dell'Agenda 2030 principalmente con la guida e il supporto del docente, solo in situazioni già affrontate.
Non sufficiente (5): Collega movimento e benessere all'Obiettivo 3 dell'Agenda 2030 solo saltuariamente, anche se guidato dal docente.</t>
        </r>
      </text>
    </comment>
  </commentList>
</comments>
</file>

<file path=xl/sharedStrings.xml><?xml version="1.0" encoding="utf-8"?>
<sst xmlns="http://schemas.openxmlformats.org/spreadsheetml/2006/main" count="1748" uniqueCount="715">
  <si>
    <t xml:space="preserve">REGISTRO DI EDUCAZIONE MOTORIA · MODELLO-5 · Manzoni · classe 5ª · a.s. 2026/27</t>
  </si>
  <si>
    <t xml:space="preserve">1 · Calendario</t>
  </si>
  <si>
    <t xml:space="preserve">Una riga per giornata di prova. Scrivi il LUNEDÌ della settimana nella colonna del tuo plesso: la data della classe si calcola dal giorno di lezione. Scegli fino a 4 sotto-obiettivi. «Controllo» diventa rosso se un sotto-obiettivo si ripete nella giornata o a meno di 9 giorni.</t>
  </si>
  <si>
    <t xml:space="preserve">2 · Alunni</t>
  </si>
  <si>
    <t xml:space="preserve">Nomi in ordine alfabetico accanto ai numeri. Il numero è il codice dell'alunno tutto l'anno. Nuovi alunni nel primo numero libero in fondo; chi lascia: Stato = Ritirato. OP = obiettivi personalizzati (Impostazioni).</t>
  </si>
  <si>
    <t xml:space="preserve">3 · Registro</t>
  </si>
  <si>
    <t xml:space="preserve">Un blocco per giornata (indice cliccabile in alto). Per ogni sotto-obiettivo scrivi il livello (10–5) negli indicatori che usi: VOTO = media degli indicatori compilati arrotondata all'intero (da ,50 per eccesso); GIUDIZIO = da riportare su Argo. Tocca il nome di un indicatore per aprire la sua rubrica. Stato: AS assente · NV non valutabile · ES esonerato; al recupero scrivi i livelli e la data.</t>
  </si>
  <si>
    <t xml:space="preserve">4 · Riepilogo</t>
  </si>
  <si>
    <t xml:space="preserve">Unico per i due quadrimestri. Per ogni Q: giudizio calcolato per obiettivo di scheda (media ponderata di tutti i voti collegati: peso 1 / 1,5 dopo la metà del Q; 80% prove + 20% rubrica di processo se compilata). «Giudizio definitivo» è tuo e prevale. Le colonne verdi «Da riportare» vanno nel documento di valutazione. Il pulsante «+» sopra le colonne mostra i dettagli (medie per sotto-obiettivo).</t>
  </si>
  <si>
    <t xml:space="preserve">5 · Verifica voti</t>
  </si>
  <si>
    <t xml:space="preserve">Come su Argo: una riga per alunno, una colonna per giornata con i voti di quel giorno raggruppati (es. 1.1: 8 · 1.2: 7). Serve a confrontare il file con agenda e registro elettronico.</t>
  </si>
  <si>
    <t xml:space="preserve">6 · Giochi</t>
  </si>
  <si>
    <t xml:space="preserve">Tempi e punteggi delle prove d'istituto calcolati come da schede tecniche (Super Gym: tempo + penalità; Triathlon; Spikeball). Due rilevazioni. Le statistiche di classe alimenteranno il database del gestionale.</t>
  </si>
  <si>
    <t xml:space="preserve">7 · Rubriche</t>
  </si>
  <si>
    <t xml:space="preserve">Per ogni sotto-obiettivo 4 indicatori × 6 livelli (descrittori costruiti sui giudizi dell'Allegato A, OM 3/2025). Passa sul nome dell'indicatore per vedere i descrittori.</t>
  </si>
  <si>
    <t xml:space="preserve">8 · Impostazioni</t>
  </si>
  <si>
    <t xml:space="preserve">Classe, giorno di lezione, pesi, soglie, obiettivi della scheda, sotto-obiettivi (con «concorre a» per Q1/Q2) e obiettivi personalizzati.</t>
  </si>
  <si>
    <t xml:space="preserve">Celle</t>
  </si>
  <si>
    <t xml:space="preserve">Gialle = da compilare. Tutto il resto si calcola.</t>
  </si>
  <si>
    <t xml:space="preserve">CALENDARIO DELLE GIORNATE DI PROVA · stessa sequenza per Manzoni e Boncompagni</t>
  </si>
  <si>
    <t xml:space="preserve">Regola: lo stesso sotto-obiettivo non si valuta due volte nella stessa giornata né in giornate a meno di 9 giorni (gli assenti devono poter recuperare).</t>
  </si>
  <si>
    <t xml:space="preserve">Settimana (lunedì)</t>
  </si>
  <si>
    <t xml:space="preserve">Q</t>
  </si>
  <si>
    <t xml:space="preserve">Giornata</t>
  </si>
  <si>
    <t xml:space="preserve">Manzoni</t>
  </si>
  <si>
    <t xml:space="preserve">Boncompagni</t>
  </si>
  <si>
    <t xml:space="preserve">Data classe</t>
  </si>
  <si>
    <t xml:space="preserve">Metà</t>
  </si>
  <si>
    <t xml:space="preserve">Descrizione della prova</t>
  </si>
  <si>
    <t xml:space="preserve">Sott-ob. 1</t>
  </si>
  <si>
    <t xml:space="preserve">Sott-ob. 2</t>
  </si>
  <si>
    <t xml:space="preserve">Sott-ob. 3</t>
  </si>
  <si>
    <t xml:space="preserve">Sott-ob. 4</t>
  </si>
  <si>
    <t xml:space="preserve">Controllo regole</t>
  </si>
  <si>
    <t xml:space="preserve">Q1</t>
  </si>
  <si>
    <t xml:space="preserve">Q1-G01</t>
  </si>
  <si>
    <t xml:space="preserve">Test d'ingresso – schemi motori di base</t>
  </si>
  <si>
    <t xml:space="preserve">1.1</t>
  </si>
  <si>
    <t xml:space="preserve">Q1-G02</t>
  </si>
  <si>
    <t xml:space="preserve">Progetto basket – osservazione (lezioni con l'esperto)</t>
  </si>
  <si>
    <t xml:space="preserve">3.1</t>
  </si>
  <si>
    <t xml:space="preserve">3.3</t>
  </si>
  <si>
    <t xml:space="preserve">Q1-G03</t>
  </si>
  <si>
    <t xml:space="preserve">P02 · Circuito Super Gym d'istituto</t>
  </si>
  <si>
    <t xml:space="preserve">TEC.1</t>
  </si>
  <si>
    <t xml:space="preserve">Q1-G04</t>
  </si>
  <si>
    <t xml:space="preserve">Q1-G05</t>
  </si>
  <si>
    <t xml:space="preserve">Q1-G06</t>
  </si>
  <si>
    <t xml:space="preserve">Q1-G07</t>
  </si>
  <si>
    <t xml:space="preserve">Q1-G08</t>
  </si>
  <si>
    <t xml:space="preserve">Q1-G09</t>
  </si>
  <si>
    <t xml:space="preserve">Q1-G10</t>
  </si>
  <si>
    <t xml:space="preserve">Q2</t>
  </si>
  <si>
    <t xml:space="preserve">Q2-G01</t>
  </si>
  <si>
    <t xml:space="preserve">Q2-G02</t>
  </si>
  <si>
    <t xml:space="preserve">Q2-G03</t>
  </si>
  <si>
    <t xml:space="preserve">Q2-G04</t>
  </si>
  <si>
    <t xml:space="preserve">Q2-G05</t>
  </si>
  <si>
    <t xml:space="preserve">Q2-G06</t>
  </si>
  <si>
    <t xml:space="preserve">Q2-G07</t>
  </si>
  <si>
    <t xml:space="preserve">Q2-G08</t>
  </si>
  <si>
    <t xml:space="preserve">Q2-G09</t>
  </si>
  <si>
    <t xml:space="preserve">Q2-G10</t>
  </si>
  <si>
    <t xml:space="preserve">ALUNNI · MODELLO-5 · anagrafica di riferimento per tutti i fogli</t>
  </si>
  <si>
    <t xml:space="preserve">Ordine alfabetico · numero fisso tutto l'anno · nuovi alunni in fondo · Stato: Attivo / Ritirato / ES · OP = obiettivi personalizzati</t>
  </si>
  <si>
    <t xml:space="preserve">N°</t>
  </si>
  <si>
    <t xml:space="preserve">Codice</t>
  </si>
  <si>
    <t xml:space="preserve">Cognome e nome</t>
  </si>
  <si>
    <t xml:space="preserve">Stato</t>
  </si>
  <si>
    <t xml:space="preserve">OP</t>
  </si>
  <si>
    <t xml:space="preserve">Note didattiche (no dati sanitari)</t>
  </si>
  <si>
    <t xml:space="preserve">Rossi Mario (esempio)</t>
  </si>
  <si>
    <t xml:space="preserve">Attivo</t>
  </si>
  <si>
    <t xml:space="preserve">Bianchi Anna (esempio)</t>
  </si>
  <si>
    <t xml:space="preserve">Verdi Luca (esempio)</t>
  </si>
  <si>
    <t xml:space="preserve">ES</t>
  </si>
  <si>
    <t xml:space="preserve">REGISTRO DELLE PROVE · MODELLO-5 · tocca una giornata per raggiungerla</t>
  </si>
  <si>
    <t xml:space="preserve">1° quadrimestre ›</t>
  </si>
  <si>
    <t xml:space="preserve">2° quadrimestre ›</t>
  </si>
  <si>
    <t xml:space="preserve">Livelli: 10 Ottimo · 9 Distinto · 8 Buono · 7 Discreto · 6 Sufficiente · 5 Non sufficiente   ·   Stato: AS assente · NV non valutabile · ES esonerato</t>
  </si>
  <si>
    <t xml:space="preserve">Sotto-obiettivo</t>
  </si>
  <si>
    <t xml:space="preserve">Concorre a</t>
  </si>
  <si>
    <t xml:space="preserve">Indicatori (tocca → rubrica)</t>
  </si>
  <si>
    <t xml:space="preserve">Alunno</t>
  </si>
  <si>
    <t xml:space="preserve">Recuperata il</t>
  </si>
  <si>
    <t xml:space="preserve">I1</t>
  </si>
  <si>
    <t xml:space="preserve">I2</t>
  </si>
  <si>
    <t xml:space="preserve">I3</t>
  </si>
  <si>
    <t xml:space="preserve">I4</t>
  </si>
  <si>
    <t xml:space="preserve">VOTO</t>
  </si>
  <si>
    <t xml:space="preserve">GIUDIZIO (Argo)</t>
  </si>
  <si>
    <t xml:space="preserve">AS</t>
  </si>
  <si>
    <t xml:space="preserve">RIEPILOGO E GIUDIZI · MODELLO-5 · classe 5ª · 1° e 2° quadrimestre</t>
  </si>
  <si>
    <t xml:space="preserve">Gialle = tue. Il giudizio definitivo prevale. Verde = da riportare. «+» in alto mostra le medie di dettaglio.</t>
  </si>
  <si>
    <t xml:space="preserve">1° QUADRIMESTRE</t>
  </si>
  <si>
    <t xml:space="preserve">2° QUADRIMESTRE</t>
  </si>
  <si>
    <t xml:space="preserve">MEDIE PER SOTTO-OBIETTIVO</t>
  </si>
  <si>
    <t xml:space="preserve">TECNOLOGIA</t>
  </si>
  <si>
    <t xml:space="preserve">ED. CIVICA</t>
  </si>
  <si>
    <t xml:space="preserve">PROCESSO E AVVISI</t>
  </si>
  <si>
    <t xml:space="preserve">DA RIPORTARE NEL DOCUMENTO</t>
  </si>
  <si>
    <t xml:space="preserve">1.1 Traiettorie, ritmi, organizzazione</t>
  </si>
  <si>
    <t xml:space="preserve">2.1 Sequenze e coreografie</t>
  </si>
  <si>
    <t xml:space="preserve">3.1 Modalità esecutive gioco-sport</t>
  </si>
  <si>
    <t xml:space="preserve">3.2 Partecipare e collaborare</t>
  </si>
  <si>
    <t xml:space="preserve">3.3 Regole, sconfitta e vittoria</t>
  </si>
  <si>
    <t xml:space="preserve">4.1 Muoversi negli ambienti</t>
  </si>
  <si>
    <t xml:space="preserve">4.2 Alimentazione ed esercizio</t>
  </si>
  <si>
    <t xml:space="preserve">4.3 Prevenzione e sicurezza</t>
  </si>
  <si>
    <t xml:space="preserve">n. voti</t>
  </si>
  <si>
    <t xml:space="preserve">Media voti</t>
  </si>
  <si>
    <t xml:space="preserve">Valore finale</t>
  </si>
  <si>
    <t xml:space="preserve">Giudizio calcolato</t>
  </si>
  <si>
    <t xml:space="preserve">Giudizio definitivo</t>
  </si>
  <si>
    <t xml:space="preserve">Media</t>
  </si>
  <si>
    <t xml:space="preserve">Rubrica di processo (10–5)</t>
  </si>
  <si>
    <t xml:space="preserve">Prove da recuperare</t>
  </si>
  <si>
    <t xml:space="preserve">Avvisi</t>
  </si>
  <si>
    <t xml:space="preserve">Ob. A</t>
  </si>
  <si>
    <t xml:space="preserve">Ob. B</t>
  </si>
  <si>
    <t xml:space="preserve">Tecnologia</t>
  </si>
  <si>
    <t xml:space="preserve">Ed. civica</t>
  </si>
  <si>
    <t xml:space="preserve">Commento del docente</t>
  </si>
  <si>
    <t xml:space="preserve">VERIFICA VOTI · MODELLO-5 · una riga per alunno, una colonna per giornata (come su Argo)</t>
  </si>
  <si>
    <t xml:space="preserve">GIOCHI DELLA GIOVENTÙ · prove d'istituto · MODELLO-5 · calcolo come da schede tecniche FGI/FIDAL/FIPAV</t>
  </si>
  <si>
    <t xml:space="preserve">Super Gym School: tempo + penalità (tabella a destra) = tempo di gara; classe = media dei tempi. Superiamo gli ostacoli: tempo al centesimo; classe = media. Correttivo % (solo alunni con disabilità, da scheda tecnica): riduce il tempo registrato. Il tempo NON è un voto.</t>
  </si>
  <si>
    <t xml:space="preserve">SUPER GYM · 1ª rilevazione</t>
  </si>
  <si>
    <t xml:space="preserve">SUPER GYM · 2ª rilevazione</t>
  </si>
  <si>
    <t xml:space="preserve">OSTACOLI · 1ª ril.</t>
  </si>
  <si>
    <t xml:space="preserve">OSTACOLI · 2ª ril.</t>
  </si>
  <si>
    <t xml:space="preserve">MIGLIORAMENTO (s)</t>
  </si>
  <si>
    <t xml:space="preserve">PENALITÀ SUPER GYM (secondi)</t>
  </si>
  <si>
    <t xml:space="preserve">Correttivo %</t>
  </si>
  <si>
    <t xml:space="preserve">Tempo (s)</t>
  </si>
  <si>
    <t xml:space="preserve">Penalità (s)</t>
  </si>
  <si>
    <t xml:space="preserve">Tempo gara</t>
  </si>
  <si>
    <t xml:space="preserve">Super Gym</t>
  </si>
  <si>
    <t xml:space="preserve">Ostacoli</t>
  </si>
  <si>
    <t xml:space="preserve">1 Catena umana</t>
  </si>
  <si>
    <t xml:space="preserve">Rottura della presa tra i compagni (ogni volta)</t>
  </si>
  <si>
    <t xml:space="preserve">+5</t>
  </si>
  <si>
    <t xml:space="preserve">2 Saltelli cerchi</t>
  </si>
  <si>
    <t xml:space="preserve">Appoggio errato</t>
  </si>
  <si>
    <t xml:space="preserve">+2</t>
  </si>
  <si>
    <t xml:space="preserve">Piede sul bordo o fuori dal cerchio</t>
  </si>
  <si>
    <t xml:space="preserve">3 Capovolta</t>
  </si>
  <si>
    <t xml:space="preserve">Esecuzione incompleta / mancato ritorno supino</t>
  </si>
  <si>
    <t xml:space="preserve">+3</t>
  </si>
  <si>
    <t xml:space="preserve">Uscita dal tappeto</t>
  </si>
  <si>
    <t xml:space="preserve">Rotolamento longitudinale al posto della capovolta</t>
  </si>
  <si>
    <t xml:space="preserve">4 Funicella</t>
  </si>
  <si>
    <t xml:space="preserve">Conteggio errato (per ogni salto mancante)</t>
  </si>
  <si>
    <t xml:space="preserve">Funicella non riposizionata</t>
  </si>
  <si>
    <t xml:space="preserve">5 Bacchetta</t>
  </si>
  <si>
    <t xml:space="preserve">Piedi non uniti</t>
  </si>
  <si>
    <t xml:space="preserve">Contatto con la bacchetta</t>
  </si>
  <si>
    <t xml:space="preserve">Meno di 4 saltelli</t>
  </si>
  <si>
    <t xml:space="preserve">6 Piedi e palline</t>
  </si>
  <si>
    <t xml:space="preserve">Uso delle mani</t>
  </si>
  <si>
    <t xml:space="preserve">+10</t>
  </si>
  <si>
    <t xml:space="preserve">Glutei sollevati durante lo spostamento</t>
  </si>
  <si>
    <t xml:space="preserve">Pallina caduta e non riposizionata (per palla)</t>
  </si>
  <si>
    <t xml:space="preserve">7 Over/Under</t>
  </si>
  <si>
    <t xml:space="preserve">Abbattimento ostacolo (ogni volta)</t>
  </si>
  <si>
    <t xml:space="preserve">Tocco o urto ostacolo (ogni volta)</t>
  </si>
  <si>
    <t xml:space="preserve">Errore di sequenza</t>
  </si>
  <si>
    <t xml:space="preserve">8 Ostacolo grande</t>
  </si>
  <si>
    <t xml:space="preserve">Aggiramento invece di scavalcare</t>
  </si>
  <si>
    <t xml:space="preserve">9 Slalom</t>
  </si>
  <si>
    <t xml:space="preserve">Palleggio bloccato o a due mani (ogni volta)</t>
  </si>
  <si>
    <t xml:space="preserve">Salto di un conetto</t>
  </si>
  <si>
    <t xml:space="preserve">Urto di un conetto (ogni volta)</t>
  </si>
  <si>
    <t xml:space="preserve">10 Lancio</t>
  </si>
  <si>
    <t xml:space="preserve">Piede fuori dal cerchio</t>
  </si>
  <si>
    <t xml:space="preserve">Bersaglio mancato</t>
  </si>
  <si>
    <t xml:space="preserve">11 Prillo</t>
  </si>
  <si>
    <t xml:space="preserve">Cerchio a terra prima della presa</t>
  </si>
  <si>
    <t xml:space="preserve">Giro incompleto (meno di 360°)</t>
  </si>
  <si>
    <t xml:space="preserve">12 Quadrupedia</t>
  </si>
  <si>
    <t xml:space="preserve">Tocco delle bacchette</t>
  </si>
  <si>
    <t xml:space="preserve">Saltello non simultaneo dei piedi</t>
  </si>
  <si>
    <t xml:space="preserve">13 Lancio e clap</t>
  </si>
  <si>
    <t xml:space="preserve">Caduta della palla</t>
  </si>
  <si>
    <t xml:space="preserve">Battito mancato o non sotto la gamba</t>
  </si>
  <si>
    <t xml:space="preserve">Mancata alternanza delle gambe</t>
  </si>
  <si>
    <t xml:space="preserve">Alunni con tempo</t>
  </si>
  <si>
    <t xml:space="preserve">MEDIA DI CLASSE (ufficiale)</t>
  </si>
  <si>
    <t xml:space="preserve">Media troncata (senza migliore e peggiore)</t>
  </si>
  <si>
    <t xml:space="preserve">Mediana</t>
  </si>
  <si>
    <t xml:space="preserve">Deviazione standard</t>
  </si>
  <si>
    <t xml:space="preserve">Migliore</t>
  </si>
  <si>
    <t xml:space="preserve">Peggiore</t>
  </si>
  <si>
    <t xml:space="preserve">PROVE DI SQUADRA (punteggio di classe = somma dei gruppi)</t>
  </si>
  <si>
    <t xml:space="preserve">Prova</t>
  </si>
  <si>
    <t xml:space="preserve">Rilevazione</t>
  </si>
  <si>
    <t xml:space="preserve">Gruppo 1</t>
  </si>
  <si>
    <t xml:space="preserve">Gruppo 2</t>
  </si>
  <si>
    <t xml:space="preserve">Gruppo 3</t>
  </si>
  <si>
    <t xml:space="preserve">Gruppo 4</t>
  </si>
  <si>
    <t xml:space="preserve">Gruppo 5</t>
  </si>
  <si>
    <t xml:space="preserve">TOTALE CLASSE</t>
  </si>
  <si>
    <t xml:space="preserve">Lancia, colpisci e corri (punti in 3')</t>
  </si>
  <si>
    <t xml:space="preserve">1ª</t>
  </si>
  <si>
    <t xml:space="preserve">2ª</t>
  </si>
  <si>
    <t xml:space="preserve">Staffetta infinita (giri in 3'; +0,25 per lato)</t>
  </si>
  <si>
    <t xml:space="preserve">Spikeball (bersagli colpiti in 20')</t>
  </si>
  <si>
    <t xml:space="preserve">SPAREGGIO (a parità di punti tra classi): fair play e partecipazione</t>
  </si>
  <si>
    <t xml:space="preserve">Giudizio fair play della classe</t>
  </si>
  <si>
    <t xml:space="preserve">RUBRICHE · classe 5ª · 4 indicatori per sotto-obiettivo × 6 livelli</t>
  </si>
  <si>
    <t xml:space="preserve">Descrittori costruiti sulle descrizioni dei giudizi sintetici (Allegato A, OM 3/2025): autonomia · consapevolezza · tipo di situazione · continuità · supporto del docente. Passa sul nome dell'indicatore per vederli tutti.</t>
  </si>
  <si>
    <t xml:space="preserve">#</t>
  </si>
  <si>
    <t xml:space="preserve">Indicatore</t>
  </si>
  <si>
    <t xml:space="preserve">Cosa osservo</t>
  </si>
  <si>
    <t xml:space="preserve">Ottimo (10)</t>
  </si>
  <si>
    <t xml:space="preserve">Distinto (9)</t>
  </si>
  <si>
    <t xml:space="preserve">Buono (8)</t>
  </si>
  <si>
    <t xml:space="preserve">Discreto (7)</t>
  </si>
  <si>
    <t xml:space="preserve">Sufficiente (6)</t>
  </si>
  <si>
    <t xml:space="preserve">Non sufficiente (5)</t>
  </si>
  <si>
    <t xml:space="preserve">Traiettorie</t>
  </si>
  <si>
    <t xml:space="preserve">Valuta la traiettoria di oggetti e compagni per lanciare, afferrare, intercettare</t>
  </si>
  <si>
    <t xml:space="preserve">Valuta la traiettoria di oggetti e compagni per lanciare, afferrare, intercettare con piena autonomia e consapevolezza, con continuità, anche in situazioni complesse e mai proposte prima, in modo personale.</t>
  </si>
  <si>
    <t xml:space="preserve">Valuta la traiettoria di oggetti e compagni per lanciare, afferrare, intercettare con autonomia e consapevolezza, con continuità, anche in situazioni complesse.</t>
  </si>
  <si>
    <t xml:space="preserve">Valuta la traiettoria di oggetti e compagni per lanciare, afferrare, intercettare con autonomia e con continuità nelle situazioni note.</t>
  </si>
  <si>
    <t xml:space="preserve">Valuta la traiettoria di oggetti e compagni per lanciare, afferrare, intercettare con parziale autonomia, in situazioni non particolarmente complesse.</t>
  </si>
  <si>
    <t xml:space="preserve">Valuta la traiettoria di oggetti e compagni per lanciare, afferrare, intercettare principalmente con la guida e il supporto del docente, solo in situazioni già affrontate.</t>
  </si>
  <si>
    <t xml:space="preserve">Valuta la traiettoria di oggetti e compagni per lanciare, afferrare, intercettare solo saltuariamente, anche se guidato dal docente.</t>
  </si>
  <si>
    <t xml:space="preserve">Distanze e velocità</t>
  </si>
  <si>
    <t xml:space="preserve">Valuta distanze e velocità, regolando forza e tempi d'azione</t>
  </si>
  <si>
    <t xml:space="preserve">Valuta distanze e velocità, regolando forza e tempi d'azione con piena autonomia e consapevolezza, con continuità, anche in situazioni complesse e mai proposte prima, in modo personale.</t>
  </si>
  <si>
    <t xml:space="preserve">Valuta distanze e velocità, regolando forza e tempi d'azione con autonomia e consapevolezza, con continuità, anche in situazioni complesse.</t>
  </si>
  <si>
    <t xml:space="preserve">Valuta distanze e velocità, regolando forza e tempi d'azione con autonomia e con continuità nelle situazioni note.</t>
  </si>
  <si>
    <t xml:space="preserve">Valuta distanze e velocità, regolando forza e tempi d'azione con parziale autonomia, in situazioni non particolarmente complesse.</t>
  </si>
  <si>
    <t xml:space="preserve">Valuta distanze e velocità, regolando forza e tempi d'azione principalmente con la guida e il supporto del docente, solo in situazioni già affrontate.</t>
  </si>
  <si>
    <t xml:space="preserve">Valuta distanze e velocità, regolando forza e tempi d'azione solo saltuariamente, anche se guidato dal docente.</t>
  </si>
  <si>
    <t xml:space="preserve">Ritmi esecutivi</t>
  </si>
  <si>
    <t xml:space="preserve">Esegue sequenze con ritmo regolare e rapido</t>
  </si>
  <si>
    <t xml:space="preserve">Esegue sequenze con ritmo regolare e rapido con piena autonomia e consapevolezza, con continuità, anche in situazioni complesse e mai proposte prima, in modo personale.</t>
  </si>
  <si>
    <t xml:space="preserve">Esegue sequenze con ritmo regolare e rapido con autonomia e consapevolezza, con continuità, anche in situazioni complesse.</t>
  </si>
  <si>
    <t xml:space="preserve">Esegue sequenze con ritmo regolare e rapido con autonomia e con continuità nelle situazioni note.</t>
  </si>
  <si>
    <t xml:space="preserve">Esegue sequenze con ritmo regolare e rapido con parziale autonomia, in situazioni non particolarmente complesse.</t>
  </si>
  <si>
    <t xml:space="preserve">Esegue sequenze con ritmo regolare e rapido principalmente con la guida e il supporto del docente, solo in situazioni già affrontate.</t>
  </si>
  <si>
    <t xml:space="preserve">Esegue sequenze con ritmo regolare e rapido solo saltuariamente, anche se guidato dal docente.</t>
  </si>
  <si>
    <t xml:space="preserve">Organizzazione con gli altri</t>
  </si>
  <si>
    <t xml:space="preserve">Organizza il proprio movimento in relazione ai compagni e a situazioni nuove (varianti)</t>
  </si>
  <si>
    <t xml:space="preserve">Organizza il proprio movimento in relazione ai compagni e a situazioni nuove (varianti) con piena autonomia e consapevolezza, con continuità, anche in situazioni complesse e mai proposte prima, in modo personale.</t>
  </si>
  <si>
    <t xml:space="preserve">Organizza il proprio movimento in relazione ai compagni e a situazioni nuove (varianti) con autonomia e consapevolezza, con continuità, anche in situazioni complesse.</t>
  </si>
  <si>
    <t xml:space="preserve">Organizza il proprio movimento in relazione ai compagni e a situazioni nuove (varianti) con autonomia e con continuità nelle situazioni note.</t>
  </si>
  <si>
    <t xml:space="preserve">Organizza il proprio movimento in relazione ai compagni e a situazioni nuove (varianti) con parziale autonomia, in situazioni non particolarmente complesse.</t>
  </si>
  <si>
    <t xml:space="preserve">Organizza il proprio movimento in relazione ai compagni e a situazioni nuove (varianti) principalmente con la guida e il supporto del docente, solo in situazioni già affrontate.</t>
  </si>
  <si>
    <t xml:space="preserve">Organizza il proprio movimento in relazione ai compagni e a situazioni nuove (varianti) solo saltuariamente, anche se guidato dal docente.</t>
  </si>
  <si>
    <t xml:space="preserve">2.1</t>
  </si>
  <si>
    <t xml:space="preserve">Memoria della sequenza</t>
  </si>
  <si>
    <t xml:space="preserve">Memorizza ed esegue la sequenza nell'ordine corretto</t>
  </si>
  <si>
    <t xml:space="preserve">Memorizza ed esegue la sequenza nell'ordine corretto con piena autonomia e consapevolezza, con continuità, anche in situazioni complesse e mai proposte prima, in modo personale.</t>
  </si>
  <si>
    <t xml:space="preserve">Memorizza ed esegue la sequenza nell'ordine corretto con autonomia e consapevolezza, con continuità, anche in situazioni complesse.</t>
  </si>
  <si>
    <t xml:space="preserve">Memorizza ed esegue la sequenza nell'ordine corretto con autonomia e con continuità nelle situazioni note.</t>
  </si>
  <si>
    <t xml:space="preserve">Memorizza ed esegue la sequenza nell'ordine corretto con parziale autonomia, in situazioni non particolarmente complesse.</t>
  </si>
  <si>
    <t xml:space="preserve">Memorizza ed esegue la sequenza nell'ordine corretto principalmente con la guida e il supporto del docente, solo in situazioni già affrontate.</t>
  </si>
  <si>
    <t xml:space="preserve">Memorizza ed esegue la sequenza nell'ordine corretto solo saltuariamente, anche se guidato dal docente.</t>
  </si>
  <si>
    <t xml:space="preserve">Ritmo e musica</t>
  </si>
  <si>
    <t xml:space="preserve">Coordina i movimenti con il ritmo e la musica</t>
  </si>
  <si>
    <t xml:space="preserve">Coordina i movimenti con il ritmo e la musica con piena autonomia e consapevolezza, con continuità, anche in situazioni complesse e mai proposte prima, in modo personale.</t>
  </si>
  <si>
    <t xml:space="preserve">Coordina i movimenti con il ritmo e la musica con autonomia e consapevolezza, con continuità, anche in situazioni complesse.</t>
  </si>
  <si>
    <t xml:space="preserve">Coordina i movimenti con il ritmo e la musica con autonomia e con continuità nelle situazioni note.</t>
  </si>
  <si>
    <t xml:space="preserve">Coordina i movimenti con il ritmo e la musica con parziale autonomia, in situazioni non particolarmente complesse.</t>
  </si>
  <si>
    <t xml:space="preserve">Coordina i movimenti con il ritmo e la musica principalmente con la guida e il supporto del docente, solo in situazioni già affrontate.</t>
  </si>
  <si>
    <t xml:space="preserve">Coordina i movimenti con il ritmo e la musica solo saltuariamente, anche se guidato dal docente.</t>
  </si>
  <si>
    <t xml:space="preserve">Elaborazione personale</t>
  </si>
  <si>
    <t xml:space="preserve">Elabora e propone movimenti personali nella sequenza</t>
  </si>
  <si>
    <t xml:space="preserve">Elabora e propone movimenti personali nella sequenza con piena autonomia e consapevolezza, con continuità, anche in situazioni complesse e mai proposte prima, in modo personale.</t>
  </si>
  <si>
    <t xml:space="preserve">Elabora e propone movimenti personali nella sequenza con autonomia e consapevolezza, con continuità, anche in situazioni complesse.</t>
  </si>
  <si>
    <t xml:space="preserve">Elabora e propone movimenti personali nella sequenza con autonomia e con continuità nelle situazioni note.</t>
  </si>
  <si>
    <t xml:space="preserve">Elabora e propone movimenti personali nella sequenza con parziale autonomia, in situazioni non particolarmente complesse.</t>
  </si>
  <si>
    <t xml:space="preserve">Elabora e propone movimenti personali nella sequenza principalmente con la guida e il supporto del docente, solo in situazioni già affrontate.</t>
  </si>
  <si>
    <t xml:space="preserve">Elabora e propone movimenti personali nella sequenza solo saltuariamente, anche se guidato dal docente.</t>
  </si>
  <si>
    <t xml:space="preserve">Sincronia con il gruppo</t>
  </si>
  <si>
    <t xml:space="preserve">Si sincronizza con i compagni nella coreografia collettiva</t>
  </si>
  <si>
    <t xml:space="preserve">Si sincronizza con i compagni nella coreografia collettiva con piena autonomia e consapevolezza, con continuità, anche in situazioni complesse e mai proposte prima, in modo personale.</t>
  </si>
  <si>
    <t xml:space="preserve">Si sincronizza con i compagni nella coreografia collettiva con autonomia e consapevolezza, con continuità, anche in situazioni complesse.</t>
  </si>
  <si>
    <t xml:space="preserve">Si sincronizza con i compagni nella coreografia collettiva con autonomia e con continuità nelle situazioni note.</t>
  </si>
  <si>
    <t xml:space="preserve">Si sincronizza con i compagni nella coreografia collettiva con parziale autonomia, in situazioni non particolarmente complesse.</t>
  </si>
  <si>
    <t xml:space="preserve">Si sincronizza con i compagni nella coreografia collettiva principalmente con la guida e il supporto del docente, solo in situazioni già affrontate.</t>
  </si>
  <si>
    <t xml:space="preserve">Si sincronizza con i compagni nella coreografia collettiva solo saltuariamente, anche se guidato dal docente.</t>
  </si>
  <si>
    <t xml:space="preserve">Gesti tecnici</t>
  </si>
  <si>
    <t xml:space="preserve">Esegue i gesti tecnici di base del gioco-sport (passaggio, tiro, ricezione, battuta)</t>
  </si>
  <si>
    <t xml:space="preserve">Esegue i gesti tecnici di base del gioco-sport (passaggio, tiro, ricezione, battuta) con piena autonomia e consapevolezza, con continuità, anche in situazioni complesse e mai proposte prima, in modo personale.</t>
  </si>
  <si>
    <t xml:space="preserve">Esegue i gesti tecnici di base del gioco-sport (passaggio, tiro, ricezione, battuta) con autonomia e consapevolezza, con continuità, anche in situazioni complesse.</t>
  </si>
  <si>
    <t xml:space="preserve">Esegue i gesti tecnici di base del gioco-sport (passaggio, tiro, ricezione, battuta) con autonomia e con continuità nelle situazioni note.</t>
  </si>
  <si>
    <t xml:space="preserve">Esegue i gesti tecnici di base del gioco-sport (passaggio, tiro, ricezione, battuta) con parziale autonomia, in situazioni non particolarmente complesse.</t>
  </si>
  <si>
    <t xml:space="preserve">Esegue i gesti tecnici di base del gioco-sport (passaggio, tiro, ricezione, battuta) principalmente con la guida e il supporto del docente, solo in situazioni già affrontate.</t>
  </si>
  <si>
    <t xml:space="preserve">Esegue i gesti tecnici di base del gioco-sport (passaggio, tiro, ricezione, battuta) solo saltuariamente, anche se guidato dal docente.</t>
  </si>
  <si>
    <t xml:space="preserve">Regole specifiche</t>
  </si>
  <si>
    <t xml:space="preserve">Conosce e applica le regole specifiche del gioco-sport</t>
  </si>
  <si>
    <t xml:space="preserve">Conosce e applica le regole specifiche del gioco-sport con piena autonomia e consapevolezza, con continuità, anche in situazioni complesse e mai proposte prima, in modo personale.</t>
  </si>
  <si>
    <t xml:space="preserve">Conosce e applica le regole specifiche del gioco-sport con autonomia e consapevolezza, con continuità, anche in situazioni complesse.</t>
  </si>
  <si>
    <t xml:space="preserve">Conosce e applica le regole specifiche del gioco-sport con autonomia e con continuità nelle situazioni note.</t>
  </si>
  <si>
    <t xml:space="preserve">Conosce e applica le regole specifiche del gioco-sport con parziale autonomia, in situazioni non particolarmente complesse.</t>
  </si>
  <si>
    <t xml:space="preserve">Conosce e applica le regole specifiche del gioco-sport principalmente con la guida e il supporto del docente, solo in situazioni già affrontate.</t>
  </si>
  <si>
    <t xml:space="preserve">Conosce e applica le regole specifiche del gioco-sport solo saltuariamente, anche se guidato dal docente.</t>
  </si>
  <si>
    <t xml:space="preserve">Scelte di gioco</t>
  </si>
  <si>
    <t xml:space="preserve">Compie semplici scelte tattiche (smarcarsi, passare al compagno libero)</t>
  </si>
  <si>
    <t xml:space="preserve">Compie semplici scelte tattiche (smarcarsi, passare al compagno libero) con piena autonomia e consapevolezza, con continuità, anche in situazioni complesse e mai proposte prima, in modo personale.</t>
  </si>
  <si>
    <t xml:space="preserve">Compie semplici scelte tattiche (smarcarsi, passare al compagno libero) con autonomia e consapevolezza, con continuità, anche in situazioni complesse.</t>
  </si>
  <si>
    <t xml:space="preserve">Compie semplici scelte tattiche (smarcarsi, passare al compagno libero) con autonomia e con continuità nelle situazioni note.</t>
  </si>
  <si>
    <t xml:space="preserve">Compie semplici scelte tattiche (smarcarsi, passare al compagno libero) con parziale autonomia, in situazioni non particolarmente complesse.</t>
  </si>
  <si>
    <t xml:space="preserve">Compie semplici scelte tattiche (smarcarsi, passare al compagno libero) principalmente con la guida e il supporto del docente, solo in situazioni già affrontate.</t>
  </si>
  <si>
    <t xml:space="preserve">Compie semplici scelte tattiche (smarcarsi, passare al compagno libero) solo saltuariamente, anche se guidato dal docente.</t>
  </si>
  <si>
    <t xml:space="preserve">Ruolo in campo</t>
  </si>
  <si>
    <t xml:space="preserve">Svolge il proprio ruolo in attacco e in difesa</t>
  </si>
  <si>
    <t xml:space="preserve">Svolge il proprio ruolo in attacco e in difesa con piena autonomia e consapevolezza, con continuità, anche in situazioni complesse e mai proposte prima, in modo personale.</t>
  </si>
  <si>
    <t xml:space="preserve">Svolge il proprio ruolo in attacco e in difesa con autonomia e consapevolezza, con continuità, anche in situazioni complesse.</t>
  </si>
  <si>
    <t xml:space="preserve">Svolge il proprio ruolo in attacco e in difesa con autonomia e con continuità nelle situazioni note.</t>
  </si>
  <si>
    <t xml:space="preserve">Svolge il proprio ruolo in attacco e in difesa con parziale autonomia, in situazioni non particolarmente complesse.</t>
  </si>
  <si>
    <t xml:space="preserve">Svolge il proprio ruolo in attacco e in difesa principalmente con la guida e il supporto del docente, solo in situazioni già affrontate.</t>
  </si>
  <si>
    <t xml:space="preserve">Svolge il proprio ruolo in attacco e in difesa solo saltuariamente, anche se guidato dal docente.</t>
  </si>
  <si>
    <t xml:space="preserve">3.2</t>
  </si>
  <si>
    <t xml:space="preserve">Partecipazione</t>
  </si>
  <si>
    <t xml:space="preserve">Partecipa attivamente a tutte le forme di gioco e di gara</t>
  </si>
  <si>
    <t xml:space="preserve">Partecipa attivamente a tutte le forme di gioco e di gara con piena autonomia e consapevolezza, con continuità, anche in situazioni complesse e mai proposte prima, in modo personale.</t>
  </si>
  <si>
    <t xml:space="preserve">Partecipa attivamente a tutte le forme di gioco e di gara con autonomia e consapevolezza, con continuità, anche in situazioni complesse.</t>
  </si>
  <si>
    <t xml:space="preserve">Partecipa attivamente a tutte le forme di gioco e di gara con autonomia e con continuità nelle situazioni note.</t>
  </si>
  <si>
    <t xml:space="preserve">Partecipa attivamente a tutte le forme di gioco e di gara con parziale autonomia, in situazioni non particolarmente complesse.</t>
  </si>
  <si>
    <t xml:space="preserve">Partecipa attivamente a tutte le forme di gioco e di gara principalmente con la guida e il supporto del docente, solo in situazioni già affrontate.</t>
  </si>
  <si>
    <t xml:space="preserve">Partecipa attivamente a tutte le forme di gioco e di gara solo saltuariamente, anche se guidato dal docente.</t>
  </si>
  <si>
    <t xml:space="preserve">Collaborazione</t>
  </si>
  <si>
    <t xml:space="preserve">Collabora con la squadra per raggiungere l'obiettivo comune</t>
  </si>
  <si>
    <t xml:space="preserve">Collabora con la squadra per raggiungere l'obiettivo comune con piena autonomia e consapevolezza, con continuità, anche in situazioni complesse e mai proposte prima, in modo personale.</t>
  </si>
  <si>
    <t xml:space="preserve">Collabora con la squadra per raggiungere l'obiettivo comune con autonomia e consapevolezza, con continuità, anche in situazioni complesse.</t>
  </si>
  <si>
    <t xml:space="preserve">Collabora con la squadra per raggiungere l'obiettivo comune con autonomia e con continuità nelle situazioni note.</t>
  </si>
  <si>
    <t xml:space="preserve">Collabora con la squadra per raggiungere l'obiettivo comune con parziale autonomia, in situazioni non particolarmente complesse.</t>
  </si>
  <si>
    <t xml:space="preserve">Collabora con la squadra per raggiungere l'obiettivo comune principalmente con la guida e il supporto del docente, solo in situazioni già affrontate.</t>
  </si>
  <si>
    <t xml:space="preserve">Collabora con la squadra per raggiungere l'obiettivo comune solo saltuariamente, anche se guidato dal docente.</t>
  </si>
  <si>
    <t xml:space="preserve">Contributo al gruppo</t>
  </si>
  <si>
    <t xml:space="preserve">Porta un contributo personale e incoraggia i compagni</t>
  </si>
  <si>
    <t xml:space="preserve">Porta un contributo personale e incoraggia i compagni con piena autonomia e consapevolezza, con continuità, anche in situazioni complesse e mai proposte prima, in modo personale.</t>
  </si>
  <si>
    <t xml:space="preserve">Porta un contributo personale e incoraggia i compagni con autonomia e consapevolezza, con continuità, anche in situazioni complesse.</t>
  </si>
  <si>
    <t xml:space="preserve">Porta un contributo personale e incoraggia i compagni con autonomia e con continuità nelle situazioni note.</t>
  </si>
  <si>
    <t xml:space="preserve">Porta un contributo personale e incoraggia i compagni con parziale autonomia, in situazioni non particolarmente complesse.</t>
  </si>
  <si>
    <t xml:space="preserve">Porta un contributo personale e incoraggia i compagni principalmente con la guida e il supporto del docente, solo in situazioni già affrontate.</t>
  </si>
  <si>
    <t xml:space="preserve">Porta un contributo personale e incoraggia i compagni solo saltuariamente, anche se guidato dal docente.</t>
  </si>
  <si>
    <t xml:space="preserve">Impegno nella gara</t>
  </si>
  <si>
    <t xml:space="preserve">Si impegna con continuità anche quando la gara è difficile</t>
  </si>
  <si>
    <t xml:space="preserve">Si impegna con continuità anche quando la gara è difficile con piena autonomia e consapevolezza, con continuità, anche in situazioni complesse e mai proposte prima, in modo personale.</t>
  </si>
  <si>
    <t xml:space="preserve">Si impegna con continuità anche quando la gara è difficile con autonomia e consapevolezza, con continuità, anche in situazioni complesse.</t>
  </si>
  <si>
    <t xml:space="preserve">Si impegna con continuità anche quando la gara è difficile con autonomia e con continuità nelle situazioni note.</t>
  </si>
  <si>
    <t xml:space="preserve">Si impegna con continuità anche quando la gara è difficile con parziale autonomia, in situazioni non particolarmente complesse.</t>
  </si>
  <si>
    <t xml:space="preserve">Si impegna con continuità anche quando la gara è difficile principalmente con la guida e il supporto del docente, solo in situazioni già affrontate.</t>
  </si>
  <si>
    <t xml:space="preserve">Si impegna con continuità anche quando la gara è difficile solo saltuariamente, anche se guidato dal docente.</t>
  </si>
  <si>
    <t xml:space="preserve">Regole nella competizione</t>
  </si>
  <si>
    <t xml:space="preserve">Rispetta le regole anche nei momenti decisivi della gara</t>
  </si>
  <si>
    <t xml:space="preserve">Rispetta le regole anche nei momenti decisivi della gara con piena autonomia e consapevolezza, con continuità, anche in situazioni complesse e mai proposte prima, in modo personale.</t>
  </si>
  <si>
    <t xml:space="preserve">Rispetta le regole anche nei momenti decisivi della gara con autonomia e consapevolezza, con continuità, anche in situazioni complesse.</t>
  </si>
  <si>
    <t xml:space="preserve">Rispetta le regole anche nei momenti decisivi della gara con autonomia e con continuità nelle situazioni note.</t>
  </si>
  <si>
    <t xml:space="preserve">Rispetta le regole anche nei momenti decisivi della gara con parziale autonomia, in situazioni non particolarmente complesse.</t>
  </si>
  <si>
    <t xml:space="preserve">Rispetta le regole anche nei momenti decisivi della gara principalmente con la guida e il supporto del docente, solo in situazioni già affrontate.</t>
  </si>
  <si>
    <t xml:space="preserve">Rispetta le regole anche nei momenti decisivi della gara solo saltuariamente, anche se guidato dal docente.</t>
  </si>
  <si>
    <t xml:space="preserve">Fair play</t>
  </si>
  <si>
    <t xml:space="preserve">Si comporta con lealtà e rispetto verso avversari e arbitro</t>
  </si>
  <si>
    <t xml:space="preserve">Si comporta con lealtà e rispetto verso avversari e arbitro con piena autonomia e consapevolezza, con continuità, anche in situazioni complesse e mai proposte prima, in modo personale.</t>
  </si>
  <si>
    <t xml:space="preserve">Si comporta con lealtà e rispetto verso avversari e arbitro con autonomia e consapevolezza, con continuità, anche in situazioni complesse.</t>
  </si>
  <si>
    <t xml:space="preserve">Si comporta con lealtà e rispetto verso avversari e arbitro con autonomia e con continuità nelle situazioni note.</t>
  </si>
  <si>
    <t xml:space="preserve">Si comporta con lealtà e rispetto verso avversari e arbitro con parziale autonomia, in situazioni non particolarmente complesse.</t>
  </si>
  <si>
    <t xml:space="preserve">Si comporta con lealtà e rispetto verso avversari e arbitro principalmente con la guida e il supporto del docente, solo in situazioni già affrontate.</t>
  </si>
  <si>
    <t xml:space="preserve">Si comporta con lealtà e rispetto verso avversari e arbitro solo saltuariamente, anche se guidato dal docente.</t>
  </si>
  <si>
    <t xml:space="preserve">Gestione dell'esito</t>
  </si>
  <si>
    <t xml:space="preserve">Accetta la sconfitta con equilibrio e vive la vittoria con rispetto dei perdenti</t>
  </si>
  <si>
    <t xml:space="preserve">Accetta la sconfitta con equilibrio e vive la vittoria con rispetto dei perdenti con piena autonomia e consapevolezza, con continuità, anche in situazioni complesse e mai proposte prima, in modo personale.</t>
  </si>
  <si>
    <t xml:space="preserve">Accetta la sconfitta con equilibrio e vive la vittoria con rispetto dei perdenti con autonomia e consapevolezza, con continuità, anche in situazioni complesse.</t>
  </si>
  <si>
    <t xml:space="preserve">Accetta la sconfitta con equilibrio e vive la vittoria con rispetto dei perdenti con autonomia e con continuità nelle situazioni note.</t>
  </si>
  <si>
    <t xml:space="preserve">Accetta la sconfitta con equilibrio e vive la vittoria con rispetto dei perdenti con parziale autonomia, in situazioni non particolarmente complesse.</t>
  </si>
  <si>
    <t xml:space="preserve">Accetta la sconfitta con equilibrio e vive la vittoria con rispetto dei perdenti principalmente con la guida e il supporto del docente, solo in situazioni già affrontate.</t>
  </si>
  <si>
    <t xml:space="preserve">Accetta la sconfitta con equilibrio e vive la vittoria con rispetto dei perdenti solo saltuariamente, anche se guidato dal docente.</t>
  </si>
  <si>
    <t xml:space="preserve">Responsabilità</t>
  </si>
  <si>
    <t xml:space="preserve">Si assume responsabilità (autoarbitraggio, ammettere un fallo, aiutare chi è in difficoltà)</t>
  </si>
  <si>
    <t xml:space="preserve">Si assume responsabilità (autoarbitraggio, ammettere un fallo, aiutare chi è in difficoltà) con piena autonomia e consapevolezza, con continuità, anche in situazioni complesse e mai proposte prima, in modo personale.</t>
  </si>
  <si>
    <t xml:space="preserve">Si assume responsabilità (autoarbitraggio, ammettere un fallo, aiutare chi è in difficoltà) con autonomia e consapevolezza, con continuità, anche in situazioni complesse.</t>
  </si>
  <si>
    <t xml:space="preserve">Si assume responsabilità (autoarbitraggio, ammettere un fallo, aiutare chi è in difficoltà) con autonomia e con continuità nelle situazioni note.</t>
  </si>
  <si>
    <t xml:space="preserve">Si assume responsabilità (autoarbitraggio, ammettere un fallo, aiutare chi è in difficoltà) con parziale autonomia, in situazioni non particolarmente complesse.</t>
  </si>
  <si>
    <t xml:space="preserve">Si assume responsabilità (autoarbitraggio, ammettere un fallo, aiutare chi è in difficoltà) principalmente con la guida e il supporto del docente, solo in situazioni già affrontate.</t>
  </si>
  <si>
    <t xml:space="preserve">Si assume responsabilità (autoarbitraggio, ammettere un fallo, aiutare chi è in difficoltà) solo saltuariamente, anche se guidato dal docente.</t>
  </si>
  <si>
    <t xml:space="preserve">4.1</t>
  </si>
  <si>
    <t xml:space="preserve">Uso dello spazio</t>
  </si>
  <si>
    <t xml:space="preserve">Si muove nello spazio disponibile evitando ostacoli e compagni, anche ad alta velocità</t>
  </si>
  <si>
    <t xml:space="preserve">Si muove nello spazio disponibile evitando ostacoli e compagni, anche ad alta velocità con piena autonomia e consapevolezza, con continuità, anche in situazioni complesse e mai proposte prima, in modo personale.</t>
  </si>
  <si>
    <t xml:space="preserve">Si muove nello spazio disponibile evitando ostacoli e compagni, anche ad alta velocità con autonomia e consapevolezza, con continuità, anche in situazioni complesse.</t>
  </si>
  <si>
    <t xml:space="preserve">Si muove nello spazio disponibile evitando ostacoli e compagni, anche ad alta velocità con autonomia e con continuità nelle situazioni note.</t>
  </si>
  <si>
    <t xml:space="preserve">Si muove nello spazio disponibile evitando ostacoli e compagni, anche ad alta velocità con parziale autonomia, in situazioni non particolarmente complesse.</t>
  </si>
  <si>
    <t xml:space="preserve">Si muove nello spazio disponibile evitando ostacoli e compagni, anche ad alta velocità principalmente con la guida e il supporto del docente, solo in situazioni già affrontate.</t>
  </si>
  <si>
    <t xml:space="preserve">Si muove nello spazio disponibile evitando ostacoli e compagni, anche ad alta velocità solo saltuariamente, anche se guidato dal docente.</t>
  </si>
  <si>
    <t xml:space="preserve">Adattamento all'ambiente</t>
  </si>
  <si>
    <t xml:space="preserve">Adatta il movimento ad ambienti diversi (palestra, cortile, spazi aperti)</t>
  </si>
  <si>
    <t xml:space="preserve">Adatta il movimento ad ambienti diversi (palestra, cortile, spazi aperti) con piena autonomia e consapevolezza, con continuità, anche in situazioni complesse e mai proposte prima, in modo personale.</t>
  </si>
  <si>
    <t xml:space="preserve">Adatta il movimento ad ambienti diversi (palestra, cortile, spazi aperti) con autonomia e consapevolezza, con continuità, anche in situazioni complesse.</t>
  </si>
  <si>
    <t xml:space="preserve">Adatta il movimento ad ambienti diversi (palestra, cortile, spazi aperti) con autonomia e con continuità nelle situazioni note.</t>
  </si>
  <si>
    <t xml:space="preserve">Adatta il movimento ad ambienti diversi (palestra, cortile, spazi aperti) con parziale autonomia, in situazioni non particolarmente complesse.</t>
  </si>
  <si>
    <t xml:space="preserve">Adatta il movimento ad ambienti diversi (palestra, cortile, spazi aperti) principalmente con la guida e il supporto del docente, solo in situazioni già affrontate.</t>
  </si>
  <si>
    <t xml:space="preserve">Adatta il movimento ad ambienti diversi (palestra, cortile, spazi aperti) solo saltuariamente, anche se guidato dal docente.</t>
  </si>
  <si>
    <t xml:space="preserve">Percorsi e consegne</t>
  </si>
  <si>
    <t xml:space="preserve">Rispetta percorsi, zone e consegne di spostamento</t>
  </si>
  <si>
    <t xml:space="preserve">Rispetta percorsi, zone e consegne di spostamento con piena autonomia e consapevolezza, con continuità, anche in situazioni complesse e mai proposte prima, in modo personale.</t>
  </si>
  <si>
    <t xml:space="preserve">Rispetta percorsi, zone e consegne di spostamento con autonomia e consapevolezza, con continuità, anche in situazioni complesse.</t>
  </si>
  <si>
    <t xml:space="preserve">Rispetta percorsi, zone e consegne di spostamento con autonomia e con continuità nelle situazioni note.</t>
  </si>
  <si>
    <t xml:space="preserve">Rispetta percorsi, zone e consegne di spostamento con parziale autonomia, in situazioni non particolarmente complesse.</t>
  </si>
  <si>
    <t xml:space="preserve">Rispetta percorsi, zone e consegne di spostamento principalmente con la guida e il supporto del docente, solo in situazioni già affrontate.</t>
  </si>
  <si>
    <t xml:space="preserve">Rispetta percorsi, zone e consegne di spostamento solo saltuariamente, anche se guidato dal docente.</t>
  </si>
  <si>
    <t xml:space="preserve">Autonomia negli spostamenti</t>
  </si>
  <si>
    <t xml:space="preserve">Gestisce in autonomia trasferimenti, cambio e materiale personale</t>
  </si>
  <si>
    <t xml:space="preserve">Gestisce in autonomia trasferimenti, cambio e materiale personale con piena autonomia e consapevolezza, con continuità, anche in situazioni complesse e mai proposte prima, in modo personale.</t>
  </si>
  <si>
    <t xml:space="preserve">Gestisce in autonomia trasferimenti, cambio e materiale personale con autonomia e consapevolezza, con continuità, anche in situazioni complesse.</t>
  </si>
  <si>
    <t xml:space="preserve">Gestisce in autonomia trasferimenti, cambio e materiale personale con autonomia e con continuità nelle situazioni note.</t>
  </si>
  <si>
    <t xml:space="preserve">Gestisce in autonomia trasferimenti, cambio e materiale personale con parziale autonomia, in situazioni non particolarmente complesse.</t>
  </si>
  <si>
    <t xml:space="preserve">Gestisce in autonomia trasferimenti, cambio e materiale personale principalmente con la guida e il supporto del docente, solo in situazioni già affrontate.</t>
  </si>
  <si>
    <t xml:space="preserve">Gestisce in autonomia trasferimenti, cambio e materiale personale solo saltuariamente, anche se guidato dal docente.</t>
  </si>
  <si>
    <t xml:space="preserve">4.2</t>
  </si>
  <si>
    <t xml:space="preserve">Cibo ed energia</t>
  </si>
  <si>
    <t xml:space="preserve">Collega i principali alimenti all'energia necessaria per il movimento</t>
  </si>
  <si>
    <t xml:space="preserve">Collega i principali alimenti all'energia necessaria per il movimento con piena autonomia e consapevolezza, con continuità, anche in situazioni complesse e mai proposte prima, in modo personale.</t>
  </si>
  <si>
    <t xml:space="preserve">Collega i principali alimenti all'energia necessaria per il movimento con autonomia e consapevolezza, con continuità, anche in situazioni complesse.</t>
  </si>
  <si>
    <t xml:space="preserve">Collega i principali alimenti all'energia necessaria per il movimento con autonomia e con continuità nelle situazioni note.</t>
  </si>
  <si>
    <t xml:space="preserve">Collega i principali alimenti all'energia necessaria per il movimento con parziale autonomia, in situazioni non particolarmente complesse.</t>
  </si>
  <si>
    <t xml:space="preserve">Collega i principali alimenti all'energia necessaria per il movimento principalmente con la guida e il supporto del docente, solo in situazioni già affrontate.</t>
  </si>
  <si>
    <t xml:space="preserve">Collega i principali alimenti all'energia necessaria per il movimento solo saltuariamente, anche se guidato dal docente.</t>
  </si>
  <si>
    <t xml:space="preserve">Funzioni del corpo</t>
  </si>
  <si>
    <t xml:space="preserve">Riconosce i cambiamenti di respiro, battito e muscoli durante lo sforzo</t>
  </si>
  <si>
    <t xml:space="preserve">Riconosce i cambiamenti di respiro, battito e muscoli durante lo sforzo con piena autonomia e consapevolezza, con continuità, anche in situazioni complesse e mai proposte prima, in modo personale.</t>
  </si>
  <si>
    <t xml:space="preserve">Riconosce i cambiamenti di respiro, battito e muscoli durante lo sforzo con autonomia e consapevolezza, con continuità, anche in situazioni complesse.</t>
  </si>
  <si>
    <t xml:space="preserve">Riconosce i cambiamenti di respiro, battito e muscoli durante lo sforzo con autonomia e con continuità nelle situazioni note.</t>
  </si>
  <si>
    <t xml:space="preserve">Riconosce i cambiamenti di respiro, battito e muscoli durante lo sforzo con parziale autonomia, in situazioni non particolarmente complesse.</t>
  </si>
  <si>
    <t xml:space="preserve">Riconosce i cambiamenti di respiro, battito e muscoli durante lo sforzo principalmente con la guida e il supporto del docente, solo in situazioni già affrontate.</t>
  </si>
  <si>
    <t xml:space="preserve">Riconosce i cambiamenti di respiro, battito e muscoli durante lo sforzo solo saltuariamente, anche se guidato dal docente.</t>
  </si>
  <si>
    <t xml:space="preserve">Idratazione e recupero</t>
  </si>
  <si>
    <t xml:space="preserve">Conosce l'importanza di idratazione e recupero</t>
  </si>
  <si>
    <t xml:space="preserve">Conosce l'importanza di idratazione e recupero con piena autonomia e consapevolezza, con continuità, anche in situazioni complesse e mai proposte prima, in modo personale.</t>
  </si>
  <si>
    <t xml:space="preserve">Conosce l'importanza di idratazione e recupero con autonomia e consapevolezza, con continuità, anche in situazioni complesse.</t>
  </si>
  <si>
    <t xml:space="preserve">Conosce l'importanza di idratazione e recupero con autonomia e con continuità nelle situazioni note.</t>
  </si>
  <si>
    <t xml:space="preserve">Conosce l'importanza di idratazione e recupero con parziale autonomia, in situazioni non particolarmente complesse.</t>
  </si>
  <si>
    <t xml:space="preserve">Conosce l'importanza di idratazione e recupero principalmente con la guida e il supporto del docente, solo in situazioni già affrontate.</t>
  </si>
  <si>
    <t xml:space="preserve">Conosce l'importanza di idratazione e recupero solo saltuariamente, anche se guidato dal docente.</t>
  </si>
  <si>
    <t xml:space="preserve">Scelte sane</t>
  </si>
  <si>
    <t xml:space="preserve">Motiva semplici scelte di movimento e alimentazione sane</t>
  </si>
  <si>
    <t xml:space="preserve">Motiva semplici scelte di movimento e alimentazione sane con piena autonomia e consapevolezza, con continuità, anche in situazioni complesse e mai proposte prima, in modo personale.</t>
  </si>
  <si>
    <t xml:space="preserve">Motiva semplici scelte di movimento e alimentazione sane con autonomia e consapevolezza, con continuità, anche in situazioni complesse.</t>
  </si>
  <si>
    <t xml:space="preserve">Motiva semplici scelte di movimento e alimentazione sane con autonomia e con continuità nelle situazioni note.</t>
  </si>
  <si>
    <t xml:space="preserve">Motiva semplici scelte di movimento e alimentazione sane con parziale autonomia, in situazioni non particolarmente complesse.</t>
  </si>
  <si>
    <t xml:space="preserve">Motiva semplici scelte di movimento e alimentazione sane principalmente con la guida e il supporto del docente, solo in situazioni già affrontate.</t>
  </si>
  <si>
    <t xml:space="preserve">Motiva semplici scelte di movimento e alimentazione sane solo saltuariamente, anche se guidato dal docente.</t>
  </si>
  <si>
    <t xml:space="preserve">4.3</t>
  </si>
  <si>
    <t xml:space="preserve">Riscaldamento</t>
  </si>
  <si>
    <t xml:space="preserve">Esegue e guida semplici esercizi di riscaldamento e defaticamento</t>
  </si>
  <si>
    <t xml:space="preserve">Esegue e guida semplici esercizi di riscaldamento e defaticamento con piena autonomia e consapevolezza, con continuità, anche in situazioni complesse e mai proposte prima, in modo personale.</t>
  </si>
  <si>
    <t xml:space="preserve">Esegue e guida semplici esercizi di riscaldamento e defaticamento con autonomia e consapevolezza, con continuità, anche in situazioni complesse.</t>
  </si>
  <si>
    <t xml:space="preserve">Esegue e guida semplici esercizi di riscaldamento e defaticamento con autonomia e con continuità nelle situazioni note.</t>
  </si>
  <si>
    <t xml:space="preserve">Esegue e guida semplici esercizi di riscaldamento e defaticamento con parziale autonomia, in situazioni non particolarmente complesse.</t>
  </si>
  <si>
    <t xml:space="preserve">Esegue e guida semplici esercizi di riscaldamento e defaticamento principalmente con la guida e il supporto del docente, solo in situazioni già affrontate.</t>
  </si>
  <si>
    <t xml:space="preserve">Esegue e guida semplici esercizi di riscaldamento e defaticamento solo saltuariamente, anche se guidato dal docente.</t>
  </si>
  <si>
    <t xml:space="preserve">Attrezzi e spazi sicuri</t>
  </si>
  <si>
    <t xml:space="preserve">Usa attrezzi e spazi in sicurezza e prevede i rischi</t>
  </si>
  <si>
    <t xml:space="preserve">Usa attrezzi e spazi in sicurezza e prevede i rischi con piena autonomia e consapevolezza, con continuità, anche in situazioni complesse e mai proposte prima, in modo personale.</t>
  </si>
  <si>
    <t xml:space="preserve">Usa attrezzi e spazi in sicurezza e prevede i rischi con autonomia e consapevolezza, con continuità, anche in situazioni complesse.</t>
  </si>
  <si>
    <t xml:space="preserve">Usa attrezzi e spazi in sicurezza e prevede i rischi con autonomia e con continuità nelle situazioni note.</t>
  </si>
  <si>
    <t xml:space="preserve">Usa attrezzi e spazi in sicurezza e prevede i rischi con parziale autonomia, in situazioni non particolarmente complesse.</t>
  </si>
  <si>
    <t xml:space="preserve">Usa attrezzi e spazi in sicurezza e prevede i rischi principalmente con la guida e il supporto del docente, solo in situazioni già affrontate.</t>
  </si>
  <si>
    <t xml:space="preserve">Usa attrezzi e spazi in sicurezza e prevede i rischi solo saltuariamente, anche se guidato dal docente.</t>
  </si>
  <si>
    <t xml:space="preserve">Distanze di sicurezza</t>
  </si>
  <si>
    <t xml:space="preserve">Rispetta distanze e turni, anche nelle situazioni di gara</t>
  </si>
  <si>
    <t xml:space="preserve">Rispetta distanze e turni, anche nelle situazioni di gara con piena autonomia e consapevolezza, con continuità, anche in situazioni complesse e mai proposte prima, in modo personale.</t>
  </si>
  <si>
    <t xml:space="preserve">Rispetta distanze e turni, anche nelle situazioni di gara con autonomia e consapevolezza, con continuità, anche in situazioni complesse.</t>
  </si>
  <si>
    <t xml:space="preserve">Rispetta distanze e turni, anche nelle situazioni di gara con autonomia e con continuità nelle situazioni note.</t>
  </si>
  <si>
    <t xml:space="preserve">Rispetta distanze e turni, anche nelle situazioni di gara con parziale autonomia, in situazioni non particolarmente complesse.</t>
  </si>
  <si>
    <t xml:space="preserve">Rispetta distanze e turni, anche nelle situazioni di gara principalmente con la guida e il supporto del docente, solo in situazioni già affrontate.</t>
  </si>
  <si>
    <t xml:space="preserve">Rispetta distanze e turni, anche nelle situazioni di gara solo saltuariamente, anche se guidato dal docente.</t>
  </si>
  <si>
    <t xml:space="preserve">Cura di sé</t>
  </si>
  <si>
    <t xml:space="preserve">Cura abbigliamento, scarpe e igiene personale per l'attività</t>
  </si>
  <si>
    <t xml:space="preserve">Cura abbigliamento, scarpe e igiene personale per l'attività con piena autonomia e consapevolezza, con continuità, anche in situazioni complesse e mai proposte prima, in modo personale.</t>
  </si>
  <si>
    <t xml:space="preserve">Cura abbigliamento, scarpe e igiene personale per l'attività con autonomia e consapevolezza, con continuità, anche in situazioni complesse.</t>
  </si>
  <si>
    <t xml:space="preserve">Cura abbigliamento, scarpe e igiene personale per l'attività con autonomia e con continuità nelle situazioni note.</t>
  </si>
  <si>
    <t xml:space="preserve">Cura abbigliamento, scarpe e igiene personale per l'attività con parziale autonomia, in situazioni non particolarmente complesse.</t>
  </si>
  <si>
    <t xml:space="preserve">Cura abbigliamento, scarpe e igiene personale per l'attività principalmente con la guida e il supporto del docente, solo in situazioni già affrontate.</t>
  </si>
  <si>
    <t xml:space="preserve">Cura abbigliamento, scarpe e igiene personale per l'attività solo saltuariamente, anche se guidato dal docente.</t>
  </si>
  <si>
    <t xml:space="preserve">Lettura delle istruzioni</t>
  </si>
  <si>
    <t xml:space="preserve">Legge la carta-stazione e ne ricava disposizione e misure</t>
  </si>
  <si>
    <t xml:space="preserve">Legge la carta-stazione e ne ricava disposizione e misure con piena autonomia e consapevolezza, con continuità, anche in situazioni complesse e mai proposte prima, in modo personale.</t>
  </si>
  <si>
    <t xml:space="preserve">Legge la carta-stazione e ne ricava disposizione e misure con autonomia e consapevolezza, con continuità, anche in situazioni complesse.</t>
  </si>
  <si>
    <t xml:space="preserve">Legge la carta-stazione e ne ricava disposizione e misure con autonomia e con continuità nelle situazioni note.</t>
  </si>
  <si>
    <t xml:space="preserve">Legge la carta-stazione e ne ricava disposizione e misure con parziale autonomia, in situazioni non particolarmente complesse.</t>
  </si>
  <si>
    <t xml:space="preserve">Legge la carta-stazione e ne ricava disposizione e misure principalmente con la guida e il supporto del docente, solo in situazioni già affrontate.</t>
  </si>
  <si>
    <t xml:space="preserve">Legge la carta-stazione e ne ricava disposizione e misure solo saltuariamente, anche se guidato dal docente.</t>
  </si>
  <si>
    <t xml:space="preserve">Allestimento</t>
  </si>
  <si>
    <t xml:space="preserve">Allestisce la stazione rispettando disegno e misure</t>
  </si>
  <si>
    <t xml:space="preserve">Allestisce la stazione rispettando disegno e misure con piena autonomia e consapevolezza, con continuità, anche in situazioni complesse e mai proposte prima, in modo personale.</t>
  </si>
  <si>
    <t xml:space="preserve">Allestisce la stazione rispettando disegno e misure con autonomia e consapevolezza, con continuità, anche in situazioni complesse.</t>
  </si>
  <si>
    <t xml:space="preserve">Allestisce la stazione rispettando disegno e misure con autonomia e con continuità nelle situazioni note.</t>
  </si>
  <si>
    <t xml:space="preserve">Allestisce la stazione rispettando disegno e misure con parziale autonomia, in situazioni non particolarmente complesse.</t>
  </si>
  <si>
    <t xml:space="preserve">Allestisce la stazione rispettando disegno e misure principalmente con la guida e il supporto del docente, solo in situazioni già affrontate.</t>
  </si>
  <si>
    <t xml:space="preserve">Allestisce la stazione rispettando disegno e misure solo saltuariamente, anche se guidato dal docente.</t>
  </si>
  <si>
    <t xml:space="preserve">Uso sicuro</t>
  </si>
  <si>
    <t xml:space="preserve">Trasporta, posiziona e usa gli attrezzi in modo sicuro</t>
  </si>
  <si>
    <t xml:space="preserve">Trasporta, posiziona e usa gli attrezzi in modo sicuro con piena autonomia e consapevolezza, con continuità, anche in situazioni complesse e mai proposte prima, in modo personale.</t>
  </si>
  <si>
    <t xml:space="preserve">Trasporta, posiziona e usa gli attrezzi in modo sicuro con autonomia e consapevolezza, con continuità, anche in situazioni complesse.</t>
  </si>
  <si>
    <t xml:space="preserve">Trasporta, posiziona e usa gli attrezzi in modo sicuro con autonomia e con continuità nelle situazioni note.</t>
  </si>
  <si>
    <t xml:space="preserve">Trasporta, posiziona e usa gli attrezzi in modo sicuro con parziale autonomia, in situazioni non particolarmente complesse.</t>
  </si>
  <si>
    <t xml:space="preserve">Trasporta, posiziona e usa gli attrezzi in modo sicuro principalmente con la guida e il supporto del docente, solo in situazioni già affrontate.</t>
  </si>
  <si>
    <t xml:space="preserve">Trasporta, posiziona e usa gli attrezzi in modo sicuro solo saltuariamente, anche se guidato dal docente.</t>
  </si>
  <si>
    <t xml:space="preserve">Riordino e cura</t>
  </si>
  <si>
    <t xml:space="preserve">Ripristina e riordina gli attrezzi secondo i criteri condivisi</t>
  </si>
  <si>
    <t xml:space="preserve">Ripristina e riordina gli attrezzi secondo i criteri condivisi con piena autonomia e consapevolezza, con continuità, anche in situazioni complesse e mai proposte prima, in modo personale.</t>
  </si>
  <si>
    <t xml:space="preserve">Ripristina e riordina gli attrezzi secondo i criteri condivisi con autonomia e consapevolezza, con continuità, anche in situazioni complesse.</t>
  </si>
  <si>
    <t xml:space="preserve">Ripristina e riordina gli attrezzi secondo i criteri condivisi con autonomia e con continuità nelle situazioni note.</t>
  </si>
  <si>
    <t xml:space="preserve">Ripristina e riordina gli attrezzi secondo i criteri condivisi con parziale autonomia, in situazioni non particolarmente complesse.</t>
  </si>
  <si>
    <t xml:space="preserve">Ripristina e riordina gli attrezzi secondo i criteri condivisi principalmente con la guida e il supporto del docente, solo in situazioni già affrontate.</t>
  </si>
  <si>
    <t xml:space="preserve">Ripristina e riordina gli attrezzi secondo i criteri condivisi solo saltuariamente, anche se guidato dal docente.</t>
  </si>
  <si>
    <t xml:space="preserve">TEC.2</t>
  </si>
  <si>
    <t xml:space="preserve">Uso dello strumento</t>
  </si>
  <si>
    <t xml:space="preserve">Usa correttamente cronometro o metro</t>
  </si>
  <si>
    <t xml:space="preserve">Usa correttamente cronometro o metro con piena autonomia e consapevolezza, con continuità, anche in situazioni complesse e mai proposte prima, in modo personale.</t>
  </si>
  <si>
    <t xml:space="preserve">Usa correttamente cronometro o metro con autonomia e consapevolezza, con continuità, anche in situazioni complesse.</t>
  </si>
  <si>
    <t xml:space="preserve">Usa correttamente cronometro o metro con autonomia e con continuità nelle situazioni note.</t>
  </si>
  <si>
    <t xml:space="preserve">Usa correttamente cronometro o metro con parziale autonomia, in situazioni non particolarmente complesse.</t>
  </si>
  <si>
    <t xml:space="preserve">Usa correttamente cronometro o metro principalmente con la guida e il supporto del docente, solo in situazioni già affrontate.</t>
  </si>
  <si>
    <t xml:space="preserve">Usa correttamente cronometro o metro solo saltuariamente, anche se guidato dal docente.</t>
  </si>
  <si>
    <t xml:space="preserve">Registrazione</t>
  </si>
  <si>
    <t xml:space="preserve">Registra i dati in tabella in modo ordinato</t>
  </si>
  <si>
    <t xml:space="preserve">Registra i dati in tabella in modo ordinato con piena autonomia e consapevolezza, con continuità, anche in situazioni complesse e mai proposte prima, in modo personale.</t>
  </si>
  <si>
    <t xml:space="preserve">Registra i dati in tabella in modo ordinato con autonomia e consapevolezza, con continuità, anche in situazioni complesse.</t>
  </si>
  <si>
    <t xml:space="preserve">Registra i dati in tabella in modo ordinato con autonomia e con continuità nelle situazioni note.</t>
  </si>
  <si>
    <t xml:space="preserve">Registra i dati in tabella in modo ordinato con parziale autonomia, in situazioni non particolarmente complesse.</t>
  </si>
  <si>
    <t xml:space="preserve">Registra i dati in tabella in modo ordinato principalmente con la guida e il supporto del docente, solo in situazioni già affrontate.</t>
  </si>
  <si>
    <t xml:space="preserve">Registra i dati in tabella in modo ordinato solo saltuariamente, anche se guidato dal docente.</t>
  </si>
  <si>
    <t xml:space="preserve">Lettura e confronto</t>
  </si>
  <si>
    <t xml:space="preserve">Legge e confronta i dati (prima/dopo, compagni, classe)</t>
  </si>
  <si>
    <t xml:space="preserve">Legge e confronta i dati (prima/dopo, compagni, classe) con piena autonomia e consapevolezza, con continuità, anche in situazioni complesse e mai proposte prima, in modo personale.</t>
  </si>
  <si>
    <t xml:space="preserve">Legge e confronta i dati (prima/dopo, compagni, classe) con autonomia e consapevolezza, con continuità, anche in situazioni complesse.</t>
  </si>
  <si>
    <t xml:space="preserve">Legge e confronta i dati (prima/dopo, compagni, classe) con autonomia e con continuità nelle situazioni note.</t>
  </si>
  <si>
    <t xml:space="preserve">Legge e confronta i dati (prima/dopo, compagni, classe) con parziale autonomia, in situazioni non particolarmente complesse.</t>
  </si>
  <si>
    <t xml:space="preserve">Legge e confronta i dati (prima/dopo, compagni, classe) principalmente con la guida e il supporto del docente, solo in situazioni già affrontate.</t>
  </si>
  <si>
    <t xml:space="preserve">Legge e confronta i dati (prima/dopo, compagni, classe) solo saltuariamente, anche se guidato dal docente.</t>
  </si>
  <si>
    <t xml:space="preserve">Conclusioni</t>
  </si>
  <si>
    <t xml:space="preserve">Ricava semplici conclusioni sui propri progressi</t>
  </si>
  <si>
    <t xml:space="preserve">Ricava semplici conclusioni sui propri progressi con piena autonomia e consapevolezza, con continuità, anche in situazioni complesse e mai proposte prima, in modo personale.</t>
  </si>
  <si>
    <t xml:space="preserve">Ricava semplici conclusioni sui propri progressi con autonomia e consapevolezza, con continuità, anche in situazioni complesse.</t>
  </si>
  <si>
    <t xml:space="preserve">Ricava semplici conclusioni sui propri progressi con autonomia e con continuità nelle situazioni note.</t>
  </si>
  <si>
    <t xml:space="preserve">Ricava semplici conclusioni sui propri progressi con parziale autonomia, in situazioni non particolarmente complesse.</t>
  </si>
  <si>
    <t xml:space="preserve">Ricava semplici conclusioni sui propri progressi principalmente con la guida e il supporto del docente, solo in situazioni già affrontate.</t>
  </si>
  <si>
    <t xml:space="preserve">Ricava semplici conclusioni sui propri progressi solo saltuariamente, anche se guidato dal docente.</t>
  </si>
  <si>
    <t xml:space="preserve">CIV.1</t>
  </si>
  <si>
    <t xml:space="preserve">Proposta di regole</t>
  </si>
  <si>
    <t xml:space="preserve">Propone e discute regole utili al gioco e alla sicurezza</t>
  </si>
  <si>
    <t xml:space="preserve">Propone e discute regole utili al gioco e alla sicurezza con piena autonomia e consapevolezza, con continuità, anche in situazioni complesse e mai proposte prima, in modo personale.</t>
  </si>
  <si>
    <t xml:space="preserve">Propone e discute regole utili al gioco e alla sicurezza con autonomia e consapevolezza, con continuità, anche in situazioni complesse.</t>
  </si>
  <si>
    <t xml:space="preserve">Propone e discute regole utili al gioco e alla sicurezza con autonomia e con continuità nelle situazioni note.</t>
  </si>
  <si>
    <t xml:space="preserve">Propone e discute regole utili al gioco e alla sicurezza con parziale autonomia, in situazioni non particolarmente complesse.</t>
  </si>
  <si>
    <t xml:space="preserve">Propone e discute regole utili al gioco e alla sicurezza principalmente con la guida e il supporto del docente, solo in situazioni già affrontate.</t>
  </si>
  <si>
    <t xml:space="preserve">Propone e discute regole utili al gioco e alla sicurezza solo saltuariamente, anche se guidato dal docente.</t>
  </si>
  <si>
    <t xml:space="preserve">Rispetto delle regole condivise</t>
  </si>
  <si>
    <t xml:space="preserve">Rispetta le regole decise insieme</t>
  </si>
  <si>
    <t xml:space="preserve">Rispetta le regole decise insieme con piena autonomia e consapevolezza, con continuità, anche in situazioni complesse e mai proposte prima, in modo personale.</t>
  </si>
  <si>
    <t xml:space="preserve">Rispetta le regole decise insieme con autonomia e consapevolezza, con continuità, anche in situazioni complesse.</t>
  </si>
  <si>
    <t xml:space="preserve">Rispetta le regole decise insieme con autonomia e con continuità nelle situazioni note.</t>
  </si>
  <si>
    <t xml:space="preserve">Rispetta le regole decise insieme con parziale autonomia, in situazioni non particolarmente complesse.</t>
  </si>
  <si>
    <t xml:space="preserve">Rispetta le regole decise insieme principalmente con la guida e il supporto del docente, solo in situazioni già affrontate.</t>
  </si>
  <si>
    <t xml:space="preserve">Rispetta le regole decise insieme solo saltuariamente, anche se guidato dal docente.</t>
  </si>
  <si>
    <t xml:space="preserve">Gestione dei conflitti</t>
  </si>
  <si>
    <t xml:space="preserve">Affronta i conflitti con il dialogo</t>
  </si>
  <si>
    <t xml:space="preserve">Affronta i conflitti con il dialogo con piena autonomia e consapevolezza, con continuità, anche in situazioni complesse e mai proposte prima, in modo personale.</t>
  </si>
  <si>
    <t xml:space="preserve">Affronta i conflitti con il dialogo con autonomia e consapevolezza, con continuità, anche in situazioni complesse.</t>
  </si>
  <si>
    <t xml:space="preserve">Affronta i conflitti con il dialogo con autonomia e con continuità nelle situazioni note.</t>
  </si>
  <si>
    <t xml:space="preserve">Affronta i conflitti con il dialogo con parziale autonomia, in situazioni non particolarmente complesse.</t>
  </si>
  <si>
    <t xml:space="preserve">Affronta i conflitti con il dialogo principalmente con la guida e il supporto del docente, solo in situazioni già affrontate.</t>
  </si>
  <si>
    <t xml:space="preserve">Affronta i conflitti con il dialogo solo saltuariamente, anche se guidato dal docente.</t>
  </si>
  <si>
    <t xml:space="preserve">Inclusione</t>
  </si>
  <si>
    <t xml:space="preserve">Favorisce la partecipazione di tutti i compagni</t>
  </si>
  <si>
    <t xml:space="preserve">Favorisce la partecipazione di tutti i compagni con piena autonomia e consapevolezza, con continuità, anche in situazioni complesse e mai proposte prima, in modo personale.</t>
  </si>
  <si>
    <t xml:space="preserve">Favorisce la partecipazione di tutti i compagni con autonomia e consapevolezza, con continuità, anche in situazioni complesse.</t>
  </si>
  <si>
    <t xml:space="preserve">Favorisce la partecipazione di tutti i compagni con autonomia e con continuità nelle situazioni note.</t>
  </si>
  <si>
    <t xml:space="preserve">Favorisce la partecipazione di tutti i compagni con parziale autonomia, in situazioni non particolarmente complesse.</t>
  </si>
  <si>
    <t xml:space="preserve">Favorisce la partecipazione di tutti i compagni principalmente con la guida e il supporto del docente, solo in situazioni già affrontate.</t>
  </si>
  <si>
    <t xml:space="preserve">Favorisce la partecipazione di tutti i compagni solo saltuariamente, anche se guidato dal docente.</t>
  </si>
  <si>
    <t xml:space="preserve">CIV.2</t>
  </si>
  <si>
    <t xml:space="preserve">Comportamenti per la salute</t>
  </si>
  <si>
    <t xml:space="preserve">Riconosce e adotta comportamenti per la propria salute</t>
  </si>
  <si>
    <t xml:space="preserve">Riconosce e adotta comportamenti per la propria salute con piena autonomia e consapevolezza, con continuità, anche in situazioni complesse e mai proposte prima, in modo personale.</t>
  </si>
  <si>
    <t xml:space="preserve">Riconosce e adotta comportamenti per la propria salute con autonomia e consapevolezza, con continuità, anche in situazioni complesse.</t>
  </si>
  <si>
    <t xml:space="preserve">Riconosce e adotta comportamenti per la propria salute con autonomia e con continuità nelle situazioni note.</t>
  </si>
  <si>
    <t xml:space="preserve">Riconosce e adotta comportamenti per la propria salute con parziale autonomia, in situazioni non particolarmente complesse.</t>
  </si>
  <si>
    <t xml:space="preserve">Riconosce e adotta comportamenti per la propria salute principalmente con la guida e il supporto del docente, solo in situazioni già affrontate.</t>
  </si>
  <si>
    <t xml:space="preserve">Riconosce e adotta comportamenti per la propria salute solo saltuariamente, anche se guidato dal docente.</t>
  </si>
  <si>
    <t xml:space="preserve">Sicurezza propria e altrui</t>
  </si>
  <si>
    <t xml:space="preserve">Agisce tenendo conto della sicurezza di tutti</t>
  </si>
  <si>
    <t xml:space="preserve">Agisce tenendo conto della sicurezza di tutti con piena autonomia e consapevolezza, con continuità, anche in situazioni complesse e mai proposte prima, in modo personale.</t>
  </si>
  <si>
    <t xml:space="preserve">Agisce tenendo conto della sicurezza di tutti con autonomia e consapevolezza, con continuità, anche in situazioni complesse.</t>
  </si>
  <si>
    <t xml:space="preserve">Agisce tenendo conto della sicurezza di tutti con autonomia e con continuità nelle situazioni note.</t>
  </si>
  <si>
    <t xml:space="preserve">Agisce tenendo conto della sicurezza di tutti con parziale autonomia, in situazioni non particolarmente complesse.</t>
  </si>
  <si>
    <t xml:space="preserve">Agisce tenendo conto della sicurezza di tutti principalmente con la guida e il supporto del docente, solo in situazioni già affrontate.</t>
  </si>
  <si>
    <t xml:space="preserve">Agisce tenendo conto della sicurezza di tutti solo saltuariamente, anche se guidato dal docente.</t>
  </si>
  <si>
    <t xml:space="preserve">Cura dell'ambiente comune</t>
  </si>
  <si>
    <t xml:space="preserve">Ha cura della palestra e degli spazi comuni</t>
  </si>
  <si>
    <t xml:space="preserve">Ha cura della palestra e degli spazi comuni con piena autonomia e consapevolezza, con continuità, anche in situazioni complesse e mai proposte prima, in modo personale.</t>
  </si>
  <si>
    <t xml:space="preserve">Ha cura della palestra e degli spazi comuni con autonomia e consapevolezza, con continuità, anche in situazioni complesse.</t>
  </si>
  <si>
    <t xml:space="preserve">Ha cura della palestra e degli spazi comuni con autonomia e con continuità nelle situazioni note.</t>
  </si>
  <si>
    <t xml:space="preserve">Ha cura della palestra e degli spazi comuni con parziale autonomia, in situazioni non particolarmente complesse.</t>
  </si>
  <si>
    <t xml:space="preserve">Ha cura della palestra e degli spazi comuni principalmente con la guida e il supporto del docente, solo in situazioni già affrontate.</t>
  </si>
  <si>
    <t xml:space="preserve">Ha cura della palestra e degli spazi comuni solo saltuariamente, anche se guidato dal docente.</t>
  </si>
  <si>
    <t xml:space="preserve">Benessere e Agenda 2030</t>
  </si>
  <si>
    <t xml:space="preserve">Collega movimento e benessere all'Obiettivo 3 dell'Agenda 2030</t>
  </si>
  <si>
    <t xml:space="preserve">Collega movimento e benessere all'Obiettivo 3 dell'Agenda 2030 con piena autonomia e consapevolezza, con continuità, anche in situazioni complesse e mai proposte prima, in modo personale.</t>
  </si>
  <si>
    <t xml:space="preserve">Collega movimento e benessere all'Obiettivo 3 dell'Agenda 2030 con autonomia e consapevolezza, con continuità, anche in situazioni complesse.</t>
  </si>
  <si>
    <t xml:space="preserve">Collega movimento e benessere all'Obiettivo 3 dell'Agenda 2030 con autonomia e con continuità nelle situazioni note.</t>
  </si>
  <si>
    <t xml:space="preserve">Collega movimento e benessere all'Obiettivo 3 dell'Agenda 2030 con parziale autonomia, in situazioni non particolarmente complesse.</t>
  </si>
  <si>
    <t xml:space="preserve">Collega movimento e benessere all'Obiettivo 3 dell'Agenda 2030 principalmente con la guida e il supporto del docente, solo in situazioni già affrontate.</t>
  </si>
  <si>
    <t xml:space="preserve">Collega movimento e benessere all'Obiettivo 3 dell'Agenda 2030 solo saltuariamente, anche se guidato dal docente.</t>
  </si>
  <si>
    <t xml:space="preserve">IMPOSTAZIONI · MODELLO-5 · celle gialle modificabili</t>
  </si>
  <si>
    <t xml:space="preserve">Classe</t>
  </si>
  <si>
    <t xml:space="preserve">MODELLO-5</t>
  </si>
  <si>
    <t xml:space="preserve">Soglia ≥</t>
  </si>
  <si>
    <t xml:space="preserve">Giudizio</t>
  </si>
  <si>
    <t xml:space="preserve">Lunedì</t>
  </si>
  <si>
    <t xml:space="preserve">Livello</t>
  </si>
  <si>
    <t xml:space="preserve">Non sufficiente</t>
  </si>
  <si>
    <t xml:space="preserve">Martedì</t>
  </si>
  <si>
    <t xml:space="preserve">Plesso</t>
  </si>
  <si>
    <t xml:space="preserve">Sufficiente</t>
  </si>
  <si>
    <t xml:space="preserve">Mercoledì</t>
  </si>
  <si>
    <t xml:space="preserve">Giorno di lezione</t>
  </si>
  <si>
    <t xml:space="preserve">Discreto</t>
  </si>
  <si>
    <t xml:space="preserve">Giovedì</t>
  </si>
  <si>
    <t xml:space="preserve">(scostamento dal lunedì)</t>
  </si>
  <si>
    <t xml:space="preserve">Buono</t>
  </si>
  <si>
    <t xml:space="preserve">Venerdì</t>
  </si>
  <si>
    <t xml:space="preserve">Metà del 1° Q (da questa data peso 2ª metà)</t>
  </si>
  <si>
    <t xml:space="preserve">Distinto</t>
  </si>
  <si>
    <t xml:space="preserve">Metà del 2° Q</t>
  </si>
  <si>
    <t xml:space="preserve">Ottimo</t>
  </si>
  <si>
    <t xml:space="preserve">Peso prove 1ª metà</t>
  </si>
  <si>
    <t xml:space="preserve">Peso prove 2ª metà</t>
  </si>
  <si>
    <t xml:space="preserve">Quota prove</t>
  </si>
  <si>
    <t xml:space="preserve">Quota rubrica di processo</t>
  </si>
  <si>
    <t xml:space="preserve">Minimo voti per obiettivo A/B</t>
  </si>
  <si>
    <t xml:space="preserve">Obiettivi della scheda di valutazione · classe 5ª</t>
  </si>
  <si>
    <t xml:space="preserve">Q1 · Ob. A</t>
  </si>
  <si>
    <t xml:space="preserve">Organizzare movimenti finalizzati valutando traiettorie, distanze e ritmi anche in situazioni nuove, con piena autonomia.</t>
  </si>
  <si>
    <t xml:space="preserve">Q1 · Ob. B</t>
  </si>
  <si>
    <t xml:space="preserve">Applicare correttamente le modalità di gioco-sport e svolgere un ruolo attivo nel gruppo, rispettando regole e avversari.</t>
  </si>
  <si>
    <t xml:space="preserve">Q2 · Ob. A</t>
  </si>
  <si>
    <t xml:space="preserve">Elaborare ed eseguire sequenze e coreografie individuali e collettive in modo personale e coordinato.</t>
  </si>
  <si>
    <t xml:space="preserve">Q2 · Ob. B</t>
  </si>
  <si>
    <t xml:space="preserve">Collegare alimentazione, esercizio e benessere verso stili di vita attivi, muovendosi in sicurezza anche in contesti nuovi e all'aperto.</t>
  </si>
  <si>
    <t xml:space="preserve">SOTTO-OBIETTIVI (programmazione IN 2012) · «concorre a» modificabile</t>
  </si>
  <si>
    <t xml:space="preserve">Nucleo</t>
  </si>
  <si>
    <t xml:space="preserve">Etichetta</t>
  </si>
  <si>
    <t xml:space="preserve">Concorre Q1</t>
  </si>
  <si>
    <t xml:space="preserve">Concorre Q2</t>
  </si>
  <si>
    <t xml:space="preserve">Indicatore 1</t>
  </si>
  <si>
    <t xml:space="preserve">Indicatore 2</t>
  </si>
  <si>
    <t xml:space="preserve">Indicatore 3</t>
  </si>
  <si>
    <t xml:space="preserve">Indicatore 4</t>
  </si>
  <si>
    <t xml:space="preserve">1</t>
  </si>
  <si>
    <t xml:space="preserve">Traiettorie, ritmi, organizzazione</t>
  </si>
  <si>
    <t xml:space="preserve">Riconoscere e valutare traiettorie, distanze, ritmi esecutivi e successioni temporali, organizzando il proprio movimento in relazione a sé, agli oggetti e agli altri.</t>
  </si>
  <si>
    <t xml:space="preserve">A</t>
  </si>
  <si>
    <t xml:space="preserve">B</t>
  </si>
  <si>
    <t xml:space="preserve">2</t>
  </si>
  <si>
    <t xml:space="preserve">Sequenze e coreografie</t>
  </si>
  <si>
    <t xml:space="preserve">Elaborare ed eseguire semplici sequenze di movimento o semplici coreografie individuali e collettive.</t>
  </si>
  <si>
    <t xml:space="preserve">—</t>
  </si>
  <si>
    <t xml:space="preserve">3</t>
  </si>
  <si>
    <t xml:space="preserve">Modalità esecutive gioco-sport</t>
  </si>
  <si>
    <t xml:space="preserve">Conoscere e applicare correttamente le modalità esecutive di diverse proposte di gioco-sport.</t>
  </si>
  <si>
    <t xml:space="preserve">Partecipare e collaborare</t>
  </si>
  <si>
    <t xml:space="preserve">Partecipare attivamente alle varie forme di gioco, anche in forma di gara, collaborando con gli altri.</t>
  </si>
  <si>
    <t xml:space="preserve">Regole, sconfitta e vittoria</t>
  </si>
  <si>
    <t xml:space="preserve">Rispettare le regole nella competizione; accettare la sconfitta con equilibrio e vivere la vittoria nel rispetto dei perdenti, con senso di responsabilità.</t>
  </si>
  <si>
    <t xml:space="preserve">4</t>
  </si>
  <si>
    <t xml:space="preserve">Muoversi negli ambienti</t>
  </si>
  <si>
    <t xml:space="preserve">Sapersi muovere in modo adeguato nei vari ambienti.</t>
  </si>
  <si>
    <t xml:space="preserve">Alimentazione ed esercizio</t>
  </si>
  <si>
    <t xml:space="preserve">Conoscere il rapporto tra alimentazione ed esercizio fisico.</t>
  </si>
  <si>
    <t xml:space="preserve">Prevenzione e sicurezza</t>
  </si>
  <si>
    <t xml:space="preserve">Assumere comportamenti adeguati per la prevenzione degli infortuni, la sicurezza e una corretta alimentazione.</t>
  </si>
  <si>
    <t xml:space="preserve">TEC</t>
  </si>
  <si>
    <t xml:space="preserve">Attrezzi: istruzioni e sicurezza</t>
  </si>
  <si>
    <t xml:space="preserve">Tecnologia (obiettivo adattato): leggere istruzioni (disegno e misure), allestire una stazione, usare gli attrezzi in modo corretto e sicuro e riordinarli.</t>
  </si>
  <si>
    <t xml:space="preserve">Tempi e misure in tabella</t>
  </si>
  <si>
    <t xml:space="preserve">Tecnologia (obiettivo adattato): rilevare tempi e misure con strumenti (cronometro, metro), registrarli in tabella e confrontarli.</t>
  </si>
  <si>
    <t xml:space="preserve">CIV</t>
  </si>
  <si>
    <t xml:space="preserve">Regole condivise</t>
  </si>
  <si>
    <t xml:space="preserve">Ed. civica (obiettivo adattato): costruire con la classe regole condivise di gioco e di sicurezza e rispettarle.</t>
  </si>
  <si>
    <t xml:space="preserve">Salute e benessere</t>
  </si>
  <si>
    <t xml:space="preserve">Ed. civica (obiettivo adattato): riconoscere comportamenti per la salute, la sicurezza e il benessere propri e altrui (Agenda 2030, Obiettivo 3).</t>
  </si>
  <si>
    <t xml:space="preserve">OBIETTIVI PERSONALIZZATI (solo per chi non segue gli obiettivi della classe)</t>
  </si>
  <si>
    <t xml:space="preserve">N° alunno</t>
  </si>
  <si>
    <t xml:space="preserve">Ob. personalizzato → A</t>
  </si>
  <si>
    <t xml:space="preserve">Ob. personalizzato → B</t>
  </si>
  <si>
    <t xml:space="preserve">Adattamenti</t>
  </si>
  <si>
    <t xml:space="preserve">Foglio di servizio: valori, pesi e assenze letti dal Registro. Non modificare.</t>
  </si>
  <si>
    <t xml:space="preserve">AS b1</t>
  </si>
  <si>
    <t xml:space="preserve">AS b2</t>
  </si>
  <si>
    <t xml:space="preserve">AS b3</t>
  </si>
  <si>
    <t xml:space="preserve">AS b4</t>
  </si>
  <si>
    <t xml:space="preserve">AS b5</t>
  </si>
  <si>
    <t xml:space="preserve">AS b6</t>
  </si>
  <si>
    <t xml:space="preserve">AS b7</t>
  </si>
  <si>
    <t xml:space="preserve">AS b8</t>
  </si>
  <si>
    <t xml:space="preserve">AS b9</t>
  </si>
  <si>
    <t xml:space="preserve">AS b10</t>
  </si>
  <si>
    <t xml:space="preserve">AS b11</t>
  </si>
  <si>
    <t xml:space="preserve">AS b12</t>
  </si>
  <si>
    <t xml:space="preserve">AS b13</t>
  </si>
  <si>
    <t xml:space="preserve">AS b14</t>
  </si>
  <si>
    <t xml:space="preserve">AS b15</t>
  </si>
  <si>
    <t xml:space="preserve">AS b16</t>
  </si>
  <si>
    <t xml:space="preserve">AS b17</t>
  </si>
  <si>
    <t xml:space="preserve">AS b18</t>
  </si>
  <si>
    <t xml:space="preserve">AS b19</t>
  </si>
  <si>
    <t xml:space="preserve">AS b20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</si>
</sst>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"/>
    <numFmt numFmtId="166" formatCode="ddd\ dd/mm"/>
    <numFmt numFmtId="167" formatCode="General"/>
    <numFmt numFmtId="168" formatCode="dd/mm"/>
    <numFmt numFmtId="169" formatCode="0%"/>
    <numFmt numFmtId="170" formatCode="0.00"/>
    <numFmt numFmtId="171" formatCode="dd/mm/yyyy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7"/>
      <color rgb="FF1F4E79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i val="true"/>
      <sz val="8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000000"/>
      <name val="Arial"/>
      <family val="0"/>
      <charset val="1"/>
    </font>
    <font>
      <sz val="10"/>
      <name val="Arial"/>
      <family val="2"/>
    </font>
    <font>
      <sz val="8"/>
      <color rgb="FF999999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F4E79"/>
        <bgColor rgb="FF375623"/>
      </patternFill>
    </fill>
    <fill>
      <patternFill patternType="solid">
        <fgColor rgb="FFDDEBF7"/>
        <bgColor rgb="FFEDE7F6"/>
      </patternFill>
    </fill>
    <fill>
      <patternFill patternType="solid">
        <fgColor rgb="FFE2F0D9"/>
        <bgColor rgb="FFDDF2D0"/>
      </patternFill>
    </fill>
    <fill>
      <patternFill patternType="solid">
        <fgColor rgb="FFFFF2CC"/>
        <bgColor rgb="FFEEF7D9"/>
      </patternFill>
    </fill>
    <fill>
      <patternFill patternType="solid">
        <fgColor rgb="FFEDE7F6"/>
        <bgColor rgb="FFEDEDED"/>
      </patternFill>
    </fill>
    <fill>
      <patternFill patternType="solid">
        <fgColor rgb="FFF2F2F2"/>
        <bgColor rgb="FFEDEDED"/>
      </patternFill>
    </fill>
    <fill>
      <patternFill patternType="solid">
        <fgColor rgb="FFF7FBFF"/>
        <bgColor rgb="FFFFFFFF"/>
      </patternFill>
    </fill>
    <fill>
      <patternFill patternType="solid">
        <fgColor rgb="FFA9D08E"/>
        <bgColor rgb="FFC6E0B4"/>
      </patternFill>
    </fill>
    <fill>
      <patternFill patternType="solid">
        <fgColor rgb="FF5B3E91"/>
        <bgColor rgb="FF7030A0"/>
      </patternFill>
    </fill>
    <fill>
      <patternFill patternType="solid">
        <fgColor rgb="FF375623"/>
        <bgColor rgb="FF555555"/>
      </patternFill>
    </fill>
    <fill>
      <patternFill patternType="solid">
        <fgColor rgb="FFC6E0B4"/>
        <bgColor rgb="FFC6EFCE"/>
      </patternFill>
    </fill>
    <fill>
      <patternFill patternType="solid">
        <fgColor rgb="FFBDD7EE"/>
        <bgColor rgb="FFD9D2E9"/>
      </patternFill>
    </fill>
    <fill>
      <patternFill patternType="solid">
        <fgColor rgb="FFD9D2E9"/>
        <bgColor rgb="FFBDD7EE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FF2CC"/>
      </patternFill>
    </fill>
    <fill>
      <patternFill patternType="solid">
        <fgColor rgb="FFC00000"/>
        <bgColor rgb="FF9C0006"/>
      </patternFill>
    </fill>
    <fill>
      <patternFill patternType="solid">
        <fgColor rgb="FFC6EFCE"/>
        <bgColor rgb="FFDDF2D0"/>
      </patternFill>
    </fill>
    <fill>
      <patternFill patternType="solid">
        <fgColor rgb="FFDDF2D0"/>
        <bgColor rgb="FFE2F0D9"/>
      </patternFill>
    </fill>
    <fill>
      <patternFill patternType="solid">
        <fgColor rgb="FFEEF7D9"/>
        <bgColor rgb="FFE2F0D9"/>
      </patternFill>
    </fill>
    <fill>
      <patternFill patternType="solid">
        <fgColor rgb="FFFCE4D6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/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A6A6A6"/>
      </left>
      <right/>
      <top style="thin">
        <color rgb="FFA6A6A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FFE699"/>
        </patternFill>
      </fill>
    </dxf>
    <dxf>
      <fill>
        <patternFill>
          <bgColor rgb="FFD9D2E9"/>
        </patternFill>
      </fill>
    </dxf>
    <dxf>
      <fill>
        <patternFill>
          <bgColor rgb="FFEDEDED"/>
        </patternFill>
      </fill>
    </dxf>
    <dxf>
      <font>
        <color rgb="FFBFBFBF"/>
      </font>
    </dxf>
    <dxf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EEF7D9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7F7F7F"/>
      <rgbColor rgb="FFA6A6A6"/>
      <rgbColor rgb="FF7030A0"/>
      <rgbColor rgb="FFFFF2CC"/>
      <rgbColor rgb="FFDDEBF7"/>
      <rgbColor rgb="FF660066"/>
      <rgbColor rgb="FFEDE7F6"/>
      <rgbColor rgb="FF0066CC"/>
      <rgbColor rgb="FFD9D2E9"/>
      <rgbColor rgb="FF000080"/>
      <rgbColor rgb="FFFF00FF"/>
      <rgbColor rgb="FFE2F0D9"/>
      <rgbColor rgb="FF00FFFF"/>
      <rgbColor rgb="FF800080"/>
      <rgbColor rgb="FF800000"/>
      <rgbColor rgb="FF008080"/>
      <rgbColor rgb="FF0000FF"/>
      <rgbColor rgb="FF00CCFF"/>
      <rgbColor rgb="FFDDF2D0"/>
      <rgbColor rgb="FFC6EFCE"/>
      <rgbColor rgb="FFFFE699"/>
      <rgbColor rgb="FFBDD7EE"/>
      <rgbColor rgb="FFFCE4D6"/>
      <rgbColor rgb="FFC6E0B4"/>
      <rgbColor rgb="FFF8CBAD"/>
      <rgbColor rgb="FF2E75B6"/>
      <rgbColor rgb="FFF7FBFF"/>
      <rgbColor rgb="FFA9D08E"/>
      <rgbColor rgb="FFEDEDED"/>
      <rgbColor rgb="FFF2F2F2"/>
      <rgbColor rgb="FFFF6600"/>
      <rgbColor rgb="FF555555"/>
      <rgbColor rgb="FF999999"/>
      <rgbColor rgb="FF1F4E79"/>
      <rgbColor rgb="FF70AD47"/>
      <rgbColor rgb="FF003300"/>
      <rgbColor rgb="FF333300"/>
      <rgbColor rgb="FF993300"/>
      <rgbColor rgb="FF993366"/>
      <rgbColor rgb="FF5B3E91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tru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0"/>
  </cols>
  <sheetData>
    <row r="1" customFormat="false" ht="27.75" hidden="false" customHeight="true" outlineLevel="0" collapsed="false">
      <c r="A1" s="1" t="s">
        <v>0</v>
      </c>
      <c r="B1" s="1"/>
    </row>
    <row r="3" customFormat="false" ht="45.75" hidden="false" customHeight="true" outlineLevel="0" collapsed="false">
      <c r="A3" s="2" t="s">
        <v>1</v>
      </c>
      <c r="B3" s="3" t="s">
        <v>2</v>
      </c>
    </row>
    <row r="4" customFormat="false" ht="45.75" hidden="false" customHeight="true" outlineLevel="0" collapsed="false">
      <c r="A4" s="2" t="s">
        <v>3</v>
      </c>
      <c r="B4" s="3" t="s">
        <v>4</v>
      </c>
    </row>
    <row r="5" customFormat="false" ht="45.75" hidden="false" customHeight="true" outlineLevel="0" collapsed="false">
      <c r="A5" s="2" t="s">
        <v>5</v>
      </c>
      <c r="B5" s="3" t="s">
        <v>6</v>
      </c>
    </row>
    <row r="6" customFormat="false" ht="45.75" hidden="false" customHeight="true" outlineLevel="0" collapsed="false">
      <c r="A6" s="2" t="s">
        <v>7</v>
      </c>
      <c r="B6" s="3" t="s">
        <v>8</v>
      </c>
    </row>
    <row r="7" customFormat="false" ht="45.75" hidden="false" customHeight="true" outlineLevel="0" collapsed="false">
      <c r="A7" s="2" t="s">
        <v>9</v>
      </c>
      <c r="B7" s="3" t="s">
        <v>10</v>
      </c>
    </row>
    <row r="8" customFormat="false" ht="45.75" hidden="false" customHeight="true" outlineLevel="0" collapsed="false">
      <c r="A8" s="2" t="s">
        <v>11</v>
      </c>
      <c r="B8" s="3" t="s">
        <v>12</v>
      </c>
    </row>
    <row r="9" customFormat="false" ht="45.75" hidden="false" customHeight="true" outlineLevel="0" collapsed="false">
      <c r="A9" s="2" t="s">
        <v>13</v>
      </c>
      <c r="B9" s="3" t="s">
        <v>14</v>
      </c>
    </row>
    <row r="10" customFormat="false" ht="45.75" hidden="false" customHeight="true" outlineLevel="0" collapsed="false">
      <c r="A10" s="2" t="s">
        <v>15</v>
      </c>
      <c r="B10" s="3" t="s">
        <v>16</v>
      </c>
    </row>
    <row r="11" customFormat="false" ht="45.75" hidden="false" customHeight="true" outlineLevel="0" collapsed="false">
      <c r="A11" s="2" t="s">
        <v>17</v>
      </c>
      <c r="B11" s="3" t="s">
        <v>18</v>
      </c>
    </row>
  </sheetData>
  <mergeCells count="1">
    <mergeCell ref="A1:B1"/>
  </mergeCells>
  <printOptions headings="false" gridLines="false" gridLinesSet="true" horizontalCentered="false" verticalCentered="false"/>
  <pageMargins left="0.35" right="0.35" top="0.45" bottom="0.4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5" min="3" style="0" width="11"/>
    <col collapsed="false" customWidth="true" hidden="false" outlineLevel="0" max="6" min="6" style="0" width="6"/>
    <col collapsed="false" customWidth="true" hidden="false" outlineLevel="0" max="7" min="7" style="0" width="40"/>
    <col collapsed="false" customWidth="true" hidden="false" outlineLevel="0" max="11" min="8" style="0" width="8"/>
    <col collapsed="false" customWidth="true" hidden="false" outlineLevel="0" max="12" min="12" style="0" width="34"/>
  </cols>
  <sheetData>
    <row r="1" customFormat="false" ht="24" hidden="false" customHeight="true" outlineLevel="0" collapsed="false">
      <c r="A1" s="4" t="s">
        <v>19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customFormat="false" ht="15" hidden="false" customHeight="false" outlineLevel="0" collapsed="false">
      <c r="A2" s="5" t="str">
        <f aca="false">"Classe "&amp;Impostazioni!$B$3&amp;" · plesso "&amp;Impostazioni!$B$5&amp;" · lezione il "&amp;Impostazioni!$B$6&amp;" · la lezione successiva a ogni giornata è di recupero"</f>
        <v>Classe MODELLO-5 · plesso Manzoni · lezione il Lunedì · la lezione successiva a ogni giornata è di recupero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customFormat="false" ht="15" hidden="false" customHeight="true" outlineLevel="0" collapsed="false">
      <c r="A3" s="6" t="s">
        <v>20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5" customFormat="false" ht="15" hidden="false" customHeight="true" outlineLevel="0" collapsed="false">
      <c r="C5" s="7" t="s">
        <v>21</v>
      </c>
      <c r="D5" s="7"/>
    </row>
    <row r="6" customFormat="false" ht="22.35" hidden="false" customHeight="false" outlineLevel="0" collapsed="false">
      <c r="A6" s="8" t="s">
        <v>22</v>
      </c>
      <c r="B6" s="8" t="s">
        <v>23</v>
      </c>
      <c r="C6" s="8" t="s">
        <v>24</v>
      </c>
      <c r="D6" s="8" t="s">
        <v>25</v>
      </c>
      <c r="E6" s="8" t="s">
        <v>26</v>
      </c>
      <c r="F6" s="8" t="s">
        <v>27</v>
      </c>
      <c r="G6" s="8" t="s">
        <v>28</v>
      </c>
      <c r="H6" s="8" t="s">
        <v>29</v>
      </c>
      <c r="I6" s="8" t="s">
        <v>30</v>
      </c>
      <c r="J6" s="8" t="s">
        <v>31</v>
      </c>
      <c r="K6" s="8" t="s">
        <v>32</v>
      </c>
      <c r="L6" s="8" t="s">
        <v>33</v>
      </c>
    </row>
    <row r="7" customFormat="false" ht="19.5" hidden="false" customHeight="true" outlineLevel="0" collapsed="false">
      <c r="A7" s="9" t="s">
        <v>34</v>
      </c>
      <c r="B7" s="10" t="s">
        <v>35</v>
      </c>
      <c r="C7" s="11" t="n">
        <v>46293</v>
      </c>
      <c r="D7" s="11" t="n">
        <v>46293</v>
      </c>
      <c r="E7" s="12" t="n">
        <f aca="false">IF(IF(Impostazioni!$B$5="Boncompagni",D7,C7)="","",IF(Impostazioni!$B$5="Boncompagni",D7,C7)+Impostazioni!$B$7)</f>
        <v>46293</v>
      </c>
      <c r="F7" s="13" t="n">
        <f aca="false">IF(E7="",1,IF(E7&gt;=Impostazioni!$B$8,2,1))</f>
        <v>1</v>
      </c>
      <c r="G7" s="14" t="s">
        <v>36</v>
      </c>
      <c r="H7" s="15" t="s">
        <v>37</v>
      </c>
      <c r="I7" s="15"/>
      <c r="J7" s="15"/>
      <c r="K7" s="15"/>
      <c r="L7" s="16" t="str">
        <f aca="false">IF(COUNTA($H7:$K7)=0,"",IF(SUMPRODUCT(($H7:$K7&lt;&gt;"")*(COUNTIF($H7:$K7,$H7:$K7)&gt;1))&gt;0,"⚠ stesso sotto-obiettivo 2 volte nella giornata","OK"))</f>
        <v>OK</v>
      </c>
    </row>
    <row r="8" customFormat="false" ht="19.5" hidden="false" customHeight="true" outlineLevel="0" collapsed="false">
      <c r="A8" s="9" t="s">
        <v>34</v>
      </c>
      <c r="B8" s="10" t="s">
        <v>38</v>
      </c>
      <c r="C8" s="11" t="n">
        <v>46321</v>
      </c>
      <c r="D8" s="11"/>
      <c r="E8" s="12" t="n">
        <f aca="false">IF(IF(Impostazioni!$B$5="Boncompagni",D8,C8)="","",IF(Impostazioni!$B$5="Boncompagni",D8,C8)+Impostazioni!$B$7)</f>
        <v>46321</v>
      </c>
      <c r="F8" s="13" t="n">
        <f aca="false">IF(E8="",1,IF(E8&gt;=Impostazioni!$B$8,2,1))</f>
        <v>1</v>
      </c>
      <c r="G8" s="14" t="s">
        <v>39</v>
      </c>
      <c r="H8" s="15" t="s">
        <v>40</v>
      </c>
      <c r="I8" s="15" t="s">
        <v>41</v>
      </c>
      <c r="J8" s="15"/>
      <c r="K8" s="15"/>
      <c r="L8" s="16" t="str">
        <f aca="false">IF(COUNTA($H8:$K8)=0,"",IF(SUMPRODUCT(($H8:$K8&lt;&gt;"")*(COUNTIF($H8:$K8,$H8:$K8)&gt;1))&gt;0,"⚠ stesso sotto-obiettivo 2 volte nella giornata",IF(AND(IFERROR(AND(ISNUMBER(E7),ISNUMBER(E8),E8-E7&lt;=8),FALSE()),SUMPRODUCT(($H8:$K8&lt;&gt;"")*(COUNTIF($H7:$K7,$H8:$K8)&gt;0))&gt;0),"⚠ ripetuto a meno di 9 giorni: niente recupero","OK")))</f>
        <v>OK</v>
      </c>
    </row>
    <row r="9" customFormat="false" ht="19.5" hidden="false" customHeight="true" outlineLevel="0" collapsed="false">
      <c r="A9" s="9" t="s">
        <v>34</v>
      </c>
      <c r="B9" s="10" t="s">
        <v>42</v>
      </c>
      <c r="C9" s="11" t="n">
        <v>46328</v>
      </c>
      <c r="D9" s="11"/>
      <c r="E9" s="12" t="n">
        <f aca="false">IF(IF(Impostazioni!$B$5="Boncompagni",D9,C9)="","",IF(Impostazioni!$B$5="Boncompagni",D9,C9)+Impostazioni!$B$7)</f>
        <v>46328</v>
      </c>
      <c r="F9" s="13" t="n">
        <f aca="false">IF(E9="",1,IF(E9&gt;=Impostazioni!$B$8,2,1))</f>
        <v>1</v>
      </c>
      <c r="G9" s="14" t="s">
        <v>43</v>
      </c>
      <c r="H9" s="15" t="s">
        <v>37</v>
      </c>
      <c r="I9" s="15" t="s">
        <v>44</v>
      </c>
      <c r="J9" s="15"/>
      <c r="K9" s="15"/>
      <c r="L9" s="16" t="str">
        <f aca="false">IF(COUNTA($H9:$K9)=0,"",IF(SUMPRODUCT(($H9:$K9&lt;&gt;"")*(COUNTIF($H9:$K9,$H9:$K9)&gt;1))&gt;0,"⚠ stesso sotto-obiettivo 2 volte nella giornata",IF(AND(IFERROR(AND(ISNUMBER(E8),ISNUMBER(E9),E9-E8&lt;=8),FALSE()),SUMPRODUCT(($H9:$K9&lt;&gt;"")*(COUNTIF($H8:$K8,$H9:$K9)&gt;0))&gt;0),"⚠ ripetuto a meno di 9 giorni: niente recupero","OK")))</f>
        <v>OK</v>
      </c>
    </row>
    <row r="10" customFormat="false" ht="19.5" hidden="false" customHeight="true" outlineLevel="0" collapsed="false">
      <c r="A10" s="9" t="s">
        <v>34</v>
      </c>
      <c r="B10" s="10" t="s">
        <v>45</v>
      </c>
      <c r="C10" s="11"/>
      <c r="D10" s="11"/>
      <c r="E10" s="12" t="str">
        <f aca="false">IF(IF(Impostazioni!$B$5="Boncompagni",D10,C10)="","",IF(Impostazioni!$B$5="Boncompagni",D10,C10)+Impostazioni!$B$7)</f>
        <v/>
      </c>
      <c r="F10" s="13" t="n">
        <f aca="false">IF(E10="",1,IF(E10&gt;=Impostazioni!$B$8,2,1))</f>
        <v>1</v>
      </c>
      <c r="G10" s="14"/>
      <c r="H10" s="15"/>
      <c r="I10" s="15"/>
      <c r="J10" s="15"/>
      <c r="K10" s="15"/>
      <c r="L10" s="16" t="str">
        <f aca="false">IF(COUNTA($H10:$K10)=0,"",IF(SUMPRODUCT(($H10:$K10&lt;&gt;"")*(COUNTIF($H10:$K10,$H10:$K10)&gt;1))&gt;0,"⚠ stesso sotto-obiettivo 2 volte nella giornata",IF(AND(IFERROR(AND(ISNUMBER(E9),ISNUMBER(E10),E10-E9&lt;=8),FALSE()),SUMPRODUCT(($H10:$K10&lt;&gt;"")*(COUNTIF($H9:$K9,$H10:$K10)&gt;0))&gt;0),"⚠ ripetuto a meno di 9 giorni: niente recupero","OK")))</f>
        <v/>
      </c>
    </row>
    <row r="11" customFormat="false" ht="19.5" hidden="false" customHeight="true" outlineLevel="0" collapsed="false">
      <c r="A11" s="9" t="s">
        <v>34</v>
      </c>
      <c r="B11" s="10" t="s">
        <v>46</v>
      </c>
      <c r="C11" s="11"/>
      <c r="D11" s="11"/>
      <c r="E11" s="12" t="str">
        <f aca="false">IF(IF(Impostazioni!$B$5="Boncompagni",D11,C11)="","",IF(Impostazioni!$B$5="Boncompagni",D11,C11)+Impostazioni!$B$7)</f>
        <v/>
      </c>
      <c r="F11" s="13" t="n">
        <f aca="false">IF(E11="",1,IF(E11&gt;=Impostazioni!$B$8,2,1))</f>
        <v>1</v>
      </c>
      <c r="G11" s="14"/>
      <c r="H11" s="15"/>
      <c r="I11" s="15"/>
      <c r="J11" s="15"/>
      <c r="K11" s="15"/>
      <c r="L11" s="16" t="str">
        <f aca="false">IF(COUNTA($H11:$K11)=0,"",IF(SUMPRODUCT(($H11:$K11&lt;&gt;"")*(COUNTIF($H11:$K11,$H11:$K11)&gt;1))&gt;0,"⚠ stesso sotto-obiettivo 2 volte nella giornata",IF(AND(IFERROR(AND(ISNUMBER(E10),ISNUMBER(E11),E11-E10&lt;=8),FALSE()),SUMPRODUCT(($H11:$K11&lt;&gt;"")*(COUNTIF($H10:$K10,$H11:$K11)&gt;0))&gt;0),"⚠ ripetuto a meno di 9 giorni: niente recupero","OK")))</f>
        <v/>
      </c>
    </row>
    <row r="12" customFormat="false" ht="19.5" hidden="false" customHeight="true" outlineLevel="0" collapsed="false">
      <c r="A12" s="9" t="s">
        <v>34</v>
      </c>
      <c r="B12" s="10" t="s">
        <v>47</v>
      </c>
      <c r="C12" s="11"/>
      <c r="D12" s="11"/>
      <c r="E12" s="12" t="str">
        <f aca="false">IF(IF(Impostazioni!$B$5="Boncompagni",D12,C12)="","",IF(Impostazioni!$B$5="Boncompagni",D12,C12)+Impostazioni!$B$7)</f>
        <v/>
      </c>
      <c r="F12" s="13" t="n">
        <f aca="false">IF(E12="",1,IF(E12&gt;=Impostazioni!$B$8,2,1))</f>
        <v>1</v>
      </c>
      <c r="G12" s="14"/>
      <c r="H12" s="15"/>
      <c r="I12" s="15"/>
      <c r="J12" s="15"/>
      <c r="K12" s="15"/>
      <c r="L12" s="16" t="str">
        <f aca="false">IF(COUNTA($H12:$K12)=0,"",IF(SUMPRODUCT(($H12:$K12&lt;&gt;"")*(COUNTIF($H12:$K12,$H12:$K12)&gt;1))&gt;0,"⚠ stesso sotto-obiettivo 2 volte nella giornata",IF(AND(IFERROR(AND(ISNUMBER(E11),ISNUMBER(E12),E12-E11&lt;=8),FALSE()),SUMPRODUCT(($H12:$K12&lt;&gt;"")*(COUNTIF($H11:$K11,$H12:$K12)&gt;0))&gt;0),"⚠ ripetuto a meno di 9 giorni: niente recupero","OK")))</f>
        <v/>
      </c>
    </row>
    <row r="13" customFormat="false" ht="19.5" hidden="false" customHeight="true" outlineLevel="0" collapsed="false">
      <c r="A13" s="9" t="s">
        <v>34</v>
      </c>
      <c r="B13" s="10" t="s">
        <v>48</v>
      </c>
      <c r="C13" s="11"/>
      <c r="D13" s="11"/>
      <c r="E13" s="12" t="str">
        <f aca="false">IF(IF(Impostazioni!$B$5="Boncompagni",D13,C13)="","",IF(Impostazioni!$B$5="Boncompagni",D13,C13)+Impostazioni!$B$7)</f>
        <v/>
      </c>
      <c r="F13" s="13" t="n">
        <f aca="false">IF(E13="",1,IF(E13&gt;=Impostazioni!$B$8,2,1))</f>
        <v>1</v>
      </c>
      <c r="G13" s="14"/>
      <c r="H13" s="15"/>
      <c r="I13" s="15"/>
      <c r="J13" s="15"/>
      <c r="K13" s="15"/>
      <c r="L13" s="16" t="str">
        <f aca="false">IF(COUNTA($H13:$K13)=0,"",IF(SUMPRODUCT(($H13:$K13&lt;&gt;"")*(COUNTIF($H13:$K13,$H13:$K13)&gt;1))&gt;0,"⚠ stesso sotto-obiettivo 2 volte nella giornata",IF(AND(IFERROR(AND(ISNUMBER(E12),ISNUMBER(E13),E13-E12&lt;=8),FALSE()),SUMPRODUCT(($H13:$K13&lt;&gt;"")*(COUNTIF($H12:$K12,$H13:$K13)&gt;0))&gt;0),"⚠ ripetuto a meno di 9 giorni: niente recupero","OK")))</f>
        <v/>
      </c>
    </row>
    <row r="14" customFormat="false" ht="19.5" hidden="false" customHeight="true" outlineLevel="0" collapsed="false">
      <c r="A14" s="9" t="s">
        <v>34</v>
      </c>
      <c r="B14" s="10" t="s">
        <v>49</v>
      </c>
      <c r="C14" s="11"/>
      <c r="D14" s="11"/>
      <c r="E14" s="12" t="str">
        <f aca="false">IF(IF(Impostazioni!$B$5="Boncompagni",D14,C14)="","",IF(Impostazioni!$B$5="Boncompagni",D14,C14)+Impostazioni!$B$7)</f>
        <v/>
      </c>
      <c r="F14" s="13" t="n">
        <f aca="false">IF(E14="",1,IF(E14&gt;=Impostazioni!$B$8,2,1))</f>
        <v>1</v>
      </c>
      <c r="G14" s="14"/>
      <c r="H14" s="15"/>
      <c r="I14" s="15"/>
      <c r="J14" s="15"/>
      <c r="K14" s="15"/>
      <c r="L14" s="16" t="str">
        <f aca="false">IF(COUNTA($H14:$K14)=0,"",IF(SUMPRODUCT(($H14:$K14&lt;&gt;"")*(COUNTIF($H14:$K14,$H14:$K14)&gt;1))&gt;0,"⚠ stesso sotto-obiettivo 2 volte nella giornata",IF(AND(IFERROR(AND(ISNUMBER(E13),ISNUMBER(E14),E14-E13&lt;=8),FALSE()),SUMPRODUCT(($H14:$K14&lt;&gt;"")*(COUNTIF($H13:$K13,$H14:$K14)&gt;0))&gt;0),"⚠ ripetuto a meno di 9 giorni: niente recupero","OK")))</f>
        <v/>
      </c>
    </row>
    <row r="15" customFormat="false" ht="19.5" hidden="false" customHeight="true" outlineLevel="0" collapsed="false">
      <c r="A15" s="9" t="s">
        <v>34</v>
      </c>
      <c r="B15" s="10" t="s">
        <v>50</v>
      </c>
      <c r="C15" s="11"/>
      <c r="D15" s="11"/>
      <c r="E15" s="12" t="str">
        <f aca="false">IF(IF(Impostazioni!$B$5="Boncompagni",D15,C15)="","",IF(Impostazioni!$B$5="Boncompagni",D15,C15)+Impostazioni!$B$7)</f>
        <v/>
      </c>
      <c r="F15" s="13" t="n">
        <f aca="false">IF(E15="",1,IF(E15&gt;=Impostazioni!$B$8,2,1))</f>
        <v>1</v>
      </c>
      <c r="G15" s="14"/>
      <c r="H15" s="15"/>
      <c r="I15" s="15"/>
      <c r="J15" s="15"/>
      <c r="K15" s="15"/>
      <c r="L15" s="16" t="str">
        <f aca="false">IF(COUNTA($H15:$K15)=0,"",IF(SUMPRODUCT(($H15:$K15&lt;&gt;"")*(COUNTIF($H15:$K15,$H15:$K15)&gt;1))&gt;0,"⚠ stesso sotto-obiettivo 2 volte nella giornata",IF(AND(IFERROR(AND(ISNUMBER(E14),ISNUMBER(E15),E15-E14&lt;=8),FALSE()),SUMPRODUCT(($H15:$K15&lt;&gt;"")*(COUNTIF($H14:$K14,$H15:$K15)&gt;0))&gt;0),"⚠ ripetuto a meno di 9 giorni: niente recupero","OK")))</f>
        <v/>
      </c>
    </row>
    <row r="16" customFormat="false" ht="19.5" hidden="false" customHeight="true" outlineLevel="0" collapsed="false">
      <c r="A16" s="9" t="s">
        <v>34</v>
      </c>
      <c r="B16" s="10" t="s">
        <v>51</v>
      </c>
      <c r="C16" s="11"/>
      <c r="D16" s="11"/>
      <c r="E16" s="12" t="str">
        <f aca="false">IF(IF(Impostazioni!$B$5="Boncompagni",D16,C16)="","",IF(Impostazioni!$B$5="Boncompagni",D16,C16)+Impostazioni!$B$7)</f>
        <v/>
      </c>
      <c r="F16" s="13" t="n">
        <f aca="false">IF(E16="",1,IF(E16&gt;=Impostazioni!$B$8,2,1))</f>
        <v>1</v>
      </c>
      <c r="G16" s="14"/>
      <c r="H16" s="15"/>
      <c r="I16" s="15"/>
      <c r="J16" s="15"/>
      <c r="K16" s="15"/>
      <c r="L16" s="16" t="str">
        <f aca="false">IF(COUNTA($H16:$K16)=0,"",IF(SUMPRODUCT(($H16:$K16&lt;&gt;"")*(COUNTIF($H16:$K16,$H16:$K16)&gt;1))&gt;0,"⚠ stesso sotto-obiettivo 2 volte nella giornata",IF(AND(IFERROR(AND(ISNUMBER(E15),ISNUMBER(E16),E16-E15&lt;=8),FALSE()),SUMPRODUCT(($H16:$K16&lt;&gt;"")*(COUNTIF($H15:$K15,$H16:$K16)&gt;0))&gt;0),"⚠ ripetuto a meno di 9 giorni: niente recupero","OK")))</f>
        <v/>
      </c>
    </row>
    <row r="17" customFormat="false" ht="19.5" hidden="false" customHeight="true" outlineLevel="0" collapsed="false">
      <c r="A17" s="17" t="s">
        <v>52</v>
      </c>
      <c r="B17" s="10" t="s">
        <v>53</v>
      </c>
      <c r="C17" s="11"/>
      <c r="D17" s="11"/>
      <c r="E17" s="12" t="str">
        <f aca="false">IF(IF(Impostazioni!$B$5="Boncompagni",D17,C17)="","",IF(Impostazioni!$B$5="Boncompagni",D17,C17)+Impostazioni!$B$7)</f>
        <v/>
      </c>
      <c r="F17" s="13" t="n">
        <f aca="false">IF(E17="",1,IF(E17&gt;=Impostazioni!$B$9,2,1))</f>
        <v>1</v>
      </c>
      <c r="G17" s="14"/>
      <c r="H17" s="15"/>
      <c r="I17" s="15"/>
      <c r="J17" s="15"/>
      <c r="K17" s="15"/>
      <c r="L17" s="16" t="str">
        <f aca="false">IF(COUNTA($H17:$K17)=0,"",IF(SUMPRODUCT(($H17:$K17&lt;&gt;"")*(COUNTIF($H17:$K17,$H17:$K17)&gt;1))&gt;0,"⚠ stesso sotto-obiettivo 2 volte nella giornata","OK"))</f>
        <v/>
      </c>
    </row>
    <row r="18" customFormat="false" ht="19.5" hidden="false" customHeight="true" outlineLevel="0" collapsed="false">
      <c r="A18" s="17" t="s">
        <v>52</v>
      </c>
      <c r="B18" s="10" t="s">
        <v>54</v>
      </c>
      <c r="C18" s="11"/>
      <c r="D18" s="11"/>
      <c r="E18" s="12" t="str">
        <f aca="false">IF(IF(Impostazioni!$B$5="Boncompagni",D18,C18)="","",IF(Impostazioni!$B$5="Boncompagni",D18,C18)+Impostazioni!$B$7)</f>
        <v/>
      </c>
      <c r="F18" s="13" t="n">
        <f aca="false">IF(E18="",1,IF(E18&gt;=Impostazioni!$B$9,2,1))</f>
        <v>1</v>
      </c>
      <c r="G18" s="14"/>
      <c r="H18" s="15"/>
      <c r="I18" s="15"/>
      <c r="J18" s="15"/>
      <c r="K18" s="15"/>
      <c r="L18" s="16" t="str">
        <f aca="false">IF(COUNTA($H18:$K18)=0,"",IF(SUMPRODUCT(($H18:$K18&lt;&gt;"")*(COUNTIF($H18:$K18,$H18:$K18)&gt;1))&gt;0,"⚠ stesso sotto-obiettivo 2 volte nella giornata",IF(AND(IFERROR(AND(ISNUMBER(E17),ISNUMBER(E18),E18-E17&lt;=8),FALSE()),SUMPRODUCT(($H18:$K18&lt;&gt;"")*(COUNTIF($H17:$K17,$H18:$K18)&gt;0))&gt;0),"⚠ ripetuto a meno di 9 giorni: niente recupero","OK")))</f>
        <v/>
      </c>
    </row>
    <row r="19" customFormat="false" ht="19.5" hidden="false" customHeight="true" outlineLevel="0" collapsed="false">
      <c r="A19" s="17" t="s">
        <v>52</v>
      </c>
      <c r="B19" s="10" t="s">
        <v>55</v>
      </c>
      <c r="C19" s="11"/>
      <c r="D19" s="11"/>
      <c r="E19" s="12" t="str">
        <f aca="false">IF(IF(Impostazioni!$B$5="Boncompagni",D19,C19)="","",IF(Impostazioni!$B$5="Boncompagni",D19,C19)+Impostazioni!$B$7)</f>
        <v/>
      </c>
      <c r="F19" s="13" t="n">
        <f aca="false">IF(E19="",1,IF(E19&gt;=Impostazioni!$B$9,2,1))</f>
        <v>1</v>
      </c>
      <c r="G19" s="14"/>
      <c r="H19" s="15"/>
      <c r="I19" s="15"/>
      <c r="J19" s="15"/>
      <c r="K19" s="15"/>
      <c r="L19" s="16" t="str">
        <f aca="false">IF(COUNTA($H19:$K19)=0,"",IF(SUMPRODUCT(($H19:$K19&lt;&gt;"")*(COUNTIF($H19:$K19,$H19:$K19)&gt;1))&gt;0,"⚠ stesso sotto-obiettivo 2 volte nella giornata",IF(AND(IFERROR(AND(ISNUMBER(E18),ISNUMBER(E19),E19-E18&lt;=8),FALSE()),SUMPRODUCT(($H19:$K19&lt;&gt;"")*(COUNTIF($H18:$K18,$H19:$K19)&gt;0))&gt;0),"⚠ ripetuto a meno di 9 giorni: niente recupero","OK")))</f>
        <v/>
      </c>
    </row>
    <row r="20" customFormat="false" ht="19.5" hidden="false" customHeight="true" outlineLevel="0" collapsed="false">
      <c r="A20" s="17" t="s">
        <v>52</v>
      </c>
      <c r="B20" s="10" t="s">
        <v>56</v>
      </c>
      <c r="C20" s="11"/>
      <c r="D20" s="11"/>
      <c r="E20" s="12" t="str">
        <f aca="false">IF(IF(Impostazioni!$B$5="Boncompagni",D20,C20)="","",IF(Impostazioni!$B$5="Boncompagni",D20,C20)+Impostazioni!$B$7)</f>
        <v/>
      </c>
      <c r="F20" s="13" t="n">
        <f aca="false">IF(E20="",1,IF(E20&gt;=Impostazioni!$B$9,2,1))</f>
        <v>1</v>
      </c>
      <c r="G20" s="14"/>
      <c r="H20" s="15"/>
      <c r="I20" s="15"/>
      <c r="J20" s="15"/>
      <c r="K20" s="15"/>
      <c r="L20" s="16" t="str">
        <f aca="false">IF(COUNTA($H20:$K20)=0,"",IF(SUMPRODUCT(($H20:$K20&lt;&gt;"")*(COUNTIF($H20:$K20,$H20:$K20)&gt;1))&gt;0,"⚠ stesso sotto-obiettivo 2 volte nella giornata",IF(AND(IFERROR(AND(ISNUMBER(E19),ISNUMBER(E20),E20-E19&lt;=8),FALSE()),SUMPRODUCT(($H20:$K20&lt;&gt;"")*(COUNTIF($H19:$K19,$H20:$K20)&gt;0))&gt;0),"⚠ ripetuto a meno di 9 giorni: niente recupero","OK")))</f>
        <v/>
      </c>
    </row>
    <row r="21" customFormat="false" ht="19.5" hidden="false" customHeight="true" outlineLevel="0" collapsed="false">
      <c r="A21" s="17" t="s">
        <v>52</v>
      </c>
      <c r="B21" s="10" t="s">
        <v>57</v>
      </c>
      <c r="C21" s="11"/>
      <c r="D21" s="11"/>
      <c r="E21" s="12" t="str">
        <f aca="false">IF(IF(Impostazioni!$B$5="Boncompagni",D21,C21)="","",IF(Impostazioni!$B$5="Boncompagni",D21,C21)+Impostazioni!$B$7)</f>
        <v/>
      </c>
      <c r="F21" s="13" t="n">
        <f aca="false">IF(E21="",1,IF(E21&gt;=Impostazioni!$B$9,2,1))</f>
        <v>1</v>
      </c>
      <c r="G21" s="14"/>
      <c r="H21" s="15"/>
      <c r="I21" s="15"/>
      <c r="J21" s="15"/>
      <c r="K21" s="15"/>
      <c r="L21" s="16" t="str">
        <f aca="false">IF(COUNTA($H21:$K21)=0,"",IF(SUMPRODUCT(($H21:$K21&lt;&gt;"")*(COUNTIF($H21:$K21,$H21:$K21)&gt;1))&gt;0,"⚠ stesso sotto-obiettivo 2 volte nella giornata",IF(AND(IFERROR(AND(ISNUMBER(E20),ISNUMBER(E21),E21-E20&lt;=8),FALSE()),SUMPRODUCT(($H21:$K21&lt;&gt;"")*(COUNTIF($H20:$K20,$H21:$K21)&gt;0))&gt;0),"⚠ ripetuto a meno di 9 giorni: niente recupero","OK")))</f>
        <v/>
      </c>
    </row>
    <row r="22" customFormat="false" ht="19.5" hidden="false" customHeight="true" outlineLevel="0" collapsed="false">
      <c r="A22" s="17" t="s">
        <v>52</v>
      </c>
      <c r="B22" s="10" t="s">
        <v>58</v>
      </c>
      <c r="C22" s="11"/>
      <c r="D22" s="11"/>
      <c r="E22" s="12" t="str">
        <f aca="false">IF(IF(Impostazioni!$B$5="Boncompagni",D22,C22)="","",IF(Impostazioni!$B$5="Boncompagni",D22,C22)+Impostazioni!$B$7)</f>
        <v/>
      </c>
      <c r="F22" s="13" t="n">
        <f aca="false">IF(E22="",1,IF(E22&gt;=Impostazioni!$B$9,2,1))</f>
        <v>1</v>
      </c>
      <c r="G22" s="14"/>
      <c r="H22" s="15"/>
      <c r="I22" s="15"/>
      <c r="J22" s="15"/>
      <c r="K22" s="15"/>
      <c r="L22" s="16" t="str">
        <f aca="false">IF(COUNTA($H22:$K22)=0,"",IF(SUMPRODUCT(($H22:$K22&lt;&gt;"")*(COUNTIF($H22:$K22,$H22:$K22)&gt;1))&gt;0,"⚠ stesso sotto-obiettivo 2 volte nella giornata",IF(AND(IFERROR(AND(ISNUMBER(E21),ISNUMBER(E22),E22-E21&lt;=8),FALSE()),SUMPRODUCT(($H22:$K22&lt;&gt;"")*(COUNTIF($H21:$K21,$H22:$K22)&gt;0))&gt;0),"⚠ ripetuto a meno di 9 giorni: niente recupero","OK")))</f>
        <v/>
      </c>
    </row>
    <row r="23" customFormat="false" ht="19.5" hidden="false" customHeight="true" outlineLevel="0" collapsed="false">
      <c r="A23" s="17" t="s">
        <v>52</v>
      </c>
      <c r="B23" s="10" t="s">
        <v>59</v>
      </c>
      <c r="C23" s="11"/>
      <c r="D23" s="11"/>
      <c r="E23" s="12" t="str">
        <f aca="false">IF(IF(Impostazioni!$B$5="Boncompagni",D23,C23)="","",IF(Impostazioni!$B$5="Boncompagni",D23,C23)+Impostazioni!$B$7)</f>
        <v/>
      </c>
      <c r="F23" s="13" t="n">
        <f aca="false">IF(E23="",1,IF(E23&gt;=Impostazioni!$B$9,2,1))</f>
        <v>1</v>
      </c>
      <c r="G23" s="14"/>
      <c r="H23" s="15"/>
      <c r="I23" s="15"/>
      <c r="J23" s="15"/>
      <c r="K23" s="15"/>
      <c r="L23" s="16" t="str">
        <f aca="false">IF(COUNTA($H23:$K23)=0,"",IF(SUMPRODUCT(($H23:$K23&lt;&gt;"")*(COUNTIF($H23:$K23,$H23:$K23)&gt;1))&gt;0,"⚠ stesso sotto-obiettivo 2 volte nella giornata",IF(AND(IFERROR(AND(ISNUMBER(E22),ISNUMBER(E23),E23-E22&lt;=8),FALSE()),SUMPRODUCT(($H23:$K23&lt;&gt;"")*(COUNTIF($H22:$K22,$H23:$K23)&gt;0))&gt;0),"⚠ ripetuto a meno di 9 giorni: niente recupero","OK")))</f>
        <v/>
      </c>
    </row>
    <row r="24" customFormat="false" ht="19.5" hidden="false" customHeight="true" outlineLevel="0" collapsed="false">
      <c r="A24" s="17" t="s">
        <v>52</v>
      </c>
      <c r="B24" s="10" t="s">
        <v>60</v>
      </c>
      <c r="C24" s="11"/>
      <c r="D24" s="11"/>
      <c r="E24" s="12" t="str">
        <f aca="false">IF(IF(Impostazioni!$B$5="Boncompagni",D24,C24)="","",IF(Impostazioni!$B$5="Boncompagni",D24,C24)+Impostazioni!$B$7)</f>
        <v/>
      </c>
      <c r="F24" s="13" t="n">
        <f aca="false">IF(E24="",1,IF(E24&gt;=Impostazioni!$B$9,2,1))</f>
        <v>1</v>
      </c>
      <c r="G24" s="14"/>
      <c r="H24" s="15"/>
      <c r="I24" s="15"/>
      <c r="J24" s="15"/>
      <c r="K24" s="15"/>
      <c r="L24" s="16" t="str">
        <f aca="false">IF(COUNTA($H24:$K24)=0,"",IF(SUMPRODUCT(($H24:$K24&lt;&gt;"")*(COUNTIF($H24:$K24,$H24:$K24)&gt;1))&gt;0,"⚠ stesso sotto-obiettivo 2 volte nella giornata",IF(AND(IFERROR(AND(ISNUMBER(E23),ISNUMBER(E24),E24-E23&lt;=8),FALSE()),SUMPRODUCT(($H24:$K24&lt;&gt;"")*(COUNTIF($H23:$K23,$H24:$K24)&gt;0))&gt;0),"⚠ ripetuto a meno di 9 giorni: niente recupero","OK")))</f>
        <v/>
      </c>
    </row>
    <row r="25" customFormat="false" ht="19.5" hidden="false" customHeight="true" outlineLevel="0" collapsed="false">
      <c r="A25" s="17" t="s">
        <v>52</v>
      </c>
      <c r="B25" s="10" t="s">
        <v>61</v>
      </c>
      <c r="C25" s="11"/>
      <c r="D25" s="11"/>
      <c r="E25" s="12" t="str">
        <f aca="false">IF(IF(Impostazioni!$B$5="Boncompagni",D25,C25)="","",IF(Impostazioni!$B$5="Boncompagni",D25,C25)+Impostazioni!$B$7)</f>
        <v/>
      </c>
      <c r="F25" s="13" t="n">
        <f aca="false">IF(E25="",1,IF(E25&gt;=Impostazioni!$B$9,2,1))</f>
        <v>1</v>
      </c>
      <c r="G25" s="14"/>
      <c r="H25" s="15"/>
      <c r="I25" s="15"/>
      <c r="J25" s="15"/>
      <c r="K25" s="15"/>
      <c r="L25" s="16" t="str">
        <f aca="false">IF(COUNTA($H25:$K25)=0,"",IF(SUMPRODUCT(($H25:$K25&lt;&gt;"")*(COUNTIF($H25:$K25,$H25:$K25)&gt;1))&gt;0,"⚠ stesso sotto-obiettivo 2 volte nella giornata",IF(AND(IFERROR(AND(ISNUMBER(E24),ISNUMBER(E25),E25-E24&lt;=8),FALSE()),SUMPRODUCT(($H25:$K25&lt;&gt;"")*(COUNTIF($H24:$K24,$H25:$K25)&gt;0))&gt;0),"⚠ ripetuto a meno di 9 giorni: niente recupero","OK")))</f>
        <v/>
      </c>
    </row>
    <row r="26" customFormat="false" ht="19.5" hidden="false" customHeight="true" outlineLevel="0" collapsed="false">
      <c r="A26" s="17" t="s">
        <v>52</v>
      </c>
      <c r="B26" s="10" t="s">
        <v>62</v>
      </c>
      <c r="C26" s="11"/>
      <c r="D26" s="11"/>
      <c r="E26" s="12" t="str">
        <f aca="false">IF(IF(Impostazioni!$B$5="Boncompagni",D26,C26)="","",IF(Impostazioni!$B$5="Boncompagni",D26,C26)+Impostazioni!$B$7)</f>
        <v/>
      </c>
      <c r="F26" s="13" t="n">
        <f aca="false">IF(E26="",1,IF(E26&gt;=Impostazioni!$B$9,2,1))</f>
        <v>1</v>
      </c>
      <c r="G26" s="14"/>
      <c r="H26" s="15"/>
      <c r="I26" s="15"/>
      <c r="J26" s="15"/>
      <c r="K26" s="15"/>
      <c r="L26" s="16" t="str">
        <f aca="false">IF(COUNTA($H26:$K26)=0,"",IF(SUMPRODUCT(($H26:$K26&lt;&gt;"")*(COUNTIF($H26:$K26,$H26:$K26)&gt;1))&gt;0,"⚠ stesso sotto-obiettivo 2 volte nella giornata",IF(AND(IFERROR(AND(ISNUMBER(E25),ISNUMBER(E26),E26-E25&lt;=8),FALSE()),SUMPRODUCT(($H26:$K26&lt;&gt;"")*(COUNTIF($H25:$K25,$H26:$K26)&gt;0))&gt;0),"⚠ ripetuto a meno di 9 giorni: niente recupero","OK")))</f>
        <v/>
      </c>
    </row>
  </sheetData>
  <mergeCells count="4">
    <mergeCell ref="A1:L1"/>
    <mergeCell ref="A2:L2"/>
    <mergeCell ref="A3:L3"/>
    <mergeCell ref="C5:D5"/>
  </mergeCells>
  <conditionalFormatting sqref="L7:L26">
    <cfRule type="expression" priority="2" aboveAverage="0" equalAverage="0" bottom="0" percent="0" rank="0" text="" dxfId="0">
      <formula>LEFT(L7,1)="⚠"</formula>
    </cfRule>
    <cfRule type="expression" priority="3" aboveAverage="0" equalAverage="0" bottom="0" percent="0" rank="0" text="" dxfId="1">
      <formula>L7="OK"</formula>
    </cfRule>
  </conditionalFormatting>
  <dataValidations count="1">
    <dataValidation allowBlank="true" errorStyle="stop" operator="between" showDropDown="false" showErrorMessage="false" showInputMessage="false" sqref="H7:K26" type="list">
      <formula1>Impostazioni!$A$25:$A$36</formula1>
      <formula2>0</formula2>
    </dataValidation>
  </dataValidations>
  <printOptions headings="false" gridLines="false" gridLinesSet="true" horizontalCentered="false" verticalCentered="false"/>
  <pageMargins left="0.35" right="0.35" top="0.45" bottom="0.4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48"/>
  </cols>
  <sheetData>
    <row r="1" customFormat="false" ht="24" hidden="false" customHeight="true" outlineLevel="0" collapsed="false">
      <c r="A1" s="4" t="s">
        <v>63</v>
      </c>
      <c r="B1" s="4"/>
      <c r="C1" s="4"/>
      <c r="D1" s="4"/>
      <c r="E1" s="4"/>
      <c r="F1" s="4"/>
    </row>
    <row r="2" customFormat="false" ht="15" hidden="false" customHeight="true" outlineLevel="0" collapsed="false">
      <c r="A2" s="5" t="s">
        <v>64</v>
      </c>
      <c r="B2" s="5"/>
      <c r="C2" s="5"/>
      <c r="D2" s="5"/>
      <c r="E2" s="5"/>
      <c r="F2" s="5"/>
    </row>
    <row r="4" customFormat="false" ht="15" hidden="false" customHeight="false" outlineLevel="0" collapsed="false">
      <c r="A4" s="18" t="s">
        <v>65</v>
      </c>
      <c r="B4" s="18" t="s">
        <v>66</v>
      </c>
      <c r="C4" s="18" t="s">
        <v>67</v>
      </c>
      <c r="D4" s="18" t="s">
        <v>68</v>
      </c>
      <c r="E4" s="18" t="s">
        <v>69</v>
      </c>
      <c r="F4" s="18" t="s">
        <v>70</v>
      </c>
    </row>
    <row r="5" customFormat="false" ht="19.5" hidden="false" customHeight="true" outlineLevel="0" collapsed="false">
      <c r="A5" s="10" t="n">
        <v>1</v>
      </c>
      <c r="B5" s="19" t="str">
        <f aca="false">Impostazioni!$B$3&amp;"-"&amp;TEXT(A5,"00")</f>
        <v>MODELLO-5-01</v>
      </c>
      <c r="C5" s="20" t="s">
        <v>71</v>
      </c>
      <c r="D5" s="21" t="s">
        <v>72</v>
      </c>
      <c r="E5" s="21"/>
      <c r="F5" s="20"/>
    </row>
    <row r="6" customFormat="false" ht="19.5" hidden="false" customHeight="true" outlineLevel="0" collapsed="false">
      <c r="A6" s="10" t="n">
        <v>2</v>
      </c>
      <c r="B6" s="19" t="str">
        <f aca="false">Impostazioni!$B$3&amp;"-"&amp;TEXT(A6,"00")</f>
        <v>MODELLO-5-02</v>
      </c>
      <c r="C6" s="20" t="s">
        <v>73</v>
      </c>
      <c r="D6" s="21" t="s">
        <v>72</v>
      </c>
      <c r="E6" s="21" t="s">
        <v>69</v>
      </c>
      <c r="F6" s="20"/>
    </row>
    <row r="7" customFormat="false" ht="19.5" hidden="false" customHeight="true" outlineLevel="0" collapsed="false">
      <c r="A7" s="10" t="n">
        <v>3</v>
      </c>
      <c r="B7" s="19" t="str">
        <f aca="false">Impostazioni!$B$3&amp;"-"&amp;TEXT(A7,"00")</f>
        <v>MODELLO-5-03</v>
      </c>
      <c r="C7" s="20" t="s">
        <v>74</v>
      </c>
      <c r="D7" s="21" t="s">
        <v>75</v>
      </c>
      <c r="E7" s="21"/>
      <c r="F7" s="20"/>
    </row>
    <row r="8" customFormat="false" ht="19.5" hidden="false" customHeight="true" outlineLevel="0" collapsed="false">
      <c r="A8" s="10" t="n">
        <v>4</v>
      </c>
      <c r="B8" s="19" t="str">
        <f aca="false">Impostazioni!$B$3&amp;"-"&amp;TEXT(A8,"00")</f>
        <v>MODELLO-5-04</v>
      </c>
      <c r="C8" s="20"/>
      <c r="D8" s="21"/>
      <c r="E8" s="21"/>
      <c r="F8" s="20"/>
    </row>
    <row r="9" customFormat="false" ht="19.5" hidden="false" customHeight="true" outlineLevel="0" collapsed="false">
      <c r="A9" s="10" t="n">
        <v>5</v>
      </c>
      <c r="B9" s="19" t="str">
        <f aca="false">Impostazioni!$B$3&amp;"-"&amp;TEXT(A9,"00")</f>
        <v>MODELLO-5-05</v>
      </c>
      <c r="C9" s="20"/>
      <c r="D9" s="21"/>
      <c r="E9" s="21"/>
      <c r="F9" s="20"/>
    </row>
    <row r="10" customFormat="false" ht="19.5" hidden="false" customHeight="true" outlineLevel="0" collapsed="false">
      <c r="A10" s="10" t="n">
        <v>6</v>
      </c>
      <c r="B10" s="19" t="str">
        <f aca="false">Impostazioni!$B$3&amp;"-"&amp;TEXT(A10,"00")</f>
        <v>MODELLO-5-06</v>
      </c>
      <c r="C10" s="20"/>
      <c r="D10" s="21"/>
      <c r="E10" s="21"/>
      <c r="F10" s="20"/>
    </row>
    <row r="11" customFormat="false" ht="19.5" hidden="false" customHeight="true" outlineLevel="0" collapsed="false">
      <c r="A11" s="10" t="n">
        <v>7</v>
      </c>
      <c r="B11" s="19" t="str">
        <f aca="false">Impostazioni!$B$3&amp;"-"&amp;TEXT(A11,"00")</f>
        <v>MODELLO-5-07</v>
      </c>
      <c r="C11" s="20"/>
      <c r="D11" s="21"/>
      <c r="E11" s="21"/>
      <c r="F11" s="20"/>
    </row>
    <row r="12" customFormat="false" ht="19.5" hidden="false" customHeight="true" outlineLevel="0" collapsed="false">
      <c r="A12" s="10" t="n">
        <v>8</v>
      </c>
      <c r="B12" s="19" t="str">
        <f aca="false">Impostazioni!$B$3&amp;"-"&amp;TEXT(A12,"00")</f>
        <v>MODELLO-5-08</v>
      </c>
      <c r="C12" s="20"/>
      <c r="D12" s="21"/>
      <c r="E12" s="21"/>
      <c r="F12" s="20"/>
    </row>
    <row r="13" customFormat="false" ht="19.5" hidden="false" customHeight="true" outlineLevel="0" collapsed="false">
      <c r="A13" s="10" t="n">
        <v>9</v>
      </c>
      <c r="B13" s="19" t="str">
        <f aca="false">Impostazioni!$B$3&amp;"-"&amp;TEXT(A13,"00")</f>
        <v>MODELLO-5-09</v>
      </c>
      <c r="C13" s="20"/>
      <c r="D13" s="21"/>
      <c r="E13" s="21"/>
      <c r="F13" s="20"/>
    </row>
    <row r="14" customFormat="false" ht="19.5" hidden="false" customHeight="true" outlineLevel="0" collapsed="false">
      <c r="A14" s="10" t="n">
        <v>10</v>
      </c>
      <c r="B14" s="19" t="str">
        <f aca="false">Impostazioni!$B$3&amp;"-"&amp;TEXT(A14,"00")</f>
        <v>MODELLO-5-10</v>
      </c>
      <c r="C14" s="20"/>
      <c r="D14" s="21"/>
      <c r="E14" s="21"/>
      <c r="F14" s="20"/>
    </row>
    <row r="15" customFormat="false" ht="19.5" hidden="false" customHeight="true" outlineLevel="0" collapsed="false">
      <c r="A15" s="10" t="n">
        <v>11</v>
      </c>
      <c r="B15" s="19" t="str">
        <f aca="false">Impostazioni!$B$3&amp;"-"&amp;TEXT(A15,"00")</f>
        <v>MODELLO-5-11</v>
      </c>
      <c r="C15" s="20"/>
      <c r="D15" s="21"/>
      <c r="E15" s="21"/>
      <c r="F15" s="20"/>
    </row>
    <row r="16" customFormat="false" ht="19.5" hidden="false" customHeight="true" outlineLevel="0" collapsed="false">
      <c r="A16" s="10" t="n">
        <v>12</v>
      </c>
      <c r="B16" s="19" t="str">
        <f aca="false">Impostazioni!$B$3&amp;"-"&amp;TEXT(A16,"00")</f>
        <v>MODELLO-5-12</v>
      </c>
      <c r="C16" s="20"/>
      <c r="D16" s="21"/>
      <c r="E16" s="21"/>
      <c r="F16" s="20"/>
    </row>
    <row r="17" customFormat="false" ht="19.5" hidden="false" customHeight="true" outlineLevel="0" collapsed="false">
      <c r="A17" s="10" t="n">
        <v>13</v>
      </c>
      <c r="B17" s="19" t="str">
        <f aca="false">Impostazioni!$B$3&amp;"-"&amp;TEXT(A17,"00")</f>
        <v>MODELLO-5-13</v>
      </c>
      <c r="C17" s="20"/>
      <c r="D17" s="21"/>
      <c r="E17" s="21"/>
      <c r="F17" s="20"/>
    </row>
    <row r="18" customFormat="false" ht="19.5" hidden="false" customHeight="true" outlineLevel="0" collapsed="false">
      <c r="A18" s="10" t="n">
        <v>14</v>
      </c>
      <c r="B18" s="19" t="str">
        <f aca="false">Impostazioni!$B$3&amp;"-"&amp;TEXT(A18,"00")</f>
        <v>MODELLO-5-14</v>
      </c>
      <c r="C18" s="20"/>
      <c r="D18" s="21"/>
      <c r="E18" s="21"/>
      <c r="F18" s="20"/>
    </row>
    <row r="19" customFormat="false" ht="19.5" hidden="false" customHeight="true" outlineLevel="0" collapsed="false">
      <c r="A19" s="10" t="n">
        <v>15</v>
      </c>
      <c r="B19" s="19" t="str">
        <f aca="false">Impostazioni!$B$3&amp;"-"&amp;TEXT(A19,"00")</f>
        <v>MODELLO-5-15</v>
      </c>
      <c r="C19" s="20"/>
      <c r="D19" s="21"/>
      <c r="E19" s="21"/>
      <c r="F19" s="20"/>
    </row>
    <row r="20" customFormat="false" ht="19.5" hidden="false" customHeight="true" outlineLevel="0" collapsed="false">
      <c r="A20" s="10" t="n">
        <v>16</v>
      </c>
      <c r="B20" s="19" t="str">
        <f aca="false">Impostazioni!$B$3&amp;"-"&amp;TEXT(A20,"00")</f>
        <v>MODELLO-5-16</v>
      </c>
      <c r="C20" s="20"/>
      <c r="D20" s="21"/>
      <c r="E20" s="21"/>
      <c r="F20" s="20"/>
    </row>
    <row r="21" customFormat="false" ht="19.5" hidden="false" customHeight="true" outlineLevel="0" collapsed="false">
      <c r="A21" s="10" t="n">
        <v>17</v>
      </c>
      <c r="B21" s="19" t="str">
        <f aca="false">Impostazioni!$B$3&amp;"-"&amp;TEXT(A21,"00")</f>
        <v>MODELLO-5-17</v>
      </c>
      <c r="C21" s="20"/>
      <c r="D21" s="21"/>
      <c r="E21" s="21"/>
      <c r="F21" s="20"/>
    </row>
    <row r="22" customFormat="false" ht="19.5" hidden="false" customHeight="true" outlineLevel="0" collapsed="false">
      <c r="A22" s="10" t="n">
        <v>18</v>
      </c>
      <c r="B22" s="19" t="str">
        <f aca="false">Impostazioni!$B$3&amp;"-"&amp;TEXT(A22,"00")</f>
        <v>MODELLO-5-18</v>
      </c>
      <c r="C22" s="20"/>
      <c r="D22" s="21"/>
      <c r="E22" s="21"/>
      <c r="F22" s="20"/>
    </row>
    <row r="23" customFormat="false" ht="19.5" hidden="false" customHeight="true" outlineLevel="0" collapsed="false">
      <c r="A23" s="10" t="n">
        <v>19</v>
      </c>
      <c r="B23" s="19" t="str">
        <f aca="false">Impostazioni!$B$3&amp;"-"&amp;TEXT(A23,"00")</f>
        <v>MODELLO-5-19</v>
      </c>
      <c r="C23" s="20"/>
      <c r="D23" s="21"/>
      <c r="E23" s="21"/>
      <c r="F23" s="20"/>
    </row>
    <row r="24" customFormat="false" ht="19.5" hidden="false" customHeight="true" outlineLevel="0" collapsed="false">
      <c r="A24" s="10" t="n">
        <v>20</v>
      </c>
      <c r="B24" s="19" t="str">
        <f aca="false">Impostazioni!$B$3&amp;"-"&amp;TEXT(A24,"00")</f>
        <v>MODELLO-5-20</v>
      </c>
      <c r="C24" s="20"/>
      <c r="D24" s="21"/>
      <c r="E24" s="21"/>
      <c r="F24" s="20"/>
    </row>
    <row r="25" customFormat="false" ht="19.5" hidden="false" customHeight="true" outlineLevel="0" collapsed="false">
      <c r="A25" s="10" t="n">
        <v>21</v>
      </c>
      <c r="B25" s="19" t="str">
        <f aca="false">Impostazioni!$B$3&amp;"-"&amp;TEXT(A25,"00")</f>
        <v>MODELLO-5-21</v>
      </c>
      <c r="C25" s="20"/>
      <c r="D25" s="21"/>
      <c r="E25" s="21"/>
      <c r="F25" s="20"/>
    </row>
    <row r="26" customFormat="false" ht="19.5" hidden="false" customHeight="true" outlineLevel="0" collapsed="false">
      <c r="A26" s="10" t="n">
        <v>22</v>
      </c>
      <c r="B26" s="19" t="str">
        <f aca="false">Impostazioni!$B$3&amp;"-"&amp;TEXT(A26,"00")</f>
        <v>MODELLO-5-22</v>
      </c>
      <c r="C26" s="20"/>
      <c r="D26" s="21"/>
      <c r="E26" s="21"/>
      <c r="F26" s="20"/>
    </row>
    <row r="27" customFormat="false" ht="19.5" hidden="false" customHeight="true" outlineLevel="0" collapsed="false">
      <c r="A27" s="10" t="n">
        <v>23</v>
      </c>
      <c r="B27" s="19" t="str">
        <f aca="false">Impostazioni!$B$3&amp;"-"&amp;TEXT(A27,"00")</f>
        <v>MODELLO-5-23</v>
      </c>
      <c r="C27" s="20"/>
      <c r="D27" s="21"/>
      <c r="E27" s="21"/>
      <c r="F27" s="20"/>
    </row>
    <row r="28" customFormat="false" ht="19.5" hidden="false" customHeight="true" outlineLevel="0" collapsed="false">
      <c r="A28" s="10" t="n">
        <v>24</v>
      </c>
      <c r="B28" s="19" t="str">
        <f aca="false">Impostazioni!$B$3&amp;"-"&amp;TEXT(A28,"00")</f>
        <v>MODELLO-5-24</v>
      </c>
      <c r="C28" s="20"/>
      <c r="D28" s="21"/>
      <c r="E28" s="21"/>
      <c r="F28" s="20"/>
    </row>
    <row r="29" customFormat="false" ht="19.5" hidden="false" customHeight="true" outlineLevel="0" collapsed="false">
      <c r="A29" s="10" t="n">
        <v>25</v>
      </c>
      <c r="B29" s="19" t="str">
        <f aca="false">Impostazioni!$B$3&amp;"-"&amp;TEXT(A29,"00")</f>
        <v>MODELLO-5-25</v>
      </c>
      <c r="C29" s="20"/>
      <c r="D29" s="21"/>
      <c r="E29" s="21"/>
      <c r="F29" s="20"/>
    </row>
    <row r="30" customFormat="false" ht="19.5" hidden="false" customHeight="true" outlineLevel="0" collapsed="false">
      <c r="A30" s="10" t="n">
        <v>26</v>
      </c>
      <c r="B30" s="19" t="str">
        <f aca="false">Impostazioni!$B$3&amp;"-"&amp;TEXT(A30,"00")</f>
        <v>MODELLO-5-26</v>
      </c>
      <c r="C30" s="20"/>
      <c r="D30" s="21"/>
      <c r="E30" s="21"/>
      <c r="F30" s="20"/>
    </row>
    <row r="31" customFormat="false" ht="19.5" hidden="false" customHeight="true" outlineLevel="0" collapsed="false">
      <c r="A31" s="10" t="n">
        <v>27</v>
      </c>
      <c r="B31" s="19" t="str">
        <f aca="false">Impostazioni!$B$3&amp;"-"&amp;TEXT(A31,"00")</f>
        <v>MODELLO-5-27</v>
      </c>
      <c r="C31" s="20"/>
      <c r="D31" s="21"/>
      <c r="E31" s="21"/>
      <c r="F31" s="20"/>
    </row>
    <row r="32" customFormat="false" ht="19.5" hidden="false" customHeight="true" outlineLevel="0" collapsed="false">
      <c r="A32" s="10" t="n">
        <v>28</v>
      </c>
      <c r="B32" s="19" t="str">
        <f aca="false">Impostazioni!$B$3&amp;"-"&amp;TEXT(A32,"00")</f>
        <v>MODELLO-5-28</v>
      </c>
      <c r="C32" s="20"/>
      <c r="D32" s="21"/>
      <c r="E32" s="21"/>
      <c r="F32" s="20"/>
    </row>
    <row r="33" customFormat="false" ht="19.5" hidden="false" customHeight="true" outlineLevel="0" collapsed="false">
      <c r="A33" s="10" t="n">
        <v>29</v>
      </c>
      <c r="B33" s="19" t="str">
        <f aca="false">Impostazioni!$B$3&amp;"-"&amp;TEXT(A33,"00")</f>
        <v>MODELLO-5-29</v>
      </c>
      <c r="C33" s="20"/>
      <c r="D33" s="21"/>
      <c r="E33" s="21"/>
      <c r="F33" s="20"/>
    </row>
    <row r="34" customFormat="false" ht="19.5" hidden="false" customHeight="true" outlineLevel="0" collapsed="false">
      <c r="A34" s="10" t="n">
        <v>30</v>
      </c>
      <c r="B34" s="19" t="str">
        <f aca="false">Impostazioni!$B$3&amp;"-"&amp;TEXT(A34,"00")</f>
        <v>MODELLO-5-30</v>
      </c>
      <c r="C34" s="20"/>
      <c r="D34" s="21"/>
      <c r="E34" s="21"/>
      <c r="F34" s="20"/>
    </row>
  </sheetData>
  <mergeCells count="2">
    <mergeCell ref="A1:F1"/>
    <mergeCell ref="A2:F2"/>
  </mergeCells>
  <dataValidations count="2">
    <dataValidation allowBlank="true" errorStyle="stop" operator="between" showDropDown="false" showErrorMessage="false" showInputMessage="false" sqref="D5:D34" type="list">
      <formula1>"Attivo,Ritirato,ES"</formula1>
      <formula2>0</formula2>
    </dataValidation>
    <dataValidation allowBlank="true" errorStyle="stop" operator="between" showDropDown="false" showErrorMessage="false" showInputMessage="false" sqref="E5:E34" type="list">
      <formula1>"OP"</formula1>
      <formula2>0</formula2>
    </dataValidation>
  </dataValidations>
  <printOptions headings="false" gridLines="false" gridLinesSet="true" horizontalCentered="false" verticalCentered="false"/>
  <pageMargins left="0.35" right="0.35" top="0.45" bottom="0.4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AB7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1"/>
    <col collapsed="false" customWidth="true" hidden="false" outlineLevel="0" max="3" min="3" style="0" width="6"/>
    <col collapsed="false" customWidth="true" hidden="false" outlineLevel="0" max="4" min="4" style="0" width="9"/>
    <col collapsed="false" customWidth="true" hidden="false" outlineLevel="0" max="8" min="5" style="0" width="6.51"/>
    <col collapsed="false" customWidth="true" hidden="false" outlineLevel="0" max="9" min="9" style="0" width="7"/>
    <col collapsed="false" customWidth="true" hidden="false" outlineLevel="0" max="10" min="10" style="0" width="12"/>
    <col collapsed="false" customWidth="true" hidden="false" outlineLevel="0" max="14" min="11" style="0" width="6.51"/>
    <col collapsed="false" customWidth="true" hidden="false" outlineLevel="0" max="15" min="15" style="0" width="7"/>
    <col collapsed="false" customWidth="true" hidden="false" outlineLevel="0" max="16" min="16" style="0" width="12"/>
    <col collapsed="false" customWidth="true" hidden="false" outlineLevel="0" max="20" min="17" style="0" width="6.51"/>
    <col collapsed="false" customWidth="true" hidden="false" outlineLevel="0" max="21" min="21" style="0" width="7"/>
    <col collapsed="false" customWidth="true" hidden="false" outlineLevel="0" max="22" min="22" style="0" width="12"/>
    <col collapsed="false" customWidth="true" hidden="false" outlineLevel="0" max="26" min="23" style="0" width="6.51"/>
    <col collapsed="false" customWidth="true" hidden="false" outlineLevel="0" max="27" min="27" style="0" width="7"/>
    <col collapsed="false" customWidth="true" hidden="false" outlineLevel="0" max="28" min="28" style="0" width="12"/>
  </cols>
  <sheetData>
    <row r="1" customFormat="false" ht="24" hidden="false" customHeight="true" outlineLevel="0" collapsed="false">
      <c r="A1" s="4" t="s">
        <v>76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customFormat="false" ht="21.75" hidden="false" customHeight="true" outlineLevel="0" collapsed="false">
      <c r="B2" s="22" t="s">
        <v>77</v>
      </c>
      <c r="C2" s="23" t="str">
        <f aca="false">HYPERLINK("#Registro!A6","G01")</f>
        <v>G01</v>
      </c>
      <c r="D2" s="23"/>
      <c r="E2" s="23" t="str">
        <f aca="false">HYPERLINK("#Registro!A42","G02")</f>
        <v>G02</v>
      </c>
      <c r="F2" s="23"/>
      <c r="G2" s="23" t="str">
        <f aca="false">HYPERLINK("#Registro!A78","G03")</f>
        <v>G03</v>
      </c>
      <c r="H2" s="23"/>
      <c r="I2" s="23" t="str">
        <f aca="false">HYPERLINK("#Registro!A114","G04")</f>
        <v>G04</v>
      </c>
      <c r="J2" s="23"/>
      <c r="K2" s="23" t="str">
        <f aca="false">HYPERLINK("#Registro!A150","G05")</f>
        <v>G05</v>
      </c>
      <c r="L2" s="23"/>
      <c r="M2" s="23" t="str">
        <f aca="false">HYPERLINK("#Registro!A186","G06")</f>
        <v>G06</v>
      </c>
      <c r="N2" s="23"/>
      <c r="O2" s="23" t="str">
        <f aca="false">HYPERLINK("#Registro!A222","G07")</f>
        <v>G07</v>
      </c>
      <c r="P2" s="23"/>
      <c r="Q2" s="23" t="str">
        <f aca="false">HYPERLINK("#Registro!A258","G08")</f>
        <v>G08</v>
      </c>
      <c r="R2" s="23"/>
      <c r="S2" s="23" t="str">
        <f aca="false">HYPERLINK("#Registro!A294","G09")</f>
        <v>G09</v>
      </c>
      <c r="T2" s="23"/>
      <c r="U2" s="23" t="str">
        <f aca="false">HYPERLINK("#Registro!A330","G10")</f>
        <v>G10</v>
      </c>
      <c r="V2" s="23"/>
    </row>
    <row r="3" customFormat="false" ht="21.75" hidden="false" customHeight="true" outlineLevel="0" collapsed="false">
      <c r="B3" s="22" t="s">
        <v>78</v>
      </c>
      <c r="C3" s="24" t="str">
        <f aca="false">HYPERLINK("#Registro!A366","G01")</f>
        <v>G01</v>
      </c>
      <c r="D3" s="24"/>
      <c r="E3" s="24" t="str">
        <f aca="false">HYPERLINK("#Registro!A402","G02")</f>
        <v>G02</v>
      </c>
      <c r="F3" s="24"/>
      <c r="G3" s="24" t="str">
        <f aca="false">HYPERLINK("#Registro!A438","G03")</f>
        <v>G03</v>
      </c>
      <c r="H3" s="24"/>
      <c r="I3" s="24" t="str">
        <f aca="false">HYPERLINK("#Registro!A474","G04")</f>
        <v>G04</v>
      </c>
      <c r="J3" s="24"/>
      <c r="K3" s="24" t="str">
        <f aca="false">HYPERLINK("#Registro!A510","G05")</f>
        <v>G05</v>
      </c>
      <c r="L3" s="24"/>
      <c r="M3" s="24" t="str">
        <f aca="false">HYPERLINK("#Registro!A546","G06")</f>
        <v>G06</v>
      </c>
      <c r="N3" s="24"/>
      <c r="O3" s="24" t="str">
        <f aca="false">HYPERLINK("#Registro!A582","G07")</f>
        <v>G07</v>
      </c>
      <c r="P3" s="24"/>
      <c r="Q3" s="24" t="str">
        <f aca="false">HYPERLINK("#Registro!A618","G08")</f>
        <v>G08</v>
      </c>
      <c r="R3" s="24"/>
      <c r="S3" s="24" t="str">
        <f aca="false">HYPERLINK("#Registro!A654","G09")</f>
        <v>G09</v>
      </c>
      <c r="T3" s="24"/>
      <c r="U3" s="24" t="str">
        <f aca="false">HYPERLINK("#Registro!A690","G10")</f>
        <v>G10</v>
      </c>
      <c r="V3" s="24"/>
    </row>
    <row r="4" customFormat="false" ht="15" hidden="false" customHeight="true" outlineLevel="0" collapsed="false">
      <c r="A4" s="5" t="s">
        <v>79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6" customFormat="false" ht="25.5" hidden="false" customHeight="true" outlineLevel="0" collapsed="false">
      <c r="A6" s="4" t="str">
        <f aca="false">Calendario!B7&amp;"   ·   "&amp;IF(Calendario!G7="","(descrizione da Calendario)",Calendario!G7)&amp;"   ·   "&amp;IF(Calendario!E7="","data da fissare",CHOOSE(WEEKDAY(Calendario!E7,2),"lunedì","martedì","mercoledì","giovedì","venerdì","sabato","domenica")&amp;" "&amp;TEXT(DAY(Calendario!E7),"00")&amp;"/"&amp;TEXT(MONTH(Calendario!E7),"00")&amp;"/"&amp;YEAR(Calendario!E7))</f>
        <v>Q1-G01   ·   Test d'ingresso – schemi motori di base   ·   lunedì 28/09/2026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customFormat="false" ht="15" hidden="false" customHeight="true" outlineLevel="0" collapsed="false">
      <c r="A7" s="25" t="s">
        <v>80</v>
      </c>
      <c r="B7" s="25"/>
      <c r="C7" s="25"/>
      <c r="D7" s="25"/>
      <c r="E7" s="26" t="str">
        <f aca="false">IF(Calendario!$H$7="","— libero —",Calendario!$H$7&amp;"  "&amp;IFERROR(VLOOKUP(Calendario!$H$7,Impostazioni!$A$25:$J$36,3,FALSE()),""))</f>
        <v>1.1  Traiettorie, ritmi, organizzazione</v>
      </c>
      <c r="F7" s="26"/>
      <c r="G7" s="26"/>
      <c r="H7" s="26"/>
      <c r="I7" s="26"/>
      <c r="J7" s="26"/>
      <c r="K7" s="26" t="str">
        <f aca="false">IF(Calendario!$I$7="","— libero —",Calendario!$I$7&amp;"  "&amp;IFERROR(VLOOKUP(Calendario!$I$7,Impostazioni!$A$25:$J$36,3,FALSE()),""))</f>
        <v>— libero —</v>
      </c>
      <c r="L7" s="26"/>
      <c r="M7" s="26"/>
      <c r="N7" s="26"/>
      <c r="O7" s="26"/>
      <c r="P7" s="26"/>
      <c r="Q7" s="26" t="str">
        <f aca="false">IF(Calendario!$J$7="","— libero —",Calendario!$J$7&amp;"  "&amp;IFERROR(VLOOKUP(Calendario!$J$7,Impostazioni!$A$25:$J$36,3,FALSE()),""))</f>
        <v>— libero —</v>
      </c>
      <c r="R7" s="26"/>
      <c r="S7" s="26"/>
      <c r="T7" s="26"/>
      <c r="U7" s="26"/>
      <c r="V7" s="26"/>
      <c r="W7" s="26" t="str">
        <f aca="false">IF(Calendario!$K$7="","— libero —",Calendario!$K$7&amp;"  "&amp;IFERROR(VLOOKUP(Calendario!$K$7,Impostazioni!$A$25:$J$36,3,FALSE()),""))</f>
        <v>— libero —</v>
      </c>
      <c r="X7" s="26"/>
      <c r="Y7" s="26"/>
      <c r="Z7" s="26"/>
      <c r="AA7" s="26"/>
      <c r="AB7" s="26"/>
    </row>
    <row r="8" customFormat="false" ht="15" hidden="false" customHeight="true" outlineLevel="0" collapsed="false">
      <c r="A8" s="25" t="s">
        <v>81</v>
      </c>
      <c r="B8" s="25"/>
      <c r="C8" s="25"/>
      <c r="D8" s="25"/>
      <c r="E8" s="27" t="str">
        <f aca="false">IF(Calendario!$H$7="","","Ob. "&amp;IFERROR(VLOOKUP(Calendario!$H$7,Impostazioni!$A$25:$J$36,5,FALSE()),"?")&amp;" · peso "&amp;IF(Calendario!$F$7=2,Impostazioni!$B$11,Impostazioni!$B$10))</f>
        <v>Ob. A · peso 1</v>
      </c>
      <c r="F8" s="27"/>
      <c r="G8" s="27"/>
      <c r="H8" s="27"/>
      <c r="I8" s="27"/>
      <c r="J8" s="27"/>
      <c r="K8" s="27" t="str">
        <f aca="false">IF(Calendario!$I$7="","","Ob. "&amp;IFERROR(VLOOKUP(Calendario!$I$7,Impostazioni!$A$25:$J$36,5,FALSE()),"?")&amp;" · peso "&amp;IF(Calendario!$F$7=2,Impostazioni!$B$11,Impostazioni!$B$10))</f>
        <v/>
      </c>
      <c r="L8" s="27"/>
      <c r="M8" s="27"/>
      <c r="N8" s="27"/>
      <c r="O8" s="27"/>
      <c r="P8" s="27"/>
      <c r="Q8" s="27" t="str">
        <f aca="false">IF(Calendario!$J$7="","","Ob. "&amp;IFERROR(VLOOKUP(Calendario!$J$7,Impostazioni!$A$25:$J$36,5,FALSE()),"?")&amp;" · peso "&amp;IF(Calendario!$F$7=2,Impostazioni!$B$11,Impostazioni!$B$10))</f>
        <v/>
      </c>
      <c r="R8" s="27"/>
      <c r="S8" s="27"/>
      <c r="T8" s="27"/>
      <c r="U8" s="27"/>
      <c r="V8" s="27"/>
      <c r="W8" s="27" t="str">
        <f aca="false">IF(Calendario!$K$7="","","Ob. "&amp;IFERROR(VLOOKUP(Calendario!$K$7,Impostazioni!$A$25:$J$36,5,FALSE()),"?")&amp;" · peso "&amp;IF(Calendario!$F$7=2,Impostazioni!$B$11,Impostazioni!$B$10))</f>
        <v/>
      </c>
      <c r="X8" s="27"/>
      <c r="Y8" s="27"/>
      <c r="Z8" s="27"/>
      <c r="AA8" s="27"/>
      <c r="AB8" s="27"/>
    </row>
    <row r="9" customFormat="false" ht="33.75" hidden="false" customHeight="true" outlineLevel="0" collapsed="false">
      <c r="A9" s="25" t="s">
        <v>82</v>
      </c>
      <c r="B9" s="25"/>
      <c r="C9" s="25"/>
      <c r="D9" s="25"/>
      <c r="E9" s="28" t="str">
        <f aca="false">IF(Calendario!$H$7="","",IFERROR(HYPERLINK("#Rubriche!C"&amp;(MATCH(Calendario!$H$7,Rubriche!$A$1:$A$1000,0)+0),VLOOKUP(Calendario!$H$7,Impostazioni!$A$25:$J$36,7,FALSE())),""))</f>
        <v>Traiettorie</v>
      </c>
      <c r="F9" s="28" t="str">
        <f aca="false">IF(Calendario!$H$7="","",IFERROR(HYPERLINK("#Rubriche!C"&amp;(MATCH(Calendario!$H$7,Rubriche!$A$1:$A$1000,0)+1),VLOOKUP(Calendario!$H$7,Impostazioni!$A$25:$J$36,8,FALSE())),""))</f>
        <v>Distanze e velocità</v>
      </c>
      <c r="G9" s="28" t="str">
        <f aca="false">IF(Calendario!$H$7="","",IFERROR(HYPERLINK("#Rubriche!C"&amp;(MATCH(Calendario!$H$7,Rubriche!$A$1:$A$1000,0)+2),VLOOKUP(Calendario!$H$7,Impostazioni!$A$25:$J$36,9,FALSE())),""))</f>
        <v>Ritmi esecutivi</v>
      </c>
      <c r="H9" s="28" t="str">
        <f aca="false">IF(Calendario!$H$7="","",IFERROR(HYPERLINK("#Rubriche!C"&amp;(MATCH(Calendario!$H$7,Rubriche!$A$1:$A$1000,0)+3),VLOOKUP(Calendario!$H$7,Impostazioni!$A$25:$J$36,10,FALSE())),""))</f>
        <v>Organizzazione con gli altri</v>
      </c>
      <c r="I9" s="29"/>
      <c r="J9" s="29"/>
      <c r="K9" s="28" t="str">
        <f aca="false">IF(Calendario!$I$7="","",IFERROR(HYPERLINK("#Rubriche!C"&amp;(MATCH(Calendario!$I$7,Rubriche!$A$1:$A$1000,0)+0),VLOOKUP(Calendario!$I$7,Impostazioni!$A$25:$J$36,7,FALSE())),""))</f>
        <v/>
      </c>
      <c r="L9" s="28" t="str">
        <f aca="false">IF(Calendario!$I$7="","",IFERROR(HYPERLINK("#Rubriche!C"&amp;(MATCH(Calendario!$I$7,Rubriche!$A$1:$A$1000,0)+1),VLOOKUP(Calendario!$I$7,Impostazioni!$A$25:$J$36,8,FALSE())),""))</f>
        <v/>
      </c>
      <c r="M9" s="28" t="str">
        <f aca="false">IF(Calendario!$I$7="","",IFERROR(HYPERLINK("#Rubriche!C"&amp;(MATCH(Calendario!$I$7,Rubriche!$A$1:$A$1000,0)+2),VLOOKUP(Calendario!$I$7,Impostazioni!$A$25:$J$36,9,FALSE())),""))</f>
        <v/>
      </c>
      <c r="N9" s="28" t="str">
        <f aca="false">IF(Calendario!$I$7="","",IFERROR(HYPERLINK("#Rubriche!C"&amp;(MATCH(Calendario!$I$7,Rubriche!$A$1:$A$1000,0)+3),VLOOKUP(Calendario!$I$7,Impostazioni!$A$25:$J$36,10,FALSE())),""))</f>
        <v/>
      </c>
      <c r="O9" s="29"/>
      <c r="P9" s="29"/>
      <c r="Q9" s="28" t="str">
        <f aca="false">IF(Calendario!$J$7="","",IFERROR(HYPERLINK("#Rubriche!C"&amp;(MATCH(Calendario!$J$7,Rubriche!$A$1:$A$1000,0)+0),VLOOKUP(Calendario!$J$7,Impostazioni!$A$25:$J$36,7,FALSE())),""))</f>
        <v/>
      </c>
      <c r="R9" s="28" t="str">
        <f aca="false">IF(Calendario!$J$7="","",IFERROR(HYPERLINK("#Rubriche!C"&amp;(MATCH(Calendario!$J$7,Rubriche!$A$1:$A$1000,0)+1),VLOOKUP(Calendario!$J$7,Impostazioni!$A$25:$J$36,8,FALSE())),""))</f>
        <v/>
      </c>
      <c r="S9" s="28" t="str">
        <f aca="false">IF(Calendario!$J$7="","",IFERROR(HYPERLINK("#Rubriche!C"&amp;(MATCH(Calendario!$J$7,Rubriche!$A$1:$A$1000,0)+2),VLOOKUP(Calendario!$J$7,Impostazioni!$A$25:$J$36,9,FALSE())),""))</f>
        <v/>
      </c>
      <c r="T9" s="28" t="str">
        <f aca="false">IF(Calendario!$J$7="","",IFERROR(HYPERLINK("#Rubriche!C"&amp;(MATCH(Calendario!$J$7,Rubriche!$A$1:$A$1000,0)+3),VLOOKUP(Calendario!$J$7,Impostazioni!$A$25:$J$36,10,FALSE())),""))</f>
        <v/>
      </c>
      <c r="U9" s="29"/>
      <c r="V9" s="29"/>
      <c r="W9" s="28" t="str">
        <f aca="false">IF(Calendario!$K$7="","",IFERROR(HYPERLINK("#Rubriche!C"&amp;(MATCH(Calendario!$K$7,Rubriche!$A$1:$A$1000,0)+0),VLOOKUP(Calendario!$K$7,Impostazioni!$A$25:$J$36,7,FALSE())),""))</f>
        <v/>
      </c>
      <c r="X9" s="28" t="str">
        <f aca="false">IF(Calendario!$K$7="","",IFERROR(HYPERLINK("#Rubriche!C"&amp;(MATCH(Calendario!$K$7,Rubriche!$A$1:$A$1000,0)+1),VLOOKUP(Calendario!$K$7,Impostazioni!$A$25:$J$36,8,FALSE())),""))</f>
        <v/>
      </c>
      <c r="Y9" s="28" t="str">
        <f aca="false">IF(Calendario!$K$7="","",IFERROR(HYPERLINK("#Rubriche!C"&amp;(MATCH(Calendario!$K$7,Rubriche!$A$1:$A$1000,0)+2),VLOOKUP(Calendario!$K$7,Impostazioni!$A$25:$J$36,9,FALSE())),""))</f>
        <v/>
      </c>
      <c r="Z9" s="28" t="str">
        <f aca="false">IF(Calendario!$K$7="","",IFERROR(HYPERLINK("#Rubriche!C"&amp;(MATCH(Calendario!$K$7,Rubriche!$A$1:$A$1000,0)+3),VLOOKUP(Calendario!$K$7,Impostazioni!$A$25:$J$36,10,FALSE())),""))</f>
        <v/>
      </c>
      <c r="AA9" s="29"/>
      <c r="AB9" s="29"/>
    </row>
    <row r="10" customFormat="false" ht="25.5" hidden="false" customHeight="true" outlineLevel="0" collapsed="false">
      <c r="A10" s="8" t="s">
        <v>65</v>
      </c>
      <c r="B10" s="8" t="s">
        <v>83</v>
      </c>
      <c r="C10" s="8" t="s">
        <v>68</v>
      </c>
      <c r="D10" s="8" t="s">
        <v>84</v>
      </c>
      <c r="E10" s="30" t="s">
        <v>85</v>
      </c>
      <c r="F10" s="30" t="s">
        <v>86</v>
      </c>
      <c r="G10" s="30" t="s">
        <v>87</v>
      </c>
      <c r="H10" s="30" t="s">
        <v>88</v>
      </c>
      <c r="I10" s="31" t="s">
        <v>89</v>
      </c>
      <c r="J10" s="32" t="s">
        <v>90</v>
      </c>
      <c r="K10" s="30" t="s">
        <v>85</v>
      </c>
      <c r="L10" s="30" t="s">
        <v>86</v>
      </c>
      <c r="M10" s="30" t="s">
        <v>87</v>
      </c>
      <c r="N10" s="30" t="s">
        <v>88</v>
      </c>
      <c r="O10" s="31" t="s">
        <v>89</v>
      </c>
      <c r="P10" s="32" t="s">
        <v>90</v>
      </c>
      <c r="Q10" s="30" t="s">
        <v>85</v>
      </c>
      <c r="R10" s="30" t="s">
        <v>86</v>
      </c>
      <c r="S10" s="30" t="s">
        <v>87</v>
      </c>
      <c r="T10" s="30" t="s">
        <v>88</v>
      </c>
      <c r="U10" s="31" t="s">
        <v>89</v>
      </c>
      <c r="V10" s="32" t="s">
        <v>90</v>
      </c>
      <c r="W10" s="30" t="s">
        <v>85</v>
      </c>
      <c r="X10" s="30" t="s">
        <v>86</v>
      </c>
      <c r="Y10" s="30" t="s">
        <v>87</v>
      </c>
      <c r="Z10" s="30" t="s">
        <v>88</v>
      </c>
      <c r="AA10" s="31" t="s">
        <v>89</v>
      </c>
      <c r="AB10" s="32" t="s">
        <v>90</v>
      </c>
    </row>
    <row r="11" customFormat="false" ht="21" hidden="false" customHeight="true" outlineLevel="0" collapsed="false">
      <c r="A11" s="33" t="n">
        <v>1</v>
      </c>
      <c r="B11" s="34" t="str">
        <f aca="false">IFERROR(INDEX(Alunni!$C$1:$C$1000,MATCH($A11,Alunni!$A$1:$A$1000,0))&amp;"","")</f>
        <v>Rossi Mario (esempio)</v>
      </c>
      <c r="C11" s="15"/>
      <c r="D11" s="35"/>
      <c r="E11" s="36" t="n">
        <v>8</v>
      </c>
      <c r="F11" s="36" t="n">
        <v>8</v>
      </c>
      <c r="G11" s="36" t="n">
        <v>7</v>
      </c>
      <c r="H11" s="36"/>
      <c r="I11" s="37" t="n">
        <f aca="false">IF(COUNT(E11:H11)=0,"",ROUND(AVERAGE(E11:H11),0))</f>
        <v>8</v>
      </c>
      <c r="J11" s="38" t="str">
        <f aca="false">IF(I11="","",LOOKUP(I11,Impostazioni!$E$4:$E$9,Impostazioni!$F$4:$F$9))</f>
        <v>Buono</v>
      </c>
      <c r="K11" s="36"/>
      <c r="L11" s="36"/>
      <c r="M11" s="36"/>
      <c r="N11" s="36"/>
      <c r="O11" s="39" t="str">
        <f aca="false">IF(COUNT(K11:N11)=0,"",ROUND(AVERAGE(K11:N11),0))</f>
        <v/>
      </c>
      <c r="P11" s="38" t="str">
        <f aca="false">IF(O11="","",LOOKUP(O11,Impostazioni!$E$4:$E$9,Impostazioni!$F$4:$F$9))</f>
        <v/>
      </c>
      <c r="Q11" s="36"/>
      <c r="R11" s="36"/>
      <c r="S11" s="36"/>
      <c r="T11" s="36"/>
      <c r="U11" s="39" t="str">
        <f aca="false">IF(COUNT(Q11:T11)=0,"",ROUND(AVERAGE(Q11:T11),0))</f>
        <v/>
      </c>
      <c r="V11" s="38" t="str">
        <f aca="false">IF(U11="","",LOOKUP(U11,Impostazioni!$E$4:$E$9,Impostazioni!$F$4:$F$9))</f>
        <v/>
      </c>
      <c r="W11" s="36"/>
      <c r="X11" s="36"/>
      <c r="Y11" s="36"/>
      <c r="Z11" s="36"/>
      <c r="AA11" s="39" t="str">
        <f aca="false">IF(COUNT(W11:Z11)=0,"",ROUND(AVERAGE(W11:Z11),0))</f>
        <v/>
      </c>
      <c r="AB11" s="38" t="str">
        <f aca="false">IF(AA11="","",LOOKUP(AA11,Impostazioni!$E$4:$E$9,Impostazioni!$F$4:$F$9))</f>
        <v/>
      </c>
    </row>
    <row r="12" customFormat="false" ht="21" hidden="false" customHeight="true" outlineLevel="0" collapsed="false">
      <c r="A12" s="33" t="n">
        <v>2</v>
      </c>
      <c r="B12" s="34" t="str">
        <f aca="false">IFERROR(INDEX(Alunni!$C$1:$C$1000,MATCH($A12,Alunni!$A$1:$A$1000,0))&amp;"","")</f>
        <v>Bianchi Anna (esempio)</v>
      </c>
      <c r="C12" s="15"/>
      <c r="D12" s="35"/>
      <c r="E12" s="36" t="n">
        <v>7</v>
      </c>
      <c r="F12" s="36" t="n">
        <v>7</v>
      </c>
      <c r="G12" s="36"/>
      <c r="H12" s="36"/>
      <c r="I12" s="37" t="n">
        <f aca="false">IF(COUNT(E12:H12)=0,"",ROUND(AVERAGE(E12:H12),0))</f>
        <v>7</v>
      </c>
      <c r="J12" s="38" t="str">
        <f aca="false">IF(I12="","",LOOKUP(I12,Impostazioni!$E$4:$E$9,Impostazioni!$F$4:$F$9))</f>
        <v>Discreto</v>
      </c>
      <c r="K12" s="36"/>
      <c r="L12" s="36"/>
      <c r="M12" s="36"/>
      <c r="N12" s="36"/>
      <c r="O12" s="39" t="str">
        <f aca="false">IF(COUNT(K12:N12)=0,"",ROUND(AVERAGE(K12:N12),0))</f>
        <v/>
      </c>
      <c r="P12" s="38" t="str">
        <f aca="false">IF(O12="","",LOOKUP(O12,Impostazioni!$E$4:$E$9,Impostazioni!$F$4:$F$9))</f>
        <v/>
      </c>
      <c r="Q12" s="36"/>
      <c r="R12" s="36"/>
      <c r="S12" s="36"/>
      <c r="T12" s="36"/>
      <c r="U12" s="39" t="str">
        <f aca="false">IF(COUNT(Q12:T12)=0,"",ROUND(AVERAGE(Q12:T12),0))</f>
        <v/>
      </c>
      <c r="V12" s="38" t="str">
        <f aca="false">IF(U12="","",LOOKUP(U12,Impostazioni!$E$4:$E$9,Impostazioni!$F$4:$F$9))</f>
        <v/>
      </c>
      <c r="W12" s="36"/>
      <c r="X12" s="36"/>
      <c r="Y12" s="36"/>
      <c r="Z12" s="36"/>
      <c r="AA12" s="39" t="str">
        <f aca="false">IF(COUNT(W12:Z12)=0,"",ROUND(AVERAGE(W12:Z12),0))</f>
        <v/>
      </c>
      <c r="AB12" s="38" t="str">
        <f aca="false">IF(AA12="","",LOOKUP(AA12,Impostazioni!$E$4:$E$9,Impostazioni!$F$4:$F$9))</f>
        <v/>
      </c>
    </row>
    <row r="13" customFormat="false" ht="21" hidden="false" customHeight="true" outlineLevel="0" collapsed="false">
      <c r="A13" s="33" t="n">
        <v>3</v>
      </c>
      <c r="B13" s="34" t="str">
        <f aca="false">IFERROR(INDEX(Alunni!$C$1:$C$1000,MATCH($A13,Alunni!$A$1:$A$1000,0))&amp;"","")</f>
        <v>Verdi Luca (esempio)</v>
      </c>
      <c r="C13" s="15"/>
      <c r="D13" s="35"/>
      <c r="E13" s="36"/>
      <c r="F13" s="36"/>
      <c r="G13" s="36"/>
      <c r="H13" s="36"/>
      <c r="I13" s="37" t="str">
        <f aca="false">IF(COUNT(E13:H13)=0,"",ROUND(AVERAGE(E13:H13),0))</f>
        <v/>
      </c>
      <c r="J13" s="38" t="str">
        <f aca="false">IF(I13="","",LOOKUP(I13,Impostazioni!$E$4:$E$9,Impostazioni!$F$4:$F$9))</f>
        <v/>
      </c>
      <c r="K13" s="36"/>
      <c r="L13" s="36"/>
      <c r="M13" s="36"/>
      <c r="N13" s="36"/>
      <c r="O13" s="39" t="str">
        <f aca="false">IF(COUNT(K13:N13)=0,"",ROUND(AVERAGE(K13:N13),0))</f>
        <v/>
      </c>
      <c r="P13" s="38" t="str">
        <f aca="false">IF(O13="","",LOOKUP(O13,Impostazioni!$E$4:$E$9,Impostazioni!$F$4:$F$9))</f>
        <v/>
      </c>
      <c r="Q13" s="36"/>
      <c r="R13" s="36"/>
      <c r="S13" s="36"/>
      <c r="T13" s="36"/>
      <c r="U13" s="39" t="str">
        <f aca="false">IF(COUNT(Q13:T13)=0,"",ROUND(AVERAGE(Q13:T13),0))</f>
        <v/>
      </c>
      <c r="V13" s="38" t="str">
        <f aca="false">IF(U13="","",LOOKUP(U13,Impostazioni!$E$4:$E$9,Impostazioni!$F$4:$F$9))</f>
        <v/>
      </c>
      <c r="W13" s="36"/>
      <c r="X13" s="36"/>
      <c r="Y13" s="36"/>
      <c r="Z13" s="36"/>
      <c r="AA13" s="39" t="str">
        <f aca="false">IF(COUNT(W13:Z13)=0,"",ROUND(AVERAGE(W13:Z13),0))</f>
        <v/>
      </c>
      <c r="AB13" s="38" t="str">
        <f aca="false">IF(AA13="","",LOOKUP(AA13,Impostazioni!$E$4:$E$9,Impostazioni!$F$4:$F$9))</f>
        <v/>
      </c>
    </row>
    <row r="14" customFormat="false" ht="21" hidden="false" customHeight="true" outlineLevel="0" collapsed="false">
      <c r="A14" s="33" t="n">
        <v>4</v>
      </c>
      <c r="B14" s="34" t="str">
        <f aca="false">IFERROR(INDEX(Alunni!$C$1:$C$1000,MATCH($A14,Alunni!$A$1:$A$1000,0))&amp;"","")</f>
        <v/>
      </c>
      <c r="C14" s="15"/>
      <c r="D14" s="35"/>
      <c r="E14" s="36"/>
      <c r="F14" s="36"/>
      <c r="G14" s="36"/>
      <c r="H14" s="36"/>
      <c r="I14" s="37" t="str">
        <f aca="false">IF(COUNT(E14:H14)=0,"",ROUND(AVERAGE(E14:H14),0))</f>
        <v/>
      </c>
      <c r="J14" s="38" t="str">
        <f aca="false">IF(I14="","",LOOKUP(I14,Impostazioni!$E$4:$E$9,Impostazioni!$F$4:$F$9))</f>
        <v/>
      </c>
      <c r="K14" s="36"/>
      <c r="L14" s="36"/>
      <c r="M14" s="36"/>
      <c r="N14" s="36"/>
      <c r="O14" s="39" t="str">
        <f aca="false">IF(COUNT(K14:N14)=0,"",ROUND(AVERAGE(K14:N14),0))</f>
        <v/>
      </c>
      <c r="P14" s="38" t="str">
        <f aca="false">IF(O14="","",LOOKUP(O14,Impostazioni!$E$4:$E$9,Impostazioni!$F$4:$F$9))</f>
        <v/>
      </c>
      <c r="Q14" s="36"/>
      <c r="R14" s="36"/>
      <c r="S14" s="36"/>
      <c r="T14" s="36"/>
      <c r="U14" s="39" t="str">
        <f aca="false">IF(COUNT(Q14:T14)=0,"",ROUND(AVERAGE(Q14:T14),0))</f>
        <v/>
      </c>
      <c r="V14" s="38" t="str">
        <f aca="false">IF(U14="","",LOOKUP(U14,Impostazioni!$E$4:$E$9,Impostazioni!$F$4:$F$9))</f>
        <v/>
      </c>
      <c r="W14" s="36"/>
      <c r="X14" s="36"/>
      <c r="Y14" s="36"/>
      <c r="Z14" s="36"/>
      <c r="AA14" s="39" t="str">
        <f aca="false">IF(COUNT(W14:Z14)=0,"",ROUND(AVERAGE(W14:Z14),0))</f>
        <v/>
      </c>
      <c r="AB14" s="38" t="str">
        <f aca="false">IF(AA14="","",LOOKUP(AA14,Impostazioni!$E$4:$E$9,Impostazioni!$F$4:$F$9))</f>
        <v/>
      </c>
    </row>
    <row r="15" customFormat="false" ht="21" hidden="false" customHeight="true" outlineLevel="0" collapsed="false">
      <c r="A15" s="33" t="n">
        <v>5</v>
      </c>
      <c r="B15" s="34" t="str">
        <f aca="false">IFERROR(INDEX(Alunni!$C$1:$C$1000,MATCH($A15,Alunni!$A$1:$A$1000,0))&amp;"","")</f>
        <v/>
      </c>
      <c r="C15" s="15"/>
      <c r="D15" s="35"/>
      <c r="E15" s="36"/>
      <c r="F15" s="36"/>
      <c r="G15" s="36"/>
      <c r="H15" s="36"/>
      <c r="I15" s="37" t="str">
        <f aca="false">IF(COUNT(E15:H15)=0,"",ROUND(AVERAGE(E15:H15),0))</f>
        <v/>
      </c>
      <c r="J15" s="38" t="str">
        <f aca="false">IF(I15="","",LOOKUP(I15,Impostazioni!$E$4:$E$9,Impostazioni!$F$4:$F$9))</f>
        <v/>
      </c>
      <c r="K15" s="36"/>
      <c r="L15" s="36"/>
      <c r="M15" s="36"/>
      <c r="N15" s="36"/>
      <c r="O15" s="39" t="str">
        <f aca="false">IF(COUNT(K15:N15)=0,"",ROUND(AVERAGE(K15:N15),0))</f>
        <v/>
      </c>
      <c r="P15" s="38" t="str">
        <f aca="false">IF(O15="","",LOOKUP(O15,Impostazioni!$E$4:$E$9,Impostazioni!$F$4:$F$9))</f>
        <v/>
      </c>
      <c r="Q15" s="36"/>
      <c r="R15" s="36"/>
      <c r="S15" s="36"/>
      <c r="T15" s="36"/>
      <c r="U15" s="39" t="str">
        <f aca="false">IF(COUNT(Q15:T15)=0,"",ROUND(AVERAGE(Q15:T15),0))</f>
        <v/>
      </c>
      <c r="V15" s="38" t="str">
        <f aca="false">IF(U15="","",LOOKUP(U15,Impostazioni!$E$4:$E$9,Impostazioni!$F$4:$F$9))</f>
        <v/>
      </c>
      <c r="W15" s="36"/>
      <c r="X15" s="36"/>
      <c r="Y15" s="36"/>
      <c r="Z15" s="36"/>
      <c r="AA15" s="39" t="str">
        <f aca="false">IF(COUNT(W15:Z15)=0,"",ROUND(AVERAGE(W15:Z15),0))</f>
        <v/>
      </c>
      <c r="AB15" s="38" t="str">
        <f aca="false">IF(AA15="","",LOOKUP(AA15,Impostazioni!$E$4:$E$9,Impostazioni!$F$4:$F$9))</f>
        <v/>
      </c>
    </row>
    <row r="16" customFormat="false" ht="21" hidden="false" customHeight="true" outlineLevel="0" collapsed="false">
      <c r="A16" s="33" t="n">
        <v>6</v>
      </c>
      <c r="B16" s="34" t="str">
        <f aca="false">IFERROR(INDEX(Alunni!$C$1:$C$1000,MATCH($A16,Alunni!$A$1:$A$1000,0))&amp;"","")</f>
        <v/>
      </c>
      <c r="C16" s="15"/>
      <c r="D16" s="35"/>
      <c r="E16" s="36"/>
      <c r="F16" s="36"/>
      <c r="G16" s="36"/>
      <c r="H16" s="36"/>
      <c r="I16" s="37" t="str">
        <f aca="false">IF(COUNT(E16:H16)=0,"",ROUND(AVERAGE(E16:H16),0))</f>
        <v/>
      </c>
      <c r="J16" s="38" t="str">
        <f aca="false">IF(I16="","",LOOKUP(I16,Impostazioni!$E$4:$E$9,Impostazioni!$F$4:$F$9))</f>
        <v/>
      </c>
      <c r="K16" s="36"/>
      <c r="L16" s="36"/>
      <c r="M16" s="36"/>
      <c r="N16" s="36"/>
      <c r="O16" s="39" t="str">
        <f aca="false">IF(COUNT(K16:N16)=0,"",ROUND(AVERAGE(K16:N16),0))</f>
        <v/>
      </c>
      <c r="P16" s="38" t="str">
        <f aca="false">IF(O16="","",LOOKUP(O16,Impostazioni!$E$4:$E$9,Impostazioni!$F$4:$F$9))</f>
        <v/>
      </c>
      <c r="Q16" s="36"/>
      <c r="R16" s="36"/>
      <c r="S16" s="36"/>
      <c r="T16" s="36"/>
      <c r="U16" s="39" t="str">
        <f aca="false">IF(COUNT(Q16:T16)=0,"",ROUND(AVERAGE(Q16:T16),0))</f>
        <v/>
      </c>
      <c r="V16" s="38" t="str">
        <f aca="false">IF(U16="","",LOOKUP(U16,Impostazioni!$E$4:$E$9,Impostazioni!$F$4:$F$9))</f>
        <v/>
      </c>
      <c r="W16" s="36"/>
      <c r="X16" s="36"/>
      <c r="Y16" s="36"/>
      <c r="Z16" s="36"/>
      <c r="AA16" s="39" t="str">
        <f aca="false">IF(COUNT(W16:Z16)=0,"",ROUND(AVERAGE(W16:Z16),0))</f>
        <v/>
      </c>
      <c r="AB16" s="38" t="str">
        <f aca="false">IF(AA16="","",LOOKUP(AA16,Impostazioni!$E$4:$E$9,Impostazioni!$F$4:$F$9))</f>
        <v/>
      </c>
    </row>
    <row r="17" customFormat="false" ht="21" hidden="false" customHeight="true" outlineLevel="0" collapsed="false">
      <c r="A17" s="33" t="n">
        <v>7</v>
      </c>
      <c r="B17" s="34" t="str">
        <f aca="false">IFERROR(INDEX(Alunni!$C$1:$C$1000,MATCH($A17,Alunni!$A$1:$A$1000,0))&amp;"","")</f>
        <v/>
      </c>
      <c r="C17" s="15"/>
      <c r="D17" s="35"/>
      <c r="E17" s="36"/>
      <c r="F17" s="36"/>
      <c r="G17" s="36"/>
      <c r="H17" s="36"/>
      <c r="I17" s="37" t="str">
        <f aca="false">IF(COUNT(E17:H17)=0,"",ROUND(AVERAGE(E17:H17),0))</f>
        <v/>
      </c>
      <c r="J17" s="38" t="str">
        <f aca="false">IF(I17="","",LOOKUP(I17,Impostazioni!$E$4:$E$9,Impostazioni!$F$4:$F$9))</f>
        <v/>
      </c>
      <c r="K17" s="36"/>
      <c r="L17" s="36"/>
      <c r="M17" s="36"/>
      <c r="N17" s="36"/>
      <c r="O17" s="39" t="str">
        <f aca="false">IF(COUNT(K17:N17)=0,"",ROUND(AVERAGE(K17:N17),0))</f>
        <v/>
      </c>
      <c r="P17" s="38" t="str">
        <f aca="false">IF(O17="","",LOOKUP(O17,Impostazioni!$E$4:$E$9,Impostazioni!$F$4:$F$9))</f>
        <v/>
      </c>
      <c r="Q17" s="36"/>
      <c r="R17" s="36"/>
      <c r="S17" s="36"/>
      <c r="T17" s="36"/>
      <c r="U17" s="39" t="str">
        <f aca="false">IF(COUNT(Q17:T17)=0,"",ROUND(AVERAGE(Q17:T17),0))</f>
        <v/>
      </c>
      <c r="V17" s="38" t="str">
        <f aca="false">IF(U17="","",LOOKUP(U17,Impostazioni!$E$4:$E$9,Impostazioni!$F$4:$F$9))</f>
        <v/>
      </c>
      <c r="W17" s="36"/>
      <c r="X17" s="36"/>
      <c r="Y17" s="36"/>
      <c r="Z17" s="36"/>
      <c r="AA17" s="39" t="str">
        <f aca="false">IF(COUNT(W17:Z17)=0,"",ROUND(AVERAGE(W17:Z17),0))</f>
        <v/>
      </c>
      <c r="AB17" s="38" t="str">
        <f aca="false">IF(AA17="","",LOOKUP(AA17,Impostazioni!$E$4:$E$9,Impostazioni!$F$4:$F$9))</f>
        <v/>
      </c>
    </row>
    <row r="18" customFormat="false" ht="21" hidden="false" customHeight="true" outlineLevel="0" collapsed="false">
      <c r="A18" s="33" t="n">
        <v>8</v>
      </c>
      <c r="B18" s="34" t="str">
        <f aca="false">IFERROR(INDEX(Alunni!$C$1:$C$1000,MATCH($A18,Alunni!$A$1:$A$1000,0))&amp;"","")</f>
        <v/>
      </c>
      <c r="C18" s="15"/>
      <c r="D18" s="35"/>
      <c r="E18" s="36"/>
      <c r="F18" s="36"/>
      <c r="G18" s="36"/>
      <c r="H18" s="36"/>
      <c r="I18" s="37" t="str">
        <f aca="false">IF(COUNT(E18:H18)=0,"",ROUND(AVERAGE(E18:H18),0))</f>
        <v/>
      </c>
      <c r="J18" s="38" t="str">
        <f aca="false">IF(I18="","",LOOKUP(I18,Impostazioni!$E$4:$E$9,Impostazioni!$F$4:$F$9))</f>
        <v/>
      </c>
      <c r="K18" s="36"/>
      <c r="L18" s="36"/>
      <c r="M18" s="36"/>
      <c r="N18" s="36"/>
      <c r="O18" s="39" t="str">
        <f aca="false">IF(COUNT(K18:N18)=0,"",ROUND(AVERAGE(K18:N18),0))</f>
        <v/>
      </c>
      <c r="P18" s="38" t="str">
        <f aca="false">IF(O18="","",LOOKUP(O18,Impostazioni!$E$4:$E$9,Impostazioni!$F$4:$F$9))</f>
        <v/>
      </c>
      <c r="Q18" s="36"/>
      <c r="R18" s="36"/>
      <c r="S18" s="36"/>
      <c r="T18" s="36"/>
      <c r="U18" s="39" t="str">
        <f aca="false">IF(COUNT(Q18:T18)=0,"",ROUND(AVERAGE(Q18:T18),0))</f>
        <v/>
      </c>
      <c r="V18" s="38" t="str">
        <f aca="false">IF(U18="","",LOOKUP(U18,Impostazioni!$E$4:$E$9,Impostazioni!$F$4:$F$9))</f>
        <v/>
      </c>
      <c r="W18" s="36"/>
      <c r="X18" s="36"/>
      <c r="Y18" s="36"/>
      <c r="Z18" s="36"/>
      <c r="AA18" s="39" t="str">
        <f aca="false">IF(COUNT(W18:Z18)=0,"",ROUND(AVERAGE(W18:Z18),0))</f>
        <v/>
      </c>
      <c r="AB18" s="38" t="str">
        <f aca="false">IF(AA18="","",LOOKUP(AA18,Impostazioni!$E$4:$E$9,Impostazioni!$F$4:$F$9))</f>
        <v/>
      </c>
    </row>
    <row r="19" customFormat="false" ht="21" hidden="false" customHeight="true" outlineLevel="0" collapsed="false">
      <c r="A19" s="33" t="n">
        <v>9</v>
      </c>
      <c r="B19" s="34" t="str">
        <f aca="false">IFERROR(INDEX(Alunni!$C$1:$C$1000,MATCH($A19,Alunni!$A$1:$A$1000,0))&amp;"","")</f>
        <v/>
      </c>
      <c r="C19" s="15"/>
      <c r="D19" s="35"/>
      <c r="E19" s="36"/>
      <c r="F19" s="36"/>
      <c r="G19" s="36"/>
      <c r="H19" s="36"/>
      <c r="I19" s="37" t="str">
        <f aca="false">IF(COUNT(E19:H19)=0,"",ROUND(AVERAGE(E19:H19),0))</f>
        <v/>
      </c>
      <c r="J19" s="38" t="str">
        <f aca="false">IF(I19="","",LOOKUP(I19,Impostazioni!$E$4:$E$9,Impostazioni!$F$4:$F$9))</f>
        <v/>
      </c>
      <c r="K19" s="36"/>
      <c r="L19" s="36"/>
      <c r="M19" s="36"/>
      <c r="N19" s="36"/>
      <c r="O19" s="39" t="str">
        <f aca="false">IF(COUNT(K19:N19)=0,"",ROUND(AVERAGE(K19:N19),0))</f>
        <v/>
      </c>
      <c r="P19" s="38" t="str">
        <f aca="false">IF(O19="","",LOOKUP(O19,Impostazioni!$E$4:$E$9,Impostazioni!$F$4:$F$9))</f>
        <v/>
      </c>
      <c r="Q19" s="36"/>
      <c r="R19" s="36"/>
      <c r="S19" s="36"/>
      <c r="T19" s="36"/>
      <c r="U19" s="39" t="str">
        <f aca="false">IF(COUNT(Q19:T19)=0,"",ROUND(AVERAGE(Q19:T19),0))</f>
        <v/>
      </c>
      <c r="V19" s="38" t="str">
        <f aca="false">IF(U19="","",LOOKUP(U19,Impostazioni!$E$4:$E$9,Impostazioni!$F$4:$F$9))</f>
        <v/>
      </c>
      <c r="W19" s="36"/>
      <c r="X19" s="36"/>
      <c r="Y19" s="36"/>
      <c r="Z19" s="36"/>
      <c r="AA19" s="39" t="str">
        <f aca="false">IF(COUNT(W19:Z19)=0,"",ROUND(AVERAGE(W19:Z19),0))</f>
        <v/>
      </c>
      <c r="AB19" s="38" t="str">
        <f aca="false">IF(AA19="","",LOOKUP(AA19,Impostazioni!$E$4:$E$9,Impostazioni!$F$4:$F$9))</f>
        <v/>
      </c>
    </row>
    <row r="20" customFormat="false" ht="21" hidden="false" customHeight="true" outlineLevel="0" collapsed="false">
      <c r="A20" s="33" t="n">
        <v>10</v>
      </c>
      <c r="B20" s="34" t="str">
        <f aca="false">IFERROR(INDEX(Alunni!$C$1:$C$1000,MATCH($A20,Alunni!$A$1:$A$1000,0))&amp;"","")</f>
        <v/>
      </c>
      <c r="C20" s="15"/>
      <c r="D20" s="35"/>
      <c r="E20" s="36"/>
      <c r="F20" s="36"/>
      <c r="G20" s="36"/>
      <c r="H20" s="36"/>
      <c r="I20" s="37" t="str">
        <f aca="false">IF(COUNT(E20:H20)=0,"",ROUND(AVERAGE(E20:H20),0))</f>
        <v/>
      </c>
      <c r="J20" s="38" t="str">
        <f aca="false">IF(I20="","",LOOKUP(I20,Impostazioni!$E$4:$E$9,Impostazioni!$F$4:$F$9))</f>
        <v/>
      </c>
      <c r="K20" s="36"/>
      <c r="L20" s="36"/>
      <c r="M20" s="36"/>
      <c r="N20" s="36"/>
      <c r="O20" s="39" t="str">
        <f aca="false">IF(COUNT(K20:N20)=0,"",ROUND(AVERAGE(K20:N20),0))</f>
        <v/>
      </c>
      <c r="P20" s="38" t="str">
        <f aca="false">IF(O20="","",LOOKUP(O20,Impostazioni!$E$4:$E$9,Impostazioni!$F$4:$F$9))</f>
        <v/>
      </c>
      <c r="Q20" s="36"/>
      <c r="R20" s="36"/>
      <c r="S20" s="36"/>
      <c r="T20" s="36"/>
      <c r="U20" s="39" t="str">
        <f aca="false">IF(COUNT(Q20:T20)=0,"",ROUND(AVERAGE(Q20:T20),0))</f>
        <v/>
      </c>
      <c r="V20" s="38" t="str">
        <f aca="false">IF(U20="","",LOOKUP(U20,Impostazioni!$E$4:$E$9,Impostazioni!$F$4:$F$9))</f>
        <v/>
      </c>
      <c r="W20" s="36"/>
      <c r="X20" s="36"/>
      <c r="Y20" s="36"/>
      <c r="Z20" s="36"/>
      <c r="AA20" s="39" t="str">
        <f aca="false">IF(COUNT(W20:Z20)=0,"",ROUND(AVERAGE(W20:Z20),0))</f>
        <v/>
      </c>
      <c r="AB20" s="38" t="str">
        <f aca="false">IF(AA20="","",LOOKUP(AA20,Impostazioni!$E$4:$E$9,Impostazioni!$F$4:$F$9))</f>
        <v/>
      </c>
    </row>
    <row r="21" customFormat="false" ht="21" hidden="false" customHeight="true" outlineLevel="0" collapsed="false">
      <c r="A21" s="33" t="n">
        <v>11</v>
      </c>
      <c r="B21" s="34" t="str">
        <f aca="false">IFERROR(INDEX(Alunni!$C$1:$C$1000,MATCH($A21,Alunni!$A$1:$A$1000,0))&amp;"","")</f>
        <v/>
      </c>
      <c r="C21" s="15"/>
      <c r="D21" s="35"/>
      <c r="E21" s="36"/>
      <c r="F21" s="36"/>
      <c r="G21" s="36"/>
      <c r="H21" s="36"/>
      <c r="I21" s="37" t="str">
        <f aca="false">IF(COUNT(E21:H21)=0,"",ROUND(AVERAGE(E21:H21),0))</f>
        <v/>
      </c>
      <c r="J21" s="38" t="str">
        <f aca="false">IF(I21="","",LOOKUP(I21,Impostazioni!$E$4:$E$9,Impostazioni!$F$4:$F$9))</f>
        <v/>
      </c>
      <c r="K21" s="36"/>
      <c r="L21" s="36"/>
      <c r="M21" s="36"/>
      <c r="N21" s="36"/>
      <c r="O21" s="39" t="str">
        <f aca="false">IF(COUNT(K21:N21)=0,"",ROUND(AVERAGE(K21:N21),0))</f>
        <v/>
      </c>
      <c r="P21" s="38" t="str">
        <f aca="false">IF(O21="","",LOOKUP(O21,Impostazioni!$E$4:$E$9,Impostazioni!$F$4:$F$9))</f>
        <v/>
      </c>
      <c r="Q21" s="36"/>
      <c r="R21" s="36"/>
      <c r="S21" s="36"/>
      <c r="T21" s="36"/>
      <c r="U21" s="39" t="str">
        <f aca="false">IF(COUNT(Q21:T21)=0,"",ROUND(AVERAGE(Q21:T21),0))</f>
        <v/>
      </c>
      <c r="V21" s="38" t="str">
        <f aca="false">IF(U21="","",LOOKUP(U21,Impostazioni!$E$4:$E$9,Impostazioni!$F$4:$F$9))</f>
        <v/>
      </c>
      <c r="W21" s="36"/>
      <c r="X21" s="36"/>
      <c r="Y21" s="36"/>
      <c r="Z21" s="36"/>
      <c r="AA21" s="39" t="str">
        <f aca="false">IF(COUNT(W21:Z21)=0,"",ROUND(AVERAGE(W21:Z21),0))</f>
        <v/>
      </c>
      <c r="AB21" s="38" t="str">
        <f aca="false">IF(AA21="","",LOOKUP(AA21,Impostazioni!$E$4:$E$9,Impostazioni!$F$4:$F$9))</f>
        <v/>
      </c>
    </row>
    <row r="22" customFormat="false" ht="21" hidden="false" customHeight="true" outlineLevel="0" collapsed="false">
      <c r="A22" s="33" t="n">
        <v>12</v>
      </c>
      <c r="B22" s="34" t="str">
        <f aca="false">IFERROR(INDEX(Alunni!$C$1:$C$1000,MATCH($A22,Alunni!$A$1:$A$1000,0))&amp;"","")</f>
        <v/>
      </c>
      <c r="C22" s="15"/>
      <c r="D22" s="35"/>
      <c r="E22" s="36"/>
      <c r="F22" s="36"/>
      <c r="G22" s="36"/>
      <c r="H22" s="36"/>
      <c r="I22" s="37" t="str">
        <f aca="false">IF(COUNT(E22:H22)=0,"",ROUND(AVERAGE(E22:H22),0))</f>
        <v/>
      </c>
      <c r="J22" s="38" t="str">
        <f aca="false">IF(I22="","",LOOKUP(I22,Impostazioni!$E$4:$E$9,Impostazioni!$F$4:$F$9))</f>
        <v/>
      </c>
      <c r="K22" s="36"/>
      <c r="L22" s="36"/>
      <c r="M22" s="36"/>
      <c r="N22" s="36"/>
      <c r="O22" s="39" t="str">
        <f aca="false">IF(COUNT(K22:N22)=0,"",ROUND(AVERAGE(K22:N22),0))</f>
        <v/>
      </c>
      <c r="P22" s="38" t="str">
        <f aca="false">IF(O22="","",LOOKUP(O22,Impostazioni!$E$4:$E$9,Impostazioni!$F$4:$F$9))</f>
        <v/>
      </c>
      <c r="Q22" s="36"/>
      <c r="R22" s="36"/>
      <c r="S22" s="36"/>
      <c r="T22" s="36"/>
      <c r="U22" s="39" t="str">
        <f aca="false">IF(COUNT(Q22:T22)=0,"",ROUND(AVERAGE(Q22:T22),0))</f>
        <v/>
      </c>
      <c r="V22" s="38" t="str">
        <f aca="false">IF(U22="","",LOOKUP(U22,Impostazioni!$E$4:$E$9,Impostazioni!$F$4:$F$9))</f>
        <v/>
      </c>
      <c r="W22" s="36"/>
      <c r="X22" s="36"/>
      <c r="Y22" s="36"/>
      <c r="Z22" s="36"/>
      <c r="AA22" s="39" t="str">
        <f aca="false">IF(COUNT(W22:Z22)=0,"",ROUND(AVERAGE(W22:Z22),0))</f>
        <v/>
      </c>
      <c r="AB22" s="38" t="str">
        <f aca="false">IF(AA22="","",LOOKUP(AA22,Impostazioni!$E$4:$E$9,Impostazioni!$F$4:$F$9))</f>
        <v/>
      </c>
    </row>
    <row r="23" customFormat="false" ht="21" hidden="false" customHeight="true" outlineLevel="0" collapsed="false">
      <c r="A23" s="33" t="n">
        <v>13</v>
      </c>
      <c r="B23" s="34" t="str">
        <f aca="false">IFERROR(INDEX(Alunni!$C$1:$C$1000,MATCH($A23,Alunni!$A$1:$A$1000,0))&amp;"","")</f>
        <v/>
      </c>
      <c r="C23" s="15"/>
      <c r="D23" s="35"/>
      <c r="E23" s="36"/>
      <c r="F23" s="36"/>
      <c r="G23" s="36"/>
      <c r="H23" s="36"/>
      <c r="I23" s="37" t="str">
        <f aca="false">IF(COUNT(E23:H23)=0,"",ROUND(AVERAGE(E23:H23),0))</f>
        <v/>
      </c>
      <c r="J23" s="38" t="str">
        <f aca="false">IF(I23="","",LOOKUP(I23,Impostazioni!$E$4:$E$9,Impostazioni!$F$4:$F$9))</f>
        <v/>
      </c>
      <c r="K23" s="36"/>
      <c r="L23" s="36"/>
      <c r="M23" s="36"/>
      <c r="N23" s="36"/>
      <c r="O23" s="39" t="str">
        <f aca="false">IF(COUNT(K23:N23)=0,"",ROUND(AVERAGE(K23:N23),0))</f>
        <v/>
      </c>
      <c r="P23" s="38" t="str">
        <f aca="false">IF(O23="","",LOOKUP(O23,Impostazioni!$E$4:$E$9,Impostazioni!$F$4:$F$9))</f>
        <v/>
      </c>
      <c r="Q23" s="36"/>
      <c r="R23" s="36"/>
      <c r="S23" s="36"/>
      <c r="T23" s="36"/>
      <c r="U23" s="39" t="str">
        <f aca="false">IF(COUNT(Q23:T23)=0,"",ROUND(AVERAGE(Q23:T23),0))</f>
        <v/>
      </c>
      <c r="V23" s="38" t="str">
        <f aca="false">IF(U23="","",LOOKUP(U23,Impostazioni!$E$4:$E$9,Impostazioni!$F$4:$F$9))</f>
        <v/>
      </c>
      <c r="W23" s="36"/>
      <c r="X23" s="36"/>
      <c r="Y23" s="36"/>
      <c r="Z23" s="36"/>
      <c r="AA23" s="39" t="str">
        <f aca="false">IF(COUNT(W23:Z23)=0,"",ROUND(AVERAGE(W23:Z23),0))</f>
        <v/>
      </c>
      <c r="AB23" s="38" t="str">
        <f aca="false">IF(AA23="","",LOOKUP(AA23,Impostazioni!$E$4:$E$9,Impostazioni!$F$4:$F$9))</f>
        <v/>
      </c>
    </row>
    <row r="24" customFormat="false" ht="21" hidden="false" customHeight="true" outlineLevel="0" collapsed="false">
      <c r="A24" s="33" t="n">
        <v>14</v>
      </c>
      <c r="B24" s="34" t="str">
        <f aca="false">IFERROR(INDEX(Alunni!$C$1:$C$1000,MATCH($A24,Alunni!$A$1:$A$1000,0))&amp;"","")</f>
        <v/>
      </c>
      <c r="C24" s="15"/>
      <c r="D24" s="35"/>
      <c r="E24" s="36"/>
      <c r="F24" s="36"/>
      <c r="G24" s="36"/>
      <c r="H24" s="36"/>
      <c r="I24" s="37" t="str">
        <f aca="false">IF(COUNT(E24:H24)=0,"",ROUND(AVERAGE(E24:H24),0))</f>
        <v/>
      </c>
      <c r="J24" s="38" t="str">
        <f aca="false">IF(I24="","",LOOKUP(I24,Impostazioni!$E$4:$E$9,Impostazioni!$F$4:$F$9))</f>
        <v/>
      </c>
      <c r="K24" s="36"/>
      <c r="L24" s="36"/>
      <c r="M24" s="36"/>
      <c r="N24" s="36"/>
      <c r="O24" s="39" t="str">
        <f aca="false">IF(COUNT(K24:N24)=0,"",ROUND(AVERAGE(K24:N24),0))</f>
        <v/>
      </c>
      <c r="P24" s="38" t="str">
        <f aca="false">IF(O24="","",LOOKUP(O24,Impostazioni!$E$4:$E$9,Impostazioni!$F$4:$F$9))</f>
        <v/>
      </c>
      <c r="Q24" s="36"/>
      <c r="R24" s="36"/>
      <c r="S24" s="36"/>
      <c r="T24" s="36"/>
      <c r="U24" s="39" t="str">
        <f aca="false">IF(COUNT(Q24:T24)=0,"",ROUND(AVERAGE(Q24:T24),0))</f>
        <v/>
      </c>
      <c r="V24" s="38" t="str">
        <f aca="false">IF(U24="","",LOOKUP(U24,Impostazioni!$E$4:$E$9,Impostazioni!$F$4:$F$9))</f>
        <v/>
      </c>
      <c r="W24" s="36"/>
      <c r="X24" s="36"/>
      <c r="Y24" s="36"/>
      <c r="Z24" s="36"/>
      <c r="AA24" s="39" t="str">
        <f aca="false">IF(COUNT(W24:Z24)=0,"",ROUND(AVERAGE(W24:Z24),0))</f>
        <v/>
      </c>
      <c r="AB24" s="38" t="str">
        <f aca="false">IF(AA24="","",LOOKUP(AA24,Impostazioni!$E$4:$E$9,Impostazioni!$F$4:$F$9))</f>
        <v/>
      </c>
    </row>
    <row r="25" customFormat="false" ht="21" hidden="false" customHeight="true" outlineLevel="0" collapsed="false">
      <c r="A25" s="33" t="n">
        <v>15</v>
      </c>
      <c r="B25" s="34" t="str">
        <f aca="false">IFERROR(INDEX(Alunni!$C$1:$C$1000,MATCH($A25,Alunni!$A$1:$A$1000,0))&amp;"","")</f>
        <v/>
      </c>
      <c r="C25" s="15"/>
      <c r="D25" s="35"/>
      <c r="E25" s="36"/>
      <c r="F25" s="36"/>
      <c r="G25" s="36"/>
      <c r="H25" s="36"/>
      <c r="I25" s="37" t="str">
        <f aca="false">IF(COUNT(E25:H25)=0,"",ROUND(AVERAGE(E25:H25),0))</f>
        <v/>
      </c>
      <c r="J25" s="38" t="str">
        <f aca="false">IF(I25="","",LOOKUP(I25,Impostazioni!$E$4:$E$9,Impostazioni!$F$4:$F$9))</f>
        <v/>
      </c>
      <c r="K25" s="36"/>
      <c r="L25" s="36"/>
      <c r="M25" s="36"/>
      <c r="N25" s="36"/>
      <c r="O25" s="39" t="str">
        <f aca="false">IF(COUNT(K25:N25)=0,"",ROUND(AVERAGE(K25:N25),0))</f>
        <v/>
      </c>
      <c r="P25" s="38" t="str">
        <f aca="false">IF(O25="","",LOOKUP(O25,Impostazioni!$E$4:$E$9,Impostazioni!$F$4:$F$9))</f>
        <v/>
      </c>
      <c r="Q25" s="36"/>
      <c r="R25" s="36"/>
      <c r="S25" s="36"/>
      <c r="T25" s="36"/>
      <c r="U25" s="39" t="str">
        <f aca="false">IF(COUNT(Q25:T25)=0,"",ROUND(AVERAGE(Q25:T25),0))</f>
        <v/>
      </c>
      <c r="V25" s="38" t="str">
        <f aca="false">IF(U25="","",LOOKUP(U25,Impostazioni!$E$4:$E$9,Impostazioni!$F$4:$F$9))</f>
        <v/>
      </c>
      <c r="W25" s="36"/>
      <c r="X25" s="36"/>
      <c r="Y25" s="36"/>
      <c r="Z25" s="36"/>
      <c r="AA25" s="39" t="str">
        <f aca="false">IF(COUNT(W25:Z25)=0,"",ROUND(AVERAGE(W25:Z25),0))</f>
        <v/>
      </c>
      <c r="AB25" s="38" t="str">
        <f aca="false">IF(AA25="","",LOOKUP(AA25,Impostazioni!$E$4:$E$9,Impostazioni!$F$4:$F$9))</f>
        <v/>
      </c>
    </row>
    <row r="26" customFormat="false" ht="21" hidden="false" customHeight="true" outlineLevel="0" collapsed="false">
      <c r="A26" s="33" t="n">
        <v>16</v>
      </c>
      <c r="B26" s="34" t="str">
        <f aca="false">IFERROR(INDEX(Alunni!$C$1:$C$1000,MATCH($A26,Alunni!$A$1:$A$1000,0))&amp;"","")</f>
        <v/>
      </c>
      <c r="C26" s="15"/>
      <c r="D26" s="35"/>
      <c r="E26" s="36"/>
      <c r="F26" s="36"/>
      <c r="G26" s="36"/>
      <c r="H26" s="36"/>
      <c r="I26" s="37" t="str">
        <f aca="false">IF(COUNT(E26:H26)=0,"",ROUND(AVERAGE(E26:H26),0))</f>
        <v/>
      </c>
      <c r="J26" s="38" t="str">
        <f aca="false">IF(I26="","",LOOKUP(I26,Impostazioni!$E$4:$E$9,Impostazioni!$F$4:$F$9))</f>
        <v/>
      </c>
      <c r="K26" s="36"/>
      <c r="L26" s="36"/>
      <c r="M26" s="36"/>
      <c r="N26" s="36"/>
      <c r="O26" s="39" t="str">
        <f aca="false">IF(COUNT(K26:N26)=0,"",ROUND(AVERAGE(K26:N26),0))</f>
        <v/>
      </c>
      <c r="P26" s="38" t="str">
        <f aca="false">IF(O26="","",LOOKUP(O26,Impostazioni!$E$4:$E$9,Impostazioni!$F$4:$F$9))</f>
        <v/>
      </c>
      <c r="Q26" s="36"/>
      <c r="R26" s="36"/>
      <c r="S26" s="36"/>
      <c r="T26" s="36"/>
      <c r="U26" s="39" t="str">
        <f aca="false">IF(COUNT(Q26:T26)=0,"",ROUND(AVERAGE(Q26:T26),0))</f>
        <v/>
      </c>
      <c r="V26" s="38" t="str">
        <f aca="false">IF(U26="","",LOOKUP(U26,Impostazioni!$E$4:$E$9,Impostazioni!$F$4:$F$9))</f>
        <v/>
      </c>
      <c r="W26" s="36"/>
      <c r="X26" s="36"/>
      <c r="Y26" s="36"/>
      <c r="Z26" s="36"/>
      <c r="AA26" s="39" t="str">
        <f aca="false">IF(COUNT(W26:Z26)=0,"",ROUND(AVERAGE(W26:Z26),0))</f>
        <v/>
      </c>
      <c r="AB26" s="38" t="str">
        <f aca="false">IF(AA26="","",LOOKUP(AA26,Impostazioni!$E$4:$E$9,Impostazioni!$F$4:$F$9))</f>
        <v/>
      </c>
    </row>
    <row r="27" customFormat="false" ht="21" hidden="false" customHeight="true" outlineLevel="0" collapsed="false">
      <c r="A27" s="33" t="n">
        <v>17</v>
      </c>
      <c r="B27" s="34" t="str">
        <f aca="false">IFERROR(INDEX(Alunni!$C$1:$C$1000,MATCH($A27,Alunni!$A$1:$A$1000,0))&amp;"","")</f>
        <v/>
      </c>
      <c r="C27" s="15"/>
      <c r="D27" s="35"/>
      <c r="E27" s="36"/>
      <c r="F27" s="36"/>
      <c r="G27" s="36"/>
      <c r="H27" s="36"/>
      <c r="I27" s="37" t="str">
        <f aca="false">IF(COUNT(E27:H27)=0,"",ROUND(AVERAGE(E27:H27),0))</f>
        <v/>
      </c>
      <c r="J27" s="38" t="str">
        <f aca="false">IF(I27="","",LOOKUP(I27,Impostazioni!$E$4:$E$9,Impostazioni!$F$4:$F$9))</f>
        <v/>
      </c>
      <c r="K27" s="36"/>
      <c r="L27" s="36"/>
      <c r="M27" s="36"/>
      <c r="N27" s="36"/>
      <c r="O27" s="39" t="str">
        <f aca="false">IF(COUNT(K27:N27)=0,"",ROUND(AVERAGE(K27:N27),0))</f>
        <v/>
      </c>
      <c r="P27" s="38" t="str">
        <f aca="false">IF(O27="","",LOOKUP(O27,Impostazioni!$E$4:$E$9,Impostazioni!$F$4:$F$9))</f>
        <v/>
      </c>
      <c r="Q27" s="36"/>
      <c r="R27" s="36"/>
      <c r="S27" s="36"/>
      <c r="T27" s="36"/>
      <c r="U27" s="39" t="str">
        <f aca="false">IF(COUNT(Q27:T27)=0,"",ROUND(AVERAGE(Q27:T27),0))</f>
        <v/>
      </c>
      <c r="V27" s="38" t="str">
        <f aca="false">IF(U27="","",LOOKUP(U27,Impostazioni!$E$4:$E$9,Impostazioni!$F$4:$F$9))</f>
        <v/>
      </c>
      <c r="W27" s="36"/>
      <c r="X27" s="36"/>
      <c r="Y27" s="36"/>
      <c r="Z27" s="36"/>
      <c r="AA27" s="39" t="str">
        <f aca="false">IF(COUNT(W27:Z27)=0,"",ROUND(AVERAGE(W27:Z27),0))</f>
        <v/>
      </c>
      <c r="AB27" s="38" t="str">
        <f aca="false">IF(AA27="","",LOOKUP(AA27,Impostazioni!$E$4:$E$9,Impostazioni!$F$4:$F$9))</f>
        <v/>
      </c>
    </row>
    <row r="28" customFormat="false" ht="21" hidden="false" customHeight="true" outlineLevel="0" collapsed="false">
      <c r="A28" s="33" t="n">
        <v>18</v>
      </c>
      <c r="B28" s="34" t="str">
        <f aca="false">IFERROR(INDEX(Alunni!$C$1:$C$1000,MATCH($A28,Alunni!$A$1:$A$1000,0))&amp;"","")</f>
        <v/>
      </c>
      <c r="C28" s="15"/>
      <c r="D28" s="35"/>
      <c r="E28" s="36"/>
      <c r="F28" s="36"/>
      <c r="G28" s="36"/>
      <c r="H28" s="36"/>
      <c r="I28" s="37" t="str">
        <f aca="false">IF(COUNT(E28:H28)=0,"",ROUND(AVERAGE(E28:H28),0))</f>
        <v/>
      </c>
      <c r="J28" s="38" t="str">
        <f aca="false">IF(I28="","",LOOKUP(I28,Impostazioni!$E$4:$E$9,Impostazioni!$F$4:$F$9))</f>
        <v/>
      </c>
      <c r="K28" s="36"/>
      <c r="L28" s="36"/>
      <c r="M28" s="36"/>
      <c r="N28" s="36"/>
      <c r="O28" s="39" t="str">
        <f aca="false">IF(COUNT(K28:N28)=0,"",ROUND(AVERAGE(K28:N28),0))</f>
        <v/>
      </c>
      <c r="P28" s="38" t="str">
        <f aca="false">IF(O28="","",LOOKUP(O28,Impostazioni!$E$4:$E$9,Impostazioni!$F$4:$F$9))</f>
        <v/>
      </c>
      <c r="Q28" s="36"/>
      <c r="R28" s="36"/>
      <c r="S28" s="36"/>
      <c r="T28" s="36"/>
      <c r="U28" s="39" t="str">
        <f aca="false">IF(COUNT(Q28:T28)=0,"",ROUND(AVERAGE(Q28:T28),0))</f>
        <v/>
      </c>
      <c r="V28" s="38" t="str">
        <f aca="false">IF(U28="","",LOOKUP(U28,Impostazioni!$E$4:$E$9,Impostazioni!$F$4:$F$9))</f>
        <v/>
      </c>
      <c r="W28" s="36"/>
      <c r="X28" s="36"/>
      <c r="Y28" s="36"/>
      <c r="Z28" s="36"/>
      <c r="AA28" s="39" t="str">
        <f aca="false">IF(COUNT(W28:Z28)=0,"",ROUND(AVERAGE(W28:Z28),0))</f>
        <v/>
      </c>
      <c r="AB28" s="38" t="str">
        <f aca="false">IF(AA28="","",LOOKUP(AA28,Impostazioni!$E$4:$E$9,Impostazioni!$F$4:$F$9))</f>
        <v/>
      </c>
    </row>
    <row r="29" customFormat="false" ht="21" hidden="false" customHeight="true" outlineLevel="0" collapsed="false">
      <c r="A29" s="33" t="n">
        <v>19</v>
      </c>
      <c r="B29" s="34" t="str">
        <f aca="false">IFERROR(INDEX(Alunni!$C$1:$C$1000,MATCH($A29,Alunni!$A$1:$A$1000,0))&amp;"","")</f>
        <v/>
      </c>
      <c r="C29" s="15"/>
      <c r="D29" s="35"/>
      <c r="E29" s="36"/>
      <c r="F29" s="36"/>
      <c r="G29" s="36"/>
      <c r="H29" s="36"/>
      <c r="I29" s="37" t="str">
        <f aca="false">IF(COUNT(E29:H29)=0,"",ROUND(AVERAGE(E29:H29),0))</f>
        <v/>
      </c>
      <c r="J29" s="38" t="str">
        <f aca="false">IF(I29="","",LOOKUP(I29,Impostazioni!$E$4:$E$9,Impostazioni!$F$4:$F$9))</f>
        <v/>
      </c>
      <c r="K29" s="36"/>
      <c r="L29" s="36"/>
      <c r="M29" s="36"/>
      <c r="N29" s="36"/>
      <c r="O29" s="39" t="str">
        <f aca="false">IF(COUNT(K29:N29)=0,"",ROUND(AVERAGE(K29:N29),0))</f>
        <v/>
      </c>
      <c r="P29" s="38" t="str">
        <f aca="false">IF(O29="","",LOOKUP(O29,Impostazioni!$E$4:$E$9,Impostazioni!$F$4:$F$9))</f>
        <v/>
      </c>
      <c r="Q29" s="36"/>
      <c r="R29" s="36"/>
      <c r="S29" s="36"/>
      <c r="T29" s="36"/>
      <c r="U29" s="39" t="str">
        <f aca="false">IF(COUNT(Q29:T29)=0,"",ROUND(AVERAGE(Q29:T29),0))</f>
        <v/>
      </c>
      <c r="V29" s="38" t="str">
        <f aca="false">IF(U29="","",LOOKUP(U29,Impostazioni!$E$4:$E$9,Impostazioni!$F$4:$F$9))</f>
        <v/>
      </c>
      <c r="W29" s="36"/>
      <c r="X29" s="36"/>
      <c r="Y29" s="36"/>
      <c r="Z29" s="36"/>
      <c r="AA29" s="39" t="str">
        <f aca="false">IF(COUNT(W29:Z29)=0,"",ROUND(AVERAGE(W29:Z29),0))</f>
        <v/>
      </c>
      <c r="AB29" s="38" t="str">
        <f aca="false">IF(AA29="","",LOOKUP(AA29,Impostazioni!$E$4:$E$9,Impostazioni!$F$4:$F$9))</f>
        <v/>
      </c>
    </row>
    <row r="30" customFormat="false" ht="21" hidden="false" customHeight="true" outlineLevel="0" collapsed="false">
      <c r="A30" s="33" t="n">
        <v>20</v>
      </c>
      <c r="B30" s="34" t="str">
        <f aca="false">IFERROR(INDEX(Alunni!$C$1:$C$1000,MATCH($A30,Alunni!$A$1:$A$1000,0))&amp;"","")</f>
        <v/>
      </c>
      <c r="C30" s="15"/>
      <c r="D30" s="35"/>
      <c r="E30" s="36"/>
      <c r="F30" s="36"/>
      <c r="G30" s="36"/>
      <c r="H30" s="36"/>
      <c r="I30" s="37" t="str">
        <f aca="false">IF(COUNT(E30:H30)=0,"",ROUND(AVERAGE(E30:H30),0))</f>
        <v/>
      </c>
      <c r="J30" s="38" t="str">
        <f aca="false">IF(I30="","",LOOKUP(I30,Impostazioni!$E$4:$E$9,Impostazioni!$F$4:$F$9))</f>
        <v/>
      </c>
      <c r="K30" s="36"/>
      <c r="L30" s="36"/>
      <c r="M30" s="36"/>
      <c r="N30" s="36"/>
      <c r="O30" s="39" t="str">
        <f aca="false">IF(COUNT(K30:N30)=0,"",ROUND(AVERAGE(K30:N30),0))</f>
        <v/>
      </c>
      <c r="P30" s="38" t="str">
        <f aca="false">IF(O30="","",LOOKUP(O30,Impostazioni!$E$4:$E$9,Impostazioni!$F$4:$F$9))</f>
        <v/>
      </c>
      <c r="Q30" s="36"/>
      <c r="R30" s="36"/>
      <c r="S30" s="36"/>
      <c r="T30" s="36"/>
      <c r="U30" s="39" t="str">
        <f aca="false">IF(COUNT(Q30:T30)=0,"",ROUND(AVERAGE(Q30:T30),0))</f>
        <v/>
      </c>
      <c r="V30" s="38" t="str">
        <f aca="false">IF(U30="","",LOOKUP(U30,Impostazioni!$E$4:$E$9,Impostazioni!$F$4:$F$9))</f>
        <v/>
      </c>
      <c r="W30" s="36"/>
      <c r="X30" s="36"/>
      <c r="Y30" s="36"/>
      <c r="Z30" s="36"/>
      <c r="AA30" s="39" t="str">
        <f aca="false">IF(COUNT(W30:Z30)=0,"",ROUND(AVERAGE(W30:Z30),0))</f>
        <v/>
      </c>
      <c r="AB30" s="38" t="str">
        <f aca="false">IF(AA30="","",LOOKUP(AA30,Impostazioni!$E$4:$E$9,Impostazioni!$F$4:$F$9))</f>
        <v/>
      </c>
    </row>
    <row r="31" customFormat="false" ht="21" hidden="false" customHeight="true" outlineLevel="0" collapsed="false">
      <c r="A31" s="33" t="n">
        <v>21</v>
      </c>
      <c r="B31" s="34" t="str">
        <f aca="false">IFERROR(INDEX(Alunni!$C$1:$C$1000,MATCH($A31,Alunni!$A$1:$A$1000,0))&amp;"","")</f>
        <v/>
      </c>
      <c r="C31" s="15"/>
      <c r="D31" s="35"/>
      <c r="E31" s="36"/>
      <c r="F31" s="36"/>
      <c r="G31" s="36"/>
      <c r="H31" s="36"/>
      <c r="I31" s="37" t="str">
        <f aca="false">IF(COUNT(E31:H31)=0,"",ROUND(AVERAGE(E31:H31),0))</f>
        <v/>
      </c>
      <c r="J31" s="38" t="str">
        <f aca="false">IF(I31="","",LOOKUP(I31,Impostazioni!$E$4:$E$9,Impostazioni!$F$4:$F$9))</f>
        <v/>
      </c>
      <c r="K31" s="36"/>
      <c r="L31" s="36"/>
      <c r="M31" s="36"/>
      <c r="N31" s="36"/>
      <c r="O31" s="39" t="str">
        <f aca="false">IF(COUNT(K31:N31)=0,"",ROUND(AVERAGE(K31:N31),0))</f>
        <v/>
      </c>
      <c r="P31" s="38" t="str">
        <f aca="false">IF(O31="","",LOOKUP(O31,Impostazioni!$E$4:$E$9,Impostazioni!$F$4:$F$9))</f>
        <v/>
      </c>
      <c r="Q31" s="36"/>
      <c r="R31" s="36"/>
      <c r="S31" s="36"/>
      <c r="T31" s="36"/>
      <c r="U31" s="39" t="str">
        <f aca="false">IF(COUNT(Q31:T31)=0,"",ROUND(AVERAGE(Q31:T31),0))</f>
        <v/>
      </c>
      <c r="V31" s="38" t="str">
        <f aca="false">IF(U31="","",LOOKUP(U31,Impostazioni!$E$4:$E$9,Impostazioni!$F$4:$F$9))</f>
        <v/>
      </c>
      <c r="W31" s="36"/>
      <c r="X31" s="36"/>
      <c r="Y31" s="36"/>
      <c r="Z31" s="36"/>
      <c r="AA31" s="39" t="str">
        <f aca="false">IF(COUNT(W31:Z31)=0,"",ROUND(AVERAGE(W31:Z31),0))</f>
        <v/>
      </c>
      <c r="AB31" s="38" t="str">
        <f aca="false">IF(AA31="","",LOOKUP(AA31,Impostazioni!$E$4:$E$9,Impostazioni!$F$4:$F$9))</f>
        <v/>
      </c>
    </row>
    <row r="32" customFormat="false" ht="21" hidden="false" customHeight="true" outlineLevel="0" collapsed="false">
      <c r="A32" s="33" t="n">
        <v>22</v>
      </c>
      <c r="B32" s="34" t="str">
        <f aca="false">IFERROR(INDEX(Alunni!$C$1:$C$1000,MATCH($A32,Alunni!$A$1:$A$1000,0))&amp;"","")</f>
        <v/>
      </c>
      <c r="C32" s="15"/>
      <c r="D32" s="35"/>
      <c r="E32" s="36"/>
      <c r="F32" s="36"/>
      <c r="G32" s="36"/>
      <c r="H32" s="36"/>
      <c r="I32" s="37" t="str">
        <f aca="false">IF(COUNT(E32:H32)=0,"",ROUND(AVERAGE(E32:H32),0))</f>
        <v/>
      </c>
      <c r="J32" s="38" t="str">
        <f aca="false">IF(I32="","",LOOKUP(I32,Impostazioni!$E$4:$E$9,Impostazioni!$F$4:$F$9))</f>
        <v/>
      </c>
      <c r="K32" s="36"/>
      <c r="L32" s="36"/>
      <c r="M32" s="36"/>
      <c r="N32" s="36"/>
      <c r="O32" s="39" t="str">
        <f aca="false">IF(COUNT(K32:N32)=0,"",ROUND(AVERAGE(K32:N32),0))</f>
        <v/>
      </c>
      <c r="P32" s="38" t="str">
        <f aca="false">IF(O32="","",LOOKUP(O32,Impostazioni!$E$4:$E$9,Impostazioni!$F$4:$F$9))</f>
        <v/>
      </c>
      <c r="Q32" s="36"/>
      <c r="R32" s="36"/>
      <c r="S32" s="36"/>
      <c r="T32" s="36"/>
      <c r="U32" s="39" t="str">
        <f aca="false">IF(COUNT(Q32:T32)=0,"",ROUND(AVERAGE(Q32:T32),0))</f>
        <v/>
      </c>
      <c r="V32" s="38" t="str">
        <f aca="false">IF(U32="","",LOOKUP(U32,Impostazioni!$E$4:$E$9,Impostazioni!$F$4:$F$9))</f>
        <v/>
      </c>
      <c r="W32" s="36"/>
      <c r="X32" s="36"/>
      <c r="Y32" s="36"/>
      <c r="Z32" s="36"/>
      <c r="AA32" s="39" t="str">
        <f aca="false">IF(COUNT(W32:Z32)=0,"",ROUND(AVERAGE(W32:Z32),0))</f>
        <v/>
      </c>
      <c r="AB32" s="38" t="str">
        <f aca="false">IF(AA32="","",LOOKUP(AA32,Impostazioni!$E$4:$E$9,Impostazioni!$F$4:$F$9))</f>
        <v/>
      </c>
    </row>
    <row r="33" customFormat="false" ht="21" hidden="false" customHeight="true" outlineLevel="0" collapsed="false">
      <c r="A33" s="33" t="n">
        <v>23</v>
      </c>
      <c r="B33" s="34" t="str">
        <f aca="false">IFERROR(INDEX(Alunni!$C$1:$C$1000,MATCH($A33,Alunni!$A$1:$A$1000,0))&amp;"","")</f>
        <v/>
      </c>
      <c r="C33" s="15"/>
      <c r="D33" s="35"/>
      <c r="E33" s="36"/>
      <c r="F33" s="36"/>
      <c r="G33" s="36"/>
      <c r="H33" s="36"/>
      <c r="I33" s="37" t="str">
        <f aca="false">IF(COUNT(E33:H33)=0,"",ROUND(AVERAGE(E33:H33),0))</f>
        <v/>
      </c>
      <c r="J33" s="38" t="str">
        <f aca="false">IF(I33="","",LOOKUP(I33,Impostazioni!$E$4:$E$9,Impostazioni!$F$4:$F$9))</f>
        <v/>
      </c>
      <c r="K33" s="36"/>
      <c r="L33" s="36"/>
      <c r="M33" s="36"/>
      <c r="N33" s="36"/>
      <c r="O33" s="39" t="str">
        <f aca="false">IF(COUNT(K33:N33)=0,"",ROUND(AVERAGE(K33:N33),0))</f>
        <v/>
      </c>
      <c r="P33" s="38" t="str">
        <f aca="false">IF(O33="","",LOOKUP(O33,Impostazioni!$E$4:$E$9,Impostazioni!$F$4:$F$9))</f>
        <v/>
      </c>
      <c r="Q33" s="36"/>
      <c r="R33" s="36"/>
      <c r="S33" s="36"/>
      <c r="T33" s="36"/>
      <c r="U33" s="39" t="str">
        <f aca="false">IF(COUNT(Q33:T33)=0,"",ROUND(AVERAGE(Q33:T33),0))</f>
        <v/>
      </c>
      <c r="V33" s="38" t="str">
        <f aca="false">IF(U33="","",LOOKUP(U33,Impostazioni!$E$4:$E$9,Impostazioni!$F$4:$F$9))</f>
        <v/>
      </c>
      <c r="W33" s="36"/>
      <c r="X33" s="36"/>
      <c r="Y33" s="36"/>
      <c r="Z33" s="36"/>
      <c r="AA33" s="39" t="str">
        <f aca="false">IF(COUNT(W33:Z33)=0,"",ROUND(AVERAGE(W33:Z33),0))</f>
        <v/>
      </c>
      <c r="AB33" s="38" t="str">
        <f aca="false">IF(AA33="","",LOOKUP(AA33,Impostazioni!$E$4:$E$9,Impostazioni!$F$4:$F$9))</f>
        <v/>
      </c>
    </row>
    <row r="34" customFormat="false" ht="21" hidden="false" customHeight="true" outlineLevel="0" collapsed="false">
      <c r="A34" s="33" t="n">
        <v>24</v>
      </c>
      <c r="B34" s="34" t="str">
        <f aca="false">IFERROR(INDEX(Alunni!$C$1:$C$1000,MATCH($A34,Alunni!$A$1:$A$1000,0))&amp;"","")</f>
        <v/>
      </c>
      <c r="C34" s="15"/>
      <c r="D34" s="35"/>
      <c r="E34" s="36"/>
      <c r="F34" s="36"/>
      <c r="G34" s="36"/>
      <c r="H34" s="36"/>
      <c r="I34" s="37" t="str">
        <f aca="false">IF(COUNT(E34:H34)=0,"",ROUND(AVERAGE(E34:H34),0))</f>
        <v/>
      </c>
      <c r="J34" s="38" t="str">
        <f aca="false">IF(I34="","",LOOKUP(I34,Impostazioni!$E$4:$E$9,Impostazioni!$F$4:$F$9))</f>
        <v/>
      </c>
      <c r="K34" s="36"/>
      <c r="L34" s="36"/>
      <c r="M34" s="36"/>
      <c r="N34" s="36"/>
      <c r="O34" s="39" t="str">
        <f aca="false">IF(COUNT(K34:N34)=0,"",ROUND(AVERAGE(K34:N34),0))</f>
        <v/>
      </c>
      <c r="P34" s="38" t="str">
        <f aca="false">IF(O34="","",LOOKUP(O34,Impostazioni!$E$4:$E$9,Impostazioni!$F$4:$F$9))</f>
        <v/>
      </c>
      <c r="Q34" s="36"/>
      <c r="R34" s="36"/>
      <c r="S34" s="36"/>
      <c r="T34" s="36"/>
      <c r="U34" s="39" t="str">
        <f aca="false">IF(COUNT(Q34:T34)=0,"",ROUND(AVERAGE(Q34:T34),0))</f>
        <v/>
      </c>
      <c r="V34" s="38" t="str">
        <f aca="false">IF(U34="","",LOOKUP(U34,Impostazioni!$E$4:$E$9,Impostazioni!$F$4:$F$9))</f>
        <v/>
      </c>
      <c r="W34" s="36"/>
      <c r="X34" s="36"/>
      <c r="Y34" s="36"/>
      <c r="Z34" s="36"/>
      <c r="AA34" s="39" t="str">
        <f aca="false">IF(COUNT(W34:Z34)=0,"",ROUND(AVERAGE(W34:Z34),0))</f>
        <v/>
      </c>
      <c r="AB34" s="38" t="str">
        <f aca="false">IF(AA34="","",LOOKUP(AA34,Impostazioni!$E$4:$E$9,Impostazioni!$F$4:$F$9))</f>
        <v/>
      </c>
    </row>
    <row r="35" customFormat="false" ht="21" hidden="false" customHeight="true" outlineLevel="0" collapsed="false">
      <c r="A35" s="33" t="n">
        <v>25</v>
      </c>
      <c r="B35" s="34" t="str">
        <f aca="false">IFERROR(INDEX(Alunni!$C$1:$C$1000,MATCH($A35,Alunni!$A$1:$A$1000,0))&amp;"","")</f>
        <v/>
      </c>
      <c r="C35" s="15"/>
      <c r="D35" s="35"/>
      <c r="E35" s="36"/>
      <c r="F35" s="36"/>
      <c r="G35" s="36"/>
      <c r="H35" s="36"/>
      <c r="I35" s="37" t="str">
        <f aca="false">IF(COUNT(E35:H35)=0,"",ROUND(AVERAGE(E35:H35),0))</f>
        <v/>
      </c>
      <c r="J35" s="38" t="str">
        <f aca="false">IF(I35="","",LOOKUP(I35,Impostazioni!$E$4:$E$9,Impostazioni!$F$4:$F$9))</f>
        <v/>
      </c>
      <c r="K35" s="36"/>
      <c r="L35" s="36"/>
      <c r="M35" s="36"/>
      <c r="N35" s="36"/>
      <c r="O35" s="39" t="str">
        <f aca="false">IF(COUNT(K35:N35)=0,"",ROUND(AVERAGE(K35:N35),0))</f>
        <v/>
      </c>
      <c r="P35" s="38" t="str">
        <f aca="false">IF(O35="","",LOOKUP(O35,Impostazioni!$E$4:$E$9,Impostazioni!$F$4:$F$9))</f>
        <v/>
      </c>
      <c r="Q35" s="36"/>
      <c r="R35" s="36"/>
      <c r="S35" s="36"/>
      <c r="T35" s="36"/>
      <c r="U35" s="39" t="str">
        <f aca="false">IF(COUNT(Q35:T35)=0,"",ROUND(AVERAGE(Q35:T35),0))</f>
        <v/>
      </c>
      <c r="V35" s="38" t="str">
        <f aca="false">IF(U35="","",LOOKUP(U35,Impostazioni!$E$4:$E$9,Impostazioni!$F$4:$F$9))</f>
        <v/>
      </c>
      <c r="W35" s="36"/>
      <c r="X35" s="36"/>
      <c r="Y35" s="36"/>
      <c r="Z35" s="36"/>
      <c r="AA35" s="39" t="str">
        <f aca="false">IF(COUNT(W35:Z35)=0,"",ROUND(AVERAGE(W35:Z35),0))</f>
        <v/>
      </c>
      <c r="AB35" s="38" t="str">
        <f aca="false">IF(AA35="","",LOOKUP(AA35,Impostazioni!$E$4:$E$9,Impostazioni!$F$4:$F$9))</f>
        <v/>
      </c>
    </row>
    <row r="36" customFormat="false" ht="21" hidden="false" customHeight="true" outlineLevel="0" collapsed="false">
      <c r="A36" s="33" t="n">
        <v>26</v>
      </c>
      <c r="B36" s="34" t="str">
        <f aca="false">IFERROR(INDEX(Alunni!$C$1:$C$1000,MATCH($A36,Alunni!$A$1:$A$1000,0))&amp;"","")</f>
        <v/>
      </c>
      <c r="C36" s="15"/>
      <c r="D36" s="35"/>
      <c r="E36" s="36"/>
      <c r="F36" s="36"/>
      <c r="G36" s="36"/>
      <c r="H36" s="36"/>
      <c r="I36" s="37" t="str">
        <f aca="false">IF(COUNT(E36:H36)=0,"",ROUND(AVERAGE(E36:H36),0))</f>
        <v/>
      </c>
      <c r="J36" s="38" t="str">
        <f aca="false">IF(I36="","",LOOKUP(I36,Impostazioni!$E$4:$E$9,Impostazioni!$F$4:$F$9))</f>
        <v/>
      </c>
      <c r="K36" s="36"/>
      <c r="L36" s="36"/>
      <c r="M36" s="36"/>
      <c r="N36" s="36"/>
      <c r="O36" s="39" t="str">
        <f aca="false">IF(COUNT(K36:N36)=0,"",ROUND(AVERAGE(K36:N36),0))</f>
        <v/>
      </c>
      <c r="P36" s="38" t="str">
        <f aca="false">IF(O36="","",LOOKUP(O36,Impostazioni!$E$4:$E$9,Impostazioni!$F$4:$F$9))</f>
        <v/>
      </c>
      <c r="Q36" s="36"/>
      <c r="R36" s="36"/>
      <c r="S36" s="36"/>
      <c r="T36" s="36"/>
      <c r="U36" s="39" t="str">
        <f aca="false">IF(COUNT(Q36:T36)=0,"",ROUND(AVERAGE(Q36:T36),0))</f>
        <v/>
      </c>
      <c r="V36" s="38" t="str">
        <f aca="false">IF(U36="","",LOOKUP(U36,Impostazioni!$E$4:$E$9,Impostazioni!$F$4:$F$9))</f>
        <v/>
      </c>
      <c r="W36" s="36"/>
      <c r="X36" s="36"/>
      <c r="Y36" s="36"/>
      <c r="Z36" s="36"/>
      <c r="AA36" s="39" t="str">
        <f aca="false">IF(COUNT(W36:Z36)=0,"",ROUND(AVERAGE(W36:Z36),0))</f>
        <v/>
      </c>
      <c r="AB36" s="38" t="str">
        <f aca="false">IF(AA36="","",LOOKUP(AA36,Impostazioni!$E$4:$E$9,Impostazioni!$F$4:$F$9))</f>
        <v/>
      </c>
    </row>
    <row r="37" customFormat="false" ht="21" hidden="false" customHeight="true" outlineLevel="0" collapsed="false">
      <c r="A37" s="33" t="n">
        <v>27</v>
      </c>
      <c r="B37" s="34" t="str">
        <f aca="false">IFERROR(INDEX(Alunni!$C$1:$C$1000,MATCH($A37,Alunni!$A$1:$A$1000,0))&amp;"","")</f>
        <v/>
      </c>
      <c r="C37" s="15"/>
      <c r="D37" s="35"/>
      <c r="E37" s="36"/>
      <c r="F37" s="36"/>
      <c r="G37" s="36"/>
      <c r="H37" s="36"/>
      <c r="I37" s="37" t="str">
        <f aca="false">IF(COUNT(E37:H37)=0,"",ROUND(AVERAGE(E37:H37),0))</f>
        <v/>
      </c>
      <c r="J37" s="38" t="str">
        <f aca="false">IF(I37="","",LOOKUP(I37,Impostazioni!$E$4:$E$9,Impostazioni!$F$4:$F$9))</f>
        <v/>
      </c>
      <c r="K37" s="36"/>
      <c r="L37" s="36"/>
      <c r="M37" s="36"/>
      <c r="N37" s="36"/>
      <c r="O37" s="39" t="str">
        <f aca="false">IF(COUNT(K37:N37)=0,"",ROUND(AVERAGE(K37:N37),0))</f>
        <v/>
      </c>
      <c r="P37" s="38" t="str">
        <f aca="false">IF(O37="","",LOOKUP(O37,Impostazioni!$E$4:$E$9,Impostazioni!$F$4:$F$9))</f>
        <v/>
      </c>
      <c r="Q37" s="36"/>
      <c r="R37" s="36"/>
      <c r="S37" s="36"/>
      <c r="T37" s="36"/>
      <c r="U37" s="39" t="str">
        <f aca="false">IF(COUNT(Q37:T37)=0,"",ROUND(AVERAGE(Q37:T37),0))</f>
        <v/>
      </c>
      <c r="V37" s="38" t="str">
        <f aca="false">IF(U37="","",LOOKUP(U37,Impostazioni!$E$4:$E$9,Impostazioni!$F$4:$F$9))</f>
        <v/>
      </c>
      <c r="W37" s="36"/>
      <c r="X37" s="36"/>
      <c r="Y37" s="36"/>
      <c r="Z37" s="36"/>
      <c r="AA37" s="39" t="str">
        <f aca="false">IF(COUNT(W37:Z37)=0,"",ROUND(AVERAGE(W37:Z37),0))</f>
        <v/>
      </c>
      <c r="AB37" s="38" t="str">
        <f aca="false">IF(AA37="","",LOOKUP(AA37,Impostazioni!$E$4:$E$9,Impostazioni!$F$4:$F$9))</f>
        <v/>
      </c>
    </row>
    <row r="38" customFormat="false" ht="21" hidden="false" customHeight="true" outlineLevel="0" collapsed="false">
      <c r="A38" s="33" t="n">
        <v>28</v>
      </c>
      <c r="B38" s="34" t="str">
        <f aca="false">IFERROR(INDEX(Alunni!$C$1:$C$1000,MATCH($A38,Alunni!$A$1:$A$1000,0))&amp;"","")</f>
        <v/>
      </c>
      <c r="C38" s="15"/>
      <c r="D38" s="35"/>
      <c r="E38" s="36"/>
      <c r="F38" s="36"/>
      <c r="G38" s="36"/>
      <c r="H38" s="36"/>
      <c r="I38" s="37" t="str">
        <f aca="false">IF(COUNT(E38:H38)=0,"",ROUND(AVERAGE(E38:H38),0))</f>
        <v/>
      </c>
      <c r="J38" s="38" t="str">
        <f aca="false">IF(I38="","",LOOKUP(I38,Impostazioni!$E$4:$E$9,Impostazioni!$F$4:$F$9))</f>
        <v/>
      </c>
      <c r="K38" s="36"/>
      <c r="L38" s="36"/>
      <c r="M38" s="36"/>
      <c r="N38" s="36"/>
      <c r="O38" s="39" t="str">
        <f aca="false">IF(COUNT(K38:N38)=0,"",ROUND(AVERAGE(K38:N38),0))</f>
        <v/>
      </c>
      <c r="P38" s="38" t="str">
        <f aca="false">IF(O38="","",LOOKUP(O38,Impostazioni!$E$4:$E$9,Impostazioni!$F$4:$F$9))</f>
        <v/>
      </c>
      <c r="Q38" s="36"/>
      <c r="R38" s="36"/>
      <c r="S38" s="36"/>
      <c r="T38" s="36"/>
      <c r="U38" s="39" t="str">
        <f aca="false">IF(COUNT(Q38:T38)=0,"",ROUND(AVERAGE(Q38:T38),0))</f>
        <v/>
      </c>
      <c r="V38" s="38" t="str">
        <f aca="false">IF(U38="","",LOOKUP(U38,Impostazioni!$E$4:$E$9,Impostazioni!$F$4:$F$9))</f>
        <v/>
      </c>
      <c r="W38" s="36"/>
      <c r="X38" s="36"/>
      <c r="Y38" s="36"/>
      <c r="Z38" s="36"/>
      <c r="AA38" s="39" t="str">
        <f aca="false">IF(COUNT(W38:Z38)=0,"",ROUND(AVERAGE(W38:Z38),0))</f>
        <v/>
      </c>
      <c r="AB38" s="38" t="str">
        <f aca="false">IF(AA38="","",LOOKUP(AA38,Impostazioni!$E$4:$E$9,Impostazioni!$F$4:$F$9))</f>
        <v/>
      </c>
    </row>
    <row r="39" customFormat="false" ht="21" hidden="false" customHeight="true" outlineLevel="0" collapsed="false">
      <c r="A39" s="33" t="n">
        <v>29</v>
      </c>
      <c r="B39" s="34" t="str">
        <f aca="false">IFERROR(INDEX(Alunni!$C$1:$C$1000,MATCH($A39,Alunni!$A$1:$A$1000,0))&amp;"","")</f>
        <v/>
      </c>
      <c r="C39" s="15"/>
      <c r="D39" s="35"/>
      <c r="E39" s="36"/>
      <c r="F39" s="36"/>
      <c r="G39" s="36"/>
      <c r="H39" s="36"/>
      <c r="I39" s="37" t="str">
        <f aca="false">IF(COUNT(E39:H39)=0,"",ROUND(AVERAGE(E39:H39),0))</f>
        <v/>
      </c>
      <c r="J39" s="38" t="str">
        <f aca="false">IF(I39="","",LOOKUP(I39,Impostazioni!$E$4:$E$9,Impostazioni!$F$4:$F$9))</f>
        <v/>
      </c>
      <c r="K39" s="36"/>
      <c r="L39" s="36"/>
      <c r="M39" s="36"/>
      <c r="N39" s="36"/>
      <c r="O39" s="39" t="str">
        <f aca="false">IF(COUNT(K39:N39)=0,"",ROUND(AVERAGE(K39:N39),0))</f>
        <v/>
      </c>
      <c r="P39" s="38" t="str">
        <f aca="false">IF(O39="","",LOOKUP(O39,Impostazioni!$E$4:$E$9,Impostazioni!$F$4:$F$9))</f>
        <v/>
      </c>
      <c r="Q39" s="36"/>
      <c r="R39" s="36"/>
      <c r="S39" s="36"/>
      <c r="T39" s="36"/>
      <c r="U39" s="39" t="str">
        <f aca="false">IF(COUNT(Q39:T39)=0,"",ROUND(AVERAGE(Q39:T39),0))</f>
        <v/>
      </c>
      <c r="V39" s="38" t="str">
        <f aca="false">IF(U39="","",LOOKUP(U39,Impostazioni!$E$4:$E$9,Impostazioni!$F$4:$F$9))</f>
        <v/>
      </c>
      <c r="W39" s="36"/>
      <c r="X39" s="36"/>
      <c r="Y39" s="36"/>
      <c r="Z39" s="36"/>
      <c r="AA39" s="39" t="str">
        <f aca="false">IF(COUNT(W39:Z39)=0,"",ROUND(AVERAGE(W39:Z39),0))</f>
        <v/>
      </c>
      <c r="AB39" s="38" t="str">
        <f aca="false">IF(AA39="","",LOOKUP(AA39,Impostazioni!$E$4:$E$9,Impostazioni!$F$4:$F$9))</f>
        <v/>
      </c>
    </row>
    <row r="40" customFormat="false" ht="21" hidden="false" customHeight="true" outlineLevel="0" collapsed="false">
      <c r="A40" s="33" t="n">
        <v>30</v>
      </c>
      <c r="B40" s="34" t="str">
        <f aca="false">IFERROR(INDEX(Alunni!$C$1:$C$1000,MATCH($A40,Alunni!$A$1:$A$1000,0))&amp;"","")</f>
        <v/>
      </c>
      <c r="C40" s="15"/>
      <c r="D40" s="35"/>
      <c r="E40" s="36"/>
      <c r="F40" s="36"/>
      <c r="G40" s="36"/>
      <c r="H40" s="36"/>
      <c r="I40" s="37" t="str">
        <f aca="false">IF(COUNT(E40:H40)=0,"",ROUND(AVERAGE(E40:H40),0))</f>
        <v/>
      </c>
      <c r="J40" s="38" t="str">
        <f aca="false">IF(I40="","",LOOKUP(I40,Impostazioni!$E$4:$E$9,Impostazioni!$F$4:$F$9))</f>
        <v/>
      </c>
      <c r="K40" s="36"/>
      <c r="L40" s="36"/>
      <c r="M40" s="36"/>
      <c r="N40" s="36"/>
      <c r="O40" s="39" t="str">
        <f aca="false">IF(COUNT(K40:N40)=0,"",ROUND(AVERAGE(K40:N40),0))</f>
        <v/>
      </c>
      <c r="P40" s="38" t="str">
        <f aca="false">IF(O40="","",LOOKUP(O40,Impostazioni!$E$4:$E$9,Impostazioni!$F$4:$F$9))</f>
        <v/>
      </c>
      <c r="Q40" s="36"/>
      <c r="R40" s="36"/>
      <c r="S40" s="36"/>
      <c r="T40" s="36"/>
      <c r="U40" s="39" t="str">
        <f aca="false">IF(COUNT(Q40:T40)=0,"",ROUND(AVERAGE(Q40:T40),0))</f>
        <v/>
      </c>
      <c r="V40" s="38" t="str">
        <f aca="false">IF(U40="","",LOOKUP(U40,Impostazioni!$E$4:$E$9,Impostazioni!$F$4:$F$9))</f>
        <v/>
      </c>
      <c r="W40" s="36"/>
      <c r="X40" s="36"/>
      <c r="Y40" s="36"/>
      <c r="Z40" s="36"/>
      <c r="AA40" s="39" t="str">
        <f aca="false">IF(COUNT(W40:Z40)=0,"",ROUND(AVERAGE(W40:Z40),0))</f>
        <v/>
      </c>
      <c r="AB40" s="38" t="str">
        <f aca="false">IF(AA40="","",LOOKUP(AA40,Impostazioni!$E$4:$E$9,Impostazioni!$F$4:$F$9))</f>
        <v/>
      </c>
    </row>
    <row r="42" customFormat="false" ht="25.5" hidden="false" customHeight="true" outlineLevel="0" collapsed="false">
      <c r="A42" s="4" t="str">
        <f aca="false">Calendario!B8&amp;"   ·   "&amp;IF(Calendario!G8="","(descrizione da Calendario)",Calendario!G8)&amp;"   ·   "&amp;IF(Calendario!E8="","data da fissare",CHOOSE(WEEKDAY(Calendario!E8,2),"lunedì","martedì","mercoledì","giovedì","venerdì","sabato","domenica")&amp;" "&amp;TEXT(DAY(Calendario!E8),"00")&amp;"/"&amp;TEXT(MONTH(Calendario!E8),"00")&amp;"/"&amp;YEAR(Calendario!E8))</f>
        <v>Q1-G02   ·   Progetto basket – osservazione (lezioni con l'esperto)   ·   lunedì 26/10/2026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customFormat="false" ht="15" hidden="false" customHeight="true" outlineLevel="0" collapsed="false">
      <c r="A43" s="25" t="s">
        <v>80</v>
      </c>
      <c r="B43" s="25"/>
      <c r="C43" s="25"/>
      <c r="D43" s="25"/>
      <c r="E43" s="26" t="str">
        <f aca="false">IF(Calendario!$H$8="","— libero —",Calendario!$H$8&amp;"  "&amp;IFERROR(VLOOKUP(Calendario!$H$8,Impostazioni!$A$25:$J$36,3,FALSE()),""))</f>
        <v>3.1  Modalità esecutive gioco-sport</v>
      </c>
      <c r="F43" s="26"/>
      <c r="G43" s="26"/>
      <c r="H43" s="26"/>
      <c r="I43" s="26"/>
      <c r="J43" s="26"/>
      <c r="K43" s="26" t="str">
        <f aca="false">IF(Calendario!$I$8="","— libero —",Calendario!$I$8&amp;"  "&amp;IFERROR(VLOOKUP(Calendario!$I$8,Impostazioni!$A$25:$J$36,3,FALSE()),""))</f>
        <v>3.3  Regole, sconfitta e vittoria</v>
      </c>
      <c r="L43" s="26"/>
      <c r="M43" s="26"/>
      <c r="N43" s="26"/>
      <c r="O43" s="26"/>
      <c r="P43" s="26"/>
      <c r="Q43" s="26" t="str">
        <f aca="false">IF(Calendario!$J$8="","— libero —",Calendario!$J$8&amp;"  "&amp;IFERROR(VLOOKUP(Calendario!$J$8,Impostazioni!$A$25:$J$36,3,FALSE()),""))</f>
        <v>— libero —</v>
      </c>
      <c r="R43" s="26"/>
      <c r="S43" s="26"/>
      <c r="T43" s="26"/>
      <c r="U43" s="26"/>
      <c r="V43" s="26"/>
      <c r="W43" s="26" t="str">
        <f aca="false">IF(Calendario!$K$8="","— libero —",Calendario!$K$8&amp;"  "&amp;IFERROR(VLOOKUP(Calendario!$K$8,Impostazioni!$A$25:$J$36,3,FALSE()),""))</f>
        <v>— libero —</v>
      </c>
      <c r="X43" s="26"/>
      <c r="Y43" s="26"/>
      <c r="Z43" s="26"/>
      <c r="AA43" s="26"/>
      <c r="AB43" s="26"/>
    </row>
    <row r="44" customFormat="false" ht="15" hidden="false" customHeight="true" outlineLevel="0" collapsed="false">
      <c r="A44" s="25" t="s">
        <v>81</v>
      </c>
      <c r="B44" s="25"/>
      <c r="C44" s="25"/>
      <c r="D44" s="25"/>
      <c r="E44" s="27" t="str">
        <f aca="false">IF(Calendario!$H$8="","","Ob. "&amp;IFERROR(VLOOKUP(Calendario!$H$8,Impostazioni!$A$25:$J$36,5,FALSE()),"?")&amp;" · peso "&amp;IF(Calendario!$F$8=2,Impostazioni!$B$11,Impostazioni!$B$10))</f>
        <v>Ob. B · peso 1</v>
      </c>
      <c r="F44" s="27"/>
      <c r="G44" s="27"/>
      <c r="H44" s="27"/>
      <c r="I44" s="27"/>
      <c r="J44" s="27"/>
      <c r="K44" s="27" t="str">
        <f aca="false">IF(Calendario!$I$8="","","Ob. "&amp;IFERROR(VLOOKUP(Calendario!$I$8,Impostazioni!$A$25:$J$36,5,FALSE()),"?")&amp;" · peso "&amp;IF(Calendario!$F$8=2,Impostazioni!$B$11,Impostazioni!$B$10))</f>
        <v>Ob. B · peso 1</v>
      </c>
      <c r="L44" s="27"/>
      <c r="M44" s="27"/>
      <c r="N44" s="27"/>
      <c r="O44" s="27"/>
      <c r="P44" s="27"/>
      <c r="Q44" s="27" t="str">
        <f aca="false">IF(Calendario!$J$8="","","Ob. "&amp;IFERROR(VLOOKUP(Calendario!$J$8,Impostazioni!$A$25:$J$36,5,FALSE()),"?")&amp;" · peso "&amp;IF(Calendario!$F$8=2,Impostazioni!$B$11,Impostazioni!$B$10))</f>
        <v/>
      </c>
      <c r="R44" s="27"/>
      <c r="S44" s="27"/>
      <c r="T44" s="27"/>
      <c r="U44" s="27"/>
      <c r="V44" s="27"/>
      <c r="W44" s="27" t="str">
        <f aca="false">IF(Calendario!$K$8="","","Ob. "&amp;IFERROR(VLOOKUP(Calendario!$K$8,Impostazioni!$A$25:$J$36,5,FALSE()),"?")&amp;" · peso "&amp;IF(Calendario!$F$8=2,Impostazioni!$B$11,Impostazioni!$B$10))</f>
        <v/>
      </c>
      <c r="X44" s="27"/>
      <c r="Y44" s="27"/>
      <c r="Z44" s="27"/>
      <c r="AA44" s="27"/>
      <c r="AB44" s="27"/>
    </row>
    <row r="45" customFormat="false" ht="33.75" hidden="false" customHeight="true" outlineLevel="0" collapsed="false">
      <c r="A45" s="25" t="s">
        <v>82</v>
      </c>
      <c r="B45" s="25"/>
      <c r="C45" s="25"/>
      <c r="D45" s="25"/>
      <c r="E45" s="28" t="str">
        <f aca="false">IF(Calendario!$H$8="","",IFERROR(HYPERLINK("#Rubriche!C"&amp;(MATCH(Calendario!$H$8,Rubriche!$A$1:$A$1000,0)+0),VLOOKUP(Calendario!$H$8,Impostazioni!$A$25:$J$36,7,FALSE())),""))</f>
        <v>Gesti tecnici</v>
      </c>
      <c r="F45" s="28" t="str">
        <f aca="false">IF(Calendario!$H$8="","",IFERROR(HYPERLINK("#Rubriche!C"&amp;(MATCH(Calendario!$H$8,Rubriche!$A$1:$A$1000,0)+1),VLOOKUP(Calendario!$H$8,Impostazioni!$A$25:$J$36,8,FALSE())),""))</f>
        <v>Regole specifiche</v>
      </c>
      <c r="G45" s="28" t="str">
        <f aca="false">IF(Calendario!$H$8="","",IFERROR(HYPERLINK("#Rubriche!C"&amp;(MATCH(Calendario!$H$8,Rubriche!$A$1:$A$1000,0)+2),VLOOKUP(Calendario!$H$8,Impostazioni!$A$25:$J$36,9,FALSE())),""))</f>
        <v>Scelte di gioco</v>
      </c>
      <c r="H45" s="28" t="str">
        <f aca="false">IF(Calendario!$H$8="","",IFERROR(HYPERLINK("#Rubriche!C"&amp;(MATCH(Calendario!$H$8,Rubriche!$A$1:$A$1000,0)+3),VLOOKUP(Calendario!$H$8,Impostazioni!$A$25:$J$36,10,FALSE())),""))</f>
        <v>Ruolo in campo</v>
      </c>
      <c r="I45" s="29"/>
      <c r="J45" s="29"/>
      <c r="K45" s="28" t="str">
        <f aca="false">IF(Calendario!$I$8="","",IFERROR(HYPERLINK("#Rubriche!C"&amp;(MATCH(Calendario!$I$8,Rubriche!$A$1:$A$1000,0)+0),VLOOKUP(Calendario!$I$8,Impostazioni!$A$25:$J$36,7,FALSE())),""))</f>
        <v>Regole nella competizione</v>
      </c>
      <c r="L45" s="28" t="str">
        <f aca="false">IF(Calendario!$I$8="","",IFERROR(HYPERLINK("#Rubriche!C"&amp;(MATCH(Calendario!$I$8,Rubriche!$A$1:$A$1000,0)+1),VLOOKUP(Calendario!$I$8,Impostazioni!$A$25:$J$36,8,FALSE())),""))</f>
        <v>Fair play</v>
      </c>
      <c r="M45" s="28" t="str">
        <f aca="false">IF(Calendario!$I$8="","",IFERROR(HYPERLINK("#Rubriche!C"&amp;(MATCH(Calendario!$I$8,Rubriche!$A$1:$A$1000,0)+2),VLOOKUP(Calendario!$I$8,Impostazioni!$A$25:$J$36,9,FALSE())),""))</f>
        <v>Gestione dell'esito</v>
      </c>
      <c r="N45" s="28" t="str">
        <f aca="false">IF(Calendario!$I$8="","",IFERROR(HYPERLINK("#Rubriche!C"&amp;(MATCH(Calendario!$I$8,Rubriche!$A$1:$A$1000,0)+3),VLOOKUP(Calendario!$I$8,Impostazioni!$A$25:$J$36,10,FALSE())),""))</f>
        <v>Responsabilità</v>
      </c>
      <c r="O45" s="29"/>
      <c r="P45" s="29"/>
      <c r="Q45" s="28" t="str">
        <f aca="false">IF(Calendario!$J$8="","",IFERROR(HYPERLINK("#Rubriche!C"&amp;(MATCH(Calendario!$J$8,Rubriche!$A$1:$A$1000,0)+0),VLOOKUP(Calendario!$J$8,Impostazioni!$A$25:$J$36,7,FALSE())),""))</f>
        <v/>
      </c>
      <c r="R45" s="28" t="str">
        <f aca="false">IF(Calendario!$J$8="","",IFERROR(HYPERLINK("#Rubriche!C"&amp;(MATCH(Calendario!$J$8,Rubriche!$A$1:$A$1000,0)+1),VLOOKUP(Calendario!$J$8,Impostazioni!$A$25:$J$36,8,FALSE())),""))</f>
        <v/>
      </c>
      <c r="S45" s="28" t="str">
        <f aca="false">IF(Calendario!$J$8="","",IFERROR(HYPERLINK("#Rubriche!C"&amp;(MATCH(Calendario!$J$8,Rubriche!$A$1:$A$1000,0)+2),VLOOKUP(Calendario!$J$8,Impostazioni!$A$25:$J$36,9,FALSE())),""))</f>
        <v/>
      </c>
      <c r="T45" s="28" t="str">
        <f aca="false">IF(Calendario!$J$8="","",IFERROR(HYPERLINK("#Rubriche!C"&amp;(MATCH(Calendario!$J$8,Rubriche!$A$1:$A$1000,0)+3),VLOOKUP(Calendario!$J$8,Impostazioni!$A$25:$J$36,10,FALSE())),""))</f>
        <v/>
      </c>
      <c r="U45" s="29"/>
      <c r="V45" s="29"/>
      <c r="W45" s="28" t="str">
        <f aca="false">IF(Calendario!$K$8="","",IFERROR(HYPERLINK("#Rubriche!C"&amp;(MATCH(Calendario!$K$8,Rubriche!$A$1:$A$1000,0)+0),VLOOKUP(Calendario!$K$8,Impostazioni!$A$25:$J$36,7,FALSE())),""))</f>
        <v/>
      </c>
      <c r="X45" s="28" t="str">
        <f aca="false">IF(Calendario!$K$8="","",IFERROR(HYPERLINK("#Rubriche!C"&amp;(MATCH(Calendario!$K$8,Rubriche!$A$1:$A$1000,0)+1),VLOOKUP(Calendario!$K$8,Impostazioni!$A$25:$J$36,8,FALSE())),""))</f>
        <v/>
      </c>
      <c r="Y45" s="28" t="str">
        <f aca="false">IF(Calendario!$K$8="","",IFERROR(HYPERLINK("#Rubriche!C"&amp;(MATCH(Calendario!$K$8,Rubriche!$A$1:$A$1000,0)+2),VLOOKUP(Calendario!$K$8,Impostazioni!$A$25:$J$36,9,FALSE())),""))</f>
        <v/>
      </c>
      <c r="Z45" s="28" t="str">
        <f aca="false">IF(Calendario!$K$8="","",IFERROR(HYPERLINK("#Rubriche!C"&amp;(MATCH(Calendario!$K$8,Rubriche!$A$1:$A$1000,0)+3),VLOOKUP(Calendario!$K$8,Impostazioni!$A$25:$J$36,10,FALSE())),""))</f>
        <v/>
      </c>
      <c r="AA45" s="29"/>
      <c r="AB45" s="29"/>
    </row>
    <row r="46" customFormat="false" ht="25.5" hidden="false" customHeight="true" outlineLevel="0" collapsed="false">
      <c r="A46" s="8" t="s">
        <v>65</v>
      </c>
      <c r="B46" s="8" t="s">
        <v>83</v>
      </c>
      <c r="C46" s="8" t="s">
        <v>68</v>
      </c>
      <c r="D46" s="8" t="s">
        <v>84</v>
      </c>
      <c r="E46" s="30" t="s">
        <v>85</v>
      </c>
      <c r="F46" s="30" t="s">
        <v>86</v>
      </c>
      <c r="G46" s="30" t="s">
        <v>87</v>
      </c>
      <c r="H46" s="30" t="s">
        <v>88</v>
      </c>
      <c r="I46" s="31" t="s">
        <v>89</v>
      </c>
      <c r="J46" s="32" t="s">
        <v>90</v>
      </c>
      <c r="K46" s="30" t="s">
        <v>85</v>
      </c>
      <c r="L46" s="30" t="s">
        <v>86</v>
      </c>
      <c r="M46" s="30" t="s">
        <v>87</v>
      </c>
      <c r="N46" s="30" t="s">
        <v>88</v>
      </c>
      <c r="O46" s="31" t="s">
        <v>89</v>
      </c>
      <c r="P46" s="32" t="s">
        <v>90</v>
      </c>
      <c r="Q46" s="30" t="s">
        <v>85</v>
      </c>
      <c r="R46" s="30" t="s">
        <v>86</v>
      </c>
      <c r="S46" s="30" t="s">
        <v>87</v>
      </c>
      <c r="T46" s="30" t="s">
        <v>88</v>
      </c>
      <c r="U46" s="31" t="s">
        <v>89</v>
      </c>
      <c r="V46" s="32" t="s">
        <v>90</v>
      </c>
      <c r="W46" s="30" t="s">
        <v>85</v>
      </c>
      <c r="X46" s="30" t="s">
        <v>86</v>
      </c>
      <c r="Y46" s="30" t="s">
        <v>87</v>
      </c>
      <c r="Z46" s="30" t="s">
        <v>88</v>
      </c>
      <c r="AA46" s="31" t="s">
        <v>89</v>
      </c>
      <c r="AB46" s="32" t="s">
        <v>90</v>
      </c>
    </row>
    <row r="47" customFormat="false" ht="21" hidden="false" customHeight="true" outlineLevel="0" collapsed="false">
      <c r="A47" s="33" t="n">
        <v>1</v>
      </c>
      <c r="B47" s="34" t="str">
        <f aca="false">IFERROR(INDEX(Alunni!$C$1:$C$1000,MATCH($A47,Alunni!$A$1:$A$1000,0))&amp;"","")</f>
        <v>Rossi Mario (esempio)</v>
      </c>
      <c r="C47" s="15"/>
      <c r="D47" s="35"/>
      <c r="E47" s="36" t="n">
        <v>8</v>
      </c>
      <c r="F47" s="36" t="n">
        <v>9</v>
      </c>
      <c r="G47" s="36" t="n">
        <v>8</v>
      </c>
      <c r="H47" s="36" t="n">
        <v>8</v>
      </c>
      <c r="I47" s="37" t="n">
        <f aca="false">IF(COUNT(E47:H47)=0,"",ROUND(AVERAGE(E47:H47),0))</f>
        <v>8</v>
      </c>
      <c r="J47" s="38" t="str">
        <f aca="false">IF(I47="","",LOOKUP(I47,Impostazioni!$E$4:$E$9,Impostazioni!$F$4:$F$9))</f>
        <v>Buono</v>
      </c>
      <c r="K47" s="36" t="n">
        <v>8</v>
      </c>
      <c r="L47" s="36" t="n">
        <v>8</v>
      </c>
      <c r="M47" s="36" t="n">
        <v>9</v>
      </c>
      <c r="N47" s="36" t="n">
        <v>8</v>
      </c>
      <c r="O47" s="37" t="n">
        <f aca="false">IF(COUNT(K47:N47)=0,"",ROUND(AVERAGE(K47:N47),0))</f>
        <v>8</v>
      </c>
      <c r="P47" s="38" t="str">
        <f aca="false">IF(O47="","",LOOKUP(O47,Impostazioni!$E$4:$E$9,Impostazioni!$F$4:$F$9))</f>
        <v>Buono</v>
      </c>
      <c r="Q47" s="36"/>
      <c r="R47" s="36"/>
      <c r="S47" s="36"/>
      <c r="T47" s="36"/>
      <c r="U47" s="39" t="str">
        <f aca="false">IF(COUNT(Q47:T47)=0,"",ROUND(AVERAGE(Q47:T47),0))</f>
        <v/>
      </c>
      <c r="V47" s="38" t="str">
        <f aca="false">IF(U47="","",LOOKUP(U47,Impostazioni!$E$4:$E$9,Impostazioni!$F$4:$F$9))</f>
        <v/>
      </c>
      <c r="W47" s="36"/>
      <c r="X47" s="36"/>
      <c r="Y47" s="36"/>
      <c r="Z47" s="36"/>
      <c r="AA47" s="39" t="str">
        <f aca="false">IF(COUNT(W47:Z47)=0,"",ROUND(AVERAGE(W47:Z47),0))</f>
        <v/>
      </c>
      <c r="AB47" s="38" t="str">
        <f aca="false">IF(AA47="","",LOOKUP(AA47,Impostazioni!$E$4:$E$9,Impostazioni!$F$4:$F$9))</f>
        <v/>
      </c>
    </row>
    <row r="48" customFormat="false" ht="21" hidden="false" customHeight="true" outlineLevel="0" collapsed="false">
      <c r="A48" s="33" t="n">
        <v>2</v>
      </c>
      <c r="B48" s="34" t="str">
        <f aca="false">IFERROR(INDEX(Alunni!$C$1:$C$1000,MATCH($A48,Alunni!$A$1:$A$1000,0))&amp;"","")</f>
        <v>Bianchi Anna (esempio)</v>
      </c>
      <c r="C48" s="15"/>
      <c r="D48" s="35"/>
      <c r="E48" s="36" t="n">
        <v>9</v>
      </c>
      <c r="F48" s="36" t="n">
        <v>9</v>
      </c>
      <c r="G48" s="36" t="n">
        <v>9</v>
      </c>
      <c r="H48" s="36" t="n">
        <v>8</v>
      </c>
      <c r="I48" s="37" t="n">
        <f aca="false">IF(COUNT(E48:H48)=0,"",ROUND(AVERAGE(E48:H48),0))</f>
        <v>9</v>
      </c>
      <c r="J48" s="38" t="str">
        <f aca="false">IF(I48="","",LOOKUP(I48,Impostazioni!$E$4:$E$9,Impostazioni!$F$4:$F$9))</f>
        <v>Distinto</v>
      </c>
      <c r="K48" s="36" t="n">
        <v>8</v>
      </c>
      <c r="L48" s="36" t="n">
        <v>8</v>
      </c>
      <c r="M48" s="36" t="n">
        <v>8</v>
      </c>
      <c r="N48" s="36" t="n">
        <v>8</v>
      </c>
      <c r="O48" s="37" t="n">
        <f aca="false">IF(COUNT(K48:N48)=0,"",ROUND(AVERAGE(K48:N48),0))</f>
        <v>8</v>
      </c>
      <c r="P48" s="38" t="str">
        <f aca="false">IF(O48="","",LOOKUP(O48,Impostazioni!$E$4:$E$9,Impostazioni!$F$4:$F$9))</f>
        <v>Buono</v>
      </c>
      <c r="Q48" s="36"/>
      <c r="R48" s="36"/>
      <c r="S48" s="36"/>
      <c r="T48" s="36"/>
      <c r="U48" s="39" t="str">
        <f aca="false">IF(COUNT(Q48:T48)=0,"",ROUND(AVERAGE(Q48:T48),0))</f>
        <v/>
      </c>
      <c r="V48" s="38" t="str">
        <f aca="false">IF(U48="","",LOOKUP(U48,Impostazioni!$E$4:$E$9,Impostazioni!$F$4:$F$9))</f>
        <v/>
      </c>
      <c r="W48" s="36"/>
      <c r="X48" s="36"/>
      <c r="Y48" s="36"/>
      <c r="Z48" s="36"/>
      <c r="AA48" s="39" t="str">
        <f aca="false">IF(COUNT(W48:Z48)=0,"",ROUND(AVERAGE(W48:Z48),0))</f>
        <v/>
      </c>
      <c r="AB48" s="38" t="str">
        <f aca="false">IF(AA48="","",LOOKUP(AA48,Impostazioni!$E$4:$E$9,Impostazioni!$F$4:$F$9))</f>
        <v/>
      </c>
    </row>
    <row r="49" customFormat="false" ht="21" hidden="false" customHeight="true" outlineLevel="0" collapsed="false">
      <c r="A49" s="33" t="n">
        <v>3</v>
      </c>
      <c r="B49" s="34" t="str">
        <f aca="false">IFERROR(INDEX(Alunni!$C$1:$C$1000,MATCH($A49,Alunni!$A$1:$A$1000,0))&amp;"","")</f>
        <v>Verdi Luca (esempio)</v>
      </c>
      <c r="C49" s="15"/>
      <c r="D49" s="35"/>
      <c r="E49" s="36"/>
      <c r="F49" s="36"/>
      <c r="G49" s="36"/>
      <c r="H49" s="36"/>
      <c r="I49" s="37" t="str">
        <f aca="false">IF(COUNT(E49:H49)=0,"",ROUND(AVERAGE(E49:H49),0))</f>
        <v/>
      </c>
      <c r="J49" s="38" t="str">
        <f aca="false">IF(I49="","",LOOKUP(I49,Impostazioni!$E$4:$E$9,Impostazioni!$F$4:$F$9))</f>
        <v/>
      </c>
      <c r="K49" s="36"/>
      <c r="L49" s="36"/>
      <c r="M49" s="36"/>
      <c r="N49" s="36"/>
      <c r="O49" s="37" t="str">
        <f aca="false">IF(COUNT(K49:N49)=0,"",ROUND(AVERAGE(K49:N49),0))</f>
        <v/>
      </c>
      <c r="P49" s="38" t="str">
        <f aca="false">IF(O49="","",LOOKUP(O49,Impostazioni!$E$4:$E$9,Impostazioni!$F$4:$F$9))</f>
        <v/>
      </c>
      <c r="Q49" s="36"/>
      <c r="R49" s="36"/>
      <c r="S49" s="36"/>
      <c r="T49" s="36"/>
      <c r="U49" s="39" t="str">
        <f aca="false">IF(COUNT(Q49:T49)=0,"",ROUND(AVERAGE(Q49:T49),0))</f>
        <v/>
      </c>
      <c r="V49" s="38" t="str">
        <f aca="false">IF(U49="","",LOOKUP(U49,Impostazioni!$E$4:$E$9,Impostazioni!$F$4:$F$9))</f>
        <v/>
      </c>
      <c r="W49" s="36"/>
      <c r="X49" s="36"/>
      <c r="Y49" s="36"/>
      <c r="Z49" s="36"/>
      <c r="AA49" s="39" t="str">
        <f aca="false">IF(COUNT(W49:Z49)=0,"",ROUND(AVERAGE(W49:Z49),0))</f>
        <v/>
      </c>
      <c r="AB49" s="38" t="str">
        <f aca="false">IF(AA49="","",LOOKUP(AA49,Impostazioni!$E$4:$E$9,Impostazioni!$F$4:$F$9))</f>
        <v/>
      </c>
    </row>
    <row r="50" customFormat="false" ht="21" hidden="false" customHeight="true" outlineLevel="0" collapsed="false">
      <c r="A50" s="33" t="n">
        <v>4</v>
      </c>
      <c r="B50" s="34" t="str">
        <f aca="false">IFERROR(INDEX(Alunni!$C$1:$C$1000,MATCH($A50,Alunni!$A$1:$A$1000,0))&amp;"","")</f>
        <v/>
      </c>
      <c r="C50" s="15"/>
      <c r="D50" s="35"/>
      <c r="E50" s="36"/>
      <c r="F50" s="36"/>
      <c r="G50" s="36"/>
      <c r="H50" s="36"/>
      <c r="I50" s="37" t="str">
        <f aca="false">IF(COUNT(E50:H50)=0,"",ROUND(AVERAGE(E50:H50),0))</f>
        <v/>
      </c>
      <c r="J50" s="38" t="str">
        <f aca="false">IF(I50="","",LOOKUP(I50,Impostazioni!$E$4:$E$9,Impostazioni!$F$4:$F$9))</f>
        <v/>
      </c>
      <c r="K50" s="36"/>
      <c r="L50" s="36"/>
      <c r="M50" s="36"/>
      <c r="N50" s="36"/>
      <c r="O50" s="37" t="str">
        <f aca="false">IF(COUNT(K50:N50)=0,"",ROUND(AVERAGE(K50:N50),0))</f>
        <v/>
      </c>
      <c r="P50" s="38" t="str">
        <f aca="false">IF(O50="","",LOOKUP(O50,Impostazioni!$E$4:$E$9,Impostazioni!$F$4:$F$9))</f>
        <v/>
      </c>
      <c r="Q50" s="36"/>
      <c r="R50" s="36"/>
      <c r="S50" s="36"/>
      <c r="T50" s="36"/>
      <c r="U50" s="39" t="str">
        <f aca="false">IF(COUNT(Q50:T50)=0,"",ROUND(AVERAGE(Q50:T50),0))</f>
        <v/>
      </c>
      <c r="V50" s="38" t="str">
        <f aca="false">IF(U50="","",LOOKUP(U50,Impostazioni!$E$4:$E$9,Impostazioni!$F$4:$F$9))</f>
        <v/>
      </c>
      <c r="W50" s="36"/>
      <c r="X50" s="36"/>
      <c r="Y50" s="36"/>
      <c r="Z50" s="36"/>
      <c r="AA50" s="39" t="str">
        <f aca="false">IF(COUNT(W50:Z50)=0,"",ROUND(AVERAGE(W50:Z50),0))</f>
        <v/>
      </c>
      <c r="AB50" s="38" t="str">
        <f aca="false">IF(AA50="","",LOOKUP(AA50,Impostazioni!$E$4:$E$9,Impostazioni!$F$4:$F$9))</f>
        <v/>
      </c>
    </row>
    <row r="51" customFormat="false" ht="21" hidden="false" customHeight="true" outlineLevel="0" collapsed="false">
      <c r="A51" s="33" t="n">
        <v>5</v>
      </c>
      <c r="B51" s="34" t="str">
        <f aca="false">IFERROR(INDEX(Alunni!$C$1:$C$1000,MATCH($A51,Alunni!$A$1:$A$1000,0))&amp;"","")</f>
        <v/>
      </c>
      <c r="C51" s="15"/>
      <c r="D51" s="35"/>
      <c r="E51" s="36"/>
      <c r="F51" s="36"/>
      <c r="G51" s="36"/>
      <c r="H51" s="36"/>
      <c r="I51" s="37" t="str">
        <f aca="false">IF(COUNT(E51:H51)=0,"",ROUND(AVERAGE(E51:H51),0))</f>
        <v/>
      </c>
      <c r="J51" s="38" t="str">
        <f aca="false">IF(I51="","",LOOKUP(I51,Impostazioni!$E$4:$E$9,Impostazioni!$F$4:$F$9))</f>
        <v/>
      </c>
      <c r="K51" s="36"/>
      <c r="L51" s="36"/>
      <c r="M51" s="36"/>
      <c r="N51" s="36"/>
      <c r="O51" s="37" t="str">
        <f aca="false">IF(COUNT(K51:N51)=0,"",ROUND(AVERAGE(K51:N51),0))</f>
        <v/>
      </c>
      <c r="P51" s="38" t="str">
        <f aca="false">IF(O51="","",LOOKUP(O51,Impostazioni!$E$4:$E$9,Impostazioni!$F$4:$F$9))</f>
        <v/>
      </c>
      <c r="Q51" s="36"/>
      <c r="R51" s="36"/>
      <c r="S51" s="36"/>
      <c r="T51" s="36"/>
      <c r="U51" s="39" t="str">
        <f aca="false">IF(COUNT(Q51:T51)=0,"",ROUND(AVERAGE(Q51:T51),0))</f>
        <v/>
      </c>
      <c r="V51" s="38" t="str">
        <f aca="false">IF(U51="","",LOOKUP(U51,Impostazioni!$E$4:$E$9,Impostazioni!$F$4:$F$9))</f>
        <v/>
      </c>
      <c r="W51" s="36"/>
      <c r="X51" s="36"/>
      <c r="Y51" s="36"/>
      <c r="Z51" s="36"/>
      <c r="AA51" s="39" t="str">
        <f aca="false">IF(COUNT(W51:Z51)=0,"",ROUND(AVERAGE(W51:Z51),0))</f>
        <v/>
      </c>
      <c r="AB51" s="38" t="str">
        <f aca="false">IF(AA51="","",LOOKUP(AA51,Impostazioni!$E$4:$E$9,Impostazioni!$F$4:$F$9))</f>
        <v/>
      </c>
    </row>
    <row r="52" customFormat="false" ht="21" hidden="false" customHeight="true" outlineLevel="0" collapsed="false">
      <c r="A52" s="33" t="n">
        <v>6</v>
      </c>
      <c r="B52" s="34" t="str">
        <f aca="false">IFERROR(INDEX(Alunni!$C$1:$C$1000,MATCH($A52,Alunni!$A$1:$A$1000,0))&amp;"","")</f>
        <v/>
      </c>
      <c r="C52" s="15"/>
      <c r="D52" s="35"/>
      <c r="E52" s="36"/>
      <c r="F52" s="36"/>
      <c r="G52" s="36"/>
      <c r="H52" s="36"/>
      <c r="I52" s="37" t="str">
        <f aca="false">IF(COUNT(E52:H52)=0,"",ROUND(AVERAGE(E52:H52),0))</f>
        <v/>
      </c>
      <c r="J52" s="38" t="str">
        <f aca="false">IF(I52="","",LOOKUP(I52,Impostazioni!$E$4:$E$9,Impostazioni!$F$4:$F$9))</f>
        <v/>
      </c>
      <c r="K52" s="36"/>
      <c r="L52" s="36"/>
      <c r="M52" s="36"/>
      <c r="N52" s="36"/>
      <c r="O52" s="37" t="str">
        <f aca="false">IF(COUNT(K52:N52)=0,"",ROUND(AVERAGE(K52:N52),0))</f>
        <v/>
      </c>
      <c r="P52" s="38" t="str">
        <f aca="false">IF(O52="","",LOOKUP(O52,Impostazioni!$E$4:$E$9,Impostazioni!$F$4:$F$9))</f>
        <v/>
      </c>
      <c r="Q52" s="36"/>
      <c r="R52" s="36"/>
      <c r="S52" s="36"/>
      <c r="T52" s="36"/>
      <c r="U52" s="39" t="str">
        <f aca="false">IF(COUNT(Q52:T52)=0,"",ROUND(AVERAGE(Q52:T52),0))</f>
        <v/>
      </c>
      <c r="V52" s="38" t="str">
        <f aca="false">IF(U52="","",LOOKUP(U52,Impostazioni!$E$4:$E$9,Impostazioni!$F$4:$F$9))</f>
        <v/>
      </c>
      <c r="W52" s="36"/>
      <c r="X52" s="36"/>
      <c r="Y52" s="36"/>
      <c r="Z52" s="36"/>
      <c r="AA52" s="39" t="str">
        <f aca="false">IF(COUNT(W52:Z52)=0,"",ROUND(AVERAGE(W52:Z52),0))</f>
        <v/>
      </c>
      <c r="AB52" s="38" t="str">
        <f aca="false">IF(AA52="","",LOOKUP(AA52,Impostazioni!$E$4:$E$9,Impostazioni!$F$4:$F$9))</f>
        <v/>
      </c>
    </row>
    <row r="53" customFormat="false" ht="21" hidden="false" customHeight="true" outlineLevel="0" collapsed="false">
      <c r="A53" s="33" t="n">
        <v>7</v>
      </c>
      <c r="B53" s="34" t="str">
        <f aca="false">IFERROR(INDEX(Alunni!$C$1:$C$1000,MATCH($A53,Alunni!$A$1:$A$1000,0))&amp;"","")</f>
        <v/>
      </c>
      <c r="C53" s="15"/>
      <c r="D53" s="35"/>
      <c r="E53" s="36"/>
      <c r="F53" s="36"/>
      <c r="G53" s="36"/>
      <c r="H53" s="36"/>
      <c r="I53" s="37" t="str">
        <f aca="false">IF(COUNT(E53:H53)=0,"",ROUND(AVERAGE(E53:H53),0))</f>
        <v/>
      </c>
      <c r="J53" s="38" t="str">
        <f aca="false">IF(I53="","",LOOKUP(I53,Impostazioni!$E$4:$E$9,Impostazioni!$F$4:$F$9))</f>
        <v/>
      </c>
      <c r="K53" s="36"/>
      <c r="L53" s="36"/>
      <c r="M53" s="36"/>
      <c r="N53" s="36"/>
      <c r="O53" s="37" t="str">
        <f aca="false">IF(COUNT(K53:N53)=0,"",ROUND(AVERAGE(K53:N53),0))</f>
        <v/>
      </c>
      <c r="P53" s="38" t="str">
        <f aca="false">IF(O53="","",LOOKUP(O53,Impostazioni!$E$4:$E$9,Impostazioni!$F$4:$F$9))</f>
        <v/>
      </c>
      <c r="Q53" s="36"/>
      <c r="R53" s="36"/>
      <c r="S53" s="36"/>
      <c r="T53" s="36"/>
      <c r="U53" s="39" t="str">
        <f aca="false">IF(COUNT(Q53:T53)=0,"",ROUND(AVERAGE(Q53:T53),0))</f>
        <v/>
      </c>
      <c r="V53" s="38" t="str">
        <f aca="false">IF(U53="","",LOOKUP(U53,Impostazioni!$E$4:$E$9,Impostazioni!$F$4:$F$9))</f>
        <v/>
      </c>
      <c r="W53" s="36"/>
      <c r="X53" s="36"/>
      <c r="Y53" s="36"/>
      <c r="Z53" s="36"/>
      <c r="AA53" s="39" t="str">
        <f aca="false">IF(COUNT(W53:Z53)=0,"",ROUND(AVERAGE(W53:Z53),0))</f>
        <v/>
      </c>
      <c r="AB53" s="38" t="str">
        <f aca="false">IF(AA53="","",LOOKUP(AA53,Impostazioni!$E$4:$E$9,Impostazioni!$F$4:$F$9))</f>
        <v/>
      </c>
    </row>
    <row r="54" customFormat="false" ht="21" hidden="false" customHeight="true" outlineLevel="0" collapsed="false">
      <c r="A54" s="33" t="n">
        <v>8</v>
      </c>
      <c r="B54" s="34" t="str">
        <f aca="false">IFERROR(INDEX(Alunni!$C$1:$C$1000,MATCH($A54,Alunni!$A$1:$A$1000,0))&amp;"","")</f>
        <v/>
      </c>
      <c r="C54" s="15"/>
      <c r="D54" s="35"/>
      <c r="E54" s="36"/>
      <c r="F54" s="36"/>
      <c r="G54" s="36"/>
      <c r="H54" s="36"/>
      <c r="I54" s="37" t="str">
        <f aca="false">IF(COUNT(E54:H54)=0,"",ROUND(AVERAGE(E54:H54),0))</f>
        <v/>
      </c>
      <c r="J54" s="38" t="str">
        <f aca="false">IF(I54="","",LOOKUP(I54,Impostazioni!$E$4:$E$9,Impostazioni!$F$4:$F$9))</f>
        <v/>
      </c>
      <c r="K54" s="36"/>
      <c r="L54" s="36"/>
      <c r="M54" s="36"/>
      <c r="N54" s="36"/>
      <c r="O54" s="37" t="str">
        <f aca="false">IF(COUNT(K54:N54)=0,"",ROUND(AVERAGE(K54:N54),0))</f>
        <v/>
      </c>
      <c r="P54" s="38" t="str">
        <f aca="false">IF(O54="","",LOOKUP(O54,Impostazioni!$E$4:$E$9,Impostazioni!$F$4:$F$9))</f>
        <v/>
      </c>
      <c r="Q54" s="36"/>
      <c r="R54" s="36"/>
      <c r="S54" s="36"/>
      <c r="T54" s="36"/>
      <c r="U54" s="39" t="str">
        <f aca="false">IF(COUNT(Q54:T54)=0,"",ROUND(AVERAGE(Q54:T54),0))</f>
        <v/>
      </c>
      <c r="V54" s="38" t="str">
        <f aca="false">IF(U54="","",LOOKUP(U54,Impostazioni!$E$4:$E$9,Impostazioni!$F$4:$F$9))</f>
        <v/>
      </c>
      <c r="W54" s="36"/>
      <c r="X54" s="36"/>
      <c r="Y54" s="36"/>
      <c r="Z54" s="36"/>
      <c r="AA54" s="39" t="str">
        <f aca="false">IF(COUNT(W54:Z54)=0,"",ROUND(AVERAGE(W54:Z54),0))</f>
        <v/>
      </c>
      <c r="AB54" s="38" t="str">
        <f aca="false">IF(AA54="","",LOOKUP(AA54,Impostazioni!$E$4:$E$9,Impostazioni!$F$4:$F$9))</f>
        <v/>
      </c>
    </row>
    <row r="55" customFormat="false" ht="21" hidden="false" customHeight="true" outlineLevel="0" collapsed="false">
      <c r="A55" s="33" t="n">
        <v>9</v>
      </c>
      <c r="B55" s="34" t="str">
        <f aca="false">IFERROR(INDEX(Alunni!$C$1:$C$1000,MATCH($A55,Alunni!$A$1:$A$1000,0))&amp;"","")</f>
        <v/>
      </c>
      <c r="C55" s="15"/>
      <c r="D55" s="35"/>
      <c r="E55" s="36"/>
      <c r="F55" s="36"/>
      <c r="G55" s="36"/>
      <c r="H55" s="36"/>
      <c r="I55" s="37" t="str">
        <f aca="false">IF(COUNT(E55:H55)=0,"",ROUND(AVERAGE(E55:H55),0))</f>
        <v/>
      </c>
      <c r="J55" s="38" t="str">
        <f aca="false">IF(I55="","",LOOKUP(I55,Impostazioni!$E$4:$E$9,Impostazioni!$F$4:$F$9))</f>
        <v/>
      </c>
      <c r="K55" s="36"/>
      <c r="L55" s="36"/>
      <c r="M55" s="36"/>
      <c r="N55" s="36"/>
      <c r="O55" s="37" t="str">
        <f aca="false">IF(COUNT(K55:N55)=0,"",ROUND(AVERAGE(K55:N55),0))</f>
        <v/>
      </c>
      <c r="P55" s="38" t="str">
        <f aca="false">IF(O55="","",LOOKUP(O55,Impostazioni!$E$4:$E$9,Impostazioni!$F$4:$F$9))</f>
        <v/>
      </c>
      <c r="Q55" s="36"/>
      <c r="R55" s="36"/>
      <c r="S55" s="36"/>
      <c r="T55" s="36"/>
      <c r="U55" s="39" t="str">
        <f aca="false">IF(COUNT(Q55:T55)=0,"",ROUND(AVERAGE(Q55:T55),0))</f>
        <v/>
      </c>
      <c r="V55" s="38" t="str">
        <f aca="false">IF(U55="","",LOOKUP(U55,Impostazioni!$E$4:$E$9,Impostazioni!$F$4:$F$9))</f>
        <v/>
      </c>
      <c r="W55" s="36"/>
      <c r="X55" s="36"/>
      <c r="Y55" s="36"/>
      <c r="Z55" s="36"/>
      <c r="AA55" s="39" t="str">
        <f aca="false">IF(COUNT(W55:Z55)=0,"",ROUND(AVERAGE(W55:Z55),0))</f>
        <v/>
      </c>
      <c r="AB55" s="38" t="str">
        <f aca="false">IF(AA55="","",LOOKUP(AA55,Impostazioni!$E$4:$E$9,Impostazioni!$F$4:$F$9))</f>
        <v/>
      </c>
    </row>
    <row r="56" customFormat="false" ht="21" hidden="false" customHeight="true" outlineLevel="0" collapsed="false">
      <c r="A56" s="33" t="n">
        <v>10</v>
      </c>
      <c r="B56" s="34" t="str">
        <f aca="false">IFERROR(INDEX(Alunni!$C$1:$C$1000,MATCH($A56,Alunni!$A$1:$A$1000,0))&amp;"","")</f>
        <v/>
      </c>
      <c r="C56" s="15"/>
      <c r="D56" s="35"/>
      <c r="E56" s="36"/>
      <c r="F56" s="36"/>
      <c r="G56" s="36"/>
      <c r="H56" s="36"/>
      <c r="I56" s="37" t="str">
        <f aca="false">IF(COUNT(E56:H56)=0,"",ROUND(AVERAGE(E56:H56),0))</f>
        <v/>
      </c>
      <c r="J56" s="38" t="str">
        <f aca="false">IF(I56="","",LOOKUP(I56,Impostazioni!$E$4:$E$9,Impostazioni!$F$4:$F$9))</f>
        <v/>
      </c>
      <c r="K56" s="36"/>
      <c r="L56" s="36"/>
      <c r="M56" s="36"/>
      <c r="N56" s="36"/>
      <c r="O56" s="37" t="str">
        <f aca="false">IF(COUNT(K56:N56)=0,"",ROUND(AVERAGE(K56:N56),0))</f>
        <v/>
      </c>
      <c r="P56" s="38" t="str">
        <f aca="false">IF(O56="","",LOOKUP(O56,Impostazioni!$E$4:$E$9,Impostazioni!$F$4:$F$9))</f>
        <v/>
      </c>
      <c r="Q56" s="36"/>
      <c r="R56" s="36"/>
      <c r="S56" s="36"/>
      <c r="T56" s="36"/>
      <c r="U56" s="39" t="str">
        <f aca="false">IF(COUNT(Q56:T56)=0,"",ROUND(AVERAGE(Q56:T56),0))</f>
        <v/>
      </c>
      <c r="V56" s="38" t="str">
        <f aca="false">IF(U56="","",LOOKUP(U56,Impostazioni!$E$4:$E$9,Impostazioni!$F$4:$F$9))</f>
        <v/>
      </c>
      <c r="W56" s="36"/>
      <c r="X56" s="36"/>
      <c r="Y56" s="36"/>
      <c r="Z56" s="36"/>
      <c r="AA56" s="39" t="str">
        <f aca="false">IF(COUNT(W56:Z56)=0,"",ROUND(AVERAGE(W56:Z56),0))</f>
        <v/>
      </c>
      <c r="AB56" s="38" t="str">
        <f aca="false">IF(AA56="","",LOOKUP(AA56,Impostazioni!$E$4:$E$9,Impostazioni!$F$4:$F$9))</f>
        <v/>
      </c>
    </row>
    <row r="57" customFormat="false" ht="21" hidden="false" customHeight="true" outlineLevel="0" collapsed="false">
      <c r="A57" s="33" t="n">
        <v>11</v>
      </c>
      <c r="B57" s="34" t="str">
        <f aca="false">IFERROR(INDEX(Alunni!$C$1:$C$1000,MATCH($A57,Alunni!$A$1:$A$1000,0))&amp;"","")</f>
        <v/>
      </c>
      <c r="C57" s="15"/>
      <c r="D57" s="35"/>
      <c r="E57" s="36"/>
      <c r="F57" s="36"/>
      <c r="G57" s="36"/>
      <c r="H57" s="36"/>
      <c r="I57" s="37" t="str">
        <f aca="false">IF(COUNT(E57:H57)=0,"",ROUND(AVERAGE(E57:H57),0))</f>
        <v/>
      </c>
      <c r="J57" s="38" t="str">
        <f aca="false">IF(I57="","",LOOKUP(I57,Impostazioni!$E$4:$E$9,Impostazioni!$F$4:$F$9))</f>
        <v/>
      </c>
      <c r="K57" s="36"/>
      <c r="L57" s="36"/>
      <c r="M57" s="36"/>
      <c r="N57" s="36"/>
      <c r="O57" s="37" t="str">
        <f aca="false">IF(COUNT(K57:N57)=0,"",ROUND(AVERAGE(K57:N57),0))</f>
        <v/>
      </c>
      <c r="P57" s="38" t="str">
        <f aca="false">IF(O57="","",LOOKUP(O57,Impostazioni!$E$4:$E$9,Impostazioni!$F$4:$F$9))</f>
        <v/>
      </c>
      <c r="Q57" s="36"/>
      <c r="R57" s="36"/>
      <c r="S57" s="36"/>
      <c r="T57" s="36"/>
      <c r="U57" s="39" t="str">
        <f aca="false">IF(COUNT(Q57:T57)=0,"",ROUND(AVERAGE(Q57:T57),0))</f>
        <v/>
      </c>
      <c r="V57" s="38" t="str">
        <f aca="false">IF(U57="","",LOOKUP(U57,Impostazioni!$E$4:$E$9,Impostazioni!$F$4:$F$9))</f>
        <v/>
      </c>
      <c r="W57" s="36"/>
      <c r="X57" s="36"/>
      <c r="Y57" s="36"/>
      <c r="Z57" s="36"/>
      <c r="AA57" s="39" t="str">
        <f aca="false">IF(COUNT(W57:Z57)=0,"",ROUND(AVERAGE(W57:Z57),0))</f>
        <v/>
      </c>
      <c r="AB57" s="38" t="str">
        <f aca="false">IF(AA57="","",LOOKUP(AA57,Impostazioni!$E$4:$E$9,Impostazioni!$F$4:$F$9))</f>
        <v/>
      </c>
    </row>
    <row r="58" customFormat="false" ht="21" hidden="false" customHeight="true" outlineLevel="0" collapsed="false">
      <c r="A58" s="33" t="n">
        <v>12</v>
      </c>
      <c r="B58" s="34" t="str">
        <f aca="false">IFERROR(INDEX(Alunni!$C$1:$C$1000,MATCH($A58,Alunni!$A$1:$A$1000,0))&amp;"","")</f>
        <v/>
      </c>
      <c r="C58" s="15"/>
      <c r="D58" s="35"/>
      <c r="E58" s="36"/>
      <c r="F58" s="36"/>
      <c r="G58" s="36"/>
      <c r="H58" s="36"/>
      <c r="I58" s="37" t="str">
        <f aca="false">IF(COUNT(E58:H58)=0,"",ROUND(AVERAGE(E58:H58),0))</f>
        <v/>
      </c>
      <c r="J58" s="38" t="str">
        <f aca="false">IF(I58="","",LOOKUP(I58,Impostazioni!$E$4:$E$9,Impostazioni!$F$4:$F$9))</f>
        <v/>
      </c>
      <c r="K58" s="36"/>
      <c r="L58" s="36"/>
      <c r="M58" s="36"/>
      <c r="N58" s="36"/>
      <c r="O58" s="37" t="str">
        <f aca="false">IF(COUNT(K58:N58)=0,"",ROUND(AVERAGE(K58:N58),0))</f>
        <v/>
      </c>
      <c r="P58" s="38" t="str">
        <f aca="false">IF(O58="","",LOOKUP(O58,Impostazioni!$E$4:$E$9,Impostazioni!$F$4:$F$9))</f>
        <v/>
      </c>
      <c r="Q58" s="36"/>
      <c r="R58" s="36"/>
      <c r="S58" s="36"/>
      <c r="T58" s="36"/>
      <c r="U58" s="39" t="str">
        <f aca="false">IF(COUNT(Q58:T58)=0,"",ROUND(AVERAGE(Q58:T58),0))</f>
        <v/>
      </c>
      <c r="V58" s="38" t="str">
        <f aca="false">IF(U58="","",LOOKUP(U58,Impostazioni!$E$4:$E$9,Impostazioni!$F$4:$F$9))</f>
        <v/>
      </c>
      <c r="W58" s="36"/>
      <c r="X58" s="36"/>
      <c r="Y58" s="36"/>
      <c r="Z58" s="36"/>
      <c r="AA58" s="39" t="str">
        <f aca="false">IF(COUNT(W58:Z58)=0,"",ROUND(AVERAGE(W58:Z58),0))</f>
        <v/>
      </c>
      <c r="AB58" s="38" t="str">
        <f aca="false">IF(AA58="","",LOOKUP(AA58,Impostazioni!$E$4:$E$9,Impostazioni!$F$4:$F$9))</f>
        <v/>
      </c>
    </row>
    <row r="59" customFormat="false" ht="21" hidden="false" customHeight="true" outlineLevel="0" collapsed="false">
      <c r="A59" s="33" t="n">
        <v>13</v>
      </c>
      <c r="B59" s="34" t="str">
        <f aca="false">IFERROR(INDEX(Alunni!$C$1:$C$1000,MATCH($A59,Alunni!$A$1:$A$1000,0))&amp;"","")</f>
        <v/>
      </c>
      <c r="C59" s="15"/>
      <c r="D59" s="35"/>
      <c r="E59" s="36"/>
      <c r="F59" s="36"/>
      <c r="G59" s="36"/>
      <c r="H59" s="36"/>
      <c r="I59" s="37" t="str">
        <f aca="false">IF(COUNT(E59:H59)=0,"",ROUND(AVERAGE(E59:H59),0))</f>
        <v/>
      </c>
      <c r="J59" s="38" t="str">
        <f aca="false">IF(I59="","",LOOKUP(I59,Impostazioni!$E$4:$E$9,Impostazioni!$F$4:$F$9))</f>
        <v/>
      </c>
      <c r="K59" s="36"/>
      <c r="L59" s="36"/>
      <c r="M59" s="36"/>
      <c r="N59" s="36"/>
      <c r="O59" s="37" t="str">
        <f aca="false">IF(COUNT(K59:N59)=0,"",ROUND(AVERAGE(K59:N59),0))</f>
        <v/>
      </c>
      <c r="P59" s="38" t="str">
        <f aca="false">IF(O59="","",LOOKUP(O59,Impostazioni!$E$4:$E$9,Impostazioni!$F$4:$F$9))</f>
        <v/>
      </c>
      <c r="Q59" s="36"/>
      <c r="R59" s="36"/>
      <c r="S59" s="36"/>
      <c r="T59" s="36"/>
      <c r="U59" s="39" t="str">
        <f aca="false">IF(COUNT(Q59:T59)=0,"",ROUND(AVERAGE(Q59:T59),0))</f>
        <v/>
      </c>
      <c r="V59" s="38" t="str">
        <f aca="false">IF(U59="","",LOOKUP(U59,Impostazioni!$E$4:$E$9,Impostazioni!$F$4:$F$9))</f>
        <v/>
      </c>
      <c r="W59" s="36"/>
      <c r="X59" s="36"/>
      <c r="Y59" s="36"/>
      <c r="Z59" s="36"/>
      <c r="AA59" s="39" t="str">
        <f aca="false">IF(COUNT(W59:Z59)=0,"",ROUND(AVERAGE(W59:Z59),0))</f>
        <v/>
      </c>
      <c r="AB59" s="38" t="str">
        <f aca="false">IF(AA59="","",LOOKUP(AA59,Impostazioni!$E$4:$E$9,Impostazioni!$F$4:$F$9))</f>
        <v/>
      </c>
    </row>
    <row r="60" customFormat="false" ht="21" hidden="false" customHeight="true" outlineLevel="0" collapsed="false">
      <c r="A60" s="33" t="n">
        <v>14</v>
      </c>
      <c r="B60" s="34" t="str">
        <f aca="false">IFERROR(INDEX(Alunni!$C$1:$C$1000,MATCH($A60,Alunni!$A$1:$A$1000,0))&amp;"","")</f>
        <v/>
      </c>
      <c r="C60" s="15"/>
      <c r="D60" s="35"/>
      <c r="E60" s="36"/>
      <c r="F60" s="36"/>
      <c r="G60" s="36"/>
      <c r="H60" s="36"/>
      <c r="I60" s="37" t="str">
        <f aca="false">IF(COUNT(E60:H60)=0,"",ROUND(AVERAGE(E60:H60),0))</f>
        <v/>
      </c>
      <c r="J60" s="38" t="str">
        <f aca="false">IF(I60="","",LOOKUP(I60,Impostazioni!$E$4:$E$9,Impostazioni!$F$4:$F$9))</f>
        <v/>
      </c>
      <c r="K60" s="36"/>
      <c r="L60" s="36"/>
      <c r="M60" s="36"/>
      <c r="N60" s="36"/>
      <c r="O60" s="37" t="str">
        <f aca="false">IF(COUNT(K60:N60)=0,"",ROUND(AVERAGE(K60:N60),0))</f>
        <v/>
      </c>
      <c r="P60" s="38" t="str">
        <f aca="false">IF(O60="","",LOOKUP(O60,Impostazioni!$E$4:$E$9,Impostazioni!$F$4:$F$9))</f>
        <v/>
      </c>
      <c r="Q60" s="36"/>
      <c r="R60" s="36"/>
      <c r="S60" s="36"/>
      <c r="T60" s="36"/>
      <c r="U60" s="39" t="str">
        <f aca="false">IF(COUNT(Q60:T60)=0,"",ROUND(AVERAGE(Q60:T60),0))</f>
        <v/>
      </c>
      <c r="V60" s="38" t="str">
        <f aca="false">IF(U60="","",LOOKUP(U60,Impostazioni!$E$4:$E$9,Impostazioni!$F$4:$F$9))</f>
        <v/>
      </c>
      <c r="W60" s="36"/>
      <c r="X60" s="36"/>
      <c r="Y60" s="36"/>
      <c r="Z60" s="36"/>
      <c r="AA60" s="39" t="str">
        <f aca="false">IF(COUNT(W60:Z60)=0,"",ROUND(AVERAGE(W60:Z60),0))</f>
        <v/>
      </c>
      <c r="AB60" s="38" t="str">
        <f aca="false">IF(AA60="","",LOOKUP(AA60,Impostazioni!$E$4:$E$9,Impostazioni!$F$4:$F$9))</f>
        <v/>
      </c>
    </row>
    <row r="61" customFormat="false" ht="21" hidden="false" customHeight="true" outlineLevel="0" collapsed="false">
      <c r="A61" s="33" t="n">
        <v>15</v>
      </c>
      <c r="B61" s="34" t="str">
        <f aca="false">IFERROR(INDEX(Alunni!$C$1:$C$1000,MATCH($A61,Alunni!$A$1:$A$1000,0))&amp;"","")</f>
        <v/>
      </c>
      <c r="C61" s="15"/>
      <c r="D61" s="35"/>
      <c r="E61" s="36"/>
      <c r="F61" s="36"/>
      <c r="G61" s="36"/>
      <c r="H61" s="36"/>
      <c r="I61" s="37" t="str">
        <f aca="false">IF(COUNT(E61:H61)=0,"",ROUND(AVERAGE(E61:H61),0))</f>
        <v/>
      </c>
      <c r="J61" s="38" t="str">
        <f aca="false">IF(I61="","",LOOKUP(I61,Impostazioni!$E$4:$E$9,Impostazioni!$F$4:$F$9))</f>
        <v/>
      </c>
      <c r="K61" s="36"/>
      <c r="L61" s="36"/>
      <c r="M61" s="36"/>
      <c r="N61" s="36"/>
      <c r="O61" s="37" t="str">
        <f aca="false">IF(COUNT(K61:N61)=0,"",ROUND(AVERAGE(K61:N61),0))</f>
        <v/>
      </c>
      <c r="P61" s="38" t="str">
        <f aca="false">IF(O61="","",LOOKUP(O61,Impostazioni!$E$4:$E$9,Impostazioni!$F$4:$F$9))</f>
        <v/>
      </c>
      <c r="Q61" s="36"/>
      <c r="R61" s="36"/>
      <c r="S61" s="36"/>
      <c r="T61" s="36"/>
      <c r="U61" s="39" t="str">
        <f aca="false">IF(COUNT(Q61:T61)=0,"",ROUND(AVERAGE(Q61:T61),0))</f>
        <v/>
      </c>
      <c r="V61" s="38" t="str">
        <f aca="false">IF(U61="","",LOOKUP(U61,Impostazioni!$E$4:$E$9,Impostazioni!$F$4:$F$9))</f>
        <v/>
      </c>
      <c r="W61" s="36"/>
      <c r="X61" s="36"/>
      <c r="Y61" s="36"/>
      <c r="Z61" s="36"/>
      <c r="AA61" s="39" t="str">
        <f aca="false">IF(COUNT(W61:Z61)=0,"",ROUND(AVERAGE(W61:Z61),0))</f>
        <v/>
      </c>
      <c r="AB61" s="38" t="str">
        <f aca="false">IF(AA61="","",LOOKUP(AA61,Impostazioni!$E$4:$E$9,Impostazioni!$F$4:$F$9))</f>
        <v/>
      </c>
    </row>
    <row r="62" customFormat="false" ht="21" hidden="false" customHeight="true" outlineLevel="0" collapsed="false">
      <c r="A62" s="33" t="n">
        <v>16</v>
      </c>
      <c r="B62" s="34" t="str">
        <f aca="false">IFERROR(INDEX(Alunni!$C$1:$C$1000,MATCH($A62,Alunni!$A$1:$A$1000,0))&amp;"","")</f>
        <v/>
      </c>
      <c r="C62" s="15"/>
      <c r="D62" s="35"/>
      <c r="E62" s="36"/>
      <c r="F62" s="36"/>
      <c r="G62" s="36"/>
      <c r="H62" s="36"/>
      <c r="I62" s="37" t="str">
        <f aca="false">IF(COUNT(E62:H62)=0,"",ROUND(AVERAGE(E62:H62),0))</f>
        <v/>
      </c>
      <c r="J62" s="38" t="str">
        <f aca="false">IF(I62="","",LOOKUP(I62,Impostazioni!$E$4:$E$9,Impostazioni!$F$4:$F$9))</f>
        <v/>
      </c>
      <c r="K62" s="36"/>
      <c r="L62" s="36"/>
      <c r="M62" s="36"/>
      <c r="N62" s="36"/>
      <c r="O62" s="37" t="str">
        <f aca="false">IF(COUNT(K62:N62)=0,"",ROUND(AVERAGE(K62:N62),0))</f>
        <v/>
      </c>
      <c r="P62" s="38" t="str">
        <f aca="false">IF(O62="","",LOOKUP(O62,Impostazioni!$E$4:$E$9,Impostazioni!$F$4:$F$9))</f>
        <v/>
      </c>
      <c r="Q62" s="36"/>
      <c r="R62" s="36"/>
      <c r="S62" s="36"/>
      <c r="T62" s="36"/>
      <c r="U62" s="39" t="str">
        <f aca="false">IF(COUNT(Q62:T62)=0,"",ROUND(AVERAGE(Q62:T62),0))</f>
        <v/>
      </c>
      <c r="V62" s="38" t="str">
        <f aca="false">IF(U62="","",LOOKUP(U62,Impostazioni!$E$4:$E$9,Impostazioni!$F$4:$F$9))</f>
        <v/>
      </c>
      <c r="W62" s="36"/>
      <c r="X62" s="36"/>
      <c r="Y62" s="36"/>
      <c r="Z62" s="36"/>
      <c r="AA62" s="39" t="str">
        <f aca="false">IF(COUNT(W62:Z62)=0,"",ROUND(AVERAGE(W62:Z62),0))</f>
        <v/>
      </c>
      <c r="AB62" s="38" t="str">
        <f aca="false">IF(AA62="","",LOOKUP(AA62,Impostazioni!$E$4:$E$9,Impostazioni!$F$4:$F$9))</f>
        <v/>
      </c>
    </row>
    <row r="63" customFormat="false" ht="21" hidden="false" customHeight="true" outlineLevel="0" collapsed="false">
      <c r="A63" s="33" t="n">
        <v>17</v>
      </c>
      <c r="B63" s="34" t="str">
        <f aca="false">IFERROR(INDEX(Alunni!$C$1:$C$1000,MATCH($A63,Alunni!$A$1:$A$1000,0))&amp;"","")</f>
        <v/>
      </c>
      <c r="C63" s="15"/>
      <c r="D63" s="35"/>
      <c r="E63" s="36"/>
      <c r="F63" s="36"/>
      <c r="G63" s="36"/>
      <c r="H63" s="36"/>
      <c r="I63" s="37" t="str">
        <f aca="false">IF(COUNT(E63:H63)=0,"",ROUND(AVERAGE(E63:H63),0))</f>
        <v/>
      </c>
      <c r="J63" s="38" t="str">
        <f aca="false">IF(I63="","",LOOKUP(I63,Impostazioni!$E$4:$E$9,Impostazioni!$F$4:$F$9))</f>
        <v/>
      </c>
      <c r="K63" s="36"/>
      <c r="L63" s="36"/>
      <c r="M63" s="36"/>
      <c r="N63" s="36"/>
      <c r="O63" s="37" t="str">
        <f aca="false">IF(COUNT(K63:N63)=0,"",ROUND(AVERAGE(K63:N63),0))</f>
        <v/>
      </c>
      <c r="P63" s="38" t="str">
        <f aca="false">IF(O63="","",LOOKUP(O63,Impostazioni!$E$4:$E$9,Impostazioni!$F$4:$F$9))</f>
        <v/>
      </c>
      <c r="Q63" s="36"/>
      <c r="R63" s="36"/>
      <c r="S63" s="36"/>
      <c r="T63" s="36"/>
      <c r="U63" s="39" t="str">
        <f aca="false">IF(COUNT(Q63:T63)=0,"",ROUND(AVERAGE(Q63:T63),0))</f>
        <v/>
      </c>
      <c r="V63" s="38" t="str">
        <f aca="false">IF(U63="","",LOOKUP(U63,Impostazioni!$E$4:$E$9,Impostazioni!$F$4:$F$9))</f>
        <v/>
      </c>
      <c r="W63" s="36"/>
      <c r="X63" s="36"/>
      <c r="Y63" s="36"/>
      <c r="Z63" s="36"/>
      <c r="AA63" s="39" t="str">
        <f aca="false">IF(COUNT(W63:Z63)=0,"",ROUND(AVERAGE(W63:Z63),0))</f>
        <v/>
      </c>
      <c r="AB63" s="38" t="str">
        <f aca="false">IF(AA63="","",LOOKUP(AA63,Impostazioni!$E$4:$E$9,Impostazioni!$F$4:$F$9))</f>
        <v/>
      </c>
    </row>
    <row r="64" customFormat="false" ht="21" hidden="false" customHeight="true" outlineLevel="0" collapsed="false">
      <c r="A64" s="33" t="n">
        <v>18</v>
      </c>
      <c r="B64" s="34" t="str">
        <f aca="false">IFERROR(INDEX(Alunni!$C$1:$C$1000,MATCH($A64,Alunni!$A$1:$A$1000,0))&amp;"","")</f>
        <v/>
      </c>
      <c r="C64" s="15"/>
      <c r="D64" s="35"/>
      <c r="E64" s="36"/>
      <c r="F64" s="36"/>
      <c r="G64" s="36"/>
      <c r="H64" s="36"/>
      <c r="I64" s="37" t="str">
        <f aca="false">IF(COUNT(E64:H64)=0,"",ROUND(AVERAGE(E64:H64),0))</f>
        <v/>
      </c>
      <c r="J64" s="38" t="str">
        <f aca="false">IF(I64="","",LOOKUP(I64,Impostazioni!$E$4:$E$9,Impostazioni!$F$4:$F$9))</f>
        <v/>
      </c>
      <c r="K64" s="36"/>
      <c r="L64" s="36"/>
      <c r="M64" s="36"/>
      <c r="N64" s="36"/>
      <c r="O64" s="37" t="str">
        <f aca="false">IF(COUNT(K64:N64)=0,"",ROUND(AVERAGE(K64:N64),0))</f>
        <v/>
      </c>
      <c r="P64" s="38" t="str">
        <f aca="false">IF(O64="","",LOOKUP(O64,Impostazioni!$E$4:$E$9,Impostazioni!$F$4:$F$9))</f>
        <v/>
      </c>
      <c r="Q64" s="36"/>
      <c r="R64" s="36"/>
      <c r="S64" s="36"/>
      <c r="T64" s="36"/>
      <c r="U64" s="39" t="str">
        <f aca="false">IF(COUNT(Q64:T64)=0,"",ROUND(AVERAGE(Q64:T64),0))</f>
        <v/>
      </c>
      <c r="V64" s="38" t="str">
        <f aca="false">IF(U64="","",LOOKUP(U64,Impostazioni!$E$4:$E$9,Impostazioni!$F$4:$F$9))</f>
        <v/>
      </c>
      <c r="W64" s="36"/>
      <c r="X64" s="36"/>
      <c r="Y64" s="36"/>
      <c r="Z64" s="36"/>
      <c r="AA64" s="39" t="str">
        <f aca="false">IF(COUNT(W64:Z64)=0,"",ROUND(AVERAGE(W64:Z64),0))</f>
        <v/>
      </c>
      <c r="AB64" s="38" t="str">
        <f aca="false">IF(AA64="","",LOOKUP(AA64,Impostazioni!$E$4:$E$9,Impostazioni!$F$4:$F$9))</f>
        <v/>
      </c>
    </row>
    <row r="65" customFormat="false" ht="21" hidden="false" customHeight="true" outlineLevel="0" collapsed="false">
      <c r="A65" s="33" t="n">
        <v>19</v>
      </c>
      <c r="B65" s="34" t="str">
        <f aca="false">IFERROR(INDEX(Alunni!$C$1:$C$1000,MATCH($A65,Alunni!$A$1:$A$1000,0))&amp;"","")</f>
        <v/>
      </c>
      <c r="C65" s="15"/>
      <c r="D65" s="35"/>
      <c r="E65" s="36"/>
      <c r="F65" s="36"/>
      <c r="G65" s="36"/>
      <c r="H65" s="36"/>
      <c r="I65" s="37" t="str">
        <f aca="false">IF(COUNT(E65:H65)=0,"",ROUND(AVERAGE(E65:H65),0))</f>
        <v/>
      </c>
      <c r="J65" s="38" t="str">
        <f aca="false">IF(I65="","",LOOKUP(I65,Impostazioni!$E$4:$E$9,Impostazioni!$F$4:$F$9))</f>
        <v/>
      </c>
      <c r="K65" s="36"/>
      <c r="L65" s="36"/>
      <c r="M65" s="36"/>
      <c r="N65" s="36"/>
      <c r="O65" s="37" t="str">
        <f aca="false">IF(COUNT(K65:N65)=0,"",ROUND(AVERAGE(K65:N65),0))</f>
        <v/>
      </c>
      <c r="P65" s="38" t="str">
        <f aca="false">IF(O65="","",LOOKUP(O65,Impostazioni!$E$4:$E$9,Impostazioni!$F$4:$F$9))</f>
        <v/>
      </c>
      <c r="Q65" s="36"/>
      <c r="R65" s="36"/>
      <c r="S65" s="36"/>
      <c r="T65" s="36"/>
      <c r="U65" s="39" t="str">
        <f aca="false">IF(COUNT(Q65:T65)=0,"",ROUND(AVERAGE(Q65:T65),0))</f>
        <v/>
      </c>
      <c r="V65" s="38" t="str">
        <f aca="false">IF(U65="","",LOOKUP(U65,Impostazioni!$E$4:$E$9,Impostazioni!$F$4:$F$9))</f>
        <v/>
      </c>
      <c r="W65" s="36"/>
      <c r="X65" s="36"/>
      <c r="Y65" s="36"/>
      <c r="Z65" s="36"/>
      <c r="AA65" s="39" t="str">
        <f aca="false">IF(COUNT(W65:Z65)=0,"",ROUND(AVERAGE(W65:Z65),0))</f>
        <v/>
      </c>
      <c r="AB65" s="38" t="str">
        <f aca="false">IF(AA65="","",LOOKUP(AA65,Impostazioni!$E$4:$E$9,Impostazioni!$F$4:$F$9))</f>
        <v/>
      </c>
    </row>
    <row r="66" customFormat="false" ht="21" hidden="false" customHeight="true" outlineLevel="0" collapsed="false">
      <c r="A66" s="33" t="n">
        <v>20</v>
      </c>
      <c r="B66" s="34" t="str">
        <f aca="false">IFERROR(INDEX(Alunni!$C$1:$C$1000,MATCH($A66,Alunni!$A$1:$A$1000,0))&amp;"","")</f>
        <v/>
      </c>
      <c r="C66" s="15"/>
      <c r="D66" s="35"/>
      <c r="E66" s="36"/>
      <c r="F66" s="36"/>
      <c r="G66" s="36"/>
      <c r="H66" s="36"/>
      <c r="I66" s="37" t="str">
        <f aca="false">IF(COUNT(E66:H66)=0,"",ROUND(AVERAGE(E66:H66),0))</f>
        <v/>
      </c>
      <c r="J66" s="38" t="str">
        <f aca="false">IF(I66="","",LOOKUP(I66,Impostazioni!$E$4:$E$9,Impostazioni!$F$4:$F$9))</f>
        <v/>
      </c>
      <c r="K66" s="36"/>
      <c r="L66" s="36"/>
      <c r="M66" s="36"/>
      <c r="N66" s="36"/>
      <c r="O66" s="37" t="str">
        <f aca="false">IF(COUNT(K66:N66)=0,"",ROUND(AVERAGE(K66:N66),0))</f>
        <v/>
      </c>
      <c r="P66" s="38" t="str">
        <f aca="false">IF(O66="","",LOOKUP(O66,Impostazioni!$E$4:$E$9,Impostazioni!$F$4:$F$9))</f>
        <v/>
      </c>
      <c r="Q66" s="36"/>
      <c r="R66" s="36"/>
      <c r="S66" s="36"/>
      <c r="T66" s="36"/>
      <c r="U66" s="39" t="str">
        <f aca="false">IF(COUNT(Q66:T66)=0,"",ROUND(AVERAGE(Q66:T66),0))</f>
        <v/>
      </c>
      <c r="V66" s="38" t="str">
        <f aca="false">IF(U66="","",LOOKUP(U66,Impostazioni!$E$4:$E$9,Impostazioni!$F$4:$F$9))</f>
        <v/>
      </c>
      <c r="W66" s="36"/>
      <c r="X66" s="36"/>
      <c r="Y66" s="36"/>
      <c r="Z66" s="36"/>
      <c r="AA66" s="39" t="str">
        <f aca="false">IF(COUNT(W66:Z66)=0,"",ROUND(AVERAGE(W66:Z66),0))</f>
        <v/>
      </c>
      <c r="AB66" s="38" t="str">
        <f aca="false">IF(AA66="","",LOOKUP(AA66,Impostazioni!$E$4:$E$9,Impostazioni!$F$4:$F$9))</f>
        <v/>
      </c>
    </row>
    <row r="67" customFormat="false" ht="21" hidden="false" customHeight="true" outlineLevel="0" collapsed="false">
      <c r="A67" s="33" t="n">
        <v>21</v>
      </c>
      <c r="B67" s="34" t="str">
        <f aca="false">IFERROR(INDEX(Alunni!$C$1:$C$1000,MATCH($A67,Alunni!$A$1:$A$1000,0))&amp;"","")</f>
        <v/>
      </c>
      <c r="C67" s="15"/>
      <c r="D67" s="35"/>
      <c r="E67" s="36"/>
      <c r="F67" s="36"/>
      <c r="G67" s="36"/>
      <c r="H67" s="36"/>
      <c r="I67" s="37" t="str">
        <f aca="false">IF(COUNT(E67:H67)=0,"",ROUND(AVERAGE(E67:H67),0))</f>
        <v/>
      </c>
      <c r="J67" s="38" t="str">
        <f aca="false">IF(I67="","",LOOKUP(I67,Impostazioni!$E$4:$E$9,Impostazioni!$F$4:$F$9))</f>
        <v/>
      </c>
      <c r="K67" s="36"/>
      <c r="L67" s="36"/>
      <c r="M67" s="36"/>
      <c r="N67" s="36"/>
      <c r="O67" s="37" t="str">
        <f aca="false">IF(COUNT(K67:N67)=0,"",ROUND(AVERAGE(K67:N67),0))</f>
        <v/>
      </c>
      <c r="P67" s="38" t="str">
        <f aca="false">IF(O67="","",LOOKUP(O67,Impostazioni!$E$4:$E$9,Impostazioni!$F$4:$F$9))</f>
        <v/>
      </c>
      <c r="Q67" s="36"/>
      <c r="R67" s="36"/>
      <c r="S67" s="36"/>
      <c r="T67" s="36"/>
      <c r="U67" s="39" t="str">
        <f aca="false">IF(COUNT(Q67:T67)=0,"",ROUND(AVERAGE(Q67:T67),0))</f>
        <v/>
      </c>
      <c r="V67" s="38" t="str">
        <f aca="false">IF(U67="","",LOOKUP(U67,Impostazioni!$E$4:$E$9,Impostazioni!$F$4:$F$9))</f>
        <v/>
      </c>
      <c r="W67" s="36"/>
      <c r="X67" s="36"/>
      <c r="Y67" s="36"/>
      <c r="Z67" s="36"/>
      <c r="AA67" s="39" t="str">
        <f aca="false">IF(COUNT(W67:Z67)=0,"",ROUND(AVERAGE(W67:Z67),0))</f>
        <v/>
      </c>
      <c r="AB67" s="38" t="str">
        <f aca="false">IF(AA67="","",LOOKUP(AA67,Impostazioni!$E$4:$E$9,Impostazioni!$F$4:$F$9))</f>
        <v/>
      </c>
    </row>
    <row r="68" customFormat="false" ht="21" hidden="false" customHeight="true" outlineLevel="0" collapsed="false">
      <c r="A68" s="33" t="n">
        <v>22</v>
      </c>
      <c r="B68" s="34" t="str">
        <f aca="false">IFERROR(INDEX(Alunni!$C$1:$C$1000,MATCH($A68,Alunni!$A$1:$A$1000,0))&amp;"","")</f>
        <v/>
      </c>
      <c r="C68" s="15"/>
      <c r="D68" s="35"/>
      <c r="E68" s="36"/>
      <c r="F68" s="36"/>
      <c r="G68" s="36"/>
      <c r="H68" s="36"/>
      <c r="I68" s="37" t="str">
        <f aca="false">IF(COUNT(E68:H68)=0,"",ROUND(AVERAGE(E68:H68),0))</f>
        <v/>
      </c>
      <c r="J68" s="38" t="str">
        <f aca="false">IF(I68="","",LOOKUP(I68,Impostazioni!$E$4:$E$9,Impostazioni!$F$4:$F$9))</f>
        <v/>
      </c>
      <c r="K68" s="36"/>
      <c r="L68" s="36"/>
      <c r="M68" s="36"/>
      <c r="N68" s="36"/>
      <c r="O68" s="37" t="str">
        <f aca="false">IF(COUNT(K68:N68)=0,"",ROUND(AVERAGE(K68:N68),0))</f>
        <v/>
      </c>
      <c r="P68" s="38" t="str">
        <f aca="false">IF(O68="","",LOOKUP(O68,Impostazioni!$E$4:$E$9,Impostazioni!$F$4:$F$9))</f>
        <v/>
      </c>
      <c r="Q68" s="36"/>
      <c r="R68" s="36"/>
      <c r="S68" s="36"/>
      <c r="T68" s="36"/>
      <c r="U68" s="39" t="str">
        <f aca="false">IF(COUNT(Q68:T68)=0,"",ROUND(AVERAGE(Q68:T68),0))</f>
        <v/>
      </c>
      <c r="V68" s="38" t="str">
        <f aca="false">IF(U68="","",LOOKUP(U68,Impostazioni!$E$4:$E$9,Impostazioni!$F$4:$F$9))</f>
        <v/>
      </c>
      <c r="W68" s="36"/>
      <c r="X68" s="36"/>
      <c r="Y68" s="36"/>
      <c r="Z68" s="36"/>
      <c r="AA68" s="39" t="str">
        <f aca="false">IF(COUNT(W68:Z68)=0,"",ROUND(AVERAGE(W68:Z68),0))</f>
        <v/>
      </c>
      <c r="AB68" s="38" t="str">
        <f aca="false">IF(AA68="","",LOOKUP(AA68,Impostazioni!$E$4:$E$9,Impostazioni!$F$4:$F$9))</f>
        <v/>
      </c>
    </row>
    <row r="69" customFormat="false" ht="21" hidden="false" customHeight="true" outlineLevel="0" collapsed="false">
      <c r="A69" s="33" t="n">
        <v>23</v>
      </c>
      <c r="B69" s="34" t="str">
        <f aca="false">IFERROR(INDEX(Alunni!$C$1:$C$1000,MATCH($A69,Alunni!$A$1:$A$1000,0))&amp;"","")</f>
        <v/>
      </c>
      <c r="C69" s="15"/>
      <c r="D69" s="35"/>
      <c r="E69" s="36"/>
      <c r="F69" s="36"/>
      <c r="G69" s="36"/>
      <c r="H69" s="36"/>
      <c r="I69" s="37" t="str">
        <f aca="false">IF(COUNT(E69:H69)=0,"",ROUND(AVERAGE(E69:H69),0))</f>
        <v/>
      </c>
      <c r="J69" s="38" t="str">
        <f aca="false">IF(I69="","",LOOKUP(I69,Impostazioni!$E$4:$E$9,Impostazioni!$F$4:$F$9))</f>
        <v/>
      </c>
      <c r="K69" s="36"/>
      <c r="L69" s="36"/>
      <c r="M69" s="36"/>
      <c r="N69" s="36"/>
      <c r="O69" s="37" t="str">
        <f aca="false">IF(COUNT(K69:N69)=0,"",ROUND(AVERAGE(K69:N69),0))</f>
        <v/>
      </c>
      <c r="P69" s="38" t="str">
        <f aca="false">IF(O69="","",LOOKUP(O69,Impostazioni!$E$4:$E$9,Impostazioni!$F$4:$F$9))</f>
        <v/>
      </c>
      <c r="Q69" s="36"/>
      <c r="R69" s="36"/>
      <c r="S69" s="36"/>
      <c r="T69" s="36"/>
      <c r="U69" s="39" t="str">
        <f aca="false">IF(COUNT(Q69:T69)=0,"",ROUND(AVERAGE(Q69:T69),0))</f>
        <v/>
      </c>
      <c r="V69" s="38" t="str">
        <f aca="false">IF(U69="","",LOOKUP(U69,Impostazioni!$E$4:$E$9,Impostazioni!$F$4:$F$9))</f>
        <v/>
      </c>
      <c r="W69" s="36"/>
      <c r="X69" s="36"/>
      <c r="Y69" s="36"/>
      <c r="Z69" s="36"/>
      <c r="AA69" s="39" t="str">
        <f aca="false">IF(COUNT(W69:Z69)=0,"",ROUND(AVERAGE(W69:Z69),0))</f>
        <v/>
      </c>
      <c r="AB69" s="38" t="str">
        <f aca="false">IF(AA69="","",LOOKUP(AA69,Impostazioni!$E$4:$E$9,Impostazioni!$F$4:$F$9))</f>
        <v/>
      </c>
    </row>
    <row r="70" customFormat="false" ht="21" hidden="false" customHeight="true" outlineLevel="0" collapsed="false">
      <c r="A70" s="33" t="n">
        <v>24</v>
      </c>
      <c r="B70" s="34" t="str">
        <f aca="false">IFERROR(INDEX(Alunni!$C$1:$C$1000,MATCH($A70,Alunni!$A$1:$A$1000,0))&amp;"","")</f>
        <v/>
      </c>
      <c r="C70" s="15"/>
      <c r="D70" s="35"/>
      <c r="E70" s="36"/>
      <c r="F70" s="36"/>
      <c r="G70" s="36"/>
      <c r="H70" s="36"/>
      <c r="I70" s="37" t="str">
        <f aca="false">IF(COUNT(E70:H70)=0,"",ROUND(AVERAGE(E70:H70),0))</f>
        <v/>
      </c>
      <c r="J70" s="38" t="str">
        <f aca="false">IF(I70="","",LOOKUP(I70,Impostazioni!$E$4:$E$9,Impostazioni!$F$4:$F$9))</f>
        <v/>
      </c>
      <c r="K70" s="36"/>
      <c r="L70" s="36"/>
      <c r="M70" s="36"/>
      <c r="N70" s="36"/>
      <c r="O70" s="37" t="str">
        <f aca="false">IF(COUNT(K70:N70)=0,"",ROUND(AVERAGE(K70:N70),0))</f>
        <v/>
      </c>
      <c r="P70" s="38" t="str">
        <f aca="false">IF(O70="","",LOOKUP(O70,Impostazioni!$E$4:$E$9,Impostazioni!$F$4:$F$9))</f>
        <v/>
      </c>
      <c r="Q70" s="36"/>
      <c r="R70" s="36"/>
      <c r="S70" s="36"/>
      <c r="T70" s="36"/>
      <c r="U70" s="39" t="str">
        <f aca="false">IF(COUNT(Q70:T70)=0,"",ROUND(AVERAGE(Q70:T70),0))</f>
        <v/>
      </c>
      <c r="V70" s="38" t="str">
        <f aca="false">IF(U70="","",LOOKUP(U70,Impostazioni!$E$4:$E$9,Impostazioni!$F$4:$F$9))</f>
        <v/>
      </c>
      <c r="W70" s="36"/>
      <c r="X70" s="36"/>
      <c r="Y70" s="36"/>
      <c r="Z70" s="36"/>
      <c r="AA70" s="39" t="str">
        <f aca="false">IF(COUNT(W70:Z70)=0,"",ROUND(AVERAGE(W70:Z70),0))</f>
        <v/>
      </c>
      <c r="AB70" s="38" t="str">
        <f aca="false">IF(AA70="","",LOOKUP(AA70,Impostazioni!$E$4:$E$9,Impostazioni!$F$4:$F$9))</f>
        <v/>
      </c>
    </row>
    <row r="71" customFormat="false" ht="21" hidden="false" customHeight="true" outlineLevel="0" collapsed="false">
      <c r="A71" s="33" t="n">
        <v>25</v>
      </c>
      <c r="B71" s="34" t="str">
        <f aca="false">IFERROR(INDEX(Alunni!$C$1:$C$1000,MATCH($A71,Alunni!$A$1:$A$1000,0))&amp;"","")</f>
        <v/>
      </c>
      <c r="C71" s="15"/>
      <c r="D71" s="35"/>
      <c r="E71" s="36"/>
      <c r="F71" s="36"/>
      <c r="G71" s="36"/>
      <c r="H71" s="36"/>
      <c r="I71" s="37" t="str">
        <f aca="false">IF(COUNT(E71:H71)=0,"",ROUND(AVERAGE(E71:H71),0))</f>
        <v/>
      </c>
      <c r="J71" s="38" t="str">
        <f aca="false">IF(I71="","",LOOKUP(I71,Impostazioni!$E$4:$E$9,Impostazioni!$F$4:$F$9))</f>
        <v/>
      </c>
      <c r="K71" s="36"/>
      <c r="L71" s="36"/>
      <c r="M71" s="36"/>
      <c r="N71" s="36"/>
      <c r="O71" s="37" t="str">
        <f aca="false">IF(COUNT(K71:N71)=0,"",ROUND(AVERAGE(K71:N71),0))</f>
        <v/>
      </c>
      <c r="P71" s="38" t="str">
        <f aca="false">IF(O71="","",LOOKUP(O71,Impostazioni!$E$4:$E$9,Impostazioni!$F$4:$F$9))</f>
        <v/>
      </c>
      <c r="Q71" s="36"/>
      <c r="R71" s="36"/>
      <c r="S71" s="36"/>
      <c r="T71" s="36"/>
      <c r="U71" s="39" t="str">
        <f aca="false">IF(COUNT(Q71:T71)=0,"",ROUND(AVERAGE(Q71:T71),0))</f>
        <v/>
      </c>
      <c r="V71" s="38" t="str">
        <f aca="false">IF(U71="","",LOOKUP(U71,Impostazioni!$E$4:$E$9,Impostazioni!$F$4:$F$9))</f>
        <v/>
      </c>
      <c r="W71" s="36"/>
      <c r="X71" s="36"/>
      <c r="Y71" s="36"/>
      <c r="Z71" s="36"/>
      <c r="AA71" s="39" t="str">
        <f aca="false">IF(COUNT(W71:Z71)=0,"",ROUND(AVERAGE(W71:Z71),0))</f>
        <v/>
      </c>
      <c r="AB71" s="38" t="str">
        <f aca="false">IF(AA71="","",LOOKUP(AA71,Impostazioni!$E$4:$E$9,Impostazioni!$F$4:$F$9))</f>
        <v/>
      </c>
    </row>
    <row r="72" customFormat="false" ht="21" hidden="false" customHeight="true" outlineLevel="0" collapsed="false">
      <c r="A72" s="33" t="n">
        <v>26</v>
      </c>
      <c r="B72" s="34" t="str">
        <f aca="false">IFERROR(INDEX(Alunni!$C$1:$C$1000,MATCH($A72,Alunni!$A$1:$A$1000,0))&amp;"","")</f>
        <v/>
      </c>
      <c r="C72" s="15"/>
      <c r="D72" s="35"/>
      <c r="E72" s="36"/>
      <c r="F72" s="36"/>
      <c r="G72" s="36"/>
      <c r="H72" s="36"/>
      <c r="I72" s="37" t="str">
        <f aca="false">IF(COUNT(E72:H72)=0,"",ROUND(AVERAGE(E72:H72),0))</f>
        <v/>
      </c>
      <c r="J72" s="38" t="str">
        <f aca="false">IF(I72="","",LOOKUP(I72,Impostazioni!$E$4:$E$9,Impostazioni!$F$4:$F$9))</f>
        <v/>
      </c>
      <c r="K72" s="36"/>
      <c r="L72" s="36"/>
      <c r="M72" s="36"/>
      <c r="N72" s="36"/>
      <c r="O72" s="37" t="str">
        <f aca="false">IF(COUNT(K72:N72)=0,"",ROUND(AVERAGE(K72:N72),0))</f>
        <v/>
      </c>
      <c r="P72" s="38" t="str">
        <f aca="false">IF(O72="","",LOOKUP(O72,Impostazioni!$E$4:$E$9,Impostazioni!$F$4:$F$9))</f>
        <v/>
      </c>
      <c r="Q72" s="36"/>
      <c r="R72" s="36"/>
      <c r="S72" s="36"/>
      <c r="T72" s="36"/>
      <c r="U72" s="39" t="str">
        <f aca="false">IF(COUNT(Q72:T72)=0,"",ROUND(AVERAGE(Q72:T72),0))</f>
        <v/>
      </c>
      <c r="V72" s="38" t="str">
        <f aca="false">IF(U72="","",LOOKUP(U72,Impostazioni!$E$4:$E$9,Impostazioni!$F$4:$F$9))</f>
        <v/>
      </c>
      <c r="W72" s="36"/>
      <c r="X72" s="36"/>
      <c r="Y72" s="36"/>
      <c r="Z72" s="36"/>
      <c r="AA72" s="39" t="str">
        <f aca="false">IF(COUNT(W72:Z72)=0,"",ROUND(AVERAGE(W72:Z72),0))</f>
        <v/>
      </c>
      <c r="AB72" s="38" t="str">
        <f aca="false">IF(AA72="","",LOOKUP(AA72,Impostazioni!$E$4:$E$9,Impostazioni!$F$4:$F$9))</f>
        <v/>
      </c>
    </row>
    <row r="73" customFormat="false" ht="21" hidden="false" customHeight="true" outlineLevel="0" collapsed="false">
      <c r="A73" s="33" t="n">
        <v>27</v>
      </c>
      <c r="B73" s="34" t="str">
        <f aca="false">IFERROR(INDEX(Alunni!$C$1:$C$1000,MATCH($A73,Alunni!$A$1:$A$1000,0))&amp;"","")</f>
        <v/>
      </c>
      <c r="C73" s="15"/>
      <c r="D73" s="35"/>
      <c r="E73" s="36"/>
      <c r="F73" s="36"/>
      <c r="G73" s="36"/>
      <c r="H73" s="36"/>
      <c r="I73" s="37" t="str">
        <f aca="false">IF(COUNT(E73:H73)=0,"",ROUND(AVERAGE(E73:H73),0))</f>
        <v/>
      </c>
      <c r="J73" s="38" t="str">
        <f aca="false">IF(I73="","",LOOKUP(I73,Impostazioni!$E$4:$E$9,Impostazioni!$F$4:$F$9))</f>
        <v/>
      </c>
      <c r="K73" s="36"/>
      <c r="L73" s="36"/>
      <c r="M73" s="36"/>
      <c r="N73" s="36"/>
      <c r="O73" s="37" t="str">
        <f aca="false">IF(COUNT(K73:N73)=0,"",ROUND(AVERAGE(K73:N73),0))</f>
        <v/>
      </c>
      <c r="P73" s="38" t="str">
        <f aca="false">IF(O73="","",LOOKUP(O73,Impostazioni!$E$4:$E$9,Impostazioni!$F$4:$F$9))</f>
        <v/>
      </c>
      <c r="Q73" s="36"/>
      <c r="R73" s="36"/>
      <c r="S73" s="36"/>
      <c r="T73" s="36"/>
      <c r="U73" s="39" t="str">
        <f aca="false">IF(COUNT(Q73:T73)=0,"",ROUND(AVERAGE(Q73:T73),0))</f>
        <v/>
      </c>
      <c r="V73" s="38" t="str">
        <f aca="false">IF(U73="","",LOOKUP(U73,Impostazioni!$E$4:$E$9,Impostazioni!$F$4:$F$9))</f>
        <v/>
      </c>
      <c r="W73" s="36"/>
      <c r="X73" s="36"/>
      <c r="Y73" s="36"/>
      <c r="Z73" s="36"/>
      <c r="AA73" s="39" t="str">
        <f aca="false">IF(COUNT(W73:Z73)=0,"",ROUND(AVERAGE(W73:Z73),0))</f>
        <v/>
      </c>
      <c r="AB73" s="38" t="str">
        <f aca="false">IF(AA73="","",LOOKUP(AA73,Impostazioni!$E$4:$E$9,Impostazioni!$F$4:$F$9))</f>
        <v/>
      </c>
    </row>
    <row r="74" customFormat="false" ht="21" hidden="false" customHeight="true" outlineLevel="0" collapsed="false">
      <c r="A74" s="33" t="n">
        <v>28</v>
      </c>
      <c r="B74" s="34" t="str">
        <f aca="false">IFERROR(INDEX(Alunni!$C$1:$C$1000,MATCH($A74,Alunni!$A$1:$A$1000,0))&amp;"","")</f>
        <v/>
      </c>
      <c r="C74" s="15"/>
      <c r="D74" s="35"/>
      <c r="E74" s="36"/>
      <c r="F74" s="36"/>
      <c r="G74" s="36"/>
      <c r="H74" s="36"/>
      <c r="I74" s="37" t="str">
        <f aca="false">IF(COUNT(E74:H74)=0,"",ROUND(AVERAGE(E74:H74),0))</f>
        <v/>
      </c>
      <c r="J74" s="38" t="str">
        <f aca="false">IF(I74="","",LOOKUP(I74,Impostazioni!$E$4:$E$9,Impostazioni!$F$4:$F$9))</f>
        <v/>
      </c>
      <c r="K74" s="36"/>
      <c r="L74" s="36"/>
      <c r="M74" s="36"/>
      <c r="N74" s="36"/>
      <c r="O74" s="37" t="str">
        <f aca="false">IF(COUNT(K74:N74)=0,"",ROUND(AVERAGE(K74:N74),0))</f>
        <v/>
      </c>
      <c r="P74" s="38" t="str">
        <f aca="false">IF(O74="","",LOOKUP(O74,Impostazioni!$E$4:$E$9,Impostazioni!$F$4:$F$9))</f>
        <v/>
      </c>
      <c r="Q74" s="36"/>
      <c r="R74" s="36"/>
      <c r="S74" s="36"/>
      <c r="T74" s="36"/>
      <c r="U74" s="39" t="str">
        <f aca="false">IF(COUNT(Q74:T74)=0,"",ROUND(AVERAGE(Q74:T74),0))</f>
        <v/>
      </c>
      <c r="V74" s="38" t="str">
        <f aca="false">IF(U74="","",LOOKUP(U74,Impostazioni!$E$4:$E$9,Impostazioni!$F$4:$F$9))</f>
        <v/>
      </c>
      <c r="W74" s="36"/>
      <c r="X74" s="36"/>
      <c r="Y74" s="36"/>
      <c r="Z74" s="36"/>
      <c r="AA74" s="39" t="str">
        <f aca="false">IF(COUNT(W74:Z74)=0,"",ROUND(AVERAGE(W74:Z74),0))</f>
        <v/>
      </c>
      <c r="AB74" s="38" t="str">
        <f aca="false">IF(AA74="","",LOOKUP(AA74,Impostazioni!$E$4:$E$9,Impostazioni!$F$4:$F$9))</f>
        <v/>
      </c>
    </row>
    <row r="75" customFormat="false" ht="21" hidden="false" customHeight="true" outlineLevel="0" collapsed="false">
      <c r="A75" s="33" t="n">
        <v>29</v>
      </c>
      <c r="B75" s="34" t="str">
        <f aca="false">IFERROR(INDEX(Alunni!$C$1:$C$1000,MATCH($A75,Alunni!$A$1:$A$1000,0))&amp;"","")</f>
        <v/>
      </c>
      <c r="C75" s="15"/>
      <c r="D75" s="35"/>
      <c r="E75" s="36"/>
      <c r="F75" s="36"/>
      <c r="G75" s="36"/>
      <c r="H75" s="36"/>
      <c r="I75" s="37" t="str">
        <f aca="false">IF(COUNT(E75:H75)=0,"",ROUND(AVERAGE(E75:H75),0))</f>
        <v/>
      </c>
      <c r="J75" s="38" t="str">
        <f aca="false">IF(I75="","",LOOKUP(I75,Impostazioni!$E$4:$E$9,Impostazioni!$F$4:$F$9))</f>
        <v/>
      </c>
      <c r="K75" s="36"/>
      <c r="L75" s="36"/>
      <c r="M75" s="36"/>
      <c r="N75" s="36"/>
      <c r="O75" s="37" t="str">
        <f aca="false">IF(COUNT(K75:N75)=0,"",ROUND(AVERAGE(K75:N75),0))</f>
        <v/>
      </c>
      <c r="P75" s="38" t="str">
        <f aca="false">IF(O75="","",LOOKUP(O75,Impostazioni!$E$4:$E$9,Impostazioni!$F$4:$F$9))</f>
        <v/>
      </c>
      <c r="Q75" s="36"/>
      <c r="R75" s="36"/>
      <c r="S75" s="36"/>
      <c r="T75" s="36"/>
      <c r="U75" s="39" t="str">
        <f aca="false">IF(COUNT(Q75:T75)=0,"",ROUND(AVERAGE(Q75:T75),0))</f>
        <v/>
      </c>
      <c r="V75" s="38" t="str">
        <f aca="false">IF(U75="","",LOOKUP(U75,Impostazioni!$E$4:$E$9,Impostazioni!$F$4:$F$9))</f>
        <v/>
      </c>
      <c r="W75" s="36"/>
      <c r="X75" s="36"/>
      <c r="Y75" s="36"/>
      <c r="Z75" s="36"/>
      <c r="AA75" s="39" t="str">
        <f aca="false">IF(COUNT(W75:Z75)=0,"",ROUND(AVERAGE(W75:Z75),0))</f>
        <v/>
      </c>
      <c r="AB75" s="38" t="str">
        <f aca="false">IF(AA75="","",LOOKUP(AA75,Impostazioni!$E$4:$E$9,Impostazioni!$F$4:$F$9))</f>
        <v/>
      </c>
    </row>
    <row r="76" customFormat="false" ht="21" hidden="false" customHeight="true" outlineLevel="0" collapsed="false">
      <c r="A76" s="33" t="n">
        <v>30</v>
      </c>
      <c r="B76" s="34" t="str">
        <f aca="false">IFERROR(INDEX(Alunni!$C$1:$C$1000,MATCH($A76,Alunni!$A$1:$A$1000,0))&amp;"","")</f>
        <v/>
      </c>
      <c r="C76" s="15"/>
      <c r="D76" s="35"/>
      <c r="E76" s="36"/>
      <c r="F76" s="36"/>
      <c r="G76" s="36"/>
      <c r="H76" s="36"/>
      <c r="I76" s="37" t="str">
        <f aca="false">IF(COUNT(E76:H76)=0,"",ROUND(AVERAGE(E76:H76),0))</f>
        <v/>
      </c>
      <c r="J76" s="38" t="str">
        <f aca="false">IF(I76="","",LOOKUP(I76,Impostazioni!$E$4:$E$9,Impostazioni!$F$4:$F$9))</f>
        <v/>
      </c>
      <c r="K76" s="36"/>
      <c r="L76" s="36"/>
      <c r="M76" s="36"/>
      <c r="N76" s="36"/>
      <c r="O76" s="37" t="str">
        <f aca="false">IF(COUNT(K76:N76)=0,"",ROUND(AVERAGE(K76:N76),0))</f>
        <v/>
      </c>
      <c r="P76" s="38" t="str">
        <f aca="false">IF(O76="","",LOOKUP(O76,Impostazioni!$E$4:$E$9,Impostazioni!$F$4:$F$9))</f>
        <v/>
      </c>
      <c r="Q76" s="36"/>
      <c r="R76" s="36"/>
      <c r="S76" s="36"/>
      <c r="T76" s="36"/>
      <c r="U76" s="39" t="str">
        <f aca="false">IF(COUNT(Q76:T76)=0,"",ROUND(AVERAGE(Q76:T76),0))</f>
        <v/>
      </c>
      <c r="V76" s="38" t="str">
        <f aca="false">IF(U76="","",LOOKUP(U76,Impostazioni!$E$4:$E$9,Impostazioni!$F$4:$F$9))</f>
        <v/>
      </c>
      <c r="W76" s="36"/>
      <c r="X76" s="36"/>
      <c r="Y76" s="36"/>
      <c r="Z76" s="36"/>
      <c r="AA76" s="39" t="str">
        <f aca="false">IF(COUNT(W76:Z76)=0,"",ROUND(AVERAGE(W76:Z76),0))</f>
        <v/>
      </c>
      <c r="AB76" s="38" t="str">
        <f aca="false">IF(AA76="","",LOOKUP(AA76,Impostazioni!$E$4:$E$9,Impostazioni!$F$4:$F$9))</f>
        <v/>
      </c>
    </row>
    <row r="78" customFormat="false" ht="25.5" hidden="false" customHeight="true" outlineLevel="0" collapsed="false">
      <c r="A78" s="4" t="str">
        <f aca="false">Calendario!B9&amp;"   ·   "&amp;IF(Calendario!G9="","(descrizione da Calendario)",Calendario!G9)&amp;"   ·   "&amp;IF(Calendario!E9="","data da fissare",CHOOSE(WEEKDAY(Calendario!E9,2),"lunedì","martedì","mercoledì","giovedì","venerdì","sabato","domenica")&amp;" "&amp;TEXT(DAY(Calendario!E9),"00")&amp;"/"&amp;TEXT(MONTH(Calendario!E9),"00")&amp;"/"&amp;YEAR(Calendario!E9))</f>
        <v>Q1-G03   ·   P02 · Circuito Super Gym d'istituto   ·   lunedì 02/11/2026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customFormat="false" ht="15" hidden="false" customHeight="true" outlineLevel="0" collapsed="false">
      <c r="A79" s="25" t="s">
        <v>80</v>
      </c>
      <c r="B79" s="25"/>
      <c r="C79" s="25"/>
      <c r="D79" s="25"/>
      <c r="E79" s="26" t="str">
        <f aca="false">IF(Calendario!$H$9="","— libero —",Calendario!$H$9&amp;"  "&amp;IFERROR(VLOOKUP(Calendario!$H$9,Impostazioni!$A$25:$J$36,3,FALSE()),""))</f>
        <v>1.1  Traiettorie, ritmi, organizzazione</v>
      </c>
      <c r="F79" s="26"/>
      <c r="G79" s="26"/>
      <c r="H79" s="26"/>
      <c r="I79" s="26"/>
      <c r="J79" s="26"/>
      <c r="K79" s="26" t="str">
        <f aca="false">IF(Calendario!$I$9="","— libero —",Calendario!$I$9&amp;"  "&amp;IFERROR(VLOOKUP(Calendario!$I$9,Impostazioni!$A$25:$J$36,3,FALSE()),""))</f>
        <v>TEC.1  Attrezzi: istruzioni e sicurezza</v>
      </c>
      <c r="L79" s="26"/>
      <c r="M79" s="26"/>
      <c r="N79" s="26"/>
      <c r="O79" s="26"/>
      <c r="P79" s="26"/>
      <c r="Q79" s="26" t="str">
        <f aca="false">IF(Calendario!$J$9="","— libero —",Calendario!$J$9&amp;"  "&amp;IFERROR(VLOOKUP(Calendario!$J$9,Impostazioni!$A$25:$J$36,3,FALSE()),""))</f>
        <v>— libero —</v>
      </c>
      <c r="R79" s="26"/>
      <c r="S79" s="26"/>
      <c r="T79" s="26"/>
      <c r="U79" s="26"/>
      <c r="V79" s="26"/>
      <c r="W79" s="26" t="str">
        <f aca="false">IF(Calendario!$K$9="","— libero —",Calendario!$K$9&amp;"  "&amp;IFERROR(VLOOKUP(Calendario!$K$9,Impostazioni!$A$25:$J$36,3,FALSE()),""))</f>
        <v>— libero —</v>
      </c>
      <c r="X79" s="26"/>
      <c r="Y79" s="26"/>
      <c r="Z79" s="26"/>
      <c r="AA79" s="26"/>
      <c r="AB79" s="26"/>
    </row>
    <row r="80" customFormat="false" ht="15" hidden="false" customHeight="true" outlineLevel="0" collapsed="false">
      <c r="A80" s="25" t="s">
        <v>81</v>
      </c>
      <c r="B80" s="25"/>
      <c r="C80" s="25"/>
      <c r="D80" s="25"/>
      <c r="E80" s="27" t="str">
        <f aca="false">IF(Calendario!$H$9="","","Ob. "&amp;IFERROR(VLOOKUP(Calendario!$H$9,Impostazioni!$A$25:$J$36,5,FALSE()),"?")&amp;" · peso "&amp;IF(Calendario!$F$9=2,Impostazioni!$B$11,Impostazioni!$B$10))</f>
        <v>Ob. A · peso 1</v>
      </c>
      <c r="F80" s="27"/>
      <c r="G80" s="27"/>
      <c r="H80" s="27"/>
      <c r="I80" s="27"/>
      <c r="J80" s="27"/>
      <c r="K80" s="27" t="str">
        <f aca="false">IF(Calendario!$I$9="","","Ob. "&amp;IFERROR(VLOOKUP(Calendario!$I$9,Impostazioni!$A$25:$J$36,5,FALSE()),"?")&amp;" · peso "&amp;IF(Calendario!$F$9=2,Impostazioni!$B$11,Impostazioni!$B$10))</f>
        <v>Ob. TEC · peso 1</v>
      </c>
      <c r="L80" s="27"/>
      <c r="M80" s="27"/>
      <c r="N80" s="27"/>
      <c r="O80" s="27"/>
      <c r="P80" s="27"/>
      <c r="Q80" s="27" t="str">
        <f aca="false">IF(Calendario!$J$9="","","Ob. "&amp;IFERROR(VLOOKUP(Calendario!$J$9,Impostazioni!$A$25:$J$36,5,FALSE()),"?")&amp;" · peso "&amp;IF(Calendario!$F$9=2,Impostazioni!$B$11,Impostazioni!$B$10))</f>
        <v/>
      </c>
      <c r="R80" s="27"/>
      <c r="S80" s="27"/>
      <c r="T80" s="27"/>
      <c r="U80" s="27"/>
      <c r="V80" s="27"/>
      <c r="W80" s="27" t="str">
        <f aca="false">IF(Calendario!$K$9="","","Ob. "&amp;IFERROR(VLOOKUP(Calendario!$K$9,Impostazioni!$A$25:$J$36,5,FALSE()),"?")&amp;" · peso "&amp;IF(Calendario!$F$9=2,Impostazioni!$B$11,Impostazioni!$B$10))</f>
        <v/>
      </c>
      <c r="X80" s="27"/>
      <c r="Y80" s="27"/>
      <c r="Z80" s="27"/>
      <c r="AA80" s="27"/>
      <c r="AB80" s="27"/>
    </row>
    <row r="81" customFormat="false" ht="33.75" hidden="false" customHeight="true" outlineLevel="0" collapsed="false">
      <c r="A81" s="25" t="s">
        <v>82</v>
      </c>
      <c r="B81" s="25"/>
      <c r="C81" s="25"/>
      <c r="D81" s="25"/>
      <c r="E81" s="28" t="str">
        <f aca="false">IF(Calendario!$H$9="","",IFERROR(HYPERLINK("#Rubriche!C"&amp;(MATCH(Calendario!$H$9,Rubriche!$A$1:$A$1000,0)+0),VLOOKUP(Calendario!$H$9,Impostazioni!$A$25:$J$36,7,FALSE())),""))</f>
        <v>Traiettorie</v>
      </c>
      <c r="F81" s="28" t="str">
        <f aca="false">IF(Calendario!$H$9="","",IFERROR(HYPERLINK("#Rubriche!C"&amp;(MATCH(Calendario!$H$9,Rubriche!$A$1:$A$1000,0)+1),VLOOKUP(Calendario!$H$9,Impostazioni!$A$25:$J$36,8,FALSE())),""))</f>
        <v>Distanze e velocità</v>
      </c>
      <c r="G81" s="28" t="str">
        <f aca="false">IF(Calendario!$H$9="","",IFERROR(HYPERLINK("#Rubriche!C"&amp;(MATCH(Calendario!$H$9,Rubriche!$A$1:$A$1000,0)+2),VLOOKUP(Calendario!$H$9,Impostazioni!$A$25:$J$36,9,FALSE())),""))</f>
        <v>Ritmi esecutivi</v>
      </c>
      <c r="H81" s="28" t="str">
        <f aca="false">IF(Calendario!$H$9="","",IFERROR(HYPERLINK("#Rubriche!C"&amp;(MATCH(Calendario!$H$9,Rubriche!$A$1:$A$1000,0)+3),VLOOKUP(Calendario!$H$9,Impostazioni!$A$25:$J$36,10,FALSE())),""))</f>
        <v>Organizzazione con gli altri</v>
      </c>
      <c r="I81" s="29"/>
      <c r="J81" s="29"/>
      <c r="K81" s="28" t="str">
        <f aca="false">IF(Calendario!$I$9="","",IFERROR(HYPERLINK("#Rubriche!C"&amp;(MATCH(Calendario!$I$9,Rubriche!$A$1:$A$1000,0)+0),VLOOKUP(Calendario!$I$9,Impostazioni!$A$25:$J$36,7,FALSE())),""))</f>
        <v>Lettura delle istruzioni</v>
      </c>
      <c r="L81" s="28" t="str">
        <f aca="false">IF(Calendario!$I$9="","",IFERROR(HYPERLINK("#Rubriche!C"&amp;(MATCH(Calendario!$I$9,Rubriche!$A$1:$A$1000,0)+1),VLOOKUP(Calendario!$I$9,Impostazioni!$A$25:$J$36,8,FALSE())),""))</f>
        <v>Allestimento</v>
      </c>
      <c r="M81" s="28" t="str">
        <f aca="false">IF(Calendario!$I$9="","",IFERROR(HYPERLINK("#Rubriche!C"&amp;(MATCH(Calendario!$I$9,Rubriche!$A$1:$A$1000,0)+2),VLOOKUP(Calendario!$I$9,Impostazioni!$A$25:$J$36,9,FALSE())),""))</f>
        <v>Uso sicuro</v>
      </c>
      <c r="N81" s="28" t="str">
        <f aca="false">IF(Calendario!$I$9="","",IFERROR(HYPERLINK("#Rubriche!C"&amp;(MATCH(Calendario!$I$9,Rubriche!$A$1:$A$1000,0)+3),VLOOKUP(Calendario!$I$9,Impostazioni!$A$25:$J$36,10,FALSE())),""))</f>
        <v>Riordino e cura</v>
      </c>
      <c r="O81" s="29"/>
      <c r="P81" s="29"/>
      <c r="Q81" s="28" t="str">
        <f aca="false">IF(Calendario!$J$9="","",IFERROR(HYPERLINK("#Rubriche!C"&amp;(MATCH(Calendario!$J$9,Rubriche!$A$1:$A$1000,0)+0),VLOOKUP(Calendario!$J$9,Impostazioni!$A$25:$J$36,7,FALSE())),""))</f>
        <v/>
      </c>
      <c r="R81" s="28" t="str">
        <f aca="false">IF(Calendario!$J$9="","",IFERROR(HYPERLINK("#Rubriche!C"&amp;(MATCH(Calendario!$J$9,Rubriche!$A$1:$A$1000,0)+1),VLOOKUP(Calendario!$J$9,Impostazioni!$A$25:$J$36,8,FALSE())),""))</f>
        <v/>
      </c>
      <c r="S81" s="28" t="str">
        <f aca="false">IF(Calendario!$J$9="","",IFERROR(HYPERLINK("#Rubriche!C"&amp;(MATCH(Calendario!$J$9,Rubriche!$A$1:$A$1000,0)+2),VLOOKUP(Calendario!$J$9,Impostazioni!$A$25:$J$36,9,FALSE())),""))</f>
        <v/>
      </c>
      <c r="T81" s="28" t="str">
        <f aca="false">IF(Calendario!$J$9="","",IFERROR(HYPERLINK("#Rubriche!C"&amp;(MATCH(Calendario!$J$9,Rubriche!$A$1:$A$1000,0)+3),VLOOKUP(Calendario!$J$9,Impostazioni!$A$25:$J$36,10,FALSE())),""))</f>
        <v/>
      </c>
      <c r="U81" s="29"/>
      <c r="V81" s="29"/>
      <c r="W81" s="28" t="str">
        <f aca="false">IF(Calendario!$K$9="","",IFERROR(HYPERLINK("#Rubriche!C"&amp;(MATCH(Calendario!$K$9,Rubriche!$A$1:$A$1000,0)+0),VLOOKUP(Calendario!$K$9,Impostazioni!$A$25:$J$36,7,FALSE())),""))</f>
        <v/>
      </c>
      <c r="X81" s="28" t="str">
        <f aca="false">IF(Calendario!$K$9="","",IFERROR(HYPERLINK("#Rubriche!C"&amp;(MATCH(Calendario!$K$9,Rubriche!$A$1:$A$1000,0)+1),VLOOKUP(Calendario!$K$9,Impostazioni!$A$25:$J$36,8,FALSE())),""))</f>
        <v/>
      </c>
      <c r="Y81" s="28" t="str">
        <f aca="false">IF(Calendario!$K$9="","",IFERROR(HYPERLINK("#Rubriche!C"&amp;(MATCH(Calendario!$K$9,Rubriche!$A$1:$A$1000,0)+2),VLOOKUP(Calendario!$K$9,Impostazioni!$A$25:$J$36,9,FALSE())),""))</f>
        <v/>
      </c>
      <c r="Z81" s="28" t="str">
        <f aca="false">IF(Calendario!$K$9="","",IFERROR(HYPERLINK("#Rubriche!C"&amp;(MATCH(Calendario!$K$9,Rubriche!$A$1:$A$1000,0)+3),VLOOKUP(Calendario!$K$9,Impostazioni!$A$25:$J$36,10,FALSE())),""))</f>
        <v/>
      </c>
      <c r="AA81" s="29"/>
      <c r="AB81" s="29"/>
    </row>
    <row r="82" customFormat="false" ht="25.5" hidden="false" customHeight="true" outlineLevel="0" collapsed="false">
      <c r="A82" s="8" t="s">
        <v>65</v>
      </c>
      <c r="B82" s="8" t="s">
        <v>83</v>
      </c>
      <c r="C82" s="8" t="s">
        <v>68</v>
      </c>
      <c r="D82" s="8" t="s">
        <v>84</v>
      </c>
      <c r="E82" s="30" t="s">
        <v>85</v>
      </c>
      <c r="F82" s="30" t="s">
        <v>86</v>
      </c>
      <c r="G82" s="30" t="s">
        <v>87</v>
      </c>
      <c r="H82" s="30" t="s">
        <v>88</v>
      </c>
      <c r="I82" s="31" t="s">
        <v>89</v>
      </c>
      <c r="J82" s="32" t="s">
        <v>90</v>
      </c>
      <c r="K82" s="30" t="s">
        <v>85</v>
      </c>
      <c r="L82" s="30" t="s">
        <v>86</v>
      </c>
      <c r="M82" s="30" t="s">
        <v>87</v>
      </c>
      <c r="N82" s="30" t="s">
        <v>88</v>
      </c>
      <c r="O82" s="31" t="s">
        <v>89</v>
      </c>
      <c r="P82" s="32" t="s">
        <v>90</v>
      </c>
      <c r="Q82" s="30" t="s">
        <v>85</v>
      </c>
      <c r="R82" s="30" t="s">
        <v>86</v>
      </c>
      <c r="S82" s="30" t="s">
        <v>87</v>
      </c>
      <c r="T82" s="30" t="s">
        <v>88</v>
      </c>
      <c r="U82" s="31" t="s">
        <v>89</v>
      </c>
      <c r="V82" s="32" t="s">
        <v>90</v>
      </c>
      <c r="W82" s="30" t="s">
        <v>85</v>
      </c>
      <c r="X82" s="30" t="s">
        <v>86</v>
      </c>
      <c r="Y82" s="30" t="s">
        <v>87</v>
      </c>
      <c r="Z82" s="30" t="s">
        <v>88</v>
      </c>
      <c r="AA82" s="31" t="s">
        <v>89</v>
      </c>
      <c r="AB82" s="32" t="s">
        <v>90</v>
      </c>
    </row>
    <row r="83" customFormat="false" ht="21" hidden="false" customHeight="true" outlineLevel="0" collapsed="false">
      <c r="A83" s="33" t="n">
        <v>1</v>
      </c>
      <c r="B83" s="34" t="str">
        <f aca="false">IFERROR(INDEX(Alunni!$C$1:$C$1000,MATCH($A83,Alunni!$A$1:$A$1000,0))&amp;"","")</f>
        <v>Rossi Mario (esempio)</v>
      </c>
      <c r="C83" s="15"/>
      <c r="D83" s="35"/>
      <c r="E83" s="36" t="n">
        <v>8</v>
      </c>
      <c r="F83" s="36" t="n">
        <v>7</v>
      </c>
      <c r="G83" s="36" t="n">
        <v>8</v>
      </c>
      <c r="H83" s="36" t="n">
        <v>7</v>
      </c>
      <c r="I83" s="37" t="n">
        <f aca="false">IF(COUNT(E83:H83)=0,"",ROUND(AVERAGE(E83:H83),0))</f>
        <v>8</v>
      </c>
      <c r="J83" s="38" t="str">
        <f aca="false">IF(I83="","",LOOKUP(I83,Impostazioni!$E$4:$E$9,Impostazioni!$F$4:$F$9))</f>
        <v>Buono</v>
      </c>
      <c r="K83" s="36" t="n">
        <v>7</v>
      </c>
      <c r="L83" s="36" t="n">
        <v>7</v>
      </c>
      <c r="M83" s="36" t="n">
        <v>8</v>
      </c>
      <c r="N83" s="36" t="n">
        <v>7</v>
      </c>
      <c r="O83" s="37" t="n">
        <f aca="false">IF(COUNT(K83:N83)=0,"",ROUND(AVERAGE(K83:N83),0))</f>
        <v>7</v>
      </c>
      <c r="P83" s="38" t="str">
        <f aca="false">IF(O83="","",LOOKUP(O83,Impostazioni!$E$4:$E$9,Impostazioni!$F$4:$F$9))</f>
        <v>Discreto</v>
      </c>
      <c r="Q83" s="36" t="n">
        <v>9</v>
      </c>
      <c r="R83" s="36" t="n">
        <v>9</v>
      </c>
      <c r="S83" s="36" t="n">
        <v>8</v>
      </c>
      <c r="T83" s="36" t="n">
        <v>9</v>
      </c>
      <c r="U83" s="37" t="n">
        <f aca="false">IF(COUNT(Q83:T83)=0,"",ROUND(AVERAGE(Q83:T83),0))</f>
        <v>9</v>
      </c>
      <c r="V83" s="38" t="str">
        <f aca="false">IF(U83="","",LOOKUP(U83,Impostazioni!$E$4:$E$9,Impostazioni!$F$4:$F$9))</f>
        <v>Distinto</v>
      </c>
      <c r="W83" s="36"/>
      <c r="X83" s="36"/>
      <c r="Y83" s="36"/>
      <c r="Z83" s="36"/>
      <c r="AA83" s="39" t="str">
        <f aca="false">IF(COUNT(W83:Z83)=0,"",ROUND(AVERAGE(W83:Z83),0))</f>
        <v/>
      </c>
      <c r="AB83" s="38" t="str">
        <f aca="false">IF(AA83="","",LOOKUP(AA83,Impostazioni!$E$4:$E$9,Impostazioni!$F$4:$F$9))</f>
        <v/>
      </c>
    </row>
    <row r="84" customFormat="false" ht="21" hidden="false" customHeight="true" outlineLevel="0" collapsed="false">
      <c r="A84" s="33" t="n">
        <v>2</v>
      </c>
      <c r="B84" s="34" t="str">
        <f aca="false">IFERROR(INDEX(Alunni!$C$1:$C$1000,MATCH($A84,Alunni!$A$1:$A$1000,0))&amp;"","")</f>
        <v>Bianchi Anna (esempio)</v>
      </c>
      <c r="C84" s="15" t="s">
        <v>91</v>
      </c>
      <c r="D84" s="35"/>
      <c r="E84" s="36"/>
      <c r="F84" s="36"/>
      <c r="G84" s="36"/>
      <c r="H84" s="36"/>
      <c r="I84" s="37" t="str">
        <f aca="false">IF(COUNT(E84:H84)=0,"",ROUND(AVERAGE(E84:H84),0))</f>
        <v/>
      </c>
      <c r="J84" s="38" t="str">
        <f aca="false">IF(I84="","",LOOKUP(I84,Impostazioni!$E$4:$E$9,Impostazioni!$F$4:$F$9))</f>
        <v/>
      </c>
      <c r="K84" s="36"/>
      <c r="L84" s="36"/>
      <c r="M84" s="36"/>
      <c r="N84" s="36"/>
      <c r="O84" s="37" t="str">
        <f aca="false">IF(COUNT(K84:N84)=0,"",ROUND(AVERAGE(K84:N84),0))</f>
        <v/>
      </c>
      <c r="P84" s="38" t="str">
        <f aca="false">IF(O84="","",LOOKUP(O84,Impostazioni!$E$4:$E$9,Impostazioni!$F$4:$F$9))</f>
        <v/>
      </c>
      <c r="Q84" s="36"/>
      <c r="R84" s="36"/>
      <c r="S84" s="36"/>
      <c r="T84" s="36"/>
      <c r="U84" s="37" t="str">
        <f aca="false">IF(COUNT(Q84:T84)=0,"",ROUND(AVERAGE(Q84:T84),0))</f>
        <v/>
      </c>
      <c r="V84" s="38" t="str">
        <f aca="false">IF(U84="","",LOOKUP(U84,Impostazioni!$E$4:$E$9,Impostazioni!$F$4:$F$9))</f>
        <v/>
      </c>
      <c r="W84" s="36"/>
      <c r="X84" s="36"/>
      <c r="Y84" s="36"/>
      <c r="Z84" s="36"/>
      <c r="AA84" s="39" t="str">
        <f aca="false">IF(COUNT(W84:Z84)=0,"",ROUND(AVERAGE(W84:Z84),0))</f>
        <v/>
      </c>
      <c r="AB84" s="38" t="str">
        <f aca="false">IF(AA84="","",LOOKUP(AA84,Impostazioni!$E$4:$E$9,Impostazioni!$F$4:$F$9))</f>
        <v/>
      </c>
    </row>
    <row r="85" customFormat="false" ht="21" hidden="false" customHeight="true" outlineLevel="0" collapsed="false">
      <c r="A85" s="33" t="n">
        <v>3</v>
      </c>
      <c r="B85" s="34" t="str">
        <f aca="false">IFERROR(INDEX(Alunni!$C$1:$C$1000,MATCH($A85,Alunni!$A$1:$A$1000,0))&amp;"","")</f>
        <v>Verdi Luca (esempio)</v>
      </c>
      <c r="C85" s="15"/>
      <c r="D85" s="35"/>
      <c r="E85" s="36"/>
      <c r="F85" s="36"/>
      <c r="G85" s="36"/>
      <c r="H85" s="36"/>
      <c r="I85" s="37" t="str">
        <f aca="false">IF(COUNT(E85:H85)=0,"",ROUND(AVERAGE(E85:H85),0))</f>
        <v/>
      </c>
      <c r="J85" s="38" t="str">
        <f aca="false">IF(I85="","",LOOKUP(I85,Impostazioni!$E$4:$E$9,Impostazioni!$F$4:$F$9))</f>
        <v/>
      </c>
      <c r="K85" s="36"/>
      <c r="L85" s="36"/>
      <c r="M85" s="36"/>
      <c r="N85" s="36"/>
      <c r="O85" s="37" t="str">
        <f aca="false">IF(COUNT(K85:N85)=0,"",ROUND(AVERAGE(K85:N85),0))</f>
        <v/>
      </c>
      <c r="P85" s="38" t="str">
        <f aca="false">IF(O85="","",LOOKUP(O85,Impostazioni!$E$4:$E$9,Impostazioni!$F$4:$F$9))</f>
        <v/>
      </c>
      <c r="Q85" s="36"/>
      <c r="R85" s="36"/>
      <c r="S85" s="36"/>
      <c r="T85" s="36"/>
      <c r="U85" s="37" t="str">
        <f aca="false">IF(COUNT(Q85:T85)=0,"",ROUND(AVERAGE(Q85:T85),0))</f>
        <v/>
      </c>
      <c r="V85" s="38" t="str">
        <f aca="false">IF(U85="","",LOOKUP(U85,Impostazioni!$E$4:$E$9,Impostazioni!$F$4:$F$9))</f>
        <v/>
      </c>
      <c r="W85" s="36"/>
      <c r="X85" s="36"/>
      <c r="Y85" s="36"/>
      <c r="Z85" s="36"/>
      <c r="AA85" s="39" t="str">
        <f aca="false">IF(COUNT(W85:Z85)=0,"",ROUND(AVERAGE(W85:Z85),0))</f>
        <v/>
      </c>
      <c r="AB85" s="38" t="str">
        <f aca="false">IF(AA85="","",LOOKUP(AA85,Impostazioni!$E$4:$E$9,Impostazioni!$F$4:$F$9))</f>
        <v/>
      </c>
    </row>
    <row r="86" customFormat="false" ht="21" hidden="false" customHeight="true" outlineLevel="0" collapsed="false">
      <c r="A86" s="33" t="n">
        <v>4</v>
      </c>
      <c r="B86" s="34" t="str">
        <f aca="false">IFERROR(INDEX(Alunni!$C$1:$C$1000,MATCH($A86,Alunni!$A$1:$A$1000,0))&amp;"","")</f>
        <v/>
      </c>
      <c r="C86" s="15"/>
      <c r="D86" s="35"/>
      <c r="E86" s="36"/>
      <c r="F86" s="36"/>
      <c r="G86" s="36"/>
      <c r="H86" s="36"/>
      <c r="I86" s="37" t="str">
        <f aca="false">IF(COUNT(E86:H86)=0,"",ROUND(AVERAGE(E86:H86),0))</f>
        <v/>
      </c>
      <c r="J86" s="38" t="str">
        <f aca="false">IF(I86="","",LOOKUP(I86,Impostazioni!$E$4:$E$9,Impostazioni!$F$4:$F$9))</f>
        <v/>
      </c>
      <c r="K86" s="36"/>
      <c r="L86" s="36"/>
      <c r="M86" s="36"/>
      <c r="N86" s="36"/>
      <c r="O86" s="37" t="str">
        <f aca="false">IF(COUNT(K86:N86)=0,"",ROUND(AVERAGE(K86:N86),0))</f>
        <v/>
      </c>
      <c r="P86" s="38" t="str">
        <f aca="false">IF(O86="","",LOOKUP(O86,Impostazioni!$E$4:$E$9,Impostazioni!$F$4:$F$9))</f>
        <v/>
      </c>
      <c r="Q86" s="36"/>
      <c r="R86" s="36"/>
      <c r="S86" s="36"/>
      <c r="T86" s="36"/>
      <c r="U86" s="37" t="str">
        <f aca="false">IF(COUNT(Q86:T86)=0,"",ROUND(AVERAGE(Q86:T86),0))</f>
        <v/>
      </c>
      <c r="V86" s="38" t="str">
        <f aca="false">IF(U86="","",LOOKUP(U86,Impostazioni!$E$4:$E$9,Impostazioni!$F$4:$F$9))</f>
        <v/>
      </c>
      <c r="W86" s="36"/>
      <c r="X86" s="36"/>
      <c r="Y86" s="36"/>
      <c r="Z86" s="36"/>
      <c r="AA86" s="39" t="str">
        <f aca="false">IF(COUNT(W86:Z86)=0,"",ROUND(AVERAGE(W86:Z86),0))</f>
        <v/>
      </c>
      <c r="AB86" s="38" t="str">
        <f aca="false">IF(AA86="","",LOOKUP(AA86,Impostazioni!$E$4:$E$9,Impostazioni!$F$4:$F$9))</f>
        <v/>
      </c>
    </row>
    <row r="87" customFormat="false" ht="21" hidden="false" customHeight="true" outlineLevel="0" collapsed="false">
      <c r="A87" s="33" t="n">
        <v>5</v>
      </c>
      <c r="B87" s="34" t="str">
        <f aca="false">IFERROR(INDEX(Alunni!$C$1:$C$1000,MATCH($A87,Alunni!$A$1:$A$1000,0))&amp;"","")</f>
        <v/>
      </c>
      <c r="C87" s="15"/>
      <c r="D87" s="35"/>
      <c r="E87" s="36"/>
      <c r="F87" s="36"/>
      <c r="G87" s="36"/>
      <c r="H87" s="36"/>
      <c r="I87" s="37" t="str">
        <f aca="false">IF(COUNT(E87:H87)=0,"",ROUND(AVERAGE(E87:H87),0))</f>
        <v/>
      </c>
      <c r="J87" s="38" t="str">
        <f aca="false">IF(I87="","",LOOKUP(I87,Impostazioni!$E$4:$E$9,Impostazioni!$F$4:$F$9))</f>
        <v/>
      </c>
      <c r="K87" s="36"/>
      <c r="L87" s="36"/>
      <c r="M87" s="36"/>
      <c r="N87" s="36"/>
      <c r="O87" s="37" t="str">
        <f aca="false">IF(COUNT(K87:N87)=0,"",ROUND(AVERAGE(K87:N87),0))</f>
        <v/>
      </c>
      <c r="P87" s="38" t="str">
        <f aca="false">IF(O87="","",LOOKUP(O87,Impostazioni!$E$4:$E$9,Impostazioni!$F$4:$F$9))</f>
        <v/>
      </c>
      <c r="Q87" s="36"/>
      <c r="R87" s="36"/>
      <c r="S87" s="36"/>
      <c r="T87" s="36"/>
      <c r="U87" s="37" t="str">
        <f aca="false">IF(COUNT(Q87:T87)=0,"",ROUND(AVERAGE(Q87:T87),0))</f>
        <v/>
      </c>
      <c r="V87" s="38" t="str">
        <f aca="false">IF(U87="","",LOOKUP(U87,Impostazioni!$E$4:$E$9,Impostazioni!$F$4:$F$9))</f>
        <v/>
      </c>
      <c r="W87" s="36"/>
      <c r="X87" s="36"/>
      <c r="Y87" s="36"/>
      <c r="Z87" s="36"/>
      <c r="AA87" s="39" t="str">
        <f aca="false">IF(COUNT(W87:Z87)=0,"",ROUND(AVERAGE(W87:Z87),0))</f>
        <v/>
      </c>
      <c r="AB87" s="38" t="str">
        <f aca="false">IF(AA87="","",LOOKUP(AA87,Impostazioni!$E$4:$E$9,Impostazioni!$F$4:$F$9))</f>
        <v/>
      </c>
    </row>
    <row r="88" customFormat="false" ht="21" hidden="false" customHeight="true" outlineLevel="0" collapsed="false">
      <c r="A88" s="33" t="n">
        <v>6</v>
      </c>
      <c r="B88" s="34" t="str">
        <f aca="false">IFERROR(INDEX(Alunni!$C$1:$C$1000,MATCH($A88,Alunni!$A$1:$A$1000,0))&amp;"","")</f>
        <v/>
      </c>
      <c r="C88" s="15"/>
      <c r="D88" s="35"/>
      <c r="E88" s="36"/>
      <c r="F88" s="36"/>
      <c r="G88" s="36"/>
      <c r="H88" s="36"/>
      <c r="I88" s="37" t="str">
        <f aca="false">IF(COUNT(E88:H88)=0,"",ROUND(AVERAGE(E88:H88),0))</f>
        <v/>
      </c>
      <c r="J88" s="38" t="str">
        <f aca="false">IF(I88="","",LOOKUP(I88,Impostazioni!$E$4:$E$9,Impostazioni!$F$4:$F$9))</f>
        <v/>
      </c>
      <c r="K88" s="36"/>
      <c r="L88" s="36"/>
      <c r="M88" s="36"/>
      <c r="N88" s="36"/>
      <c r="O88" s="37" t="str">
        <f aca="false">IF(COUNT(K88:N88)=0,"",ROUND(AVERAGE(K88:N88),0))</f>
        <v/>
      </c>
      <c r="P88" s="38" t="str">
        <f aca="false">IF(O88="","",LOOKUP(O88,Impostazioni!$E$4:$E$9,Impostazioni!$F$4:$F$9))</f>
        <v/>
      </c>
      <c r="Q88" s="36"/>
      <c r="R88" s="36"/>
      <c r="S88" s="36"/>
      <c r="T88" s="36"/>
      <c r="U88" s="37" t="str">
        <f aca="false">IF(COUNT(Q88:T88)=0,"",ROUND(AVERAGE(Q88:T88),0))</f>
        <v/>
      </c>
      <c r="V88" s="38" t="str">
        <f aca="false">IF(U88="","",LOOKUP(U88,Impostazioni!$E$4:$E$9,Impostazioni!$F$4:$F$9))</f>
        <v/>
      </c>
      <c r="W88" s="36"/>
      <c r="X88" s="36"/>
      <c r="Y88" s="36"/>
      <c r="Z88" s="36"/>
      <c r="AA88" s="39" t="str">
        <f aca="false">IF(COUNT(W88:Z88)=0,"",ROUND(AVERAGE(W88:Z88),0))</f>
        <v/>
      </c>
      <c r="AB88" s="38" t="str">
        <f aca="false">IF(AA88="","",LOOKUP(AA88,Impostazioni!$E$4:$E$9,Impostazioni!$F$4:$F$9))</f>
        <v/>
      </c>
    </row>
    <row r="89" customFormat="false" ht="21" hidden="false" customHeight="true" outlineLevel="0" collapsed="false">
      <c r="A89" s="33" t="n">
        <v>7</v>
      </c>
      <c r="B89" s="34" t="str">
        <f aca="false">IFERROR(INDEX(Alunni!$C$1:$C$1000,MATCH($A89,Alunni!$A$1:$A$1000,0))&amp;"","")</f>
        <v/>
      </c>
      <c r="C89" s="15"/>
      <c r="D89" s="35"/>
      <c r="E89" s="36"/>
      <c r="F89" s="36"/>
      <c r="G89" s="36"/>
      <c r="H89" s="36"/>
      <c r="I89" s="37" t="str">
        <f aca="false">IF(COUNT(E89:H89)=0,"",ROUND(AVERAGE(E89:H89),0))</f>
        <v/>
      </c>
      <c r="J89" s="38" t="str">
        <f aca="false">IF(I89="","",LOOKUP(I89,Impostazioni!$E$4:$E$9,Impostazioni!$F$4:$F$9))</f>
        <v/>
      </c>
      <c r="K89" s="36"/>
      <c r="L89" s="36"/>
      <c r="M89" s="36"/>
      <c r="N89" s="36"/>
      <c r="O89" s="37" t="str">
        <f aca="false">IF(COUNT(K89:N89)=0,"",ROUND(AVERAGE(K89:N89),0))</f>
        <v/>
      </c>
      <c r="P89" s="38" t="str">
        <f aca="false">IF(O89="","",LOOKUP(O89,Impostazioni!$E$4:$E$9,Impostazioni!$F$4:$F$9))</f>
        <v/>
      </c>
      <c r="Q89" s="36"/>
      <c r="R89" s="36"/>
      <c r="S89" s="36"/>
      <c r="T89" s="36"/>
      <c r="U89" s="37" t="str">
        <f aca="false">IF(COUNT(Q89:T89)=0,"",ROUND(AVERAGE(Q89:T89),0))</f>
        <v/>
      </c>
      <c r="V89" s="38" t="str">
        <f aca="false">IF(U89="","",LOOKUP(U89,Impostazioni!$E$4:$E$9,Impostazioni!$F$4:$F$9))</f>
        <v/>
      </c>
      <c r="W89" s="36"/>
      <c r="X89" s="36"/>
      <c r="Y89" s="36"/>
      <c r="Z89" s="36"/>
      <c r="AA89" s="39" t="str">
        <f aca="false">IF(COUNT(W89:Z89)=0,"",ROUND(AVERAGE(W89:Z89),0))</f>
        <v/>
      </c>
      <c r="AB89" s="38" t="str">
        <f aca="false">IF(AA89="","",LOOKUP(AA89,Impostazioni!$E$4:$E$9,Impostazioni!$F$4:$F$9))</f>
        <v/>
      </c>
    </row>
    <row r="90" customFormat="false" ht="21" hidden="false" customHeight="true" outlineLevel="0" collapsed="false">
      <c r="A90" s="33" t="n">
        <v>8</v>
      </c>
      <c r="B90" s="34" t="str">
        <f aca="false">IFERROR(INDEX(Alunni!$C$1:$C$1000,MATCH($A90,Alunni!$A$1:$A$1000,0))&amp;"","")</f>
        <v/>
      </c>
      <c r="C90" s="15"/>
      <c r="D90" s="35"/>
      <c r="E90" s="36"/>
      <c r="F90" s="36"/>
      <c r="G90" s="36"/>
      <c r="H90" s="36"/>
      <c r="I90" s="37" t="str">
        <f aca="false">IF(COUNT(E90:H90)=0,"",ROUND(AVERAGE(E90:H90),0))</f>
        <v/>
      </c>
      <c r="J90" s="38" t="str">
        <f aca="false">IF(I90="","",LOOKUP(I90,Impostazioni!$E$4:$E$9,Impostazioni!$F$4:$F$9))</f>
        <v/>
      </c>
      <c r="K90" s="36"/>
      <c r="L90" s="36"/>
      <c r="M90" s="36"/>
      <c r="N90" s="36"/>
      <c r="O90" s="37" t="str">
        <f aca="false">IF(COUNT(K90:N90)=0,"",ROUND(AVERAGE(K90:N90),0))</f>
        <v/>
      </c>
      <c r="P90" s="38" t="str">
        <f aca="false">IF(O90="","",LOOKUP(O90,Impostazioni!$E$4:$E$9,Impostazioni!$F$4:$F$9))</f>
        <v/>
      </c>
      <c r="Q90" s="36"/>
      <c r="R90" s="36"/>
      <c r="S90" s="36"/>
      <c r="T90" s="36"/>
      <c r="U90" s="37" t="str">
        <f aca="false">IF(COUNT(Q90:T90)=0,"",ROUND(AVERAGE(Q90:T90),0))</f>
        <v/>
      </c>
      <c r="V90" s="38" t="str">
        <f aca="false">IF(U90="","",LOOKUP(U90,Impostazioni!$E$4:$E$9,Impostazioni!$F$4:$F$9))</f>
        <v/>
      </c>
      <c r="W90" s="36"/>
      <c r="X90" s="36"/>
      <c r="Y90" s="36"/>
      <c r="Z90" s="36"/>
      <c r="AA90" s="39" t="str">
        <f aca="false">IF(COUNT(W90:Z90)=0,"",ROUND(AVERAGE(W90:Z90),0))</f>
        <v/>
      </c>
      <c r="AB90" s="38" t="str">
        <f aca="false">IF(AA90="","",LOOKUP(AA90,Impostazioni!$E$4:$E$9,Impostazioni!$F$4:$F$9))</f>
        <v/>
      </c>
    </row>
    <row r="91" customFormat="false" ht="21" hidden="false" customHeight="true" outlineLevel="0" collapsed="false">
      <c r="A91" s="33" t="n">
        <v>9</v>
      </c>
      <c r="B91" s="34" t="str">
        <f aca="false">IFERROR(INDEX(Alunni!$C$1:$C$1000,MATCH($A91,Alunni!$A$1:$A$1000,0))&amp;"","")</f>
        <v/>
      </c>
      <c r="C91" s="15"/>
      <c r="D91" s="35"/>
      <c r="E91" s="36"/>
      <c r="F91" s="36"/>
      <c r="G91" s="36"/>
      <c r="H91" s="36"/>
      <c r="I91" s="37" t="str">
        <f aca="false">IF(COUNT(E91:H91)=0,"",ROUND(AVERAGE(E91:H91),0))</f>
        <v/>
      </c>
      <c r="J91" s="38" t="str">
        <f aca="false">IF(I91="","",LOOKUP(I91,Impostazioni!$E$4:$E$9,Impostazioni!$F$4:$F$9))</f>
        <v/>
      </c>
      <c r="K91" s="36"/>
      <c r="L91" s="36"/>
      <c r="M91" s="36"/>
      <c r="N91" s="36"/>
      <c r="O91" s="37" t="str">
        <f aca="false">IF(COUNT(K91:N91)=0,"",ROUND(AVERAGE(K91:N91),0))</f>
        <v/>
      </c>
      <c r="P91" s="38" t="str">
        <f aca="false">IF(O91="","",LOOKUP(O91,Impostazioni!$E$4:$E$9,Impostazioni!$F$4:$F$9))</f>
        <v/>
      </c>
      <c r="Q91" s="36"/>
      <c r="R91" s="36"/>
      <c r="S91" s="36"/>
      <c r="T91" s="36"/>
      <c r="U91" s="37" t="str">
        <f aca="false">IF(COUNT(Q91:T91)=0,"",ROUND(AVERAGE(Q91:T91),0))</f>
        <v/>
      </c>
      <c r="V91" s="38" t="str">
        <f aca="false">IF(U91="","",LOOKUP(U91,Impostazioni!$E$4:$E$9,Impostazioni!$F$4:$F$9))</f>
        <v/>
      </c>
      <c r="W91" s="36"/>
      <c r="X91" s="36"/>
      <c r="Y91" s="36"/>
      <c r="Z91" s="36"/>
      <c r="AA91" s="39" t="str">
        <f aca="false">IF(COUNT(W91:Z91)=0,"",ROUND(AVERAGE(W91:Z91),0))</f>
        <v/>
      </c>
      <c r="AB91" s="38" t="str">
        <f aca="false">IF(AA91="","",LOOKUP(AA91,Impostazioni!$E$4:$E$9,Impostazioni!$F$4:$F$9))</f>
        <v/>
      </c>
    </row>
    <row r="92" customFormat="false" ht="21" hidden="false" customHeight="true" outlineLevel="0" collapsed="false">
      <c r="A92" s="33" t="n">
        <v>10</v>
      </c>
      <c r="B92" s="34" t="str">
        <f aca="false">IFERROR(INDEX(Alunni!$C$1:$C$1000,MATCH($A92,Alunni!$A$1:$A$1000,0))&amp;"","")</f>
        <v/>
      </c>
      <c r="C92" s="15"/>
      <c r="D92" s="35"/>
      <c r="E92" s="36"/>
      <c r="F92" s="36"/>
      <c r="G92" s="36"/>
      <c r="H92" s="36"/>
      <c r="I92" s="37" t="str">
        <f aca="false">IF(COUNT(E92:H92)=0,"",ROUND(AVERAGE(E92:H92),0))</f>
        <v/>
      </c>
      <c r="J92" s="38" t="str">
        <f aca="false">IF(I92="","",LOOKUP(I92,Impostazioni!$E$4:$E$9,Impostazioni!$F$4:$F$9))</f>
        <v/>
      </c>
      <c r="K92" s="36"/>
      <c r="L92" s="36"/>
      <c r="M92" s="36"/>
      <c r="N92" s="36"/>
      <c r="O92" s="37" t="str">
        <f aca="false">IF(COUNT(K92:N92)=0,"",ROUND(AVERAGE(K92:N92),0))</f>
        <v/>
      </c>
      <c r="P92" s="38" t="str">
        <f aca="false">IF(O92="","",LOOKUP(O92,Impostazioni!$E$4:$E$9,Impostazioni!$F$4:$F$9))</f>
        <v/>
      </c>
      <c r="Q92" s="36"/>
      <c r="R92" s="36"/>
      <c r="S92" s="36"/>
      <c r="T92" s="36"/>
      <c r="U92" s="37" t="str">
        <f aca="false">IF(COUNT(Q92:T92)=0,"",ROUND(AVERAGE(Q92:T92),0))</f>
        <v/>
      </c>
      <c r="V92" s="38" t="str">
        <f aca="false">IF(U92="","",LOOKUP(U92,Impostazioni!$E$4:$E$9,Impostazioni!$F$4:$F$9))</f>
        <v/>
      </c>
      <c r="W92" s="36"/>
      <c r="X92" s="36"/>
      <c r="Y92" s="36"/>
      <c r="Z92" s="36"/>
      <c r="AA92" s="39" t="str">
        <f aca="false">IF(COUNT(W92:Z92)=0,"",ROUND(AVERAGE(W92:Z92),0))</f>
        <v/>
      </c>
      <c r="AB92" s="38" t="str">
        <f aca="false">IF(AA92="","",LOOKUP(AA92,Impostazioni!$E$4:$E$9,Impostazioni!$F$4:$F$9))</f>
        <v/>
      </c>
    </row>
    <row r="93" customFormat="false" ht="21" hidden="false" customHeight="true" outlineLevel="0" collapsed="false">
      <c r="A93" s="33" t="n">
        <v>11</v>
      </c>
      <c r="B93" s="34" t="str">
        <f aca="false">IFERROR(INDEX(Alunni!$C$1:$C$1000,MATCH($A93,Alunni!$A$1:$A$1000,0))&amp;"","")</f>
        <v/>
      </c>
      <c r="C93" s="15"/>
      <c r="D93" s="35"/>
      <c r="E93" s="36"/>
      <c r="F93" s="36"/>
      <c r="G93" s="36"/>
      <c r="H93" s="36"/>
      <c r="I93" s="37" t="str">
        <f aca="false">IF(COUNT(E93:H93)=0,"",ROUND(AVERAGE(E93:H93),0))</f>
        <v/>
      </c>
      <c r="J93" s="38" t="str">
        <f aca="false">IF(I93="","",LOOKUP(I93,Impostazioni!$E$4:$E$9,Impostazioni!$F$4:$F$9))</f>
        <v/>
      </c>
      <c r="K93" s="36"/>
      <c r="L93" s="36"/>
      <c r="M93" s="36"/>
      <c r="N93" s="36"/>
      <c r="O93" s="37" t="str">
        <f aca="false">IF(COUNT(K93:N93)=0,"",ROUND(AVERAGE(K93:N93),0))</f>
        <v/>
      </c>
      <c r="P93" s="38" t="str">
        <f aca="false">IF(O93="","",LOOKUP(O93,Impostazioni!$E$4:$E$9,Impostazioni!$F$4:$F$9))</f>
        <v/>
      </c>
      <c r="Q93" s="36"/>
      <c r="R93" s="36"/>
      <c r="S93" s="36"/>
      <c r="T93" s="36"/>
      <c r="U93" s="37" t="str">
        <f aca="false">IF(COUNT(Q93:T93)=0,"",ROUND(AVERAGE(Q93:T93),0))</f>
        <v/>
      </c>
      <c r="V93" s="38" t="str">
        <f aca="false">IF(U93="","",LOOKUP(U93,Impostazioni!$E$4:$E$9,Impostazioni!$F$4:$F$9))</f>
        <v/>
      </c>
      <c r="W93" s="36"/>
      <c r="X93" s="36"/>
      <c r="Y93" s="36"/>
      <c r="Z93" s="36"/>
      <c r="AA93" s="39" t="str">
        <f aca="false">IF(COUNT(W93:Z93)=0,"",ROUND(AVERAGE(W93:Z93),0))</f>
        <v/>
      </c>
      <c r="AB93" s="38" t="str">
        <f aca="false">IF(AA93="","",LOOKUP(AA93,Impostazioni!$E$4:$E$9,Impostazioni!$F$4:$F$9))</f>
        <v/>
      </c>
    </row>
    <row r="94" customFormat="false" ht="21" hidden="false" customHeight="true" outlineLevel="0" collapsed="false">
      <c r="A94" s="33" t="n">
        <v>12</v>
      </c>
      <c r="B94" s="34" t="str">
        <f aca="false">IFERROR(INDEX(Alunni!$C$1:$C$1000,MATCH($A94,Alunni!$A$1:$A$1000,0))&amp;"","")</f>
        <v/>
      </c>
      <c r="C94" s="15"/>
      <c r="D94" s="35"/>
      <c r="E94" s="36"/>
      <c r="F94" s="36"/>
      <c r="G94" s="36"/>
      <c r="H94" s="36"/>
      <c r="I94" s="37" t="str">
        <f aca="false">IF(COUNT(E94:H94)=0,"",ROUND(AVERAGE(E94:H94),0))</f>
        <v/>
      </c>
      <c r="J94" s="38" t="str">
        <f aca="false">IF(I94="","",LOOKUP(I94,Impostazioni!$E$4:$E$9,Impostazioni!$F$4:$F$9))</f>
        <v/>
      </c>
      <c r="K94" s="36"/>
      <c r="L94" s="36"/>
      <c r="M94" s="36"/>
      <c r="N94" s="36"/>
      <c r="O94" s="37" t="str">
        <f aca="false">IF(COUNT(K94:N94)=0,"",ROUND(AVERAGE(K94:N94),0))</f>
        <v/>
      </c>
      <c r="P94" s="38" t="str">
        <f aca="false">IF(O94="","",LOOKUP(O94,Impostazioni!$E$4:$E$9,Impostazioni!$F$4:$F$9))</f>
        <v/>
      </c>
      <c r="Q94" s="36"/>
      <c r="R94" s="36"/>
      <c r="S94" s="36"/>
      <c r="T94" s="36"/>
      <c r="U94" s="37" t="str">
        <f aca="false">IF(COUNT(Q94:T94)=0,"",ROUND(AVERAGE(Q94:T94),0))</f>
        <v/>
      </c>
      <c r="V94" s="38" t="str">
        <f aca="false">IF(U94="","",LOOKUP(U94,Impostazioni!$E$4:$E$9,Impostazioni!$F$4:$F$9))</f>
        <v/>
      </c>
      <c r="W94" s="36"/>
      <c r="X94" s="36"/>
      <c r="Y94" s="36"/>
      <c r="Z94" s="36"/>
      <c r="AA94" s="39" t="str">
        <f aca="false">IF(COUNT(W94:Z94)=0,"",ROUND(AVERAGE(W94:Z94),0))</f>
        <v/>
      </c>
      <c r="AB94" s="38" t="str">
        <f aca="false">IF(AA94="","",LOOKUP(AA94,Impostazioni!$E$4:$E$9,Impostazioni!$F$4:$F$9))</f>
        <v/>
      </c>
    </row>
    <row r="95" customFormat="false" ht="21" hidden="false" customHeight="true" outlineLevel="0" collapsed="false">
      <c r="A95" s="33" t="n">
        <v>13</v>
      </c>
      <c r="B95" s="34" t="str">
        <f aca="false">IFERROR(INDEX(Alunni!$C$1:$C$1000,MATCH($A95,Alunni!$A$1:$A$1000,0))&amp;"","")</f>
        <v/>
      </c>
      <c r="C95" s="15"/>
      <c r="D95" s="35"/>
      <c r="E95" s="36"/>
      <c r="F95" s="36"/>
      <c r="G95" s="36"/>
      <c r="H95" s="36"/>
      <c r="I95" s="37" t="str">
        <f aca="false">IF(COUNT(E95:H95)=0,"",ROUND(AVERAGE(E95:H95),0))</f>
        <v/>
      </c>
      <c r="J95" s="38" t="str">
        <f aca="false">IF(I95="","",LOOKUP(I95,Impostazioni!$E$4:$E$9,Impostazioni!$F$4:$F$9))</f>
        <v/>
      </c>
      <c r="K95" s="36"/>
      <c r="L95" s="36"/>
      <c r="M95" s="36"/>
      <c r="N95" s="36"/>
      <c r="O95" s="37" t="str">
        <f aca="false">IF(COUNT(K95:N95)=0,"",ROUND(AVERAGE(K95:N95),0))</f>
        <v/>
      </c>
      <c r="P95" s="38" t="str">
        <f aca="false">IF(O95="","",LOOKUP(O95,Impostazioni!$E$4:$E$9,Impostazioni!$F$4:$F$9))</f>
        <v/>
      </c>
      <c r="Q95" s="36"/>
      <c r="R95" s="36"/>
      <c r="S95" s="36"/>
      <c r="T95" s="36"/>
      <c r="U95" s="37" t="str">
        <f aca="false">IF(COUNT(Q95:T95)=0,"",ROUND(AVERAGE(Q95:T95),0))</f>
        <v/>
      </c>
      <c r="V95" s="38" t="str">
        <f aca="false">IF(U95="","",LOOKUP(U95,Impostazioni!$E$4:$E$9,Impostazioni!$F$4:$F$9))</f>
        <v/>
      </c>
      <c r="W95" s="36"/>
      <c r="X95" s="36"/>
      <c r="Y95" s="36"/>
      <c r="Z95" s="36"/>
      <c r="AA95" s="39" t="str">
        <f aca="false">IF(COUNT(W95:Z95)=0,"",ROUND(AVERAGE(W95:Z95),0))</f>
        <v/>
      </c>
      <c r="AB95" s="38" t="str">
        <f aca="false">IF(AA95="","",LOOKUP(AA95,Impostazioni!$E$4:$E$9,Impostazioni!$F$4:$F$9))</f>
        <v/>
      </c>
    </row>
    <row r="96" customFormat="false" ht="21" hidden="false" customHeight="true" outlineLevel="0" collapsed="false">
      <c r="A96" s="33" t="n">
        <v>14</v>
      </c>
      <c r="B96" s="34" t="str">
        <f aca="false">IFERROR(INDEX(Alunni!$C$1:$C$1000,MATCH($A96,Alunni!$A$1:$A$1000,0))&amp;"","")</f>
        <v/>
      </c>
      <c r="C96" s="15"/>
      <c r="D96" s="35"/>
      <c r="E96" s="36"/>
      <c r="F96" s="36"/>
      <c r="G96" s="36"/>
      <c r="H96" s="36"/>
      <c r="I96" s="37" t="str">
        <f aca="false">IF(COUNT(E96:H96)=0,"",ROUND(AVERAGE(E96:H96),0))</f>
        <v/>
      </c>
      <c r="J96" s="38" t="str">
        <f aca="false">IF(I96="","",LOOKUP(I96,Impostazioni!$E$4:$E$9,Impostazioni!$F$4:$F$9))</f>
        <v/>
      </c>
      <c r="K96" s="36"/>
      <c r="L96" s="36"/>
      <c r="M96" s="36"/>
      <c r="N96" s="36"/>
      <c r="O96" s="37" t="str">
        <f aca="false">IF(COUNT(K96:N96)=0,"",ROUND(AVERAGE(K96:N96),0))</f>
        <v/>
      </c>
      <c r="P96" s="38" t="str">
        <f aca="false">IF(O96="","",LOOKUP(O96,Impostazioni!$E$4:$E$9,Impostazioni!$F$4:$F$9))</f>
        <v/>
      </c>
      <c r="Q96" s="36"/>
      <c r="R96" s="36"/>
      <c r="S96" s="36"/>
      <c r="T96" s="36"/>
      <c r="U96" s="37" t="str">
        <f aca="false">IF(COUNT(Q96:T96)=0,"",ROUND(AVERAGE(Q96:T96),0))</f>
        <v/>
      </c>
      <c r="V96" s="38" t="str">
        <f aca="false">IF(U96="","",LOOKUP(U96,Impostazioni!$E$4:$E$9,Impostazioni!$F$4:$F$9))</f>
        <v/>
      </c>
      <c r="W96" s="36"/>
      <c r="X96" s="36"/>
      <c r="Y96" s="36"/>
      <c r="Z96" s="36"/>
      <c r="AA96" s="39" t="str">
        <f aca="false">IF(COUNT(W96:Z96)=0,"",ROUND(AVERAGE(W96:Z96),0))</f>
        <v/>
      </c>
      <c r="AB96" s="38" t="str">
        <f aca="false">IF(AA96="","",LOOKUP(AA96,Impostazioni!$E$4:$E$9,Impostazioni!$F$4:$F$9))</f>
        <v/>
      </c>
    </row>
    <row r="97" customFormat="false" ht="21" hidden="false" customHeight="true" outlineLevel="0" collapsed="false">
      <c r="A97" s="33" t="n">
        <v>15</v>
      </c>
      <c r="B97" s="34" t="str">
        <f aca="false">IFERROR(INDEX(Alunni!$C$1:$C$1000,MATCH($A97,Alunni!$A$1:$A$1000,0))&amp;"","")</f>
        <v/>
      </c>
      <c r="C97" s="15"/>
      <c r="D97" s="35"/>
      <c r="E97" s="36"/>
      <c r="F97" s="36"/>
      <c r="G97" s="36"/>
      <c r="H97" s="36"/>
      <c r="I97" s="37" t="str">
        <f aca="false">IF(COUNT(E97:H97)=0,"",ROUND(AVERAGE(E97:H97),0))</f>
        <v/>
      </c>
      <c r="J97" s="38" t="str">
        <f aca="false">IF(I97="","",LOOKUP(I97,Impostazioni!$E$4:$E$9,Impostazioni!$F$4:$F$9))</f>
        <v/>
      </c>
      <c r="K97" s="36"/>
      <c r="L97" s="36"/>
      <c r="M97" s="36"/>
      <c r="N97" s="36"/>
      <c r="O97" s="37" t="str">
        <f aca="false">IF(COUNT(K97:N97)=0,"",ROUND(AVERAGE(K97:N97),0))</f>
        <v/>
      </c>
      <c r="P97" s="38" t="str">
        <f aca="false">IF(O97="","",LOOKUP(O97,Impostazioni!$E$4:$E$9,Impostazioni!$F$4:$F$9))</f>
        <v/>
      </c>
      <c r="Q97" s="36"/>
      <c r="R97" s="36"/>
      <c r="S97" s="36"/>
      <c r="T97" s="36"/>
      <c r="U97" s="37" t="str">
        <f aca="false">IF(COUNT(Q97:T97)=0,"",ROUND(AVERAGE(Q97:T97),0))</f>
        <v/>
      </c>
      <c r="V97" s="38" t="str">
        <f aca="false">IF(U97="","",LOOKUP(U97,Impostazioni!$E$4:$E$9,Impostazioni!$F$4:$F$9))</f>
        <v/>
      </c>
      <c r="W97" s="36"/>
      <c r="X97" s="36"/>
      <c r="Y97" s="36"/>
      <c r="Z97" s="36"/>
      <c r="AA97" s="39" t="str">
        <f aca="false">IF(COUNT(W97:Z97)=0,"",ROUND(AVERAGE(W97:Z97),0))</f>
        <v/>
      </c>
      <c r="AB97" s="38" t="str">
        <f aca="false">IF(AA97="","",LOOKUP(AA97,Impostazioni!$E$4:$E$9,Impostazioni!$F$4:$F$9))</f>
        <v/>
      </c>
    </row>
    <row r="98" customFormat="false" ht="21" hidden="false" customHeight="true" outlineLevel="0" collapsed="false">
      <c r="A98" s="33" t="n">
        <v>16</v>
      </c>
      <c r="B98" s="34" t="str">
        <f aca="false">IFERROR(INDEX(Alunni!$C$1:$C$1000,MATCH($A98,Alunni!$A$1:$A$1000,0))&amp;"","")</f>
        <v/>
      </c>
      <c r="C98" s="15"/>
      <c r="D98" s="35"/>
      <c r="E98" s="36"/>
      <c r="F98" s="36"/>
      <c r="G98" s="36"/>
      <c r="H98" s="36"/>
      <c r="I98" s="37" t="str">
        <f aca="false">IF(COUNT(E98:H98)=0,"",ROUND(AVERAGE(E98:H98),0))</f>
        <v/>
      </c>
      <c r="J98" s="38" t="str">
        <f aca="false">IF(I98="","",LOOKUP(I98,Impostazioni!$E$4:$E$9,Impostazioni!$F$4:$F$9))</f>
        <v/>
      </c>
      <c r="K98" s="36"/>
      <c r="L98" s="36"/>
      <c r="M98" s="36"/>
      <c r="N98" s="36"/>
      <c r="O98" s="37" t="str">
        <f aca="false">IF(COUNT(K98:N98)=0,"",ROUND(AVERAGE(K98:N98),0))</f>
        <v/>
      </c>
      <c r="P98" s="38" t="str">
        <f aca="false">IF(O98="","",LOOKUP(O98,Impostazioni!$E$4:$E$9,Impostazioni!$F$4:$F$9))</f>
        <v/>
      </c>
      <c r="Q98" s="36"/>
      <c r="R98" s="36"/>
      <c r="S98" s="36"/>
      <c r="T98" s="36"/>
      <c r="U98" s="37" t="str">
        <f aca="false">IF(COUNT(Q98:T98)=0,"",ROUND(AVERAGE(Q98:T98),0))</f>
        <v/>
      </c>
      <c r="V98" s="38" t="str">
        <f aca="false">IF(U98="","",LOOKUP(U98,Impostazioni!$E$4:$E$9,Impostazioni!$F$4:$F$9))</f>
        <v/>
      </c>
      <c r="W98" s="36"/>
      <c r="X98" s="36"/>
      <c r="Y98" s="36"/>
      <c r="Z98" s="36"/>
      <c r="AA98" s="39" t="str">
        <f aca="false">IF(COUNT(W98:Z98)=0,"",ROUND(AVERAGE(W98:Z98),0))</f>
        <v/>
      </c>
      <c r="AB98" s="38" t="str">
        <f aca="false">IF(AA98="","",LOOKUP(AA98,Impostazioni!$E$4:$E$9,Impostazioni!$F$4:$F$9))</f>
        <v/>
      </c>
    </row>
    <row r="99" customFormat="false" ht="21" hidden="false" customHeight="true" outlineLevel="0" collapsed="false">
      <c r="A99" s="33" t="n">
        <v>17</v>
      </c>
      <c r="B99" s="34" t="str">
        <f aca="false">IFERROR(INDEX(Alunni!$C$1:$C$1000,MATCH($A99,Alunni!$A$1:$A$1000,0))&amp;"","")</f>
        <v/>
      </c>
      <c r="C99" s="15"/>
      <c r="D99" s="35"/>
      <c r="E99" s="36"/>
      <c r="F99" s="36"/>
      <c r="G99" s="36"/>
      <c r="H99" s="36"/>
      <c r="I99" s="37" t="str">
        <f aca="false">IF(COUNT(E99:H99)=0,"",ROUND(AVERAGE(E99:H99),0))</f>
        <v/>
      </c>
      <c r="J99" s="38" t="str">
        <f aca="false">IF(I99="","",LOOKUP(I99,Impostazioni!$E$4:$E$9,Impostazioni!$F$4:$F$9))</f>
        <v/>
      </c>
      <c r="K99" s="36"/>
      <c r="L99" s="36"/>
      <c r="M99" s="36"/>
      <c r="N99" s="36"/>
      <c r="O99" s="37" t="str">
        <f aca="false">IF(COUNT(K99:N99)=0,"",ROUND(AVERAGE(K99:N99),0))</f>
        <v/>
      </c>
      <c r="P99" s="38" t="str">
        <f aca="false">IF(O99="","",LOOKUP(O99,Impostazioni!$E$4:$E$9,Impostazioni!$F$4:$F$9))</f>
        <v/>
      </c>
      <c r="Q99" s="36"/>
      <c r="R99" s="36"/>
      <c r="S99" s="36"/>
      <c r="T99" s="36"/>
      <c r="U99" s="37" t="str">
        <f aca="false">IF(COUNT(Q99:T99)=0,"",ROUND(AVERAGE(Q99:T99),0))</f>
        <v/>
      </c>
      <c r="V99" s="38" t="str">
        <f aca="false">IF(U99="","",LOOKUP(U99,Impostazioni!$E$4:$E$9,Impostazioni!$F$4:$F$9))</f>
        <v/>
      </c>
      <c r="W99" s="36"/>
      <c r="X99" s="36"/>
      <c r="Y99" s="36"/>
      <c r="Z99" s="36"/>
      <c r="AA99" s="39" t="str">
        <f aca="false">IF(COUNT(W99:Z99)=0,"",ROUND(AVERAGE(W99:Z99),0))</f>
        <v/>
      </c>
      <c r="AB99" s="38" t="str">
        <f aca="false">IF(AA99="","",LOOKUP(AA99,Impostazioni!$E$4:$E$9,Impostazioni!$F$4:$F$9))</f>
        <v/>
      </c>
    </row>
    <row r="100" customFormat="false" ht="21" hidden="false" customHeight="true" outlineLevel="0" collapsed="false">
      <c r="A100" s="33" t="n">
        <v>18</v>
      </c>
      <c r="B100" s="34" t="str">
        <f aca="false">IFERROR(INDEX(Alunni!$C$1:$C$1000,MATCH($A100,Alunni!$A$1:$A$1000,0))&amp;"","")</f>
        <v/>
      </c>
      <c r="C100" s="15"/>
      <c r="D100" s="35"/>
      <c r="E100" s="36"/>
      <c r="F100" s="36"/>
      <c r="G100" s="36"/>
      <c r="H100" s="36"/>
      <c r="I100" s="37" t="str">
        <f aca="false">IF(COUNT(E100:H100)=0,"",ROUND(AVERAGE(E100:H100),0))</f>
        <v/>
      </c>
      <c r="J100" s="38" t="str">
        <f aca="false">IF(I100="","",LOOKUP(I100,Impostazioni!$E$4:$E$9,Impostazioni!$F$4:$F$9))</f>
        <v/>
      </c>
      <c r="K100" s="36"/>
      <c r="L100" s="36"/>
      <c r="M100" s="36"/>
      <c r="N100" s="36"/>
      <c r="O100" s="37" t="str">
        <f aca="false">IF(COUNT(K100:N100)=0,"",ROUND(AVERAGE(K100:N100),0))</f>
        <v/>
      </c>
      <c r="P100" s="38" t="str">
        <f aca="false">IF(O100="","",LOOKUP(O100,Impostazioni!$E$4:$E$9,Impostazioni!$F$4:$F$9))</f>
        <v/>
      </c>
      <c r="Q100" s="36"/>
      <c r="R100" s="36"/>
      <c r="S100" s="36"/>
      <c r="T100" s="36"/>
      <c r="U100" s="37" t="str">
        <f aca="false">IF(COUNT(Q100:T100)=0,"",ROUND(AVERAGE(Q100:T100),0))</f>
        <v/>
      </c>
      <c r="V100" s="38" t="str">
        <f aca="false">IF(U100="","",LOOKUP(U100,Impostazioni!$E$4:$E$9,Impostazioni!$F$4:$F$9))</f>
        <v/>
      </c>
      <c r="W100" s="36"/>
      <c r="X100" s="36"/>
      <c r="Y100" s="36"/>
      <c r="Z100" s="36"/>
      <c r="AA100" s="39" t="str">
        <f aca="false">IF(COUNT(W100:Z100)=0,"",ROUND(AVERAGE(W100:Z100),0))</f>
        <v/>
      </c>
      <c r="AB100" s="38" t="str">
        <f aca="false">IF(AA100="","",LOOKUP(AA100,Impostazioni!$E$4:$E$9,Impostazioni!$F$4:$F$9))</f>
        <v/>
      </c>
    </row>
    <row r="101" customFormat="false" ht="21" hidden="false" customHeight="true" outlineLevel="0" collapsed="false">
      <c r="A101" s="33" t="n">
        <v>19</v>
      </c>
      <c r="B101" s="34" t="str">
        <f aca="false">IFERROR(INDEX(Alunni!$C$1:$C$1000,MATCH($A101,Alunni!$A$1:$A$1000,0))&amp;"","")</f>
        <v/>
      </c>
      <c r="C101" s="15"/>
      <c r="D101" s="35"/>
      <c r="E101" s="36"/>
      <c r="F101" s="36"/>
      <c r="G101" s="36"/>
      <c r="H101" s="36"/>
      <c r="I101" s="37" t="str">
        <f aca="false">IF(COUNT(E101:H101)=0,"",ROUND(AVERAGE(E101:H101),0))</f>
        <v/>
      </c>
      <c r="J101" s="38" t="str">
        <f aca="false">IF(I101="","",LOOKUP(I101,Impostazioni!$E$4:$E$9,Impostazioni!$F$4:$F$9))</f>
        <v/>
      </c>
      <c r="K101" s="36"/>
      <c r="L101" s="36"/>
      <c r="M101" s="36"/>
      <c r="N101" s="36"/>
      <c r="O101" s="37" t="str">
        <f aca="false">IF(COUNT(K101:N101)=0,"",ROUND(AVERAGE(K101:N101),0))</f>
        <v/>
      </c>
      <c r="P101" s="38" t="str">
        <f aca="false">IF(O101="","",LOOKUP(O101,Impostazioni!$E$4:$E$9,Impostazioni!$F$4:$F$9))</f>
        <v/>
      </c>
      <c r="Q101" s="36"/>
      <c r="R101" s="36"/>
      <c r="S101" s="36"/>
      <c r="T101" s="36"/>
      <c r="U101" s="37" t="str">
        <f aca="false">IF(COUNT(Q101:T101)=0,"",ROUND(AVERAGE(Q101:T101),0))</f>
        <v/>
      </c>
      <c r="V101" s="38" t="str">
        <f aca="false">IF(U101="","",LOOKUP(U101,Impostazioni!$E$4:$E$9,Impostazioni!$F$4:$F$9))</f>
        <v/>
      </c>
      <c r="W101" s="36"/>
      <c r="X101" s="36"/>
      <c r="Y101" s="36"/>
      <c r="Z101" s="36"/>
      <c r="AA101" s="39" t="str">
        <f aca="false">IF(COUNT(W101:Z101)=0,"",ROUND(AVERAGE(W101:Z101),0))</f>
        <v/>
      </c>
      <c r="AB101" s="38" t="str">
        <f aca="false">IF(AA101="","",LOOKUP(AA101,Impostazioni!$E$4:$E$9,Impostazioni!$F$4:$F$9))</f>
        <v/>
      </c>
    </row>
    <row r="102" customFormat="false" ht="21" hidden="false" customHeight="true" outlineLevel="0" collapsed="false">
      <c r="A102" s="33" t="n">
        <v>20</v>
      </c>
      <c r="B102" s="34" t="str">
        <f aca="false">IFERROR(INDEX(Alunni!$C$1:$C$1000,MATCH($A102,Alunni!$A$1:$A$1000,0))&amp;"","")</f>
        <v/>
      </c>
      <c r="C102" s="15"/>
      <c r="D102" s="35"/>
      <c r="E102" s="36"/>
      <c r="F102" s="36"/>
      <c r="G102" s="36"/>
      <c r="H102" s="36"/>
      <c r="I102" s="37" t="str">
        <f aca="false">IF(COUNT(E102:H102)=0,"",ROUND(AVERAGE(E102:H102),0))</f>
        <v/>
      </c>
      <c r="J102" s="38" t="str">
        <f aca="false">IF(I102="","",LOOKUP(I102,Impostazioni!$E$4:$E$9,Impostazioni!$F$4:$F$9))</f>
        <v/>
      </c>
      <c r="K102" s="36"/>
      <c r="L102" s="36"/>
      <c r="M102" s="36"/>
      <c r="N102" s="36"/>
      <c r="O102" s="37" t="str">
        <f aca="false">IF(COUNT(K102:N102)=0,"",ROUND(AVERAGE(K102:N102),0))</f>
        <v/>
      </c>
      <c r="P102" s="38" t="str">
        <f aca="false">IF(O102="","",LOOKUP(O102,Impostazioni!$E$4:$E$9,Impostazioni!$F$4:$F$9))</f>
        <v/>
      </c>
      <c r="Q102" s="36"/>
      <c r="R102" s="36"/>
      <c r="S102" s="36"/>
      <c r="T102" s="36"/>
      <c r="U102" s="37" t="str">
        <f aca="false">IF(COUNT(Q102:T102)=0,"",ROUND(AVERAGE(Q102:T102),0))</f>
        <v/>
      </c>
      <c r="V102" s="38" t="str">
        <f aca="false">IF(U102="","",LOOKUP(U102,Impostazioni!$E$4:$E$9,Impostazioni!$F$4:$F$9))</f>
        <v/>
      </c>
      <c r="W102" s="36"/>
      <c r="X102" s="36"/>
      <c r="Y102" s="36"/>
      <c r="Z102" s="36"/>
      <c r="AA102" s="39" t="str">
        <f aca="false">IF(COUNT(W102:Z102)=0,"",ROUND(AVERAGE(W102:Z102),0))</f>
        <v/>
      </c>
      <c r="AB102" s="38" t="str">
        <f aca="false">IF(AA102="","",LOOKUP(AA102,Impostazioni!$E$4:$E$9,Impostazioni!$F$4:$F$9))</f>
        <v/>
      </c>
    </row>
    <row r="103" customFormat="false" ht="21" hidden="false" customHeight="true" outlineLevel="0" collapsed="false">
      <c r="A103" s="33" t="n">
        <v>21</v>
      </c>
      <c r="B103" s="34" t="str">
        <f aca="false">IFERROR(INDEX(Alunni!$C$1:$C$1000,MATCH($A103,Alunni!$A$1:$A$1000,0))&amp;"","")</f>
        <v/>
      </c>
      <c r="C103" s="15"/>
      <c r="D103" s="35"/>
      <c r="E103" s="36"/>
      <c r="F103" s="36"/>
      <c r="G103" s="36"/>
      <c r="H103" s="36"/>
      <c r="I103" s="37" t="str">
        <f aca="false">IF(COUNT(E103:H103)=0,"",ROUND(AVERAGE(E103:H103),0))</f>
        <v/>
      </c>
      <c r="J103" s="38" t="str">
        <f aca="false">IF(I103="","",LOOKUP(I103,Impostazioni!$E$4:$E$9,Impostazioni!$F$4:$F$9))</f>
        <v/>
      </c>
      <c r="K103" s="36"/>
      <c r="L103" s="36"/>
      <c r="M103" s="36"/>
      <c r="N103" s="36"/>
      <c r="O103" s="37" t="str">
        <f aca="false">IF(COUNT(K103:N103)=0,"",ROUND(AVERAGE(K103:N103),0))</f>
        <v/>
      </c>
      <c r="P103" s="38" t="str">
        <f aca="false">IF(O103="","",LOOKUP(O103,Impostazioni!$E$4:$E$9,Impostazioni!$F$4:$F$9))</f>
        <v/>
      </c>
      <c r="Q103" s="36"/>
      <c r="R103" s="36"/>
      <c r="S103" s="36"/>
      <c r="T103" s="36"/>
      <c r="U103" s="37" t="str">
        <f aca="false">IF(COUNT(Q103:T103)=0,"",ROUND(AVERAGE(Q103:T103),0))</f>
        <v/>
      </c>
      <c r="V103" s="38" t="str">
        <f aca="false">IF(U103="","",LOOKUP(U103,Impostazioni!$E$4:$E$9,Impostazioni!$F$4:$F$9))</f>
        <v/>
      </c>
      <c r="W103" s="36"/>
      <c r="X103" s="36"/>
      <c r="Y103" s="36"/>
      <c r="Z103" s="36"/>
      <c r="AA103" s="39" t="str">
        <f aca="false">IF(COUNT(W103:Z103)=0,"",ROUND(AVERAGE(W103:Z103),0))</f>
        <v/>
      </c>
      <c r="AB103" s="38" t="str">
        <f aca="false">IF(AA103="","",LOOKUP(AA103,Impostazioni!$E$4:$E$9,Impostazioni!$F$4:$F$9))</f>
        <v/>
      </c>
    </row>
    <row r="104" customFormat="false" ht="21" hidden="false" customHeight="true" outlineLevel="0" collapsed="false">
      <c r="A104" s="33" t="n">
        <v>22</v>
      </c>
      <c r="B104" s="34" t="str">
        <f aca="false">IFERROR(INDEX(Alunni!$C$1:$C$1000,MATCH($A104,Alunni!$A$1:$A$1000,0))&amp;"","")</f>
        <v/>
      </c>
      <c r="C104" s="15"/>
      <c r="D104" s="35"/>
      <c r="E104" s="36"/>
      <c r="F104" s="36"/>
      <c r="G104" s="36"/>
      <c r="H104" s="36"/>
      <c r="I104" s="37" t="str">
        <f aca="false">IF(COUNT(E104:H104)=0,"",ROUND(AVERAGE(E104:H104),0))</f>
        <v/>
      </c>
      <c r="J104" s="38" t="str">
        <f aca="false">IF(I104="","",LOOKUP(I104,Impostazioni!$E$4:$E$9,Impostazioni!$F$4:$F$9))</f>
        <v/>
      </c>
      <c r="K104" s="36"/>
      <c r="L104" s="36"/>
      <c r="M104" s="36"/>
      <c r="N104" s="36"/>
      <c r="O104" s="37" t="str">
        <f aca="false">IF(COUNT(K104:N104)=0,"",ROUND(AVERAGE(K104:N104),0))</f>
        <v/>
      </c>
      <c r="P104" s="38" t="str">
        <f aca="false">IF(O104="","",LOOKUP(O104,Impostazioni!$E$4:$E$9,Impostazioni!$F$4:$F$9))</f>
        <v/>
      </c>
      <c r="Q104" s="36"/>
      <c r="R104" s="36"/>
      <c r="S104" s="36"/>
      <c r="T104" s="36"/>
      <c r="U104" s="37" t="str">
        <f aca="false">IF(COUNT(Q104:T104)=0,"",ROUND(AVERAGE(Q104:T104),0))</f>
        <v/>
      </c>
      <c r="V104" s="38" t="str">
        <f aca="false">IF(U104="","",LOOKUP(U104,Impostazioni!$E$4:$E$9,Impostazioni!$F$4:$F$9))</f>
        <v/>
      </c>
      <c r="W104" s="36"/>
      <c r="X104" s="36"/>
      <c r="Y104" s="36"/>
      <c r="Z104" s="36"/>
      <c r="AA104" s="39" t="str">
        <f aca="false">IF(COUNT(W104:Z104)=0,"",ROUND(AVERAGE(W104:Z104),0))</f>
        <v/>
      </c>
      <c r="AB104" s="38" t="str">
        <f aca="false">IF(AA104="","",LOOKUP(AA104,Impostazioni!$E$4:$E$9,Impostazioni!$F$4:$F$9))</f>
        <v/>
      </c>
    </row>
    <row r="105" customFormat="false" ht="21" hidden="false" customHeight="true" outlineLevel="0" collapsed="false">
      <c r="A105" s="33" t="n">
        <v>23</v>
      </c>
      <c r="B105" s="34" t="str">
        <f aca="false">IFERROR(INDEX(Alunni!$C$1:$C$1000,MATCH($A105,Alunni!$A$1:$A$1000,0))&amp;"","")</f>
        <v/>
      </c>
      <c r="C105" s="15"/>
      <c r="D105" s="35"/>
      <c r="E105" s="36"/>
      <c r="F105" s="36"/>
      <c r="G105" s="36"/>
      <c r="H105" s="36"/>
      <c r="I105" s="37" t="str">
        <f aca="false">IF(COUNT(E105:H105)=0,"",ROUND(AVERAGE(E105:H105),0))</f>
        <v/>
      </c>
      <c r="J105" s="38" t="str">
        <f aca="false">IF(I105="","",LOOKUP(I105,Impostazioni!$E$4:$E$9,Impostazioni!$F$4:$F$9))</f>
        <v/>
      </c>
      <c r="K105" s="36"/>
      <c r="L105" s="36"/>
      <c r="M105" s="36"/>
      <c r="N105" s="36"/>
      <c r="O105" s="37" t="str">
        <f aca="false">IF(COUNT(K105:N105)=0,"",ROUND(AVERAGE(K105:N105),0))</f>
        <v/>
      </c>
      <c r="P105" s="38" t="str">
        <f aca="false">IF(O105="","",LOOKUP(O105,Impostazioni!$E$4:$E$9,Impostazioni!$F$4:$F$9))</f>
        <v/>
      </c>
      <c r="Q105" s="36"/>
      <c r="R105" s="36"/>
      <c r="S105" s="36"/>
      <c r="T105" s="36"/>
      <c r="U105" s="37" t="str">
        <f aca="false">IF(COUNT(Q105:T105)=0,"",ROUND(AVERAGE(Q105:T105),0))</f>
        <v/>
      </c>
      <c r="V105" s="38" t="str">
        <f aca="false">IF(U105="","",LOOKUP(U105,Impostazioni!$E$4:$E$9,Impostazioni!$F$4:$F$9))</f>
        <v/>
      </c>
      <c r="W105" s="36"/>
      <c r="X105" s="36"/>
      <c r="Y105" s="36"/>
      <c r="Z105" s="36"/>
      <c r="AA105" s="39" t="str">
        <f aca="false">IF(COUNT(W105:Z105)=0,"",ROUND(AVERAGE(W105:Z105),0))</f>
        <v/>
      </c>
      <c r="AB105" s="38" t="str">
        <f aca="false">IF(AA105="","",LOOKUP(AA105,Impostazioni!$E$4:$E$9,Impostazioni!$F$4:$F$9))</f>
        <v/>
      </c>
    </row>
    <row r="106" customFormat="false" ht="21" hidden="false" customHeight="true" outlineLevel="0" collapsed="false">
      <c r="A106" s="33" t="n">
        <v>24</v>
      </c>
      <c r="B106" s="34" t="str">
        <f aca="false">IFERROR(INDEX(Alunni!$C$1:$C$1000,MATCH($A106,Alunni!$A$1:$A$1000,0))&amp;"","")</f>
        <v/>
      </c>
      <c r="C106" s="15"/>
      <c r="D106" s="35"/>
      <c r="E106" s="36"/>
      <c r="F106" s="36"/>
      <c r="G106" s="36"/>
      <c r="H106" s="36"/>
      <c r="I106" s="37" t="str">
        <f aca="false">IF(COUNT(E106:H106)=0,"",ROUND(AVERAGE(E106:H106),0))</f>
        <v/>
      </c>
      <c r="J106" s="38" t="str">
        <f aca="false">IF(I106="","",LOOKUP(I106,Impostazioni!$E$4:$E$9,Impostazioni!$F$4:$F$9))</f>
        <v/>
      </c>
      <c r="K106" s="36"/>
      <c r="L106" s="36"/>
      <c r="M106" s="36"/>
      <c r="N106" s="36"/>
      <c r="O106" s="37" t="str">
        <f aca="false">IF(COUNT(K106:N106)=0,"",ROUND(AVERAGE(K106:N106),0))</f>
        <v/>
      </c>
      <c r="P106" s="38" t="str">
        <f aca="false">IF(O106="","",LOOKUP(O106,Impostazioni!$E$4:$E$9,Impostazioni!$F$4:$F$9))</f>
        <v/>
      </c>
      <c r="Q106" s="36"/>
      <c r="R106" s="36"/>
      <c r="S106" s="36"/>
      <c r="T106" s="36"/>
      <c r="U106" s="37" t="str">
        <f aca="false">IF(COUNT(Q106:T106)=0,"",ROUND(AVERAGE(Q106:T106),0))</f>
        <v/>
      </c>
      <c r="V106" s="38" t="str">
        <f aca="false">IF(U106="","",LOOKUP(U106,Impostazioni!$E$4:$E$9,Impostazioni!$F$4:$F$9))</f>
        <v/>
      </c>
      <c r="W106" s="36"/>
      <c r="X106" s="36"/>
      <c r="Y106" s="36"/>
      <c r="Z106" s="36"/>
      <c r="AA106" s="39" t="str">
        <f aca="false">IF(COUNT(W106:Z106)=0,"",ROUND(AVERAGE(W106:Z106),0))</f>
        <v/>
      </c>
      <c r="AB106" s="38" t="str">
        <f aca="false">IF(AA106="","",LOOKUP(AA106,Impostazioni!$E$4:$E$9,Impostazioni!$F$4:$F$9))</f>
        <v/>
      </c>
    </row>
    <row r="107" customFormat="false" ht="21" hidden="false" customHeight="true" outlineLevel="0" collapsed="false">
      <c r="A107" s="33" t="n">
        <v>25</v>
      </c>
      <c r="B107" s="34" t="str">
        <f aca="false">IFERROR(INDEX(Alunni!$C$1:$C$1000,MATCH($A107,Alunni!$A$1:$A$1000,0))&amp;"","")</f>
        <v/>
      </c>
      <c r="C107" s="15"/>
      <c r="D107" s="35"/>
      <c r="E107" s="36"/>
      <c r="F107" s="36"/>
      <c r="G107" s="36"/>
      <c r="H107" s="36"/>
      <c r="I107" s="37" t="str">
        <f aca="false">IF(COUNT(E107:H107)=0,"",ROUND(AVERAGE(E107:H107),0))</f>
        <v/>
      </c>
      <c r="J107" s="38" t="str">
        <f aca="false">IF(I107="","",LOOKUP(I107,Impostazioni!$E$4:$E$9,Impostazioni!$F$4:$F$9))</f>
        <v/>
      </c>
      <c r="K107" s="36"/>
      <c r="L107" s="36"/>
      <c r="M107" s="36"/>
      <c r="N107" s="36"/>
      <c r="O107" s="37" t="str">
        <f aca="false">IF(COUNT(K107:N107)=0,"",ROUND(AVERAGE(K107:N107),0))</f>
        <v/>
      </c>
      <c r="P107" s="38" t="str">
        <f aca="false">IF(O107="","",LOOKUP(O107,Impostazioni!$E$4:$E$9,Impostazioni!$F$4:$F$9))</f>
        <v/>
      </c>
      <c r="Q107" s="36"/>
      <c r="R107" s="36"/>
      <c r="S107" s="36"/>
      <c r="T107" s="36"/>
      <c r="U107" s="37" t="str">
        <f aca="false">IF(COUNT(Q107:T107)=0,"",ROUND(AVERAGE(Q107:T107),0))</f>
        <v/>
      </c>
      <c r="V107" s="38" t="str">
        <f aca="false">IF(U107="","",LOOKUP(U107,Impostazioni!$E$4:$E$9,Impostazioni!$F$4:$F$9))</f>
        <v/>
      </c>
      <c r="W107" s="36"/>
      <c r="X107" s="36"/>
      <c r="Y107" s="36"/>
      <c r="Z107" s="36"/>
      <c r="AA107" s="39" t="str">
        <f aca="false">IF(COUNT(W107:Z107)=0,"",ROUND(AVERAGE(W107:Z107),0))</f>
        <v/>
      </c>
      <c r="AB107" s="38" t="str">
        <f aca="false">IF(AA107="","",LOOKUP(AA107,Impostazioni!$E$4:$E$9,Impostazioni!$F$4:$F$9))</f>
        <v/>
      </c>
    </row>
    <row r="108" customFormat="false" ht="21" hidden="false" customHeight="true" outlineLevel="0" collapsed="false">
      <c r="A108" s="33" t="n">
        <v>26</v>
      </c>
      <c r="B108" s="34" t="str">
        <f aca="false">IFERROR(INDEX(Alunni!$C$1:$C$1000,MATCH($A108,Alunni!$A$1:$A$1000,0))&amp;"","")</f>
        <v/>
      </c>
      <c r="C108" s="15"/>
      <c r="D108" s="35"/>
      <c r="E108" s="36"/>
      <c r="F108" s="36"/>
      <c r="G108" s="36"/>
      <c r="H108" s="36"/>
      <c r="I108" s="37" t="str">
        <f aca="false">IF(COUNT(E108:H108)=0,"",ROUND(AVERAGE(E108:H108),0))</f>
        <v/>
      </c>
      <c r="J108" s="38" t="str">
        <f aca="false">IF(I108="","",LOOKUP(I108,Impostazioni!$E$4:$E$9,Impostazioni!$F$4:$F$9))</f>
        <v/>
      </c>
      <c r="K108" s="36"/>
      <c r="L108" s="36"/>
      <c r="M108" s="36"/>
      <c r="N108" s="36"/>
      <c r="O108" s="37" t="str">
        <f aca="false">IF(COUNT(K108:N108)=0,"",ROUND(AVERAGE(K108:N108),0))</f>
        <v/>
      </c>
      <c r="P108" s="38" t="str">
        <f aca="false">IF(O108="","",LOOKUP(O108,Impostazioni!$E$4:$E$9,Impostazioni!$F$4:$F$9))</f>
        <v/>
      </c>
      <c r="Q108" s="36"/>
      <c r="R108" s="36"/>
      <c r="S108" s="36"/>
      <c r="T108" s="36"/>
      <c r="U108" s="37" t="str">
        <f aca="false">IF(COUNT(Q108:T108)=0,"",ROUND(AVERAGE(Q108:T108),0))</f>
        <v/>
      </c>
      <c r="V108" s="38" t="str">
        <f aca="false">IF(U108="","",LOOKUP(U108,Impostazioni!$E$4:$E$9,Impostazioni!$F$4:$F$9))</f>
        <v/>
      </c>
      <c r="W108" s="36"/>
      <c r="X108" s="36"/>
      <c r="Y108" s="36"/>
      <c r="Z108" s="36"/>
      <c r="AA108" s="39" t="str">
        <f aca="false">IF(COUNT(W108:Z108)=0,"",ROUND(AVERAGE(W108:Z108),0))</f>
        <v/>
      </c>
      <c r="AB108" s="38" t="str">
        <f aca="false">IF(AA108="","",LOOKUP(AA108,Impostazioni!$E$4:$E$9,Impostazioni!$F$4:$F$9))</f>
        <v/>
      </c>
    </row>
    <row r="109" customFormat="false" ht="21" hidden="false" customHeight="true" outlineLevel="0" collapsed="false">
      <c r="A109" s="33" t="n">
        <v>27</v>
      </c>
      <c r="B109" s="34" t="str">
        <f aca="false">IFERROR(INDEX(Alunni!$C$1:$C$1000,MATCH($A109,Alunni!$A$1:$A$1000,0))&amp;"","")</f>
        <v/>
      </c>
      <c r="C109" s="15"/>
      <c r="D109" s="35"/>
      <c r="E109" s="36"/>
      <c r="F109" s="36"/>
      <c r="G109" s="36"/>
      <c r="H109" s="36"/>
      <c r="I109" s="37" t="str">
        <f aca="false">IF(COUNT(E109:H109)=0,"",ROUND(AVERAGE(E109:H109),0))</f>
        <v/>
      </c>
      <c r="J109" s="38" t="str">
        <f aca="false">IF(I109="","",LOOKUP(I109,Impostazioni!$E$4:$E$9,Impostazioni!$F$4:$F$9))</f>
        <v/>
      </c>
      <c r="K109" s="36"/>
      <c r="L109" s="36"/>
      <c r="M109" s="36"/>
      <c r="N109" s="36"/>
      <c r="O109" s="37" t="str">
        <f aca="false">IF(COUNT(K109:N109)=0,"",ROUND(AVERAGE(K109:N109),0))</f>
        <v/>
      </c>
      <c r="P109" s="38" t="str">
        <f aca="false">IF(O109="","",LOOKUP(O109,Impostazioni!$E$4:$E$9,Impostazioni!$F$4:$F$9))</f>
        <v/>
      </c>
      <c r="Q109" s="36"/>
      <c r="R109" s="36"/>
      <c r="S109" s="36"/>
      <c r="T109" s="36"/>
      <c r="U109" s="37" t="str">
        <f aca="false">IF(COUNT(Q109:T109)=0,"",ROUND(AVERAGE(Q109:T109),0))</f>
        <v/>
      </c>
      <c r="V109" s="38" t="str">
        <f aca="false">IF(U109="","",LOOKUP(U109,Impostazioni!$E$4:$E$9,Impostazioni!$F$4:$F$9))</f>
        <v/>
      </c>
      <c r="W109" s="36"/>
      <c r="X109" s="36"/>
      <c r="Y109" s="36"/>
      <c r="Z109" s="36"/>
      <c r="AA109" s="39" t="str">
        <f aca="false">IF(COUNT(W109:Z109)=0,"",ROUND(AVERAGE(W109:Z109),0))</f>
        <v/>
      </c>
      <c r="AB109" s="38" t="str">
        <f aca="false">IF(AA109="","",LOOKUP(AA109,Impostazioni!$E$4:$E$9,Impostazioni!$F$4:$F$9))</f>
        <v/>
      </c>
    </row>
    <row r="110" customFormat="false" ht="21" hidden="false" customHeight="true" outlineLevel="0" collapsed="false">
      <c r="A110" s="33" t="n">
        <v>28</v>
      </c>
      <c r="B110" s="34" t="str">
        <f aca="false">IFERROR(INDEX(Alunni!$C$1:$C$1000,MATCH($A110,Alunni!$A$1:$A$1000,0))&amp;"","")</f>
        <v/>
      </c>
      <c r="C110" s="15"/>
      <c r="D110" s="35"/>
      <c r="E110" s="36"/>
      <c r="F110" s="36"/>
      <c r="G110" s="36"/>
      <c r="H110" s="36"/>
      <c r="I110" s="37" t="str">
        <f aca="false">IF(COUNT(E110:H110)=0,"",ROUND(AVERAGE(E110:H110),0))</f>
        <v/>
      </c>
      <c r="J110" s="38" t="str">
        <f aca="false">IF(I110="","",LOOKUP(I110,Impostazioni!$E$4:$E$9,Impostazioni!$F$4:$F$9))</f>
        <v/>
      </c>
      <c r="K110" s="36"/>
      <c r="L110" s="36"/>
      <c r="M110" s="36"/>
      <c r="N110" s="36"/>
      <c r="O110" s="37" t="str">
        <f aca="false">IF(COUNT(K110:N110)=0,"",ROUND(AVERAGE(K110:N110),0))</f>
        <v/>
      </c>
      <c r="P110" s="38" t="str">
        <f aca="false">IF(O110="","",LOOKUP(O110,Impostazioni!$E$4:$E$9,Impostazioni!$F$4:$F$9))</f>
        <v/>
      </c>
      <c r="Q110" s="36"/>
      <c r="R110" s="36"/>
      <c r="S110" s="36"/>
      <c r="T110" s="36"/>
      <c r="U110" s="37" t="str">
        <f aca="false">IF(COUNT(Q110:T110)=0,"",ROUND(AVERAGE(Q110:T110),0))</f>
        <v/>
      </c>
      <c r="V110" s="38" t="str">
        <f aca="false">IF(U110="","",LOOKUP(U110,Impostazioni!$E$4:$E$9,Impostazioni!$F$4:$F$9))</f>
        <v/>
      </c>
      <c r="W110" s="36"/>
      <c r="X110" s="36"/>
      <c r="Y110" s="36"/>
      <c r="Z110" s="36"/>
      <c r="AA110" s="39" t="str">
        <f aca="false">IF(COUNT(W110:Z110)=0,"",ROUND(AVERAGE(W110:Z110),0))</f>
        <v/>
      </c>
      <c r="AB110" s="38" t="str">
        <f aca="false">IF(AA110="","",LOOKUP(AA110,Impostazioni!$E$4:$E$9,Impostazioni!$F$4:$F$9))</f>
        <v/>
      </c>
    </row>
    <row r="111" customFormat="false" ht="21" hidden="false" customHeight="true" outlineLevel="0" collapsed="false">
      <c r="A111" s="33" t="n">
        <v>29</v>
      </c>
      <c r="B111" s="34" t="str">
        <f aca="false">IFERROR(INDEX(Alunni!$C$1:$C$1000,MATCH($A111,Alunni!$A$1:$A$1000,0))&amp;"","")</f>
        <v/>
      </c>
      <c r="C111" s="15"/>
      <c r="D111" s="35"/>
      <c r="E111" s="36"/>
      <c r="F111" s="36"/>
      <c r="G111" s="36"/>
      <c r="H111" s="36"/>
      <c r="I111" s="37" t="str">
        <f aca="false">IF(COUNT(E111:H111)=0,"",ROUND(AVERAGE(E111:H111),0))</f>
        <v/>
      </c>
      <c r="J111" s="38" t="str">
        <f aca="false">IF(I111="","",LOOKUP(I111,Impostazioni!$E$4:$E$9,Impostazioni!$F$4:$F$9))</f>
        <v/>
      </c>
      <c r="K111" s="36"/>
      <c r="L111" s="36"/>
      <c r="M111" s="36"/>
      <c r="N111" s="36"/>
      <c r="O111" s="37" t="str">
        <f aca="false">IF(COUNT(K111:N111)=0,"",ROUND(AVERAGE(K111:N111),0))</f>
        <v/>
      </c>
      <c r="P111" s="38" t="str">
        <f aca="false">IF(O111="","",LOOKUP(O111,Impostazioni!$E$4:$E$9,Impostazioni!$F$4:$F$9))</f>
        <v/>
      </c>
      <c r="Q111" s="36"/>
      <c r="R111" s="36"/>
      <c r="S111" s="36"/>
      <c r="T111" s="36"/>
      <c r="U111" s="37" t="str">
        <f aca="false">IF(COUNT(Q111:T111)=0,"",ROUND(AVERAGE(Q111:T111),0))</f>
        <v/>
      </c>
      <c r="V111" s="38" t="str">
        <f aca="false">IF(U111="","",LOOKUP(U111,Impostazioni!$E$4:$E$9,Impostazioni!$F$4:$F$9))</f>
        <v/>
      </c>
      <c r="W111" s="36"/>
      <c r="X111" s="36"/>
      <c r="Y111" s="36"/>
      <c r="Z111" s="36"/>
      <c r="AA111" s="39" t="str">
        <f aca="false">IF(COUNT(W111:Z111)=0,"",ROUND(AVERAGE(W111:Z111),0))</f>
        <v/>
      </c>
      <c r="AB111" s="38" t="str">
        <f aca="false">IF(AA111="","",LOOKUP(AA111,Impostazioni!$E$4:$E$9,Impostazioni!$F$4:$F$9))</f>
        <v/>
      </c>
    </row>
    <row r="112" customFormat="false" ht="21" hidden="false" customHeight="true" outlineLevel="0" collapsed="false">
      <c r="A112" s="33" t="n">
        <v>30</v>
      </c>
      <c r="B112" s="34" t="str">
        <f aca="false">IFERROR(INDEX(Alunni!$C$1:$C$1000,MATCH($A112,Alunni!$A$1:$A$1000,0))&amp;"","")</f>
        <v/>
      </c>
      <c r="C112" s="15"/>
      <c r="D112" s="35"/>
      <c r="E112" s="36"/>
      <c r="F112" s="36"/>
      <c r="G112" s="36"/>
      <c r="H112" s="36"/>
      <c r="I112" s="37" t="str">
        <f aca="false">IF(COUNT(E112:H112)=0,"",ROUND(AVERAGE(E112:H112),0))</f>
        <v/>
      </c>
      <c r="J112" s="38" t="str">
        <f aca="false">IF(I112="","",LOOKUP(I112,Impostazioni!$E$4:$E$9,Impostazioni!$F$4:$F$9))</f>
        <v/>
      </c>
      <c r="K112" s="36"/>
      <c r="L112" s="36"/>
      <c r="M112" s="36"/>
      <c r="N112" s="36"/>
      <c r="O112" s="37" t="str">
        <f aca="false">IF(COUNT(K112:N112)=0,"",ROUND(AVERAGE(K112:N112),0))</f>
        <v/>
      </c>
      <c r="P112" s="38" t="str">
        <f aca="false">IF(O112="","",LOOKUP(O112,Impostazioni!$E$4:$E$9,Impostazioni!$F$4:$F$9))</f>
        <v/>
      </c>
      <c r="Q112" s="36"/>
      <c r="R112" s="36"/>
      <c r="S112" s="36"/>
      <c r="T112" s="36"/>
      <c r="U112" s="37" t="str">
        <f aca="false">IF(COUNT(Q112:T112)=0,"",ROUND(AVERAGE(Q112:T112),0))</f>
        <v/>
      </c>
      <c r="V112" s="38" t="str">
        <f aca="false">IF(U112="","",LOOKUP(U112,Impostazioni!$E$4:$E$9,Impostazioni!$F$4:$F$9))</f>
        <v/>
      </c>
      <c r="W112" s="36"/>
      <c r="X112" s="36"/>
      <c r="Y112" s="36"/>
      <c r="Z112" s="36"/>
      <c r="AA112" s="39" t="str">
        <f aca="false">IF(COUNT(W112:Z112)=0,"",ROUND(AVERAGE(W112:Z112),0))</f>
        <v/>
      </c>
      <c r="AB112" s="38" t="str">
        <f aca="false">IF(AA112="","",LOOKUP(AA112,Impostazioni!$E$4:$E$9,Impostazioni!$F$4:$F$9))</f>
        <v/>
      </c>
    </row>
    <row r="114" customFormat="false" ht="25.5" hidden="false" customHeight="true" outlineLevel="0" collapsed="false">
      <c r="A114" s="4" t="str">
        <f aca="false">Calendario!B10&amp;"   ·   "&amp;IF(Calendario!G10="","(descrizione da Calendario)",Calendario!G10)&amp;"   ·   "&amp;IF(Calendario!E10="","data da fissare",CHOOSE(WEEKDAY(Calendario!E10,2),"lunedì","martedì","mercoledì","giovedì","venerdì","sabato","domenica")&amp;" "&amp;TEXT(DAY(Calendario!E10),"00")&amp;"/"&amp;TEXT(MONTH(Calendario!E10),"00")&amp;"/"&amp;YEAR(Calendario!E10))</f>
        <v>Q1-G04   ·   (descrizione da Calendario)   ·   data da fissare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customFormat="false" ht="15" hidden="false" customHeight="true" outlineLevel="0" collapsed="false">
      <c r="A115" s="25" t="s">
        <v>80</v>
      </c>
      <c r="B115" s="25"/>
      <c r="C115" s="25"/>
      <c r="D115" s="25"/>
      <c r="E115" s="26" t="str">
        <f aca="false">IF(Calendario!$H$10="","— libero —",Calendario!$H$10&amp;"  "&amp;IFERROR(VLOOKUP(Calendario!$H$10,Impostazioni!$A$25:$J$36,3,FALSE()),""))</f>
        <v>— libero —</v>
      </c>
      <c r="F115" s="26"/>
      <c r="G115" s="26"/>
      <c r="H115" s="26"/>
      <c r="I115" s="26"/>
      <c r="J115" s="26"/>
      <c r="K115" s="26" t="str">
        <f aca="false">IF(Calendario!$I$10="","— libero —",Calendario!$I$10&amp;"  "&amp;IFERROR(VLOOKUP(Calendario!$I$10,Impostazioni!$A$25:$J$36,3,FALSE()),""))</f>
        <v>— libero —</v>
      </c>
      <c r="L115" s="26"/>
      <c r="M115" s="26"/>
      <c r="N115" s="26"/>
      <c r="O115" s="26"/>
      <c r="P115" s="26"/>
      <c r="Q115" s="26" t="str">
        <f aca="false">IF(Calendario!$J$10="","— libero —",Calendario!$J$10&amp;"  "&amp;IFERROR(VLOOKUP(Calendario!$J$10,Impostazioni!$A$25:$J$36,3,FALSE()),""))</f>
        <v>— libero —</v>
      </c>
      <c r="R115" s="26"/>
      <c r="S115" s="26"/>
      <c r="T115" s="26"/>
      <c r="U115" s="26"/>
      <c r="V115" s="26"/>
      <c r="W115" s="26" t="str">
        <f aca="false">IF(Calendario!$K$10="","— libero —",Calendario!$K$10&amp;"  "&amp;IFERROR(VLOOKUP(Calendario!$K$10,Impostazioni!$A$25:$J$36,3,FALSE()),""))</f>
        <v>— libero —</v>
      </c>
      <c r="X115" s="26"/>
      <c r="Y115" s="26"/>
      <c r="Z115" s="26"/>
      <c r="AA115" s="26"/>
      <c r="AB115" s="26"/>
    </row>
    <row r="116" customFormat="false" ht="15" hidden="false" customHeight="true" outlineLevel="0" collapsed="false">
      <c r="A116" s="25" t="s">
        <v>81</v>
      </c>
      <c r="B116" s="25"/>
      <c r="C116" s="25"/>
      <c r="D116" s="25"/>
      <c r="E116" s="27" t="str">
        <f aca="false">IF(Calendario!$H$10="","","Ob. "&amp;IFERROR(VLOOKUP(Calendario!$H$10,Impostazioni!$A$25:$J$36,5,FALSE()),"?")&amp;" · peso "&amp;IF(Calendario!$F$10=2,Impostazioni!$B$11,Impostazioni!$B$10))</f>
        <v/>
      </c>
      <c r="F116" s="27"/>
      <c r="G116" s="27"/>
      <c r="H116" s="27"/>
      <c r="I116" s="27"/>
      <c r="J116" s="27"/>
      <c r="K116" s="27" t="str">
        <f aca="false">IF(Calendario!$I$10="","","Ob. "&amp;IFERROR(VLOOKUP(Calendario!$I$10,Impostazioni!$A$25:$J$36,5,FALSE()),"?")&amp;" · peso "&amp;IF(Calendario!$F$10=2,Impostazioni!$B$11,Impostazioni!$B$10))</f>
        <v/>
      </c>
      <c r="L116" s="27"/>
      <c r="M116" s="27"/>
      <c r="N116" s="27"/>
      <c r="O116" s="27"/>
      <c r="P116" s="27"/>
      <c r="Q116" s="27" t="str">
        <f aca="false">IF(Calendario!$J$10="","","Ob. "&amp;IFERROR(VLOOKUP(Calendario!$J$10,Impostazioni!$A$25:$J$36,5,FALSE()),"?")&amp;" · peso "&amp;IF(Calendario!$F$10=2,Impostazioni!$B$11,Impostazioni!$B$10))</f>
        <v/>
      </c>
      <c r="R116" s="27"/>
      <c r="S116" s="27"/>
      <c r="T116" s="27"/>
      <c r="U116" s="27"/>
      <c r="V116" s="27"/>
      <c r="W116" s="27" t="str">
        <f aca="false">IF(Calendario!$K$10="","","Ob. "&amp;IFERROR(VLOOKUP(Calendario!$K$10,Impostazioni!$A$25:$J$36,5,FALSE()),"?")&amp;" · peso "&amp;IF(Calendario!$F$10=2,Impostazioni!$B$11,Impostazioni!$B$10))</f>
        <v/>
      </c>
      <c r="X116" s="27"/>
      <c r="Y116" s="27"/>
      <c r="Z116" s="27"/>
      <c r="AA116" s="27"/>
      <c r="AB116" s="27"/>
    </row>
    <row r="117" customFormat="false" ht="33.75" hidden="false" customHeight="true" outlineLevel="0" collapsed="false">
      <c r="A117" s="25" t="s">
        <v>82</v>
      </c>
      <c r="B117" s="25"/>
      <c r="C117" s="25"/>
      <c r="D117" s="25"/>
      <c r="E117" s="28" t="str">
        <f aca="false">IF(Calendario!$H$10="","",IFERROR(HYPERLINK("#Rubriche!C"&amp;(MATCH(Calendario!$H$10,Rubriche!$A$1:$A$1000,0)+0),VLOOKUP(Calendario!$H$10,Impostazioni!$A$25:$J$36,7,FALSE())),""))</f>
        <v/>
      </c>
      <c r="F117" s="28" t="str">
        <f aca="false">IF(Calendario!$H$10="","",IFERROR(HYPERLINK("#Rubriche!C"&amp;(MATCH(Calendario!$H$10,Rubriche!$A$1:$A$1000,0)+1),VLOOKUP(Calendario!$H$10,Impostazioni!$A$25:$J$36,8,FALSE())),""))</f>
        <v/>
      </c>
      <c r="G117" s="28" t="str">
        <f aca="false">IF(Calendario!$H$10="","",IFERROR(HYPERLINK("#Rubriche!C"&amp;(MATCH(Calendario!$H$10,Rubriche!$A$1:$A$1000,0)+2),VLOOKUP(Calendario!$H$10,Impostazioni!$A$25:$J$36,9,FALSE())),""))</f>
        <v/>
      </c>
      <c r="H117" s="28" t="str">
        <f aca="false">IF(Calendario!$H$10="","",IFERROR(HYPERLINK("#Rubriche!C"&amp;(MATCH(Calendario!$H$10,Rubriche!$A$1:$A$1000,0)+3),VLOOKUP(Calendario!$H$10,Impostazioni!$A$25:$J$36,10,FALSE())),""))</f>
        <v/>
      </c>
      <c r="I117" s="29"/>
      <c r="J117" s="29"/>
      <c r="K117" s="28" t="str">
        <f aca="false">IF(Calendario!$I$10="","",IFERROR(HYPERLINK("#Rubriche!C"&amp;(MATCH(Calendario!$I$10,Rubriche!$A$1:$A$1000,0)+0),VLOOKUP(Calendario!$I$10,Impostazioni!$A$25:$J$36,7,FALSE())),""))</f>
        <v/>
      </c>
      <c r="L117" s="28" t="str">
        <f aca="false">IF(Calendario!$I$10="","",IFERROR(HYPERLINK("#Rubriche!C"&amp;(MATCH(Calendario!$I$10,Rubriche!$A$1:$A$1000,0)+1),VLOOKUP(Calendario!$I$10,Impostazioni!$A$25:$J$36,8,FALSE())),""))</f>
        <v/>
      </c>
      <c r="M117" s="28" t="str">
        <f aca="false">IF(Calendario!$I$10="","",IFERROR(HYPERLINK("#Rubriche!C"&amp;(MATCH(Calendario!$I$10,Rubriche!$A$1:$A$1000,0)+2),VLOOKUP(Calendario!$I$10,Impostazioni!$A$25:$J$36,9,FALSE())),""))</f>
        <v/>
      </c>
      <c r="N117" s="28" t="str">
        <f aca="false">IF(Calendario!$I$10="","",IFERROR(HYPERLINK("#Rubriche!C"&amp;(MATCH(Calendario!$I$10,Rubriche!$A$1:$A$1000,0)+3),VLOOKUP(Calendario!$I$10,Impostazioni!$A$25:$J$36,10,FALSE())),""))</f>
        <v/>
      </c>
      <c r="O117" s="29"/>
      <c r="P117" s="29"/>
      <c r="Q117" s="28" t="str">
        <f aca="false">IF(Calendario!$J$10="","",IFERROR(HYPERLINK("#Rubriche!C"&amp;(MATCH(Calendario!$J$10,Rubriche!$A$1:$A$1000,0)+0),VLOOKUP(Calendario!$J$10,Impostazioni!$A$25:$J$36,7,FALSE())),""))</f>
        <v/>
      </c>
      <c r="R117" s="28" t="str">
        <f aca="false">IF(Calendario!$J$10="","",IFERROR(HYPERLINK("#Rubriche!C"&amp;(MATCH(Calendario!$J$10,Rubriche!$A$1:$A$1000,0)+1),VLOOKUP(Calendario!$J$10,Impostazioni!$A$25:$J$36,8,FALSE())),""))</f>
        <v/>
      </c>
      <c r="S117" s="28" t="str">
        <f aca="false">IF(Calendario!$J$10="","",IFERROR(HYPERLINK("#Rubriche!C"&amp;(MATCH(Calendario!$J$10,Rubriche!$A$1:$A$1000,0)+2),VLOOKUP(Calendario!$J$10,Impostazioni!$A$25:$J$36,9,FALSE())),""))</f>
        <v/>
      </c>
      <c r="T117" s="28" t="str">
        <f aca="false">IF(Calendario!$J$10="","",IFERROR(HYPERLINK("#Rubriche!C"&amp;(MATCH(Calendario!$J$10,Rubriche!$A$1:$A$1000,0)+3),VLOOKUP(Calendario!$J$10,Impostazioni!$A$25:$J$36,10,FALSE())),""))</f>
        <v/>
      </c>
      <c r="U117" s="29"/>
      <c r="V117" s="29"/>
      <c r="W117" s="28" t="str">
        <f aca="false">IF(Calendario!$K$10="","",IFERROR(HYPERLINK("#Rubriche!C"&amp;(MATCH(Calendario!$K$10,Rubriche!$A$1:$A$1000,0)+0),VLOOKUP(Calendario!$K$10,Impostazioni!$A$25:$J$36,7,FALSE())),""))</f>
        <v/>
      </c>
      <c r="X117" s="28" t="str">
        <f aca="false">IF(Calendario!$K$10="","",IFERROR(HYPERLINK("#Rubriche!C"&amp;(MATCH(Calendario!$K$10,Rubriche!$A$1:$A$1000,0)+1),VLOOKUP(Calendario!$K$10,Impostazioni!$A$25:$J$36,8,FALSE())),""))</f>
        <v/>
      </c>
      <c r="Y117" s="28" t="str">
        <f aca="false">IF(Calendario!$K$10="","",IFERROR(HYPERLINK("#Rubriche!C"&amp;(MATCH(Calendario!$K$10,Rubriche!$A$1:$A$1000,0)+2),VLOOKUP(Calendario!$K$10,Impostazioni!$A$25:$J$36,9,FALSE())),""))</f>
        <v/>
      </c>
      <c r="Z117" s="28" t="str">
        <f aca="false">IF(Calendario!$K$10="","",IFERROR(HYPERLINK("#Rubriche!C"&amp;(MATCH(Calendario!$K$10,Rubriche!$A$1:$A$1000,0)+3),VLOOKUP(Calendario!$K$10,Impostazioni!$A$25:$J$36,10,FALSE())),""))</f>
        <v/>
      </c>
      <c r="AA117" s="29"/>
      <c r="AB117" s="29"/>
    </row>
    <row r="118" customFormat="false" ht="25.5" hidden="false" customHeight="true" outlineLevel="0" collapsed="false">
      <c r="A118" s="8" t="s">
        <v>65</v>
      </c>
      <c r="B118" s="8" t="s">
        <v>83</v>
      </c>
      <c r="C118" s="8" t="s">
        <v>68</v>
      </c>
      <c r="D118" s="8" t="s">
        <v>84</v>
      </c>
      <c r="E118" s="30" t="s">
        <v>85</v>
      </c>
      <c r="F118" s="30" t="s">
        <v>86</v>
      </c>
      <c r="G118" s="30" t="s">
        <v>87</v>
      </c>
      <c r="H118" s="30" t="s">
        <v>88</v>
      </c>
      <c r="I118" s="31" t="s">
        <v>89</v>
      </c>
      <c r="J118" s="32" t="s">
        <v>90</v>
      </c>
      <c r="K118" s="30" t="s">
        <v>85</v>
      </c>
      <c r="L118" s="30" t="s">
        <v>86</v>
      </c>
      <c r="M118" s="30" t="s">
        <v>87</v>
      </c>
      <c r="N118" s="30" t="s">
        <v>88</v>
      </c>
      <c r="O118" s="31" t="s">
        <v>89</v>
      </c>
      <c r="P118" s="32" t="s">
        <v>90</v>
      </c>
      <c r="Q118" s="30" t="s">
        <v>85</v>
      </c>
      <c r="R118" s="30" t="s">
        <v>86</v>
      </c>
      <c r="S118" s="30" t="s">
        <v>87</v>
      </c>
      <c r="T118" s="30" t="s">
        <v>88</v>
      </c>
      <c r="U118" s="31" t="s">
        <v>89</v>
      </c>
      <c r="V118" s="32" t="s">
        <v>90</v>
      </c>
      <c r="W118" s="30" t="s">
        <v>85</v>
      </c>
      <c r="X118" s="30" t="s">
        <v>86</v>
      </c>
      <c r="Y118" s="30" t="s">
        <v>87</v>
      </c>
      <c r="Z118" s="30" t="s">
        <v>88</v>
      </c>
      <c r="AA118" s="31" t="s">
        <v>89</v>
      </c>
      <c r="AB118" s="32" t="s">
        <v>90</v>
      </c>
    </row>
    <row r="119" customFormat="false" ht="21" hidden="false" customHeight="true" outlineLevel="0" collapsed="false">
      <c r="A119" s="33" t="n">
        <v>1</v>
      </c>
      <c r="B119" s="34" t="str">
        <f aca="false">IFERROR(INDEX(Alunni!$C$1:$C$1000,MATCH($A119,Alunni!$A$1:$A$1000,0))&amp;"","")</f>
        <v>Rossi Mario (esempio)</v>
      </c>
      <c r="C119" s="15"/>
      <c r="D119" s="35"/>
      <c r="E119" s="36"/>
      <c r="F119" s="36"/>
      <c r="G119" s="36"/>
      <c r="H119" s="36"/>
      <c r="I119" s="39" t="str">
        <f aca="false">IF(COUNT(E119:H119)=0,"",ROUND(AVERAGE(E119:H119),0))</f>
        <v/>
      </c>
      <c r="J119" s="38" t="str">
        <f aca="false">IF(I119="","",LOOKUP(I119,Impostazioni!$E$4:$E$9,Impostazioni!$F$4:$F$9))</f>
        <v/>
      </c>
      <c r="K119" s="36"/>
      <c r="L119" s="36"/>
      <c r="M119" s="36"/>
      <c r="N119" s="36"/>
      <c r="O119" s="39" t="str">
        <f aca="false">IF(COUNT(K119:N119)=0,"",ROUND(AVERAGE(K119:N119),0))</f>
        <v/>
      </c>
      <c r="P119" s="38" t="str">
        <f aca="false">IF(O119="","",LOOKUP(O119,Impostazioni!$E$4:$E$9,Impostazioni!$F$4:$F$9))</f>
        <v/>
      </c>
      <c r="Q119" s="36"/>
      <c r="R119" s="36"/>
      <c r="S119" s="36"/>
      <c r="T119" s="36"/>
      <c r="U119" s="39" t="str">
        <f aca="false">IF(COUNT(Q119:T119)=0,"",ROUND(AVERAGE(Q119:T119),0))</f>
        <v/>
      </c>
      <c r="V119" s="38" t="str">
        <f aca="false">IF(U119="","",LOOKUP(U119,Impostazioni!$E$4:$E$9,Impostazioni!$F$4:$F$9))</f>
        <v/>
      </c>
      <c r="W119" s="36"/>
      <c r="X119" s="36"/>
      <c r="Y119" s="36"/>
      <c r="Z119" s="36"/>
      <c r="AA119" s="39" t="str">
        <f aca="false">IF(COUNT(W119:Z119)=0,"",ROUND(AVERAGE(W119:Z119),0))</f>
        <v/>
      </c>
      <c r="AB119" s="38" t="str">
        <f aca="false">IF(AA119="","",LOOKUP(AA119,Impostazioni!$E$4:$E$9,Impostazioni!$F$4:$F$9))</f>
        <v/>
      </c>
    </row>
    <row r="120" customFormat="false" ht="21" hidden="false" customHeight="true" outlineLevel="0" collapsed="false">
      <c r="A120" s="33" t="n">
        <v>2</v>
      </c>
      <c r="B120" s="34" t="str">
        <f aca="false">IFERROR(INDEX(Alunni!$C$1:$C$1000,MATCH($A120,Alunni!$A$1:$A$1000,0))&amp;"","")</f>
        <v>Bianchi Anna (esempio)</v>
      </c>
      <c r="C120" s="15"/>
      <c r="D120" s="35"/>
      <c r="E120" s="36"/>
      <c r="F120" s="36"/>
      <c r="G120" s="36"/>
      <c r="H120" s="36"/>
      <c r="I120" s="39" t="str">
        <f aca="false">IF(COUNT(E120:H120)=0,"",ROUND(AVERAGE(E120:H120),0))</f>
        <v/>
      </c>
      <c r="J120" s="38" t="str">
        <f aca="false">IF(I120="","",LOOKUP(I120,Impostazioni!$E$4:$E$9,Impostazioni!$F$4:$F$9))</f>
        <v/>
      </c>
      <c r="K120" s="36"/>
      <c r="L120" s="36"/>
      <c r="M120" s="36"/>
      <c r="N120" s="36"/>
      <c r="O120" s="39" t="str">
        <f aca="false">IF(COUNT(K120:N120)=0,"",ROUND(AVERAGE(K120:N120),0))</f>
        <v/>
      </c>
      <c r="P120" s="38" t="str">
        <f aca="false">IF(O120="","",LOOKUP(O120,Impostazioni!$E$4:$E$9,Impostazioni!$F$4:$F$9))</f>
        <v/>
      </c>
      <c r="Q120" s="36"/>
      <c r="R120" s="36"/>
      <c r="S120" s="36"/>
      <c r="T120" s="36"/>
      <c r="U120" s="39" t="str">
        <f aca="false">IF(COUNT(Q120:T120)=0,"",ROUND(AVERAGE(Q120:T120),0))</f>
        <v/>
      </c>
      <c r="V120" s="38" t="str">
        <f aca="false">IF(U120="","",LOOKUP(U120,Impostazioni!$E$4:$E$9,Impostazioni!$F$4:$F$9))</f>
        <v/>
      </c>
      <c r="W120" s="36"/>
      <c r="X120" s="36"/>
      <c r="Y120" s="36"/>
      <c r="Z120" s="36"/>
      <c r="AA120" s="39" t="str">
        <f aca="false">IF(COUNT(W120:Z120)=0,"",ROUND(AVERAGE(W120:Z120),0))</f>
        <v/>
      </c>
      <c r="AB120" s="38" t="str">
        <f aca="false">IF(AA120="","",LOOKUP(AA120,Impostazioni!$E$4:$E$9,Impostazioni!$F$4:$F$9))</f>
        <v/>
      </c>
    </row>
    <row r="121" customFormat="false" ht="21" hidden="false" customHeight="true" outlineLevel="0" collapsed="false">
      <c r="A121" s="33" t="n">
        <v>3</v>
      </c>
      <c r="B121" s="34" t="str">
        <f aca="false">IFERROR(INDEX(Alunni!$C$1:$C$1000,MATCH($A121,Alunni!$A$1:$A$1000,0))&amp;"","")</f>
        <v>Verdi Luca (esempio)</v>
      </c>
      <c r="C121" s="15"/>
      <c r="D121" s="35"/>
      <c r="E121" s="36"/>
      <c r="F121" s="36"/>
      <c r="G121" s="36"/>
      <c r="H121" s="36"/>
      <c r="I121" s="39" t="str">
        <f aca="false">IF(COUNT(E121:H121)=0,"",ROUND(AVERAGE(E121:H121),0))</f>
        <v/>
      </c>
      <c r="J121" s="38" t="str">
        <f aca="false">IF(I121="","",LOOKUP(I121,Impostazioni!$E$4:$E$9,Impostazioni!$F$4:$F$9))</f>
        <v/>
      </c>
      <c r="K121" s="36"/>
      <c r="L121" s="36"/>
      <c r="M121" s="36"/>
      <c r="N121" s="36"/>
      <c r="O121" s="39" t="str">
        <f aca="false">IF(COUNT(K121:N121)=0,"",ROUND(AVERAGE(K121:N121),0))</f>
        <v/>
      </c>
      <c r="P121" s="38" t="str">
        <f aca="false">IF(O121="","",LOOKUP(O121,Impostazioni!$E$4:$E$9,Impostazioni!$F$4:$F$9))</f>
        <v/>
      </c>
      <c r="Q121" s="36"/>
      <c r="R121" s="36"/>
      <c r="S121" s="36"/>
      <c r="T121" s="36"/>
      <c r="U121" s="39" t="str">
        <f aca="false">IF(COUNT(Q121:T121)=0,"",ROUND(AVERAGE(Q121:T121),0))</f>
        <v/>
      </c>
      <c r="V121" s="38" t="str">
        <f aca="false">IF(U121="","",LOOKUP(U121,Impostazioni!$E$4:$E$9,Impostazioni!$F$4:$F$9))</f>
        <v/>
      </c>
      <c r="W121" s="36"/>
      <c r="X121" s="36"/>
      <c r="Y121" s="36"/>
      <c r="Z121" s="36"/>
      <c r="AA121" s="39" t="str">
        <f aca="false">IF(COUNT(W121:Z121)=0,"",ROUND(AVERAGE(W121:Z121),0))</f>
        <v/>
      </c>
      <c r="AB121" s="38" t="str">
        <f aca="false">IF(AA121="","",LOOKUP(AA121,Impostazioni!$E$4:$E$9,Impostazioni!$F$4:$F$9))</f>
        <v/>
      </c>
    </row>
    <row r="122" customFormat="false" ht="21" hidden="false" customHeight="true" outlineLevel="0" collapsed="false">
      <c r="A122" s="33" t="n">
        <v>4</v>
      </c>
      <c r="B122" s="34" t="str">
        <f aca="false">IFERROR(INDEX(Alunni!$C$1:$C$1000,MATCH($A122,Alunni!$A$1:$A$1000,0))&amp;"","")</f>
        <v/>
      </c>
      <c r="C122" s="15"/>
      <c r="D122" s="35"/>
      <c r="E122" s="36"/>
      <c r="F122" s="36"/>
      <c r="G122" s="36"/>
      <c r="H122" s="36"/>
      <c r="I122" s="39" t="str">
        <f aca="false">IF(COUNT(E122:H122)=0,"",ROUND(AVERAGE(E122:H122),0))</f>
        <v/>
      </c>
      <c r="J122" s="38" t="str">
        <f aca="false">IF(I122="","",LOOKUP(I122,Impostazioni!$E$4:$E$9,Impostazioni!$F$4:$F$9))</f>
        <v/>
      </c>
      <c r="K122" s="36"/>
      <c r="L122" s="36"/>
      <c r="M122" s="36"/>
      <c r="N122" s="36"/>
      <c r="O122" s="39" t="str">
        <f aca="false">IF(COUNT(K122:N122)=0,"",ROUND(AVERAGE(K122:N122),0))</f>
        <v/>
      </c>
      <c r="P122" s="38" t="str">
        <f aca="false">IF(O122="","",LOOKUP(O122,Impostazioni!$E$4:$E$9,Impostazioni!$F$4:$F$9))</f>
        <v/>
      </c>
      <c r="Q122" s="36"/>
      <c r="R122" s="36"/>
      <c r="S122" s="36"/>
      <c r="T122" s="36"/>
      <c r="U122" s="39" t="str">
        <f aca="false">IF(COUNT(Q122:T122)=0,"",ROUND(AVERAGE(Q122:T122),0))</f>
        <v/>
      </c>
      <c r="V122" s="38" t="str">
        <f aca="false">IF(U122="","",LOOKUP(U122,Impostazioni!$E$4:$E$9,Impostazioni!$F$4:$F$9))</f>
        <v/>
      </c>
      <c r="W122" s="36"/>
      <c r="X122" s="36"/>
      <c r="Y122" s="36"/>
      <c r="Z122" s="36"/>
      <c r="AA122" s="39" t="str">
        <f aca="false">IF(COUNT(W122:Z122)=0,"",ROUND(AVERAGE(W122:Z122),0))</f>
        <v/>
      </c>
      <c r="AB122" s="38" t="str">
        <f aca="false">IF(AA122="","",LOOKUP(AA122,Impostazioni!$E$4:$E$9,Impostazioni!$F$4:$F$9))</f>
        <v/>
      </c>
    </row>
    <row r="123" customFormat="false" ht="21" hidden="false" customHeight="true" outlineLevel="0" collapsed="false">
      <c r="A123" s="33" t="n">
        <v>5</v>
      </c>
      <c r="B123" s="34" t="str">
        <f aca="false">IFERROR(INDEX(Alunni!$C$1:$C$1000,MATCH($A123,Alunni!$A$1:$A$1000,0))&amp;"","")</f>
        <v/>
      </c>
      <c r="C123" s="15"/>
      <c r="D123" s="35"/>
      <c r="E123" s="36"/>
      <c r="F123" s="36"/>
      <c r="G123" s="36"/>
      <c r="H123" s="36"/>
      <c r="I123" s="39" t="str">
        <f aca="false">IF(COUNT(E123:H123)=0,"",ROUND(AVERAGE(E123:H123),0))</f>
        <v/>
      </c>
      <c r="J123" s="38" t="str">
        <f aca="false">IF(I123="","",LOOKUP(I123,Impostazioni!$E$4:$E$9,Impostazioni!$F$4:$F$9))</f>
        <v/>
      </c>
      <c r="K123" s="36"/>
      <c r="L123" s="36"/>
      <c r="M123" s="36"/>
      <c r="N123" s="36"/>
      <c r="O123" s="39" t="str">
        <f aca="false">IF(COUNT(K123:N123)=0,"",ROUND(AVERAGE(K123:N123),0))</f>
        <v/>
      </c>
      <c r="P123" s="38" t="str">
        <f aca="false">IF(O123="","",LOOKUP(O123,Impostazioni!$E$4:$E$9,Impostazioni!$F$4:$F$9))</f>
        <v/>
      </c>
      <c r="Q123" s="36"/>
      <c r="R123" s="36"/>
      <c r="S123" s="36"/>
      <c r="T123" s="36"/>
      <c r="U123" s="39" t="str">
        <f aca="false">IF(COUNT(Q123:T123)=0,"",ROUND(AVERAGE(Q123:T123),0))</f>
        <v/>
      </c>
      <c r="V123" s="38" t="str">
        <f aca="false">IF(U123="","",LOOKUP(U123,Impostazioni!$E$4:$E$9,Impostazioni!$F$4:$F$9))</f>
        <v/>
      </c>
      <c r="W123" s="36"/>
      <c r="X123" s="36"/>
      <c r="Y123" s="36"/>
      <c r="Z123" s="36"/>
      <c r="AA123" s="39" t="str">
        <f aca="false">IF(COUNT(W123:Z123)=0,"",ROUND(AVERAGE(W123:Z123),0))</f>
        <v/>
      </c>
      <c r="AB123" s="38" t="str">
        <f aca="false">IF(AA123="","",LOOKUP(AA123,Impostazioni!$E$4:$E$9,Impostazioni!$F$4:$F$9))</f>
        <v/>
      </c>
    </row>
    <row r="124" customFormat="false" ht="21" hidden="false" customHeight="true" outlineLevel="0" collapsed="false">
      <c r="A124" s="33" t="n">
        <v>6</v>
      </c>
      <c r="B124" s="34" t="str">
        <f aca="false">IFERROR(INDEX(Alunni!$C$1:$C$1000,MATCH($A124,Alunni!$A$1:$A$1000,0))&amp;"","")</f>
        <v/>
      </c>
      <c r="C124" s="15"/>
      <c r="D124" s="35"/>
      <c r="E124" s="36"/>
      <c r="F124" s="36"/>
      <c r="G124" s="36"/>
      <c r="H124" s="36"/>
      <c r="I124" s="39" t="str">
        <f aca="false">IF(COUNT(E124:H124)=0,"",ROUND(AVERAGE(E124:H124),0))</f>
        <v/>
      </c>
      <c r="J124" s="38" t="str">
        <f aca="false">IF(I124="","",LOOKUP(I124,Impostazioni!$E$4:$E$9,Impostazioni!$F$4:$F$9))</f>
        <v/>
      </c>
      <c r="K124" s="36"/>
      <c r="L124" s="36"/>
      <c r="M124" s="36"/>
      <c r="N124" s="36"/>
      <c r="O124" s="39" t="str">
        <f aca="false">IF(COUNT(K124:N124)=0,"",ROUND(AVERAGE(K124:N124),0))</f>
        <v/>
      </c>
      <c r="P124" s="38" t="str">
        <f aca="false">IF(O124="","",LOOKUP(O124,Impostazioni!$E$4:$E$9,Impostazioni!$F$4:$F$9))</f>
        <v/>
      </c>
      <c r="Q124" s="36"/>
      <c r="R124" s="36"/>
      <c r="S124" s="36"/>
      <c r="T124" s="36"/>
      <c r="U124" s="39" t="str">
        <f aca="false">IF(COUNT(Q124:T124)=0,"",ROUND(AVERAGE(Q124:T124),0))</f>
        <v/>
      </c>
      <c r="V124" s="38" t="str">
        <f aca="false">IF(U124="","",LOOKUP(U124,Impostazioni!$E$4:$E$9,Impostazioni!$F$4:$F$9))</f>
        <v/>
      </c>
      <c r="W124" s="36"/>
      <c r="X124" s="36"/>
      <c r="Y124" s="36"/>
      <c r="Z124" s="36"/>
      <c r="AA124" s="39" t="str">
        <f aca="false">IF(COUNT(W124:Z124)=0,"",ROUND(AVERAGE(W124:Z124),0))</f>
        <v/>
      </c>
      <c r="AB124" s="38" t="str">
        <f aca="false">IF(AA124="","",LOOKUP(AA124,Impostazioni!$E$4:$E$9,Impostazioni!$F$4:$F$9))</f>
        <v/>
      </c>
    </row>
    <row r="125" customFormat="false" ht="21" hidden="false" customHeight="true" outlineLevel="0" collapsed="false">
      <c r="A125" s="33" t="n">
        <v>7</v>
      </c>
      <c r="B125" s="34" t="str">
        <f aca="false">IFERROR(INDEX(Alunni!$C$1:$C$1000,MATCH($A125,Alunni!$A$1:$A$1000,0))&amp;"","")</f>
        <v/>
      </c>
      <c r="C125" s="15"/>
      <c r="D125" s="35"/>
      <c r="E125" s="36"/>
      <c r="F125" s="36"/>
      <c r="G125" s="36"/>
      <c r="H125" s="36"/>
      <c r="I125" s="39" t="str">
        <f aca="false">IF(COUNT(E125:H125)=0,"",ROUND(AVERAGE(E125:H125),0))</f>
        <v/>
      </c>
      <c r="J125" s="38" t="str">
        <f aca="false">IF(I125="","",LOOKUP(I125,Impostazioni!$E$4:$E$9,Impostazioni!$F$4:$F$9))</f>
        <v/>
      </c>
      <c r="K125" s="36"/>
      <c r="L125" s="36"/>
      <c r="M125" s="36"/>
      <c r="N125" s="36"/>
      <c r="O125" s="39" t="str">
        <f aca="false">IF(COUNT(K125:N125)=0,"",ROUND(AVERAGE(K125:N125),0))</f>
        <v/>
      </c>
      <c r="P125" s="38" t="str">
        <f aca="false">IF(O125="","",LOOKUP(O125,Impostazioni!$E$4:$E$9,Impostazioni!$F$4:$F$9))</f>
        <v/>
      </c>
      <c r="Q125" s="36"/>
      <c r="R125" s="36"/>
      <c r="S125" s="36"/>
      <c r="T125" s="36"/>
      <c r="U125" s="39" t="str">
        <f aca="false">IF(COUNT(Q125:T125)=0,"",ROUND(AVERAGE(Q125:T125),0))</f>
        <v/>
      </c>
      <c r="V125" s="38" t="str">
        <f aca="false">IF(U125="","",LOOKUP(U125,Impostazioni!$E$4:$E$9,Impostazioni!$F$4:$F$9))</f>
        <v/>
      </c>
      <c r="W125" s="36"/>
      <c r="X125" s="36"/>
      <c r="Y125" s="36"/>
      <c r="Z125" s="36"/>
      <c r="AA125" s="39" t="str">
        <f aca="false">IF(COUNT(W125:Z125)=0,"",ROUND(AVERAGE(W125:Z125),0))</f>
        <v/>
      </c>
      <c r="AB125" s="38" t="str">
        <f aca="false">IF(AA125="","",LOOKUP(AA125,Impostazioni!$E$4:$E$9,Impostazioni!$F$4:$F$9))</f>
        <v/>
      </c>
    </row>
    <row r="126" customFormat="false" ht="21" hidden="false" customHeight="true" outlineLevel="0" collapsed="false">
      <c r="A126" s="33" t="n">
        <v>8</v>
      </c>
      <c r="B126" s="34" t="str">
        <f aca="false">IFERROR(INDEX(Alunni!$C$1:$C$1000,MATCH($A126,Alunni!$A$1:$A$1000,0))&amp;"","")</f>
        <v/>
      </c>
      <c r="C126" s="15"/>
      <c r="D126" s="35"/>
      <c r="E126" s="36"/>
      <c r="F126" s="36"/>
      <c r="G126" s="36"/>
      <c r="H126" s="36"/>
      <c r="I126" s="39" t="str">
        <f aca="false">IF(COUNT(E126:H126)=0,"",ROUND(AVERAGE(E126:H126),0))</f>
        <v/>
      </c>
      <c r="J126" s="38" t="str">
        <f aca="false">IF(I126="","",LOOKUP(I126,Impostazioni!$E$4:$E$9,Impostazioni!$F$4:$F$9))</f>
        <v/>
      </c>
      <c r="K126" s="36"/>
      <c r="L126" s="36"/>
      <c r="M126" s="36"/>
      <c r="N126" s="36"/>
      <c r="O126" s="39" t="str">
        <f aca="false">IF(COUNT(K126:N126)=0,"",ROUND(AVERAGE(K126:N126),0))</f>
        <v/>
      </c>
      <c r="P126" s="38" t="str">
        <f aca="false">IF(O126="","",LOOKUP(O126,Impostazioni!$E$4:$E$9,Impostazioni!$F$4:$F$9))</f>
        <v/>
      </c>
      <c r="Q126" s="36"/>
      <c r="R126" s="36"/>
      <c r="S126" s="36"/>
      <c r="T126" s="36"/>
      <c r="U126" s="39" t="str">
        <f aca="false">IF(COUNT(Q126:T126)=0,"",ROUND(AVERAGE(Q126:T126),0))</f>
        <v/>
      </c>
      <c r="V126" s="38" t="str">
        <f aca="false">IF(U126="","",LOOKUP(U126,Impostazioni!$E$4:$E$9,Impostazioni!$F$4:$F$9))</f>
        <v/>
      </c>
      <c r="W126" s="36"/>
      <c r="X126" s="36"/>
      <c r="Y126" s="36"/>
      <c r="Z126" s="36"/>
      <c r="AA126" s="39" t="str">
        <f aca="false">IF(COUNT(W126:Z126)=0,"",ROUND(AVERAGE(W126:Z126),0))</f>
        <v/>
      </c>
      <c r="AB126" s="38" t="str">
        <f aca="false">IF(AA126="","",LOOKUP(AA126,Impostazioni!$E$4:$E$9,Impostazioni!$F$4:$F$9))</f>
        <v/>
      </c>
    </row>
    <row r="127" customFormat="false" ht="21" hidden="false" customHeight="true" outlineLevel="0" collapsed="false">
      <c r="A127" s="33" t="n">
        <v>9</v>
      </c>
      <c r="B127" s="34" t="str">
        <f aca="false">IFERROR(INDEX(Alunni!$C$1:$C$1000,MATCH($A127,Alunni!$A$1:$A$1000,0))&amp;"","")</f>
        <v/>
      </c>
      <c r="C127" s="15"/>
      <c r="D127" s="35"/>
      <c r="E127" s="36"/>
      <c r="F127" s="36"/>
      <c r="G127" s="36"/>
      <c r="H127" s="36"/>
      <c r="I127" s="39" t="str">
        <f aca="false">IF(COUNT(E127:H127)=0,"",ROUND(AVERAGE(E127:H127),0))</f>
        <v/>
      </c>
      <c r="J127" s="38" t="str">
        <f aca="false">IF(I127="","",LOOKUP(I127,Impostazioni!$E$4:$E$9,Impostazioni!$F$4:$F$9))</f>
        <v/>
      </c>
      <c r="K127" s="36"/>
      <c r="L127" s="36"/>
      <c r="M127" s="36"/>
      <c r="N127" s="36"/>
      <c r="O127" s="39" t="str">
        <f aca="false">IF(COUNT(K127:N127)=0,"",ROUND(AVERAGE(K127:N127),0))</f>
        <v/>
      </c>
      <c r="P127" s="38" t="str">
        <f aca="false">IF(O127="","",LOOKUP(O127,Impostazioni!$E$4:$E$9,Impostazioni!$F$4:$F$9))</f>
        <v/>
      </c>
      <c r="Q127" s="36"/>
      <c r="R127" s="36"/>
      <c r="S127" s="36"/>
      <c r="T127" s="36"/>
      <c r="U127" s="39" t="str">
        <f aca="false">IF(COUNT(Q127:T127)=0,"",ROUND(AVERAGE(Q127:T127),0))</f>
        <v/>
      </c>
      <c r="V127" s="38" t="str">
        <f aca="false">IF(U127="","",LOOKUP(U127,Impostazioni!$E$4:$E$9,Impostazioni!$F$4:$F$9))</f>
        <v/>
      </c>
      <c r="W127" s="36"/>
      <c r="X127" s="36"/>
      <c r="Y127" s="36"/>
      <c r="Z127" s="36"/>
      <c r="AA127" s="39" t="str">
        <f aca="false">IF(COUNT(W127:Z127)=0,"",ROUND(AVERAGE(W127:Z127),0))</f>
        <v/>
      </c>
      <c r="AB127" s="38" t="str">
        <f aca="false">IF(AA127="","",LOOKUP(AA127,Impostazioni!$E$4:$E$9,Impostazioni!$F$4:$F$9))</f>
        <v/>
      </c>
    </row>
    <row r="128" customFormat="false" ht="21" hidden="false" customHeight="true" outlineLevel="0" collapsed="false">
      <c r="A128" s="33" t="n">
        <v>10</v>
      </c>
      <c r="B128" s="34" t="str">
        <f aca="false">IFERROR(INDEX(Alunni!$C$1:$C$1000,MATCH($A128,Alunni!$A$1:$A$1000,0))&amp;"","")</f>
        <v/>
      </c>
      <c r="C128" s="15"/>
      <c r="D128" s="35"/>
      <c r="E128" s="36"/>
      <c r="F128" s="36"/>
      <c r="G128" s="36"/>
      <c r="H128" s="36"/>
      <c r="I128" s="39" t="str">
        <f aca="false">IF(COUNT(E128:H128)=0,"",ROUND(AVERAGE(E128:H128),0))</f>
        <v/>
      </c>
      <c r="J128" s="38" t="str">
        <f aca="false">IF(I128="","",LOOKUP(I128,Impostazioni!$E$4:$E$9,Impostazioni!$F$4:$F$9))</f>
        <v/>
      </c>
      <c r="K128" s="36"/>
      <c r="L128" s="36"/>
      <c r="M128" s="36"/>
      <c r="N128" s="36"/>
      <c r="O128" s="39" t="str">
        <f aca="false">IF(COUNT(K128:N128)=0,"",ROUND(AVERAGE(K128:N128),0))</f>
        <v/>
      </c>
      <c r="P128" s="38" t="str">
        <f aca="false">IF(O128="","",LOOKUP(O128,Impostazioni!$E$4:$E$9,Impostazioni!$F$4:$F$9))</f>
        <v/>
      </c>
      <c r="Q128" s="36"/>
      <c r="R128" s="36"/>
      <c r="S128" s="36"/>
      <c r="T128" s="36"/>
      <c r="U128" s="39" t="str">
        <f aca="false">IF(COUNT(Q128:T128)=0,"",ROUND(AVERAGE(Q128:T128),0))</f>
        <v/>
      </c>
      <c r="V128" s="38" t="str">
        <f aca="false">IF(U128="","",LOOKUP(U128,Impostazioni!$E$4:$E$9,Impostazioni!$F$4:$F$9))</f>
        <v/>
      </c>
      <c r="W128" s="36"/>
      <c r="X128" s="36"/>
      <c r="Y128" s="36"/>
      <c r="Z128" s="36"/>
      <c r="AA128" s="39" t="str">
        <f aca="false">IF(COUNT(W128:Z128)=0,"",ROUND(AVERAGE(W128:Z128),0))</f>
        <v/>
      </c>
      <c r="AB128" s="38" t="str">
        <f aca="false">IF(AA128="","",LOOKUP(AA128,Impostazioni!$E$4:$E$9,Impostazioni!$F$4:$F$9))</f>
        <v/>
      </c>
    </row>
    <row r="129" customFormat="false" ht="21" hidden="false" customHeight="true" outlineLevel="0" collapsed="false">
      <c r="A129" s="33" t="n">
        <v>11</v>
      </c>
      <c r="B129" s="34" t="str">
        <f aca="false">IFERROR(INDEX(Alunni!$C$1:$C$1000,MATCH($A129,Alunni!$A$1:$A$1000,0))&amp;"","")</f>
        <v/>
      </c>
      <c r="C129" s="15"/>
      <c r="D129" s="35"/>
      <c r="E129" s="36"/>
      <c r="F129" s="36"/>
      <c r="G129" s="36"/>
      <c r="H129" s="36"/>
      <c r="I129" s="39" t="str">
        <f aca="false">IF(COUNT(E129:H129)=0,"",ROUND(AVERAGE(E129:H129),0))</f>
        <v/>
      </c>
      <c r="J129" s="38" t="str">
        <f aca="false">IF(I129="","",LOOKUP(I129,Impostazioni!$E$4:$E$9,Impostazioni!$F$4:$F$9))</f>
        <v/>
      </c>
      <c r="K129" s="36"/>
      <c r="L129" s="36"/>
      <c r="M129" s="36"/>
      <c r="N129" s="36"/>
      <c r="O129" s="39" t="str">
        <f aca="false">IF(COUNT(K129:N129)=0,"",ROUND(AVERAGE(K129:N129),0))</f>
        <v/>
      </c>
      <c r="P129" s="38" t="str">
        <f aca="false">IF(O129="","",LOOKUP(O129,Impostazioni!$E$4:$E$9,Impostazioni!$F$4:$F$9))</f>
        <v/>
      </c>
      <c r="Q129" s="36"/>
      <c r="R129" s="36"/>
      <c r="S129" s="36"/>
      <c r="T129" s="36"/>
      <c r="U129" s="39" t="str">
        <f aca="false">IF(COUNT(Q129:T129)=0,"",ROUND(AVERAGE(Q129:T129),0))</f>
        <v/>
      </c>
      <c r="V129" s="38" t="str">
        <f aca="false">IF(U129="","",LOOKUP(U129,Impostazioni!$E$4:$E$9,Impostazioni!$F$4:$F$9))</f>
        <v/>
      </c>
      <c r="W129" s="36"/>
      <c r="X129" s="36"/>
      <c r="Y129" s="36"/>
      <c r="Z129" s="36"/>
      <c r="AA129" s="39" t="str">
        <f aca="false">IF(COUNT(W129:Z129)=0,"",ROUND(AVERAGE(W129:Z129),0))</f>
        <v/>
      </c>
      <c r="AB129" s="38" t="str">
        <f aca="false">IF(AA129="","",LOOKUP(AA129,Impostazioni!$E$4:$E$9,Impostazioni!$F$4:$F$9))</f>
        <v/>
      </c>
    </row>
    <row r="130" customFormat="false" ht="21" hidden="false" customHeight="true" outlineLevel="0" collapsed="false">
      <c r="A130" s="33" t="n">
        <v>12</v>
      </c>
      <c r="B130" s="34" t="str">
        <f aca="false">IFERROR(INDEX(Alunni!$C$1:$C$1000,MATCH($A130,Alunni!$A$1:$A$1000,0))&amp;"","")</f>
        <v/>
      </c>
      <c r="C130" s="15"/>
      <c r="D130" s="35"/>
      <c r="E130" s="36"/>
      <c r="F130" s="36"/>
      <c r="G130" s="36"/>
      <c r="H130" s="36"/>
      <c r="I130" s="39" t="str">
        <f aca="false">IF(COUNT(E130:H130)=0,"",ROUND(AVERAGE(E130:H130),0))</f>
        <v/>
      </c>
      <c r="J130" s="38" t="str">
        <f aca="false">IF(I130="","",LOOKUP(I130,Impostazioni!$E$4:$E$9,Impostazioni!$F$4:$F$9))</f>
        <v/>
      </c>
      <c r="K130" s="36"/>
      <c r="L130" s="36"/>
      <c r="M130" s="36"/>
      <c r="N130" s="36"/>
      <c r="O130" s="39" t="str">
        <f aca="false">IF(COUNT(K130:N130)=0,"",ROUND(AVERAGE(K130:N130),0))</f>
        <v/>
      </c>
      <c r="P130" s="38" t="str">
        <f aca="false">IF(O130="","",LOOKUP(O130,Impostazioni!$E$4:$E$9,Impostazioni!$F$4:$F$9))</f>
        <v/>
      </c>
      <c r="Q130" s="36"/>
      <c r="R130" s="36"/>
      <c r="S130" s="36"/>
      <c r="T130" s="36"/>
      <c r="U130" s="39" t="str">
        <f aca="false">IF(COUNT(Q130:T130)=0,"",ROUND(AVERAGE(Q130:T130),0))</f>
        <v/>
      </c>
      <c r="V130" s="38" t="str">
        <f aca="false">IF(U130="","",LOOKUP(U130,Impostazioni!$E$4:$E$9,Impostazioni!$F$4:$F$9))</f>
        <v/>
      </c>
      <c r="W130" s="36"/>
      <c r="X130" s="36"/>
      <c r="Y130" s="36"/>
      <c r="Z130" s="36"/>
      <c r="AA130" s="39" t="str">
        <f aca="false">IF(COUNT(W130:Z130)=0,"",ROUND(AVERAGE(W130:Z130),0))</f>
        <v/>
      </c>
      <c r="AB130" s="38" t="str">
        <f aca="false">IF(AA130="","",LOOKUP(AA130,Impostazioni!$E$4:$E$9,Impostazioni!$F$4:$F$9))</f>
        <v/>
      </c>
    </row>
    <row r="131" customFormat="false" ht="21" hidden="false" customHeight="true" outlineLevel="0" collapsed="false">
      <c r="A131" s="33" t="n">
        <v>13</v>
      </c>
      <c r="B131" s="34" t="str">
        <f aca="false">IFERROR(INDEX(Alunni!$C$1:$C$1000,MATCH($A131,Alunni!$A$1:$A$1000,0))&amp;"","")</f>
        <v/>
      </c>
      <c r="C131" s="15"/>
      <c r="D131" s="35"/>
      <c r="E131" s="36"/>
      <c r="F131" s="36"/>
      <c r="G131" s="36"/>
      <c r="H131" s="36"/>
      <c r="I131" s="39" t="str">
        <f aca="false">IF(COUNT(E131:H131)=0,"",ROUND(AVERAGE(E131:H131),0))</f>
        <v/>
      </c>
      <c r="J131" s="38" t="str">
        <f aca="false">IF(I131="","",LOOKUP(I131,Impostazioni!$E$4:$E$9,Impostazioni!$F$4:$F$9))</f>
        <v/>
      </c>
      <c r="K131" s="36"/>
      <c r="L131" s="36"/>
      <c r="M131" s="36"/>
      <c r="N131" s="36"/>
      <c r="O131" s="39" t="str">
        <f aca="false">IF(COUNT(K131:N131)=0,"",ROUND(AVERAGE(K131:N131),0))</f>
        <v/>
      </c>
      <c r="P131" s="38" t="str">
        <f aca="false">IF(O131="","",LOOKUP(O131,Impostazioni!$E$4:$E$9,Impostazioni!$F$4:$F$9))</f>
        <v/>
      </c>
      <c r="Q131" s="36"/>
      <c r="R131" s="36"/>
      <c r="S131" s="36"/>
      <c r="T131" s="36"/>
      <c r="U131" s="39" t="str">
        <f aca="false">IF(COUNT(Q131:T131)=0,"",ROUND(AVERAGE(Q131:T131),0))</f>
        <v/>
      </c>
      <c r="V131" s="38" t="str">
        <f aca="false">IF(U131="","",LOOKUP(U131,Impostazioni!$E$4:$E$9,Impostazioni!$F$4:$F$9))</f>
        <v/>
      </c>
      <c r="W131" s="36"/>
      <c r="X131" s="36"/>
      <c r="Y131" s="36"/>
      <c r="Z131" s="36"/>
      <c r="AA131" s="39" t="str">
        <f aca="false">IF(COUNT(W131:Z131)=0,"",ROUND(AVERAGE(W131:Z131),0))</f>
        <v/>
      </c>
      <c r="AB131" s="38" t="str">
        <f aca="false">IF(AA131="","",LOOKUP(AA131,Impostazioni!$E$4:$E$9,Impostazioni!$F$4:$F$9))</f>
        <v/>
      </c>
    </row>
    <row r="132" customFormat="false" ht="21" hidden="false" customHeight="true" outlineLevel="0" collapsed="false">
      <c r="A132" s="33" t="n">
        <v>14</v>
      </c>
      <c r="B132" s="34" t="str">
        <f aca="false">IFERROR(INDEX(Alunni!$C$1:$C$1000,MATCH($A132,Alunni!$A$1:$A$1000,0))&amp;"","")</f>
        <v/>
      </c>
      <c r="C132" s="15"/>
      <c r="D132" s="35"/>
      <c r="E132" s="36"/>
      <c r="F132" s="36"/>
      <c r="G132" s="36"/>
      <c r="H132" s="36"/>
      <c r="I132" s="39" t="str">
        <f aca="false">IF(COUNT(E132:H132)=0,"",ROUND(AVERAGE(E132:H132),0))</f>
        <v/>
      </c>
      <c r="J132" s="38" t="str">
        <f aca="false">IF(I132="","",LOOKUP(I132,Impostazioni!$E$4:$E$9,Impostazioni!$F$4:$F$9))</f>
        <v/>
      </c>
      <c r="K132" s="36"/>
      <c r="L132" s="36"/>
      <c r="M132" s="36"/>
      <c r="N132" s="36"/>
      <c r="O132" s="39" t="str">
        <f aca="false">IF(COUNT(K132:N132)=0,"",ROUND(AVERAGE(K132:N132),0))</f>
        <v/>
      </c>
      <c r="P132" s="38" t="str">
        <f aca="false">IF(O132="","",LOOKUP(O132,Impostazioni!$E$4:$E$9,Impostazioni!$F$4:$F$9))</f>
        <v/>
      </c>
      <c r="Q132" s="36"/>
      <c r="R132" s="36"/>
      <c r="S132" s="36"/>
      <c r="T132" s="36"/>
      <c r="U132" s="39" t="str">
        <f aca="false">IF(COUNT(Q132:T132)=0,"",ROUND(AVERAGE(Q132:T132),0))</f>
        <v/>
      </c>
      <c r="V132" s="38" t="str">
        <f aca="false">IF(U132="","",LOOKUP(U132,Impostazioni!$E$4:$E$9,Impostazioni!$F$4:$F$9))</f>
        <v/>
      </c>
      <c r="W132" s="36"/>
      <c r="X132" s="36"/>
      <c r="Y132" s="36"/>
      <c r="Z132" s="36"/>
      <c r="AA132" s="39" t="str">
        <f aca="false">IF(COUNT(W132:Z132)=0,"",ROUND(AVERAGE(W132:Z132),0))</f>
        <v/>
      </c>
      <c r="AB132" s="38" t="str">
        <f aca="false">IF(AA132="","",LOOKUP(AA132,Impostazioni!$E$4:$E$9,Impostazioni!$F$4:$F$9))</f>
        <v/>
      </c>
    </row>
    <row r="133" customFormat="false" ht="21" hidden="false" customHeight="true" outlineLevel="0" collapsed="false">
      <c r="A133" s="33" t="n">
        <v>15</v>
      </c>
      <c r="B133" s="34" t="str">
        <f aca="false">IFERROR(INDEX(Alunni!$C$1:$C$1000,MATCH($A133,Alunni!$A$1:$A$1000,0))&amp;"","")</f>
        <v/>
      </c>
      <c r="C133" s="15"/>
      <c r="D133" s="35"/>
      <c r="E133" s="36"/>
      <c r="F133" s="36"/>
      <c r="G133" s="36"/>
      <c r="H133" s="36"/>
      <c r="I133" s="39" t="str">
        <f aca="false">IF(COUNT(E133:H133)=0,"",ROUND(AVERAGE(E133:H133),0))</f>
        <v/>
      </c>
      <c r="J133" s="38" t="str">
        <f aca="false">IF(I133="","",LOOKUP(I133,Impostazioni!$E$4:$E$9,Impostazioni!$F$4:$F$9))</f>
        <v/>
      </c>
      <c r="K133" s="36"/>
      <c r="L133" s="36"/>
      <c r="M133" s="36"/>
      <c r="N133" s="36"/>
      <c r="O133" s="39" t="str">
        <f aca="false">IF(COUNT(K133:N133)=0,"",ROUND(AVERAGE(K133:N133),0))</f>
        <v/>
      </c>
      <c r="P133" s="38" t="str">
        <f aca="false">IF(O133="","",LOOKUP(O133,Impostazioni!$E$4:$E$9,Impostazioni!$F$4:$F$9))</f>
        <v/>
      </c>
      <c r="Q133" s="36"/>
      <c r="R133" s="36"/>
      <c r="S133" s="36"/>
      <c r="T133" s="36"/>
      <c r="U133" s="39" t="str">
        <f aca="false">IF(COUNT(Q133:T133)=0,"",ROUND(AVERAGE(Q133:T133),0))</f>
        <v/>
      </c>
      <c r="V133" s="38" t="str">
        <f aca="false">IF(U133="","",LOOKUP(U133,Impostazioni!$E$4:$E$9,Impostazioni!$F$4:$F$9))</f>
        <v/>
      </c>
      <c r="W133" s="36"/>
      <c r="X133" s="36"/>
      <c r="Y133" s="36"/>
      <c r="Z133" s="36"/>
      <c r="AA133" s="39" t="str">
        <f aca="false">IF(COUNT(W133:Z133)=0,"",ROUND(AVERAGE(W133:Z133),0))</f>
        <v/>
      </c>
      <c r="AB133" s="38" t="str">
        <f aca="false">IF(AA133="","",LOOKUP(AA133,Impostazioni!$E$4:$E$9,Impostazioni!$F$4:$F$9))</f>
        <v/>
      </c>
    </row>
    <row r="134" customFormat="false" ht="21" hidden="false" customHeight="true" outlineLevel="0" collapsed="false">
      <c r="A134" s="33" t="n">
        <v>16</v>
      </c>
      <c r="B134" s="34" t="str">
        <f aca="false">IFERROR(INDEX(Alunni!$C$1:$C$1000,MATCH($A134,Alunni!$A$1:$A$1000,0))&amp;"","")</f>
        <v/>
      </c>
      <c r="C134" s="15"/>
      <c r="D134" s="35"/>
      <c r="E134" s="36"/>
      <c r="F134" s="36"/>
      <c r="G134" s="36"/>
      <c r="H134" s="36"/>
      <c r="I134" s="39" t="str">
        <f aca="false">IF(COUNT(E134:H134)=0,"",ROUND(AVERAGE(E134:H134),0))</f>
        <v/>
      </c>
      <c r="J134" s="38" t="str">
        <f aca="false">IF(I134="","",LOOKUP(I134,Impostazioni!$E$4:$E$9,Impostazioni!$F$4:$F$9))</f>
        <v/>
      </c>
      <c r="K134" s="36"/>
      <c r="L134" s="36"/>
      <c r="M134" s="36"/>
      <c r="N134" s="36"/>
      <c r="O134" s="39" t="str">
        <f aca="false">IF(COUNT(K134:N134)=0,"",ROUND(AVERAGE(K134:N134),0))</f>
        <v/>
      </c>
      <c r="P134" s="38" t="str">
        <f aca="false">IF(O134="","",LOOKUP(O134,Impostazioni!$E$4:$E$9,Impostazioni!$F$4:$F$9))</f>
        <v/>
      </c>
      <c r="Q134" s="36"/>
      <c r="R134" s="36"/>
      <c r="S134" s="36"/>
      <c r="T134" s="36"/>
      <c r="U134" s="39" t="str">
        <f aca="false">IF(COUNT(Q134:T134)=0,"",ROUND(AVERAGE(Q134:T134),0))</f>
        <v/>
      </c>
      <c r="V134" s="38" t="str">
        <f aca="false">IF(U134="","",LOOKUP(U134,Impostazioni!$E$4:$E$9,Impostazioni!$F$4:$F$9))</f>
        <v/>
      </c>
      <c r="W134" s="36"/>
      <c r="X134" s="36"/>
      <c r="Y134" s="36"/>
      <c r="Z134" s="36"/>
      <c r="AA134" s="39" t="str">
        <f aca="false">IF(COUNT(W134:Z134)=0,"",ROUND(AVERAGE(W134:Z134),0))</f>
        <v/>
      </c>
      <c r="AB134" s="38" t="str">
        <f aca="false">IF(AA134="","",LOOKUP(AA134,Impostazioni!$E$4:$E$9,Impostazioni!$F$4:$F$9))</f>
        <v/>
      </c>
    </row>
    <row r="135" customFormat="false" ht="21" hidden="false" customHeight="true" outlineLevel="0" collapsed="false">
      <c r="A135" s="33" t="n">
        <v>17</v>
      </c>
      <c r="B135" s="34" t="str">
        <f aca="false">IFERROR(INDEX(Alunni!$C$1:$C$1000,MATCH($A135,Alunni!$A$1:$A$1000,0))&amp;"","")</f>
        <v/>
      </c>
      <c r="C135" s="15"/>
      <c r="D135" s="35"/>
      <c r="E135" s="36"/>
      <c r="F135" s="36"/>
      <c r="G135" s="36"/>
      <c r="H135" s="36"/>
      <c r="I135" s="39" t="str">
        <f aca="false">IF(COUNT(E135:H135)=0,"",ROUND(AVERAGE(E135:H135),0))</f>
        <v/>
      </c>
      <c r="J135" s="38" t="str">
        <f aca="false">IF(I135="","",LOOKUP(I135,Impostazioni!$E$4:$E$9,Impostazioni!$F$4:$F$9))</f>
        <v/>
      </c>
      <c r="K135" s="36"/>
      <c r="L135" s="36"/>
      <c r="M135" s="36"/>
      <c r="N135" s="36"/>
      <c r="O135" s="39" t="str">
        <f aca="false">IF(COUNT(K135:N135)=0,"",ROUND(AVERAGE(K135:N135),0))</f>
        <v/>
      </c>
      <c r="P135" s="38" t="str">
        <f aca="false">IF(O135="","",LOOKUP(O135,Impostazioni!$E$4:$E$9,Impostazioni!$F$4:$F$9))</f>
        <v/>
      </c>
      <c r="Q135" s="36"/>
      <c r="R135" s="36"/>
      <c r="S135" s="36"/>
      <c r="T135" s="36"/>
      <c r="U135" s="39" t="str">
        <f aca="false">IF(COUNT(Q135:T135)=0,"",ROUND(AVERAGE(Q135:T135),0))</f>
        <v/>
      </c>
      <c r="V135" s="38" t="str">
        <f aca="false">IF(U135="","",LOOKUP(U135,Impostazioni!$E$4:$E$9,Impostazioni!$F$4:$F$9))</f>
        <v/>
      </c>
      <c r="W135" s="36"/>
      <c r="X135" s="36"/>
      <c r="Y135" s="36"/>
      <c r="Z135" s="36"/>
      <c r="AA135" s="39" t="str">
        <f aca="false">IF(COUNT(W135:Z135)=0,"",ROUND(AVERAGE(W135:Z135),0))</f>
        <v/>
      </c>
      <c r="AB135" s="38" t="str">
        <f aca="false">IF(AA135="","",LOOKUP(AA135,Impostazioni!$E$4:$E$9,Impostazioni!$F$4:$F$9))</f>
        <v/>
      </c>
    </row>
    <row r="136" customFormat="false" ht="21" hidden="false" customHeight="true" outlineLevel="0" collapsed="false">
      <c r="A136" s="33" t="n">
        <v>18</v>
      </c>
      <c r="B136" s="34" t="str">
        <f aca="false">IFERROR(INDEX(Alunni!$C$1:$C$1000,MATCH($A136,Alunni!$A$1:$A$1000,0))&amp;"","")</f>
        <v/>
      </c>
      <c r="C136" s="15"/>
      <c r="D136" s="35"/>
      <c r="E136" s="36"/>
      <c r="F136" s="36"/>
      <c r="G136" s="36"/>
      <c r="H136" s="36"/>
      <c r="I136" s="39" t="str">
        <f aca="false">IF(COUNT(E136:H136)=0,"",ROUND(AVERAGE(E136:H136),0))</f>
        <v/>
      </c>
      <c r="J136" s="38" t="str">
        <f aca="false">IF(I136="","",LOOKUP(I136,Impostazioni!$E$4:$E$9,Impostazioni!$F$4:$F$9))</f>
        <v/>
      </c>
      <c r="K136" s="36"/>
      <c r="L136" s="36"/>
      <c r="M136" s="36"/>
      <c r="N136" s="36"/>
      <c r="O136" s="39" t="str">
        <f aca="false">IF(COUNT(K136:N136)=0,"",ROUND(AVERAGE(K136:N136),0))</f>
        <v/>
      </c>
      <c r="P136" s="38" t="str">
        <f aca="false">IF(O136="","",LOOKUP(O136,Impostazioni!$E$4:$E$9,Impostazioni!$F$4:$F$9))</f>
        <v/>
      </c>
      <c r="Q136" s="36"/>
      <c r="R136" s="36"/>
      <c r="S136" s="36"/>
      <c r="T136" s="36"/>
      <c r="U136" s="39" t="str">
        <f aca="false">IF(COUNT(Q136:T136)=0,"",ROUND(AVERAGE(Q136:T136),0))</f>
        <v/>
      </c>
      <c r="V136" s="38" t="str">
        <f aca="false">IF(U136="","",LOOKUP(U136,Impostazioni!$E$4:$E$9,Impostazioni!$F$4:$F$9))</f>
        <v/>
      </c>
      <c r="W136" s="36"/>
      <c r="X136" s="36"/>
      <c r="Y136" s="36"/>
      <c r="Z136" s="36"/>
      <c r="AA136" s="39" t="str">
        <f aca="false">IF(COUNT(W136:Z136)=0,"",ROUND(AVERAGE(W136:Z136),0))</f>
        <v/>
      </c>
      <c r="AB136" s="38" t="str">
        <f aca="false">IF(AA136="","",LOOKUP(AA136,Impostazioni!$E$4:$E$9,Impostazioni!$F$4:$F$9))</f>
        <v/>
      </c>
    </row>
    <row r="137" customFormat="false" ht="21" hidden="false" customHeight="true" outlineLevel="0" collapsed="false">
      <c r="A137" s="33" t="n">
        <v>19</v>
      </c>
      <c r="B137" s="34" t="str">
        <f aca="false">IFERROR(INDEX(Alunni!$C$1:$C$1000,MATCH($A137,Alunni!$A$1:$A$1000,0))&amp;"","")</f>
        <v/>
      </c>
      <c r="C137" s="15"/>
      <c r="D137" s="35"/>
      <c r="E137" s="36"/>
      <c r="F137" s="36"/>
      <c r="G137" s="36"/>
      <c r="H137" s="36"/>
      <c r="I137" s="39" t="str">
        <f aca="false">IF(COUNT(E137:H137)=0,"",ROUND(AVERAGE(E137:H137),0))</f>
        <v/>
      </c>
      <c r="J137" s="38" t="str">
        <f aca="false">IF(I137="","",LOOKUP(I137,Impostazioni!$E$4:$E$9,Impostazioni!$F$4:$F$9))</f>
        <v/>
      </c>
      <c r="K137" s="36"/>
      <c r="L137" s="36"/>
      <c r="M137" s="36"/>
      <c r="N137" s="36"/>
      <c r="O137" s="39" t="str">
        <f aca="false">IF(COUNT(K137:N137)=0,"",ROUND(AVERAGE(K137:N137),0))</f>
        <v/>
      </c>
      <c r="P137" s="38" t="str">
        <f aca="false">IF(O137="","",LOOKUP(O137,Impostazioni!$E$4:$E$9,Impostazioni!$F$4:$F$9))</f>
        <v/>
      </c>
      <c r="Q137" s="36"/>
      <c r="R137" s="36"/>
      <c r="S137" s="36"/>
      <c r="T137" s="36"/>
      <c r="U137" s="39" t="str">
        <f aca="false">IF(COUNT(Q137:T137)=0,"",ROUND(AVERAGE(Q137:T137),0))</f>
        <v/>
      </c>
      <c r="V137" s="38" t="str">
        <f aca="false">IF(U137="","",LOOKUP(U137,Impostazioni!$E$4:$E$9,Impostazioni!$F$4:$F$9))</f>
        <v/>
      </c>
      <c r="W137" s="36"/>
      <c r="X137" s="36"/>
      <c r="Y137" s="36"/>
      <c r="Z137" s="36"/>
      <c r="AA137" s="39" t="str">
        <f aca="false">IF(COUNT(W137:Z137)=0,"",ROUND(AVERAGE(W137:Z137),0))</f>
        <v/>
      </c>
      <c r="AB137" s="38" t="str">
        <f aca="false">IF(AA137="","",LOOKUP(AA137,Impostazioni!$E$4:$E$9,Impostazioni!$F$4:$F$9))</f>
        <v/>
      </c>
    </row>
    <row r="138" customFormat="false" ht="21" hidden="false" customHeight="true" outlineLevel="0" collapsed="false">
      <c r="A138" s="33" t="n">
        <v>20</v>
      </c>
      <c r="B138" s="34" t="str">
        <f aca="false">IFERROR(INDEX(Alunni!$C$1:$C$1000,MATCH($A138,Alunni!$A$1:$A$1000,0))&amp;"","")</f>
        <v/>
      </c>
      <c r="C138" s="15"/>
      <c r="D138" s="35"/>
      <c r="E138" s="36"/>
      <c r="F138" s="36"/>
      <c r="G138" s="36"/>
      <c r="H138" s="36"/>
      <c r="I138" s="39" t="str">
        <f aca="false">IF(COUNT(E138:H138)=0,"",ROUND(AVERAGE(E138:H138),0))</f>
        <v/>
      </c>
      <c r="J138" s="38" t="str">
        <f aca="false">IF(I138="","",LOOKUP(I138,Impostazioni!$E$4:$E$9,Impostazioni!$F$4:$F$9))</f>
        <v/>
      </c>
      <c r="K138" s="36"/>
      <c r="L138" s="36"/>
      <c r="M138" s="36"/>
      <c r="N138" s="36"/>
      <c r="O138" s="39" t="str">
        <f aca="false">IF(COUNT(K138:N138)=0,"",ROUND(AVERAGE(K138:N138),0))</f>
        <v/>
      </c>
      <c r="P138" s="38" t="str">
        <f aca="false">IF(O138="","",LOOKUP(O138,Impostazioni!$E$4:$E$9,Impostazioni!$F$4:$F$9))</f>
        <v/>
      </c>
      <c r="Q138" s="36"/>
      <c r="R138" s="36"/>
      <c r="S138" s="36"/>
      <c r="T138" s="36"/>
      <c r="U138" s="39" t="str">
        <f aca="false">IF(COUNT(Q138:T138)=0,"",ROUND(AVERAGE(Q138:T138),0))</f>
        <v/>
      </c>
      <c r="V138" s="38" t="str">
        <f aca="false">IF(U138="","",LOOKUP(U138,Impostazioni!$E$4:$E$9,Impostazioni!$F$4:$F$9))</f>
        <v/>
      </c>
      <c r="W138" s="36"/>
      <c r="X138" s="36"/>
      <c r="Y138" s="36"/>
      <c r="Z138" s="36"/>
      <c r="AA138" s="39" t="str">
        <f aca="false">IF(COUNT(W138:Z138)=0,"",ROUND(AVERAGE(W138:Z138),0))</f>
        <v/>
      </c>
      <c r="AB138" s="38" t="str">
        <f aca="false">IF(AA138="","",LOOKUP(AA138,Impostazioni!$E$4:$E$9,Impostazioni!$F$4:$F$9))</f>
        <v/>
      </c>
    </row>
    <row r="139" customFormat="false" ht="21" hidden="false" customHeight="true" outlineLevel="0" collapsed="false">
      <c r="A139" s="33" t="n">
        <v>21</v>
      </c>
      <c r="B139" s="34" t="str">
        <f aca="false">IFERROR(INDEX(Alunni!$C$1:$C$1000,MATCH($A139,Alunni!$A$1:$A$1000,0))&amp;"","")</f>
        <v/>
      </c>
      <c r="C139" s="15"/>
      <c r="D139" s="35"/>
      <c r="E139" s="36"/>
      <c r="F139" s="36"/>
      <c r="G139" s="36"/>
      <c r="H139" s="36"/>
      <c r="I139" s="39" t="str">
        <f aca="false">IF(COUNT(E139:H139)=0,"",ROUND(AVERAGE(E139:H139),0))</f>
        <v/>
      </c>
      <c r="J139" s="38" t="str">
        <f aca="false">IF(I139="","",LOOKUP(I139,Impostazioni!$E$4:$E$9,Impostazioni!$F$4:$F$9))</f>
        <v/>
      </c>
      <c r="K139" s="36"/>
      <c r="L139" s="36"/>
      <c r="M139" s="36"/>
      <c r="N139" s="36"/>
      <c r="O139" s="39" t="str">
        <f aca="false">IF(COUNT(K139:N139)=0,"",ROUND(AVERAGE(K139:N139),0))</f>
        <v/>
      </c>
      <c r="P139" s="38" t="str">
        <f aca="false">IF(O139="","",LOOKUP(O139,Impostazioni!$E$4:$E$9,Impostazioni!$F$4:$F$9))</f>
        <v/>
      </c>
      <c r="Q139" s="36"/>
      <c r="R139" s="36"/>
      <c r="S139" s="36"/>
      <c r="T139" s="36"/>
      <c r="U139" s="39" t="str">
        <f aca="false">IF(COUNT(Q139:T139)=0,"",ROUND(AVERAGE(Q139:T139),0))</f>
        <v/>
      </c>
      <c r="V139" s="38" t="str">
        <f aca="false">IF(U139="","",LOOKUP(U139,Impostazioni!$E$4:$E$9,Impostazioni!$F$4:$F$9))</f>
        <v/>
      </c>
      <c r="W139" s="36"/>
      <c r="X139" s="36"/>
      <c r="Y139" s="36"/>
      <c r="Z139" s="36"/>
      <c r="AA139" s="39" t="str">
        <f aca="false">IF(COUNT(W139:Z139)=0,"",ROUND(AVERAGE(W139:Z139),0))</f>
        <v/>
      </c>
      <c r="AB139" s="38" t="str">
        <f aca="false">IF(AA139="","",LOOKUP(AA139,Impostazioni!$E$4:$E$9,Impostazioni!$F$4:$F$9))</f>
        <v/>
      </c>
    </row>
    <row r="140" customFormat="false" ht="21" hidden="false" customHeight="true" outlineLevel="0" collapsed="false">
      <c r="A140" s="33" t="n">
        <v>22</v>
      </c>
      <c r="B140" s="34" t="str">
        <f aca="false">IFERROR(INDEX(Alunni!$C$1:$C$1000,MATCH($A140,Alunni!$A$1:$A$1000,0))&amp;"","")</f>
        <v/>
      </c>
      <c r="C140" s="15"/>
      <c r="D140" s="35"/>
      <c r="E140" s="36"/>
      <c r="F140" s="36"/>
      <c r="G140" s="36"/>
      <c r="H140" s="36"/>
      <c r="I140" s="39" t="str">
        <f aca="false">IF(COUNT(E140:H140)=0,"",ROUND(AVERAGE(E140:H140),0))</f>
        <v/>
      </c>
      <c r="J140" s="38" t="str">
        <f aca="false">IF(I140="","",LOOKUP(I140,Impostazioni!$E$4:$E$9,Impostazioni!$F$4:$F$9))</f>
        <v/>
      </c>
      <c r="K140" s="36"/>
      <c r="L140" s="36"/>
      <c r="M140" s="36"/>
      <c r="N140" s="36"/>
      <c r="O140" s="39" t="str">
        <f aca="false">IF(COUNT(K140:N140)=0,"",ROUND(AVERAGE(K140:N140),0))</f>
        <v/>
      </c>
      <c r="P140" s="38" t="str">
        <f aca="false">IF(O140="","",LOOKUP(O140,Impostazioni!$E$4:$E$9,Impostazioni!$F$4:$F$9))</f>
        <v/>
      </c>
      <c r="Q140" s="36"/>
      <c r="R140" s="36"/>
      <c r="S140" s="36"/>
      <c r="T140" s="36"/>
      <c r="U140" s="39" t="str">
        <f aca="false">IF(COUNT(Q140:T140)=0,"",ROUND(AVERAGE(Q140:T140),0))</f>
        <v/>
      </c>
      <c r="V140" s="38" t="str">
        <f aca="false">IF(U140="","",LOOKUP(U140,Impostazioni!$E$4:$E$9,Impostazioni!$F$4:$F$9))</f>
        <v/>
      </c>
      <c r="W140" s="36"/>
      <c r="X140" s="36"/>
      <c r="Y140" s="36"/>
      <c r="Z140" s="36"/>
      <c r="AA140" s="39" t="str">
        <f aca="false">IF(COUNT(W140:Z140)=0,"",ROUND(AVERAGE(W140:Z140),0))</f>
        <v/>
      </c>
      <c r="AB140" s="38" t="str">
        <f aca="false">IF(AA140="","",LOOKUP(AA140,Impostazioni!$E$4:$E$9,Impostazioni!$F$4:$F$9))</f>
        <v/>
      </c>
    </row>
    <row r="141" customFormat="false" ht="21" hidden="false" customHeight="true" outlineLevel="0" collapsed="false">
      <c r="A141" s="33" t="n">
        <v>23</v>
      </c>
      <c r="B141" s="34" t="str">
        <f aca="false">IFERROR(INDEX(Alunni!$C$1:$C$1000,MATCH($A141,Alunni!$A$1:$A$1000,0))&amp;"","")</f>
        <v/>
      </c>
      <c r="C141" s="15"/>
      <c r="D141" s="35"/>
      <c r="E141" s="36"/>
      <c r="F141" s="36"/>
      <c r="G141" s="36"/>
      <c r="H141" s="36"/>
      <c r="I141" s="39" t="str">
        <f aca="false">IF(COUNT(E141:H141)=0,"",ROUND(AVERAGE(E141:H141),0))</f>
        <v/>
      </c>
      <c r="J141" s="38" t="str">
        <f aca="false">IF(I141="","",LOOKUP(I141,Impostazioni!$E$4:$E$9,Impostazioni!$F$4:$F$9))</f>
        <v/>
      </c>
      <c r="K141" s="36"/>
      <c r="L141" s="36"/>
      <c r="M141" s="36"/>
      <c r="N141" s="36"/>
      <c r="O141" s="39" t="str">
        <f aca="false">IF(COUNT(K141:N141)=0,"",ROUND(AVERAGE(K141:N141),0))</f>
        <v/>
      </c>
      <c r="P141" s="38" t="str">
        <f aca="false">IF(O141="","",LOOKUP(O141,Impostazioni!$E$4:$E$9,Impostazioni!$F$4:$F$9))</f>
        <v/>
      </c>
      <c r="Q141" s="36"/>
      <c r="R141" s="36"/>
      <c r="S141" s="36"/>
      <c r="T141" s="36"/>
      <c r="U141" s="39" t="str">
        <f aca="false">IF(COUNT(Q141:T141)=0,"",ROUND(AVERAGE(Q141:T141),0))</f>
        <v/>
      </c>
      <c r="V141" s="38" t="str">
        <f aca="false">IF(U141="","",LOOKUP(U141,Impostazioni!$E$4:$E$9,Impostazioni!$F$4:$F$9))</f>
        <v/>
      </c>
      <c r="W141" s="36"/>
      <c r="X141" s="36"/>
      <c r="Y141" s="36"/>
      <c r="Z141" s="36"/>
      <c r="AA141" s="39" t="str">
        <f aca="false">IF(COUNT(W141:Z141)=0,"",ROUND(AVERAGE(W141:Z141),0))</f>
        <v/>
      </c>
      <c r="AB141" s="38" t="str">
        <f aca="false">IF(AA141="","",LOOKUP(AA141,Impostazioni!$E$4:$E$9,Impostazioni!$F$4:$F$9))</f>
        <v/>
      </c>
    </row>
    <row r="142" customFormat="false" ht="21" hidden="false" customHeight="true" outlineLevel="0" collapsed="false">
      <c r="A142" s="33" t="n">
        <v>24</v>
      </c>
      <c r="B142" s="34" t="str">
        <f aca="false">IFERROR(INDEX(Alunni!$C$1:$C$1000,MATCH($A142,Alunni!$A$1:$A$1000,0))&amp;"","")</f>
        <v/>
      </c>
      <c r="C142" s="15"/>
      <c r="D142" s="35"/>
      <c r="E142" s="36"/>
      <c r="F142" s="36"/>
      <c r="G142" s="36"/>
      <c r="H142" s="36"/>
      <c r="I142" s="39" t="str">
        <f aca="false">IF(COUNT(E142:H142)=0,"",ROUND(AVERAGE(E142:H142),0))</f>
        <v/>
      </c>
      <c r="J142" s="38" t="str">
        <f aca="false">IF(I142="","",LOOKUP(I142,Impostazioni!$E$4:$E$9,Impostazioni!$F$4:$F$9))</f>
        <v/>
      </c>
      <c r="K142" s="36"/>
      <c r="L142" s="36"/>
      <c r="M142" s="36"/>
      <c r="N142" s="36"/>
      <c r="O142" s="39" t="str">
        <f aca="false">IF(COUNT(K142:N142)=0,"",ROUND(AVERAGE(K142:N142),0))</f>
        <v/>
      </c>
      <c r="P142" s="38" t="str">
        <f aca="false">IF(O142="","",LOOKUP(O142,Impostazioni!$E$4:$E$9,Impostazioni!$F$4:$F$9))</f>
        <v/>
      </c>
      <c r="Q142" s="36"/>
      <c r="R142" s="36"/>
      <c r="S142" s="36"/>
      <c r="T142" s="36"/>
      <c r="U142" s="39" t="str">
        <f aca="false">IF(COUNT(Q142:T142)=0,"",ROUND(AVERAGE(Q142:T142),0))</f>
        <v/>
      </c>
      <c r="V142" s="38" t="str">
        <f aca="false">IF(U142="","",LOOKUP(U142,Impostazioni!$E$4:$E$9,Impostazioni!$F$4:$F$9))</f>
        <v/>
      </c>
      <c r="W142" s="36"/>
      <c r="X142" s="36"/>
      <c r="Y142" s="36"/>
      <c r="Z142" s="36"/>
      <c r="AA142" s="39" t="str">
        <f aca="false">IF(COUNT(W142:Z142)=0,"",ROUND(AVERAGE(W142:Z142),0))</f>
        <v/>
      </c>
      <c r="AB142" s="38" t="str">
        <f aca="false">IF(AA142="","",LOOKUP(AA142,Impostazioni!$E$4:$E$9,Impostazioni!$F$4:$F$9))</f>
        <v/>
      </c>
    </row>
    <row r="143" customFormat="false" ht="21" hidden="false" customHeight="true" outlineLevel="0" collapsed="false">
      <c r="A143" s="33" t="n">
        <v>25</v>
      </c>
      <c r="B143" s="34" t="str">
        <f aca="false">IFERROR(INDEX(Alunni!$C$1:$C$1000,MATCH($A143,Alunni!$A$1:$A$1000,0))&amp;"","")</f>
        <v/>
      </c>
      <c r="C143" s="15"/>
      <c r="D143" s="35"/>
      <c r="E143" s="36"/>
      <c r="F143" s="36"/>
      <c r="G143" s="36"/>
      <c r="H143" s="36"/>
      <c r="I143" s="39" t="str">
        <f aca="false">IF(COUNT(E143:H143)=0,"",ROUND(AVERAGE(E143:H143),0))</f>
        <v/>
      </c>
      <c r="J143" s="38" t="str">
        <f aca="false">IF(I143="","",LOOKUP(I143,Impostazioni!$E$4:$E$9,Impostazioni!$F$4:$F$9))</f>
        <v/>
      </c>
      <c r="K143" s="36"/>
      <c r="L143" s="36"/>
      <c r="M143" s="36"/>
      <c r="N143" s="36"/>
      <c r="O143" s="39" t="str">
        <f aca="false">IF(COUNT(K143:N143)=0,"",ROUND(AVERAGE(K143:N143),0))</f>
        <v/>
      </c>
      <c r="P143" s="38" t="str">
        <f aca="false">IF(O143="","",LOOKUP(O143,Impostazioni!$E$4:$E$9,Impostazioni!$F$4:$F$9))</f>
        <v/>
      </c>
      <c r="Q143" s="36"/>
      <c r="R143" s="36"/>
      <c r="S143" s="36"/>
      <c r="T143" s="36"/>
      <c r="U143" s="39" t="str">
        <f aca="false">IF(COUNT(Q143:T143)=0,"",ROUND(AVERAGE(Q143:T143),0))</f>
        <v/>
      </c>
      <c r="V143" s="38" t="str">
        <f aca="false">IF(U143="","",LOOKUP(U143,Impostazioni!$E$4:$E$9,Impostazioni!$F$4:$F$9))</f>
        <v/>
      </c>
      <c r="W143" s="36"/>
      <c r="X143" s="36"/>
      <c r="Y143" s="36"/>
      <c r="Z143" s="36"/>
      <c r="AA143" s="39" t="str">
        <f aca="false">IF(COUNT(W143:Z143)=0,"",ROUND(AVERAGE(W143:Z143),0))</f>
        <v/>
      </c>
      <c r="AB143" s="38" t="str">
        <f aca="false">IF(AA143="","",LOOKUP(AA143,Impostazioni!$E$4:$E$9,Impostazioni!$F$4:$F$9))</f>
        <v/>
      </c>
    </row>
    <row r="144" customFormat="false" ht="21" hidden="false" customHeight="true" outlineLevel="0" collapsed="false">
      <c r="A144" s="33" t="n">
        <v>26</v>
      </c>
      <c r="B144" s="34" t="str">
        <f aca="false">IFERROR(INDEX(Alunni!$C$1:$C$1000,MATCH($A144,Alunni!$A$1:$A$1000,0))&amp;"","")</f>
        <v/>
      </c>
      <c r="C144" s="15"/>
      <c r="D144" s="35"/>
      <c r="E144" s="36"/>
      <c r="F144" s="36"/>
      <c r="G144" s="36"/>
      <c r="H144" s="36"/>
      <c r="I144" s="39" t="str">
        <f aca="false">IF(COUNT(E144:H144)=0,"",ROUND(AVERAGE(E144:H144),0))</f>
        <v/>
      </c>
      <c r="J144" s="38" t="str">
        <f aca="false">IF(I144="","",LOOKUP(I144,Impostazioni!$E$4:$E$9,Impostazioni!$F$4:$F$9))</f>
        <v/>
      </c>
      <c r="K144" s="36"/>
      <c r="L144" s="36"/>
      <c r="M144" s="36"/>
      <c r="N144" s="36"/>
      <c r="O144" s="39" t="str">
        <f aca="false">IF(COUNT(K144:N144)=0,"",ROUND(AVERAGE(K144:N144),0))</f>
        <v/>
      </c>
      <c r="P144" s="38" t="str">
        <f aca="false">IF(O144="","",LOOKUP(O144,Impostazioni!$E$4:$E$9,Impostazioni!$F$4:$F$9))</f>
        <v/>
      </c>
      <c r="Q144" s="36"/>
      <c r="R144" s="36"/>
      <c r="S144" s="36"/>
      <c r="T144" s="36"/>
      <c r="U144" s="39" t="str">
        <f aca="false">IF(COUNT(Q144:T144)=0,"",ROUND(AVERAGE(Q144:T144),0))</f>
        <v/>
      </c>
      <c r="V144" s="38" t="str">
        <f aca="false">IF(U144="","",LOOKUP(U144,Impostazioni!$E$4:$E$9,Impostazioni!$F$4:$F$9))</f>
        <v/>
      </c>
      <c r="W144" s="36"/>
      <c r="X144" s="36"/>
      <c r="Y144" s="36"/>
      <c r="Z144" s="36"/>
      <c r="AA144" s="39" t="str">
        <f aca="false">IF(COUNT(W144:Z144)=0,"",ROUND(AVERAGE(W144:Z144),0))</f>
        <v/>
      </c>
      <c r="AB144" s="38" t="str">
        <f aca="false">IF(AA144="","",LOOKUP(AA144,Impostazioni!$E$4:$E$9,Impostazioni!$F$4:$F$9))</f>
        <v/>
      </c>
    </row>
    <row r="145" customFormat="false" ht="21" hidden="false" customHeight="true" outlineLevel="0" collapsed="false">
      <c r="A145" s="33" t="n">
        <v>27</v>
      </c>
      <c r="B145" s="34" t="str">
        <f aca="false">IFERROR(INDEX(Alunni!$C$1:$C$1000,MATCH($A145,Alunni!$A$1:$A$1000,0))&amp;"","")</f>
        <v/>
      </c>
      <c r="C145" s="15"/>
      <c r="D145" s="35"/>
      <c r="E145" s="36"/>
      <c r="F145" s="36"/>
      <c r="G145" s="36"/>
      <c r="H145" s="36"/>
      <c r="I145" s="39" t="str">
        <f aca="false">IF(COUNT(E145:H145)=0,"",ROUND(AVERAGE(E145:H145),0))</f>
        <v/>
      </c>
      <c r="J145" s="38" t="str">
        <f aca="false">IF(I145="","",LOOKUP(I145,Impostazioni!$E$4:$E$9,Impostazioni!$F$4:$F$9))</f>
        <v/>
      </c>
      <c r="K145" s="36"/>
      <c r="L145" s="36"/>
      <c r="M145" s="36"/>
      <c r="N145" s="36"/>
      <c r="O145" s="39" t="str">
        <f aca="false">IF(COUNT(K145:N145)=0,"",ROUND(AVERAGE(K145:N145),0))</f>
        <v/>
      </c>
      <c r="P145" s="38" t="str">
        <f aca="false">IF(O145="","",LOOKUP(O145,Impostazioni!$E$4:$E$9,Impostazioni!$F$4:$F$9))</f>
        <v/>
      </c>
      <c r="Q145" s="36"/>
      <c r="R145" s="36"/>
      <c r="S145" s="36"/>
      <c r="T145" s="36"/>
      <c r="U145" s="39" t="str">
        <f aca="false">IF(COUNT(Q145:T145)=0,"",ROUND(AVERAGE(Q145:T145),0))</f>
        <v/>
      </c>
      <c r="V145" s="38" t="str">
        <f aca="false">IF(U145="","",LOOKUP(U145,Impostazioni!$E$4:$E$9,Impostazioni!$F$4:$F$9))</f>
        <v/>
      </c>
      <c r="W145" s="36"/>
      <c r="X145" s="36"/>
      <c r="Y145" s="36"/>
      <c r="Z145" s="36"/>
      <c r="AA145" s="39" t="str">
        <f aca="false">IF(COUNT(W145:Z145)=0,"",ROUND(AVERAGE(W145:Z145),0))</f>
        <v/>
      </c>
      <c r="AB145" s="38" t="str">
        <f aca="false">IF(AA145="","",LOOKUP(AA145,Impostazioni!$E$4:$E$9,Impostazioni!$F$4:$F$9))</f>
        <v/>
      </c>
    </row>
    <row r="146" customFormat="false" ht="21" hidden="false" customHeight="true" outlineLevel="0" collapsed="false">
      <c r="A146" s="33" t="n">
        <v>28</v>
      </c>
      <c r="B146" s="34" t="str">
        <f aca="false">IFERROR(INDEX(Alunni!$C$1:$C$1000,MATCH($A146,Alunni!$A$1:$A$1000,0))&amp;"","")</f>
        <v/>
      </c>
      <c r="C146" s="15"/>
      <c r="D146" s="35"/>
      <c r="E146" s="36"/>
      <c r="F146" s="36"/>
      <c r="G146" s="36"/>
      <c r="H146" s="36"/>
      <c r="I146" s="39" t="str">
        <f aca="false">IF(COUNT(E146:H146)=0,"",ROUND(AVERAGE(E146:H146),0))</f>
        <v/>
      </c>
      <c r="J146" s="38" t="str">
        <f aca="false">IF(I146="","",LOOKUP(I146,Impostazioni!$E$4:$E$9,Impostazioni!$F$4:$F$9))</f>
        <v/>
      </c>
      <c r="K146" s="36"/>
      <c r="L146" s="36"/>
      <c r="M146" s="36"/>
      <c r="N146" s="36"/>
      <c r="O146" s="39" t="str">
        <f aca="false">IF(COUNT(K146:N146)=0,"",ROUND(AVERAGE(K146:N146),0))</f>
        <v/>
      </c>
      <c r="P146" s="38" t="str">
        <f aca="false">IF(O146="","",LOOKUP(O146,Impostazioni!$E$4:$E$9,Impostazioni!$F$4:$F$9))</f>
        <v/>
      </c>
      <c r="Q146" s="36"/>
      <c r="R146" s="36"/>
      <c r="S146" s="36"/>
      <c r="T146" s="36"/>
      <c r="U146" s="39" t="str">
        <f aca="false">IF(COUNT(Q146:T146)=0,"",ROUND(AVERAGE(Q146:T146),0))</f>
        <v/>
      </c>
      <c r="V146" s="38" t="str">
        <f aca="false">IF(U146="","",LOOKUP(U146,Impostazioni!$E$4:$E$9,Impostazioni!$F$4:$F$9))</f>
        <v/>
      </c>
      <c r="W146" s="36"/>
      <c r="X146" s="36"/>
      <c r="Y146" s="36"/>
      <c r="Z146" s="36"/>
      <c r="AA146" s="39" t="str">
        <f aca="false">IF(COUNT(W146:Z146)=0,"",ROUND(AVERAGE(W146:Z146),0))</f>
        <v/>
      </c>
      <c r="AB146" s="38" t="str">
        <f aca="false">IF(AA146="","",LOOKUP(AA146,Impostazioni!$E$4:$E$9,Impostazioni!$F$4:$F$9))</f>
        <v/>
      </c>
    </row>
    <row r="147" customFormat="false" ht="21" hidden="false" customHeight="true" outlineLevel="0" collapsed="false">
      <c r="A147" s="33" t="n">
        <v>29</v>
      </c>
      <c r="B147" s="34" t="str">
        <f aca="false">IFERROR(INDEX(Alunni!$C$1:$C$1000,MATCH($A147,Alunni!$A$1:$A$1000,0))&amp;"","")</f>
        <v/>
      </c>
      <c r="C147" s="15"/>
      <c r="D147" s="35"/>
      <c r="E147" s="36"/>
      <c r="F147" s="36"/>
      <c r="G147" s="36"/>
      <c r="H147" s="36"/>
      <c r="I147" s="39" t="str">
        <f aca="false">IF(COUNT(E147:H147)=0,"",ROUND(AVERAGE(E147:H147),0))</f>
        <v/>
      </c>
      <c r="J147" s="38" t="str">
        <f aca="false">IF(I147="","",LOOKUP(I147,Impostazioni!$E$4:$E$9,Impostazioni!$F$4:$F$9))</f>
        <v/>
      </c>
      <c r="K147" s="36"/>
      <c r="L147" s="36"/>
      <c r="M147" s="36"/>
      <c r="N147" s="36"/>
      <c r="O147" s="39" t="str">
        <f aca="false">IF(COUNT(K147:N147)=0,"",ROUND(AVERAGE(K147:N147),0))</f>
        <v/>
      </c>
      <c r="P147" s="38" t="str">
        <f aca="false">IF(O147="","",LOOKUP(O147,Impostazioni!$E$4:$E$9,Impostazioni!$F$4:$F$9))</f>
        <v/>
      </c>
      <c r="Q147" s="36"/>
      <c r="R147" s="36"/>
      <c r="S147" s="36"/>
      <c r="T147" s="36"/>
      <c r="U147" s="39" t="str">
        <f aca="false">IF(COUNT(Q147:T147)=0,"",ROUND(AVERAGE(Q147:T147),0))</f>
        <v/>
      </c>
      <c r="V147" s="38" t="str">
        <f aca="false">IF(U147="","",LOOKUP(U147,Impostazioni!$E$4:$E$9,Impostazioni!$F$4:$F$9))</f>
        <v/>
      </c>
      <c r="W147" s="36"/>
      <c r="X147" s="36"/>
      <c r="Y147" s="36"/>
      <c r="Z147" s="36"/>
      <c r="AA147" s="39" t="str">
        <f aca="false">IF(COUNT(W147:Z147)=0,"",ROUND(AVERAGE(W147:Z147),0))</f>
        <v/>
      </c>
      <c r="AB147" s="38" t="str">
        <f aca="false">IF(AA147="","",LOOKUP(AA147,Impostazioni!$E$4:$E$9,Impostazioni!$F$4:$F$9))</f>
        <v/>
      </c>
    </row>
    <row r="148" customFormat="false" ht="21" hidden="false" customHeight="true" outlineLevel="0" collapsed="false">
      <c r="A148" s="33" t="n">
        <v>30</v>
      </c>
      <c r="B148" s="34" t="str">
        <f aca="false">IFERROR(INDEX(Alunni!$C$1:$C$1000,MATCH($A148,Alunni!$A$1:$A$1000,0))&amp;"","")</f>
        <v/>
      </c>
      <c r="C148" s="15"/>
      <c r="D148" s="35"/>
      <c r="E148" s="36"/>
      <c r="F148" s="36"/>
      <c r="G148" s="36"/>
      <c r="H148" s="36"/>
      <c r="I148" s="39" t="str">
        <f aca="false">IF(COUNT(E148:H148)=0,"",ROUND(AVERAGE(E148:H148),0))</f>
        <v/>
      </c>
      <c r="J148" s="38" t="str">
        <f aca="false">IF(I148="","",LOOKUP(I148,Impostazioni!$E$4:$E$9,Impostazioni!$F$4:$F$9))</f>
        <v/>
      </c>
      <c r="K148" s="36"/>
      <c r="L148" s="36"/>
      <c r="M148" s="36"/>
      <c r="N148" s="36"/>
      <c r="O148" s="39" t="str">
        <f aca="false">IF(COUNT(K148:N148)=0,"",ROUND(AVERAGE(K148:N148),0))</f>
        <v/>
      </c>
      <c r="P148" s="38" t="str">
        <f aca="false">IF(O148="","",LOOKUP(O148,Impostazioni!$E$4:$E$9,Impostazioni!$F$4:$F$9))</f>
        <v/>
      </c>
      <c r="Q148" s="36"/>
      <c r="R148" s="36"/>
      <c r="S148" s="36"/>
      <c r="T148" s="36"/>
      <c r="U148" s="39" t="str">
        <f aca="false">IF(COUNT(Q148:T148)=0,"",ROUND(AVERAGE(Q148:T148),0))</f>
        <v/>
      </c>
      <c r="V148" s="38" t="str">
        <f aca="false">IF(U148="","",LOOKUP(U148,Impostazioni!$E$4:$E$9,Impostazioni!$F$4:$F$9))</f>
        <v/>
      </c>
      <c r="W148" s="36"/>
      <c r="X148" s="36"/>
      <c r="Y148" s="36"/>
      <c r="Z148" s="36"/>
      <c r="AA148" s="39" t="str">
        <f aca="false">IF(COUNT(W148:Z148)=0,"",ROUND(AVERAGE(W148:Z148),0))</f>
        <v/>
      </c>
      <c r="AB148" s="38" t="str">
        <f aca="false">IF(AA148="","",LOOKUP(AA148,Impostazioni!$E$4:$E$9,Impostazioni!$F$4:$F$9))</f>
        <v/>
      </c>
    </row>
    <row r="150" customFormat="false" ht="25.5" hidden="false" customHeight="true" outlineLevel="0" collapsed="false">
      <c r="A150" s="4" t="str">
        <f aca="false">Calendario!B11&amp;"   ·   "&amp;IF(Calendario!G11="","(descrizione da Calendario)",Calendario!G11)&amp;"   ·   "&amp;IF(Calendario!E11="","data da fissare",CHOOSE(WEEKDAY(Calendario!E11,2),"lunedì","martedì","mercoledì","giovedì","venerdì","sabato","domenica")&amp;" "&amp;TEXT(DAY(Calendario!E11),"00")&amp;"/"&amp;TEXT(MONTH(Calendario!E11),"00")&amp;"/"&amp;YEAR(Calendario!E11))</f>
        <v>Q1-G05   ·   (descrizione da Calendario)   ·   data da fissare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customFormat="false" ht="15" hidden="false" customHeight="true" outlineLevel="0" collapsed="false">
      <c r="A151" s="25" t="s">
        <v>80</v>
      </c>
      <c r="B151" s="25"/>
      <c r="C151" s="25"/>
      <c r="D151" s="25"/>
      <c r="E151" s="26" t="str">
        <f aca="false">IF(Calendario!$H$11="","— libero —",Calendario!$H$11&amp;"  "&amp;IFERROR(VLOOKUP(Calendario!$H$11,Impostazioni!$A$25:$J$36,3,FALSE()),""))</f>
        <v>— libero —</v>
      </c>
      <c r="F151" s="26"/>
      <c r="G151" s="26"/>
      <c r="H151" s="26"/>
      <c r="I151" s="26"/>
      <c r="J151" s="26"/>
      <c r="K151" s="26" t="str">
        <f aca="false">IF(Calendario!$I$11="","— libero —",Calendario!$I$11&amp;"  "&amp;IFERROR(VLOOKUP(Calendario!$I$11,Impostazioni!$A$25:$J$36,3,FALSE()),""))</f>
        <v>— libero —</v>
      </c>
      <c r="L151" s="26"/>
      <c r="M151" s="26"/>
      <c r="N151" s="26"/>
      <c r="O151" s="26"/>
      <c r="P151" s="26"/>
      <c r="Q151" s="26" t="str">
        <f aca="false">IF(Calendario!$J$11="","— libero —",Calendario!$J$11&amp;"  "&amp;IFERROR(VLOOKUP(Calendario!$J$11,Impostazioni!$A$25:$J$36,3,FALSE()),""))</f>
        <v>— libero —</v>
      </c>
      <c r="R151" s="26"/>
      <c r="S151" s="26"/>
      <c r="T151" s="26"/>
      <c r="U151" s="26"/>
      <c r="V151" s="26"/>
      <c r="W151" s="26" t="str">
        <f aca="false">IF(Calendario!$K$11="","— libero —",Calendario!$K$11&amp;"  "&amp;IFERROR(VLOOKUP(Calendario!$K$11,Impostazioni!$A$25:$J$36,3,FALSE()),""))</f>
        <v>— libero —</v>
      </c>
      <c r="X151" s="26"/>
      <c r="Y151" s="26"/>
      <c r="Z151" s="26"/>
      <c r="AA151" s="26"/>
      <c r="AB151" s="26"/>
    </row>
    <row r="152" customFormat="false" ht="15" hidden="false" customHeight="true" outlineLevel="0" collapsed="false">
      <c r="A152" s="25" t="s">
        <v>81</v>
      </c>
      <c r="B152" s="25"/>
      <c r="C152" s="25"/>
      <c r="D152" s="25"/>
      <c r="E152" s="27" t="str">
        <f aca="false">IF(Calendario!$H$11="","","Ob. "&amp;IFERROR(VLOOKUP(Calendario!$H$11,Impostazioni!$A$25:$J$36,5,FALSE()),"?")&amp;" · peso "&amp;IF(Calendario!$F$11=2,Impostazioni!$B$11,Impostazioni!$B$10))</f>
        <v/>
      </c>
      <c r="F152" s="27"/>
      <c r="G152" s="27"/>
      <c r="H152" s="27"/>
      <c r="I152" s="27"/>
      <c r="J152" s="27"/>
      <c r="K152" s="27" t="str">
        <f aca="false">IF(Calendario!$I$11="","","Ob. "&amp;IFERROR(VLOOKUP(Calendario!$I$11,Impostazioni!$A$25:$J$36,5,FALSE()),"?")&amp;" · peso "&amp;IF(Calendario!$F$11=2,Impostazioni!$B$11,Impostazioni!$B$10))</f>
        <v/>
      </c>
      <c r="L152" s="27"/>
      <c r="M152" s="27"/>
      <c r="N152" s="27"/>
      <c r="O152" s="27"/>
      <c r="P152" s="27"/>
      <c r="Q152" s="27" t="str">
        <f aca="false">IF(Calendario!$J$11="","","Ob. "&amp;IFERROR(VLOOKUP(Calendario!$J$11,Impostazioni!$A$25:$J$36,5,FALSE()),"?")&amp;" · peso "&amp;IF(Calendario!$F$11=2,Impostazioni!$B$11,Impostazioni!$B$10))</f>
        <v/>
      </c>
      <c r="R152" s="27"/>
      <c r="S152" s="27"/>
      <c r="T152" s="27"/>
      <c r="U152" s="27"/>
      <c r="V152" s="27"/>
      <c r="W152" s="27" t="str">
        <f aca="false">IF(Calendario!$K$11="","","Ob. "&amp;IFERROR(VLOOKUP(Calendario!$K$11,Impostazioni!$A$25:$J$36,5,FALSE()),"?")&amp;" · peso "&amp;IF(Calendario!$F$11=2,Impostazioni!$B$11,Impostazioni!$B$10))</f>
        <v/>
      </c>
      <c r="X152" s="27"/>
      <c r="Y152" s="27"/>
      <c r="Z152" s="27"/>
      <c r="AA152" s="27"/>
      <c r="AB152" s="27"/>
    </row>
    <row r="153" customFormat="false" ht="33.75" hidden="false" customHeight="true" outlineLevel="0" collapsed="false">
      <c r="A153" s="25" t="s">
        <v>82</v>
      </c>
      <c r="B153" s="25"/>
      <c r="C153" s="25"/>
      <c r="D153" s="25"/>
      <c r="E153" s="28" t="str">
        <f aca="false">IF(Calendario!$H$11="","",IFERROR(HYPERLINK("#Rubriche!C"&amp;(MATCH(Calendario!$H$11,Rubriche!$A$1:$A$1000,0)+0),VLOOKUP(Calendario!$H$11,Impostazioni!$A$25:$J$36,7,FALSE())),""))</f>
        <v/>
      </c>
      <c r="F153" s="28" t="str">
        <f aca="false">IF(Calendario!$H$11="","",IFERROR(HYPERLINK("#Rubriche!C"&amp;(MATCH(Calendario!$H$11,Rubriche!$A$1:$A$1000,0)+1),VLOOKUP(Calendario!$H$11,Impostazioni!$A$25:$J$36,8,FALSE())),""))</f>
        <v/>
      </c>
      <c r="G153" s="28" t="str">
        <f aca="false">IF(Calendario!$H$11="","",IFERROR(HYPERLINK("#Rubriche!C"&amp;(MATCH(Calendario!$H$11,Rubriche!$A$1:$A$1000,0)+2),VLOOKUP(Calendario!$H$11,Impostazioni!$A$25:$J$36,9,FALSE())),""))</f>
        <v/>
      </c>
      <c r="H153" s="28" t="str">
        <f aca="false">IF(Calendario!$H$11="","",IFERROR(HYPERLINK("#Rubriche!C"&amp;(MATCH(Calendario!$H$11,Rubriche!$A$1:$A$1000,0)+3),VLOOKUP(Calendario!$H$11,Impostazioni!$A$25:$J$36,10,FALSE())),""))</f>
        <v/>
      </c>
      <c r="I153" s="29"/>
      <c r="J153" s="29"/>
      <c r="K153" s="28" t="str">
        <f aca="false">IF(Calendario!$I$11="","",IFERROR(HYPERLINK("#Rubriche!C"&amp;(MATCH(Calendario!$I$11,Rubriche!$A$1:$A$1000,0)+0),VLOOKUP(Calendario!$I$11,Impostazioni!$A$25:$J$36,7,FALSE())),""))</f>
        <v/>
      </c>
      <c r="L153" s="28" t="str">
        <f aca="false">IF(Calendario!$I$11="","",IFERROR(HYPERLINK("#Rubriche!C"&amp;(MATCH(Calendario!$I$11,Rubriche!$A$1:$A$1000,0)+1),VLOOKUP(Calendario!$I$11,Impostazioni!$A$25:$J$36,8,FALSE())),""))</f>
        <v/>
      </c>
      <c r="M153" s="28" t="str">
        <f aca="false">IF(Calendario!$I$11="","",IFERROR(HYPERLINK("#Rubriche!C"&amp;(MATCH(Calendario!$I$11,Rubriche!$A$1:$A$1000,0)+2),VLOOKUP(Calendario!$I$11,Impostazioni!$A$25:$J$36,9,FALSE())),""))</f>
        <v/>
      </c>
      <c r="N153" s="28" t="str">
        <f aca="false">IF(Calendario!$I$11="","",IFERROR(HYPERLINK("#Rubriche!C"&amp;(MATCH(Calendario!$I$11,Rubriche!$A$1:$A$1000,0)+3),VLOOKUP(Calendario!$I$11,Impostazioni!$A$25:$J$36,10,FALSE())),""))</f>
        <v/>
      </c>
      <c r="O153" s="29"/>
      <c r="P153" s="29"/>
      <c r="Q153" s="28" t="str">
        <f aca="false">IF(Calendario!$J$11="","",IFERROR(HYPERLINK("#Rubriche!C"&amp;(MATCH(Calendario!$J$11,Rubriche!$A$1:$A$1000,0)+0),VLOOKUP(Calendario!$J$11,Impostazioni!$A$25:$J$36,7,FALSE())),""))</f>
        <v/>
      </c>
      <c r="R153" s="28" t="str">
        <f aca="false">IF(Calendario!$J$11="","",IFERROR(HYPERLINK("#Rubriche!C"&amp;(MATCH(Calendario!$J$11,Rubriche!$A$1:$A$1000,0)+1),VLOOKUP(Calendario!$J$11,Impostazioni!$A$25:$J$36,8,FALSE())),""))</f>
        <v/>
      </c>
      <c r="S153" s="28" t="str">
        <f aca="false">IF(Calendario!$J$11="","",IFERROR(HYPERLINK("#Rubriche!C"&amp;(MATCH(Calendario!$J$11,Rubriche!$A$1:$A$1000,0)+2),VLOOKUP(Calendario!$J$11,Impostazioni!$A$25:$J$36,9,FALSE())),""))</f>
        <v/>
      </c>
      <c r="T153" s="28" t="str">
        <f aca="false">IF(Calendario!$J$11="","",IFERROR(HYPERLINK("#Rubriche!C"&amp;(MATCH(Calendario!$J$11,Rubriche!$A$1:$A$1000,0)+3),VLOOKUP(Calendario!$J$11,Impostazioni!$A$25:$J$36,10,FALSE())),""))</f>
        <v/>
      </c>
      <c r="U153" s="29"/>
      <c r="V153" s="29"/>
      <c r="W153" s="28" t="str">
        <f aca="false">IF(Calendario!$K$11="","",IFERROR(HYPERLINK("#Rubriche!C"&amp;(MATCH(Calendario!$K$11,Rubriche!$A$1:$A$1000,0)+0),VLOOKUP(Calendario!$K$11,Impostazioni!$A$25:$J$36,7,FALSE())),""))</f>
        <v/>
      </c>
      <c r="X153" s="28" t="str">
        <f aca="false">IF(Calendario!$K$11="","",IFERROR(HYPERLINK("#Rubriche!C"&amp;(MATCH(Calendario!$K$11,Rubriche!$A$1:$A$1000,0)+1),VLOOKUP(Calendario!$K$11,Impostazioni!$A$25:$J$36,8,FALSE())),""))</f>
        <v/>
      </c>
      <c r="Y153" s="28" t="str">
        <f aca="false">IF(Calendario!$K$11="","",IFERROR(HYPERLINK("#Rubriche!C"&amp;(MATCH(Calendario!$K$11,Rubriche!$A$1:$A$1000,0)+2),VLOOKUP(Calendario!$K$11,Impostazioni!$A$25:$J$36,9,FALSE())),""))</f>
        <v/>
      </c>
      <c r="Z153" s="28" t="str">
        <f aca="false">IF(Calendario!$K$11="","",IFERROR(HYPERLINK("#Rubriche!C"&amp;(MATCH(Calendario!$K$11,Rubriche!$A$1:$A$1000,0)+3),VLOOKUP(Calendario!$K$11,Impostazioni!$A$25:$J$36,10,FALSE())),""))</f>
        <v/>
      </c>
      <c r="AA153" s="29"/>
      <c r="AB153" s="29"/>
    </row>
    <row r="154" customFormat="false" ht="25.5" hidden="false" customHeight="true" outlineLevel="0" collapsed="false">
      <c r="A154" s="8" t="s">
        <v>65</v>
      </c>
      <c r="B154" s="8" t="s">
        <v>83</v>
      </c>
      <c r="C154" s="8" t="s">
        <v>68</v>
      </c>
      <c r="D154" s="8" t="s">
        <v>84</v>
      </c>
      <c r="E154" s="30" t="s">
        <v>85</v>
      </c>
      <c r="F154" s="30" t="s">
        <v>86</v>
      </c>
      <c r="G154" s="30" t="s">
        <v>87</v>
      </c>
      <c r="H154" s="30" t="s">
        <v>88</v>
      </c>
      <c r="I154" s="31" t="s">
        <v>89</v>
      </c>
      <c r="J154" s="32" t="s">
        <v>90</v>
      </c>
      <c r="K154" s="30" t="s">
        <v>85</v>
      </c>
      <c r="L154" s="30" t="s">
        <v>86</v>
      </c>
      <c r="M154" s="30" t="s">
        <v>87</v>
      </c>
      <c r="N154" s="30" t="s">
        <v>88</v>
      </c>
      <c r="O154" s="31" t="s">
        <v>89</v>
      </c>
      <c r="P154" s="32" t="s">
        <v>90</v>
      </c>
      <c r="Q154" s="30" t="s">
        <v>85</v>
      </c>
      <c r="R154" s="30" t="s">
        <v>86</v>
      </c>
      <c r="S154" s="30" t="s">
        <v>87</v>
      </c>
      <c r="T154" s="30" t="s">
        <v>88</v>
      </c>
      <c r="U154" s="31" t="s">
        <v>89</v>
      </c>
      <c r="V154" s="32" t="s">
        <v>90</v>
      </c>
      <c r="W154" s="30" t="s">
        <v>85</v>
      </c>
      <c r="X154" s="30" t="s">
        <v>86</v>
      </c>
      <c r="Y154" s="30" t="s">
        <v>87</v>
      </c>
      <c r="Z154" s="30" t="s">
        <v>88</v>
      </c>
      <c r="AA154" s="31" t="s">
        <v>89</v>
      </c>
      <c r="AB154" s="32" t="s">
        <v>90</v>
      </c>
    </row>
    <row r="155" customFormat="false" ht="21" hidden="false" customHeight="true" outlineLevel="0" collapsed="false">
      <c r="A155" s="33" t="n">
        <v>1</v>
      </c>
      <c r="B155" s="34" t="str">
        <f aca="false">IFERROR(INDEX(Alunni!$C$1:$C$1000,MATCH($A155,Alunni!$A$1:$A$1000,0))&amp;"","")</f>
        <v>Rossi Mario (esempio)</v>
      </c>
      <c r="C155" s="15"/>
      <c r="D155" s="35"/>
      <c r="E155" s="36"/>
      <c r="F155" s="36"/>
      <c r="G155" s="36"/>
      <c r="H155" s="36"/>
      <c r="I155" s="39" t="str">
        <f aca="false">IF(COUNT(E155:H155)=0,"",ROUND(AVERAGE(E155:H155),0))</f>
        <v/>
      </c>
      <c r="J155" s="38" t="str">
        <f aca="false">IF(I155="","",LOOKUP(I155,Impostazioni!$E$4:$E$9,Impostazioni!$F$4:$F$9))</f>
        <v/>
      </c>
      <c r="K155" s="36"/>
      <c r="L155" s="36"/>
      <c r="M155" s="36"/>
      <c r="N155" s="36"/>
      <c r="O155" s="39" t="str">
        <f aca="false">IF(COUNT(K155:N155)=0,"",ROUND(AVERAGE(K155:N155),0))</f>
        <v/>
      </c>
      <c r="P155" s="38" t="str">
        <f aca="false">IF(O155="","",LOOKUP(O155,Impostazioni!$E$4:$E$9,Impostazioni!$F$4:$F$9))</f>
        <v/>
      </c>
      <c r="Q155" s="36"/>
      <c r="R155" s="36"/>
      <c r="S155" s="36"/>
      <c r="T155" s="36"/>
      <c r="U155" s="39" t="str">
        <f aca="false">IF(COUNT(Q155:T155)=0,"",ROUND(AVERAGE(Q155:T155),0))</f>
        <v/>
      </c>
      <c r="V155" s="38" t="str">
        <f aca="false">IF(U155="","",LOOKUP(U155,Impostazioni!$E$4:$E$9,Impostazioni!$F$4:$F$9))</f>
        <v/>
      </c>
      <c r="W155" s="36"/>
      <c r="X155" s="36"/>
      <c r="Y155" s="36"/>
      <c r="Z155" s="36"/>
      <c r="AA155" s="39" t="str">
        <f aca="false">IF(COUNT(W155:Z155)=0,"",ROUND(AVERAGE(W155:Z155),0))</f>
        <v/>
      </c>
      <c r="AB155" s="38" t="str">
        <f aca="false">IF(AA155="","",LOOKUP(AA155,Impostazioni!$E$4:$E$9,Impostazioni!$F$4:$F$9))</f>
        <v/>
      </c>
    </row>
    <row r="156" customFormat="false" ht="21" hidden="false" customHeight="true" outlineLevel="0" collapsed="false">
      <c r="A156" s="33" t="n">
        <v>2</v>
      </c>
      <c r="B156" s="34" t="str">
        <f aca="false">IFERROR(INDEX(Alunni!$C$1:$C$1000,MATCH($A156,Alunni!$A$1:$A$1000,0))&amp;"","")</f>
        <v>Bianchi Anna (esempio)</v>
      </c>
      <c r="C156" s="15"/>
      <c r="D156" s="35"/>
      <c r="E156" s="36"/>
      <c r="F156" s="36"/>
      <c r="G156" s="36"/>
      <c r="H156" s="36"/>
      <c r="I156" s="39" t="str">
        <f aca="false">IF(COUNT(E156:H156)=0,"",ROUND(AVERAGE(E156:H156),0))</f>
        <v/>
      </c>
      <c r="J156" s="38" t="str">
        <f aca="false">IF(I156="","",LOOKUP(I156,Impostazioni!$E$4:$E$9,Impostazioni!$F$4:$F$9))</f>
        <v/>
      </c>
      <c r="K156" s="36"/>
      <c r="L156" s="36"/>
      <c r="M156" s="36"/>
      <c r="N156" s="36"/>
      <c r="O156" s="39" t="str">
        <f aca="false">IF(COUNT(K156:N156)=0,"",ROUND(AVERAGE(K156:N156),0))</f>
        <v/>
      </c>
      <c r="P156" s="38" t="str">
        <f aca="false">IF(O156="","",LOOKUP(O156,Impostazioni!$E$4:$E$9,Impostazioni!$F$4:$F$9))</f>
        <v/>
      </c>
      <c r="Q156" s="36"/>
      <c r="R156" s="36"/>
      <c r="S156" s="36"/>
      <c r="T156" s="36"/>
      <c r="U156" s="39" t="str">
        <f aca="false">IF(COUNT(Q156:T156)=0,"",ROUND(AVERAGE(Q156:T156),0))</f>
        <v/>
      </c>
      <c r="V156" s="38" t="str">
        <f aca="false">IF(U156="","",LOOKUP(U156,Impostazioni!$E$4:$E$9,Impostazioni!$F$4:$F$9))</f>
        <v/>
      </c>
      <c r="W156" s="36"/>
      <c r="X156" s="36"/>
      <c r="Y156" s="36"/>
      <c r="Z156" s="36"/>
      <c r="AA156" s="39" t="str">
        <f aca="false">IF(COUNT(W156:Z156)=0,"",ROUND(AVERAGE(W156:Z156),0))</f>
        <v/>
      </c>
      <c r="AB156" s="38" t="str">
        <f aca="false">IF(AA156="","",LOOKUP(AA156,Impostazioni!$E$4:$E$9,Impostazioni!$F$4:$F$9))</f>
        <v/>
      </c>
    </row>
    <row r="157" customFormat="false" ht="21" hidden="false" customHeight="true" outlineLevel="0" collapsed="false">
      <c r="A157" s="33" t="n">
        <v>3</v>
      </c>
      <c r="B157" s="34" t="str">
        <f aca="false">IFERROR(INDEX(Alunni!$C$1:$C$1000,MATCH($A157,Alunni!$A$1:$A$1000,0))&amp;"","")</f>
        <v>Verdi Luca (esempio)</v>
      </c>
      <c r="C157" s="15"/>
      <c r="D157" s="35"/>
      <c r="E157" s="36"/>
      <c r="F157" s="36"/>
      <c r="G157" s="36"/>
      <c r="H157" s="36"/>
      <c r="I157" s="39" t="str">
        <f aca="false">IF(COUNT(E157:H157)=0,"",ROUND(AVERAGE(E157:H157),0))</f>
        <v/>
      </c>
      <c r="J157" s="38" t="str">
        <f aca="false">IF(I157="","",LOOKUP(I157,Impostazioni!$E$4:$E$9,Impostazioni!$F$4:$F$9))</f>
        <v/>
      </c>
      <c r="K157" s="36"/>
      <c r="L157" s="36"/>
      <c r="M157" s="36"/>
      <c r="N157" s="36"/>
      <c r="O157" s="39" t="str">
        <f aca="false">IF(COUNT(K157:N157)=0,"",ROUND(AVERAGE(K157:N157),0))</f>
        <v/>
      </c>
      <c r="P157" s="38" t="str">
        <f aca="false">IF(O157="","",LOOKUP(O157,Impostazioni!$E$4:$E$9,Impostazioni!$F$4:$F$9))</f>
        <v/>
      </c>
      <c r="Q157" s="36"/>
      <c r="R157" s="36"/>
      <c r="S157" s="36"/>
      <c r="T157" s="36"/>
      <c r="U157" s="39" t="str">
        <f aca="false">IF(COUNT(Q157:T157)=0,"",ROUND(AVERAGE(Q157:T157),0))</f>
        <v/>
      </c>
      <c r="V157" s="38" t="str">
        <f aca="false">IF(U157="","",LOOKUP(U157,Impostazioni!$E$4:$E$9,Impostazioni!$F$4:$F$9))</f>
        <v/>
      </c>
      <c r="W157" s="36"/>
      <c r="X157" s="36"/>
      <c r="Y157" s="36"/>
      <c r="Z157" s="36"/>
      <c r="AA157" s="39" t="str">
        <f aca="false">IF(COUNT(W157:Z157)=0,"",ROUND(AVERAGE(W157:Z157),0))</f>
        <v/>
      </c>
      <c r="AB157" s="38" t="str">
        <f aca="false">IF(AA157="","",LOOKUP(AA157,Impostazioni!$E$4:$E$9,Impostazioni!$F$4:$F$9))</f>
        <v/>
      </c>
    </row>
    <row r="158" customFormat="false" ht="21" hidden="false" customHeight="true" outlineLevel="0" collapsed="false">
      <c r="A158" s="33" t="n">
        <v>4</v>
      </c>
      <c r="B158" s="34" t="str">
        <f aca="false">IFERROR(INDEX(Alunni!$C$1:$C$1000,MATCH($A158,Alunni!$A$1:$A$1000,0))&amp;"","")</f>
        <v/>
      </c>
      <c r="C158" s="15"/>
      <c r="D158" s="35"/>
      <c r="E158" s="36"/>
      <c r="F158" s="36"/>
      <c r="G158" s="36"/>
      <c r="H158" s="36"/>
      <c r="I158" s="39" t="str">
        <f aca="false">IF(COUNT(E158:H158)=0,"",ROUND(AVERAGE(E158:H158),0))</f>
        <v/>
      </c>
      <c r="J158" s="38" t="str">
        <f aca="false">IF(I158="","",LOOKUP(I158,Impostazioni!$E$4:$E$9,Impostazioni!$F$4:$F$9))</f>
        <v/>
      </c>
      <c r="K158" s="36"/>
      <c r="L158" s="36"/>
      <c r="M158" s="36"/>
      <c r="N158" s="36"/>
      <c r="O158" s="39" t="str">
        <f aca="false">IF(COUNT(K158:N158)=0,"",ROUND(AVERAGE(K158:N158),0))</f>
        <v/>
      </c>
      <c r="P158" s="38" t="str">
        <f aca="false">IF(O158="","",LOOKUP(O158,Impostazioni!$E$4:$E$9,Impostazioni!$F$4:$F$9))</f>
        <v/>
      </c>
      <c r="Q158" s="36"/>
      <c r="R158" s="36"/>
      <c r="S158" s="36"/>
      <c r="T158" s="36"/>
      <c r="U158" s="39" t="str">
        <f aca="false">IF(COUNT(Q158:T158)=0,"",ROUND(AVERAGE(Q158:T158),0))</f>
        <v/>
      </c>
      <c r="V158" s="38" t="str">
        <f aca="false">IF(U158="","",LOOKUP(U158,Impostazioni!$E$4:$E$9,Impostazioni!$F$4:$F$9))</f>
        <v/>
      </c>
      <c r="W158" s="36"/>
      <c r="X158" s="36"/>
      <c r="Y158" s="36"/>
      <c r="Z158" s="36"/>
      <c r="AA158" s="39" t="str">
        <f aca="false">IF(COUNT(W158:Z158)=0,"",ROUND(AVERAGE(W158:Z158),0))</f>
        <v/>
      </c>
      <c r="AB158" s="38" t="str">
        <f aca="false">IF(AA158="","",LOOKUP(AA158,Impostazioni!$E$4:$E$9,Impostazioni!$F$4:$F$9))</f>
        <v/>
      </c>
    </row>
    <row r="159" customFormat="false" ht="21" hidden="false" customHeight="true" outlineLevel="0" collapsed="false">
      <c r="A159" s="33" t="n">
        <v>5</v>
      </c>
      <c r="B159" s="34" t="str">
        <f aca="false">IFERROR(INDEX(Alunni!$C$1:$C$1000,MATCH($A159,Alunni!$A$1:$A$1000,0))&amp;"","")</f>
        <v/>
      </c>
      <c r="C159" s="15"/>
      <c r="D159" s="35"/>
      <c r="E159" s="36"/>
      <c r="F159" s="36"/>
      <c r="G159" s="36"/>
      <c r="H159" s="36"/>
      <c r="I159" s="39" t="str">
        <f aca="false">IF(COUNT(E159:H159)=0,"",ROUND(AVERAGE(E159:H159),0))</f>
        <v/>
      </c>
      <c r="J159" s="38" t="str">
        <f aca="false">IF(I159="","",LOOKUP(I159,Impostazioni!$E$4:$E$9,Impostazioni!$F$4:$F$9))</f>
        <v/>
      </c>
      <c r="K159" s="36"/>
      <c r="L159" s="36"/>
      <c r="M159" s="36"/>
      <c r="N159" s="36"/>
      <c r="O159" s="39" t="str">
        <f aca="false">IF(COUNT(K159:N159)=0,"",ROUND(AVERAGE(K159:N159),0))</f>
        <v/>
      </c>
      <c r="P159" s="38" t="str">
        <f aca="false">IF(O159="","",LOOKUP(O159,Impostazioni!$E$4:$E$9,Impostazioni!$F$4:$F$9))</f>
        <v/>
      </c>
      <c r="Q159" s="36"/>
      <c r="R159" s="36"/>
      <c r="S159" s="36"/>
      <c r="T159" s="36"/>
      <c r="U159" s="39" t="str">
        <f aca="false">IF(COUNT(Q159:T159)=0,"",ROUND(AVERAGE(Q159:T159),0))</f>
        <v/>
      </c>
      <c r="V159" s="38" t="str">
        <f aca="false">IF(U159="","",LOOKUP(U159,Impostazioni!$E$4:$E$9,Impostazioni!$F$4:$F$9))</f>
        <v/>
      </c>
      <c r="W159" s="36"/>
      <c r="X159" s="36"/>
      <c r="Y159" s="36"/>
      <c r="Z159" s="36"/>
      <c r="AA159" s="39" t="str">
        <f aca="false">IF(COUNT(W159:Z159)=0,"",ROUND(AVERAGE(W159:Z159),0))</f>
        <v/>
      </c>
      <c r="AB159" s="38" t="str">
        <f aca="false">IF(AA159="","",LOOKUP(AA159,Impostazioni!$E$4:$E$9,Impostazioni!$F$4:$F$9))</f>
        <v/>
      </c>
    </row>
    <row r="160" customFormat="false" ht="21" hidden="false" customHeight="true" outlineLevel="0" collapsed="false">
      <c r="A160" s="33" t="n">
        <v>6</v>
      </c>
      <c r="B160" s="34" t="str">
        <f aca="false">IFERROR(INDEX(Alunni!$C$1:$C$1000,MATCH($A160,Alunni!$A$1:$A$1000,0))&amp;"","")</f>
        <v/>
      </c>
      <c r="C160" s="15"/>
      <c r="D160" s="35"/>
      <c r="E160" s="36"/>
      <c r="F160" s="36"/>
      <c r="G160" s="36"/>
      <c r="H160" s="36"/>
      <c r="I160" s="39" t="str">
        <f aca="false">IF(COUNT(E160:H160)=0,"",ROUND(AVERAGE(E160:H160),0))</f>
        <v/>
      </c>
      <c r="J160" s="38" t="str">
        <f aca="false">IF(I160="","",LOOKUP(I160,Impostazioni!$E$4:$E$9,Impostazioni!$F$4:$F$9))</f>
        <v/>
      </c>
      <c r="K160" s="36"/>
      <c r="L160" s="36"/>
      <c r="M160" s="36"/>
      <c r="N160" s="36"/>
      <c r="O160" s="39" t="str">
        <f aca="false">IF(COUNT(K160:N160)=0,"",ROUND(AVERAGE(K160:N160),0))</f>
        <v/>
      </c>
      <c r="P160" s="38" t="str">
        <f aca="false">IF(O160="","",LOOKUP(O160,Impostazioni!$E$4:$E$9,Impostazioni!$F$4:$F$9))</f>
        <v/>
      </c>
      <c r="Q160" s="36"/>
      <c r="R160" s="36"/>
      <c r="S160" s="36"/>
      <c r="T160" s="36"/>
      <c r="U160" s="39" t="str">
        <f aca="false">IF(COUNT(Q160:T160)=0,"",ROUND(AVERAGE(Q160:T160),0))</f>
        <v/>
      </c>
      <c r="V160" s="38" t="str">
        <f aca="false">IF(U160="","",LOOKUP(U160,Impostazioni!$E$4:$E$9,Impostazioni!$F$4:$F$9))</f>
        <v/>
      </c>
      <c r="W160" s="36"/>
      <c r="X160" s="36"/>
      <c r="Y160" s="36"/>
      <c r="Z160" s="36"/>
      <c r="AA160" s="39" t="str">
        <f aca="false">IF(COUNT(W160:Z160)=0,"",ROUND(AVERAGE(W160:Z160),0))</f>
        <v/>
      </c>
      <c r="AB160" s="38" t="str">
        <f aca="false">IF(AA160="","",LOOKUP(AA160,Impostazioni!$E$4:$E$9,Impostazioni!$F$4:$F$9))</f>
        <v/>
      </c>
    </row>
    <row r="161" customFormat="false" ht="21" hidden="false" customHeight="true" outlineLevel="0" collapsed="false">
      <c r="A161" s="33" t="n">
        <v>7</v>
      </c>
      <c r="B161" s="34" t="str">
        <f aca="false">IFERROR(INDEX(Alunni!$C$1:$C$1000,MATCH($A161,Alunni!$A$1:$A$1000,0))&amp;"","")</f>
        <v/>
      </c>
      <c r="C161" s="15"/>
      <c r="D161" s="35"/>
      <c r="E161" s="36"/>
      <c r="F161" s="36"/>
      <c r="G161" s="36"/>
      <c r="H161" s="36"/>
      <c r="I161" s="39" t="str">
        <f aca="false">IF(COUNT(E161:H161)=0,"",ROUND(AVERAGE(E161:H161),0))</f>
        <v/>
      </c>
      <c r="J161" s="38" t="str">
        <f aca="false">IF(I161="","",LOOKUP(I161,Impostazioni!$E$4:$E$9,Impostazioni!$F$4:$F$9))</f>
        <v/>
      </c>
      <c r="K161" s="36"/>
      <c r="L161" s="36"/>
      <c r="M161" s="36"/>
      <c r="N161" s="36"/>
      <c r="O161" s="39" t="str">
        <f aca="false">IF(COUNT(K161:N161)=0,"",ROUND(AVERAGE(K161:N161),0))</f>
        <v/>
      </c>
      <c r="P161" s="38" t="str">
        <f aca="false">IF(O161="","",LOOKUP(O161,Impostazioni!$E$4:$E$9,Impostazioni!$F$4:$F$9))</f>
        <v/>
      </c>
      <c r="Q161" s="36"/>
      <c r="R161" s="36"/>
      <c r="S161" s="36"/>
      <c r="T161" s="36"/>
      <c r="U161" s="39" t="str">
        <f aca="false">IF(COUNT(Q161:T161)=0,"",ROUND(AVERAGE(Q161:T161),0))</f>
        <v/>
      </c>
      <c r="V161" s="38" t="str">
        <f aca="false">IF(U161="","",LOOKUP(U161,Impostazioni!$E$4:$E$9,Impostazioni!$F$4:$F$9))</f>
        <v/>
      </c>
      <c r="W161" s="36"/>
      <c r="X161" s="36"/>
      <c r="Y161" s="36"/>
      <c r="Z161" s="36"/>
      <c r="AA161" s="39" t="str">
        <f aca="false">IF(COUNT(W161:Z161)=0,"",ROUND(AVERAGE(W161:Z161),0))</f>
        <v/>
      </c>
      <c r="AB161" s="38" t="str">
        <f aca="false">IF(AA161="","",LOOKUP(AA161,Impostazioni!$E$4:$E$9,Impostazioni!$F$4:$F$9))</f>
        <v/>
      </c>
    </row>
    <row r="162" customFormat="false" ht="21" hidden="false" customHeight="true" outlineLevel="0" collapsed="false">
      <c r="A162" s="33" t="n">
        <v>8</v>
      </c>
      <c r="B162" s="34" t="str">
        <f aca="false">IFERROR(INDEX(Alunni!$C$1:$C$1000,MATCH($A162,Alunni!$A$1:$A$1000,0))&amp;"","")</f>
        <v/>
      </c>
      <c r="C162" s="15"/>
      <c r="D162" s="35"/>
      <c r="E162" s="36"/>
      <c r="F162" s="36"/>
      <c r="G162" s="36"/>
      <c r="H162" s="36"/>
      <c r="I162" s="39" t="str">
        <f aca="false">IF(COUNT(E162:H162)=0,"",ROUND(AVERAGE(E162:H162),0))</f>
        <v/>
      </c>
      <c r="J162" s="38" t="str">
        <f aca="false">IF(I162="","",LOOKUP(I162,Impostazioni!$E$4:$E$9,Impostazioni!$F$4:$F$9))</f>
        <v/>
      </c>
      <c r="K162" s="36"/>
      <c r="L162" s="36"/>
      <c r="M162" s="36"/>
      <c r="N162" s="36"/>
      <c r="O162" s="39" t="str">
        <f aca="false">IF(COUNT(K162:N162)=0,"",ROUND(AVERAGE(K162:N162),0))</f>
        <v/>
      </c>
      <c r="P162" s="38" t="str">
        <f aca="false">IF(O162="","",LOOKUP(O162,Impostazioni!$E$4:$E$9,Impostazioni!$F$4:$F$9))</f>
        <v/>
      </c>
      <c r="Q162" s="36"/>
      <c r="R162" s="36"/>
      <c r="S162" s="36"/>
      <c r="T162" s="36"/>
      <c r="U162" s="39" t="str">
        <f aca="false">IF(COUNT(Q162:T162)=0,"",ROUND(AVERAGE(Q162:T162),0))</f>
        <v/>
      </c>
      <c r="V162" s="38" t="str">
        <f aca="false">IF(U162="","",LOOKUP(U162,Impostazioni!$E$4:$E$9,Impostazioni!$F$4:$F$9))</f>
        <v/>
      </c>
      <c r="W162" s="36"/>
      <c r="X162" s="36"/>
      <c r="Y162" s="36"/>
      <c r="Z162" s="36"/>
      <c r="AA162" s="39" t="str">
        <f aca="false">IF(COUNT(W162:Z162)=0,"",ROUND(AVERAGE(W162:Z162),0))</f>
        <v/>
      </c>
      <c r="AB162" s="38" t="str">
        <f aca="false">IF(AA162="","",LOOKUP(AA162,Impostazioni!$E$4:$E$9,Impostazioni!$F$4:$F$9))</f>
        <v/>
      </c>
    </row>
    <row r="163" customFormat="false" ht="21" hidden="false" customHeight="true" outlineLevel="0" collapsed="false">
      <c r="A163" s="33" t="n">
        <v>9</v>
      </c>
      <c r="B163" s="34" t="str">
        <f aca="false">IFERROR(INDEX(Alunni!$C$1:$C$1000,MATCH($A163,Alunni!$A$1:$A$1000,0))&amp;"","")</f>
        <v/>
      </c>
      <c r="C163" s="15"/>
      <c r="D163" s="35"/>
      <c r="E163" s="36"/>
      <c r="F163" s="36"/>
      <c r="G163" s="36"/>
      <c r="H163" s="36"/>
      <c r="I163" s="39" t="str">
        <f aca="false">IF(COUNT(E163:H163)=0,"",ROUND(AVERAGE(E163:H163),0))</f>
        <v/>
      </c>
      <c r="J163" s="38" t="str">
        <f aca="false">IF(I163="","",LOOKUP(I163,Impostazioni!$E$4:$E$9,Impostazioni!$F$4:$F$9))</f>
        <v/>
      </c>
      <c r="K163" s="36"/>
      <c r="L163" s="36"/>
      <c r="M163" s="36"/>
      <c r="N163" s="36"/>
      <c r="O163" s="39" t="str">
        <f aca="false">IF(COUNT(K163:N163)=0,"",ROUND(AVERAGE(K163:N163),0))</f>
        <v/>
      </c>
      <c r="P163" s="38" t="str">
        <f aca="false">IF(O163="","",LOOKUP(O163,Impostazioni!$E$4:$E$9,Impostazioni!$F$4:$F$9))</f>
        <v/>
      </c>
      <c r="Q163" s="36"/>
      <c r="R163" s="36"/>
      <c r="S163" s="36"/>
      <c r="T163" s="36"/>
      <c r="U163" s="39" t="str">
        <f aca="false">IF(COUNT(Q163:T163)=0,"",ROUND(AVERAGE(Q163:T163),0))</f>
        <v/>
      </c>
      <c r="V163" s="38" t="str">
        <f aca="false">IF(U163="","",LOOKUP(U163,Impostazioni!$E$4:$E$9,Impostazioni!$F$4:$F$9))</f>
        <v/>
      </c>
      <c r="W163" s="36"/>
      <c r="X163" s="36"/>
      <c r="Y163" s="36"/>
      <c r="Z163" s="36"/>
      <c r="AA163" s="39" t="str">
        <f aca="false">IF(COUNT(W163:Z163)=0,"",ROUND(AVERAGE(W163:Z163),0))</f>
        <v/>
      </c>
      <c r="AB163" s="38" t="str">
        <f aca="false">IF(AA163="","",LOOKUP(AA163,Impostazioni!$E$4:$E$9,Impostazioni!$F$4:$F$9))</f>
        <v/>
      </c>
    </row>
    <row r="164" customFormat="false" ht="21" hidden="false" customHeight="true" outlineLevel="0" collapsed="false">
      <c r="A164" s="33" t="n">
        <v>10</v>
      </c>
      <c r="B164" s="34" t="str">
        <f aca="false">IFERROR(INDEX(Alunni!$C$1:$C$1000,MATCH($A164,Alunni!$A$1:$A$1000,0))&amp;"","")</f>
        <v/>
      </c>
      <c r="C164" s="15"/>
      <c r="D164" s="35"/>
      <c r="E164" s="36"/>
      <c r="F164" s="36"/>
      <c r="G164" s="36"/>
      <c r="H164" s="36"/>
      <c r="I164" s="39" t="str">
        <f aca="false">IF(COUNT(E164:H164)=0,"",ROUND(AVERAGE(E164:H164),0))</f>
        <v/>
      </c>
      <c r="J164" s="38" t="str">
        <f aca="false">IF(I164="","",LOOKUP(I164,Impostazioni!$E$4:$E$9,Impostazioni!$F$4:$F$9))</f>
        <v/>
      </c>
      <c r="K164" s="36"/>
      <c r="L164" s="36"/>
      <c r="M164" s="36"/>
      <c r="N164" s="36"/>
      <c r="O164" s="39" t="str">
        <f aca="false">IF(COUNT(K164:N164)=0,"",ROUND(AVERAGE(K164:N164),0))</f>
        <v/>
      </c>
      <c r="P164" s="38" t="str">
        <f aca="false">IF(O164="","",LOOKUP(O164,Impostazioni!$E$4:$E$9,Impostazioni!$F$4:$F$9))</f>
        <v/>
      </c>
      <c r="Q164" s="36"/>
      <c r="R164" s="36"/>
      <c r="S164" s="36"/>
      <c r="T164" s="36"/>
      <c r="U164" s="39" t="str">
        <f aca="false">IF(COUNT(Q164:T164)=0,"",ROUND(AVERAGE(Q164:T164),0))</f>
        <v/>
      </c>
      <c r="V164" s="38" t="str">
        <f aca="false">IF(U164="","",LOOKUP(U164,Impostazioni!$E$4:$E$9,Impostazioni!$F$4:$F$9))</f>
        <v/>
      </c>
      <c r="W164" s="36"/>
      <c r="X164" s="36"/>
      <c r="Y164" s="36"/>
      <c r="Z164" s="36"/>
      <c r="AA164" s="39" t="str">
        <f aca="false">IF(COUNT(W164:Z164)=0,"",ROUND(AVERAGE(W164:Z164),0))</f>
        <v/>
      </c>
      <c r="AB164" s="38" t="str">
        <f aca="false">IF(AA164="","",LOOKUP(AA164,Impostazioni!$E$4:$E$9,Impostazioni!$F$4:$F$9))</f>
        <v/>
      </c>
    </row>
    <row r="165" customFormat="false" ht="21" hidden="false" customHeight="true" outlineLevel="0" collapsed="false">
      <c r="A165" s="33" t="n">
        <v>11</v>
      </c>
      <c r="B165" s="34" t="str">
        <f aca="false">IFERROR(INDEX(Alunni!$C$1:$C$1000,MATCH($A165,Alunni!$A$1:$A$1000,0))&amp;"","")</f>
        <v/>
      </c>
      <c r="C165" s="15"/>
      <c r="D165" s="35"/>
      <c r="E165" s="36"/>
      <c r="F165" s="36"/>
      <c r="G165" s="36"/>
      <c r="H165" s="36"/>
      <c r="I165" s="39" t="str">
        <f aca="false">IF(COUNT(E165:H165)=0,"",ROUND(AVERAGE(E165:H165),0))</f>
        <v/>
      </c>
      <c r="J165" s="38" t="str">
        <f aca="false">IF(I165="","",LOOKUP(I165,Impostazioni!$E$4:$E$9,Impostazioni!$F$4:$F$9))</f>
        <v/>
      </c>
      <c r="K165" s="36"/>
      <c r="L165" s="36"/>
      <c r="M165" s="36"/>
      <c r="N165" s="36"/>
      <c r="O165" s="39" t="str">
        <f aca="false">IF(COUNT(K165:N165)=0,"",ROUND(AVERAGE(K165:N165),0))</f>
        <v/>
      </c>
      <c r="P165" s="38" t="str">
        <f aca="false">IF(O165="","",LOOKUP(O165,Impostazioni!$E$4:$E$9,Impostazioni!$F$4:$F$9))</f>
        <v/>
      </c>
      <c r="Q165" s="36"/>
      <c r="R165" s="36"/>
      <c r="S165" s="36"/>
      <c r="T165" s="36"/>
      <c r="U165" s="39" t="str">
        <f aca="false">IF(COUNT(Q165:T165)=0,"",ROUND(AVERAGE(Q165:T165),0))</f>
        <v/>
      </c>
      <c r="V165" s="38" t="str">
        <f aca="false">IF(U165="","",LOOKUP(U165,Impostazioni!$E$4:$E$9,Impostazioni!$F$4:$F$9))</f>
        <v/>
      </c>
      <c r="W165" s="36"/>
      <c r="X165" s="36"/>
      <c r="Y165" s="36"/>
      <c r="Z165" s="36"/>
      <c r="AA165" s="39" t="str">
        <f aca="false">IF(COUNT(W165:Z165)=0,"",ROUND(AVERAGE(W165:Z165),0))</f>
        <v/>
      </c>
      <c r="AB165" s="38" t="str">
        <f aca="false">IF(AA165="","",LOOKUP(AA165,Impostazioni!$E$4:$E$9,Impostazioni!$F$4:$F$9))</f>
        <v/>
      </c>
    </row>
    <row r="166" customFormat="false" ht="21" hidden="false" customHeight="true" outlineLevel="0" collapsed="false">
      <c r="A166" s="33" t="n">
        <v>12</v>
      </c>
      <c r="B166" s="34" t="str">
        <f aca="false">IFERROR(INDEX(Alunni!$C$1:$C$1000,MATCH($A166,Alunni!$A$1:$A$1000,0))&amp;"","")</f>
        <v/>
      </c>
      <c r="C166" s="15"/>
      <c r="D166" s="35"/>
      <c r="E166" s="36"/>
      <c r="F166" s="36"/>
      <c r="G166" s="36"/>
      <c r="H166" s="36"/>
      <c r="I166" s="39" t="str">
        <f aca="false">IF(COUNT(E166:H166)=0,"",ROUND(AVERAGE(E166:H166),0))</f>
        <v/>
      </c>
      <c r="J166" s="38" t="str">
        <f aca="false">IF(I166="","",LOOKUP(I166,Impostazioni!$E$4:$E$9,Impostazioni!$F$4:$F$9))</f>
        <v/>
      </c>
      <c r="K166" s="36"/>
      <c r="L166" s="36"/>
      <c r="M166" s="36"/>
      <c r="N166" s="36"/>
      <c r="O166" s="39" t="str">
        <f aca="false">IF(COUNT(K166:N166)=0,"",ROUND(AVERAGE(K166:N166),0))</f>
        <v/>
      </c>
      <c r="P166" s="38" t="str">
        <f aca="false">IF(O166="","",LOOKUP(O166,Impostazioni!$E$4:$E$9,Impostazioni!$F$4:$F$9))</f>
        <v/>
      </c>
      <c r="Q166" s="36"/>
      <c r="R166" s="36"/>
      <c r="S166" s="36"/>
      <c r="T166" s="36"/>
      <c r="U166" s="39" t="str">
        <f aca="false">IF(COUNT(Q166:T166)=0,"",ROUND(AVERAGE(Q166:T166),0))</f>
        <v/>
      </c>
      <c r="V166" s="38" t="str">
        <f aca="false">IF(U166="","",LOOKUP(U166,Impostazioni!$E$4:$E$9,Impostazioni!$F$4:$F$9))</f>
        <v/>
      </c>
      <c r="W166" s="36"/>
      <c r="X166" s="36"/>
      <c r="Y166" s="36"/>
      <c r="Z166" s="36"/>
      <c r="AA166" s="39" t="str">
        <f aca="false">IF(COUNT(W166:Z166)=0,"",ROUND(AVERAGE(W166:Z166),0))</f>
        <v/>
      </c>
      <c r="AB166" s="38" t="str">
        <f aca="false">IF(AA166="","",LOOKUP(AA166,Impostazioni!$E$4:$E$9,Impostazioni!$F$4:$F$9))</f>
        <v/>
      </c>
    </row>
    <row r="167" customFormat="false" ht="21" hidden="false" customHeight="true" outlineLevel="0" collapsed="false">
      <c r="A167" s="33" t="n">
        <v>13</v>
      </c>
      <c r="B167" s="34" t="str">
        <f aca="false">IFERROR(INDEX(Alunni!$C$1:$C$1000,MATCH($A167,Alunni!$A$1:$A$1000,0))&amp;"","")</f>
        <v/>
      </c>
      <c r="C167" s="15"/>
      <c r="D167" s="35"/>
      <c r="E167" s="36"/>
      <c r="F167" s="36"/>
      <c r="G167" s="36"/>
      <c r="H167" s="36"/>
      <c r="I167" s="39" t="str">
        <f aca="false">IF(COUNT(E167:H167)=0,"",ROUND(AVERAGE(E167:H167),0))</f>
        <v/>
      </c>
      <c r="J167" s="38" t="str">
        <f aca="false">IF(I167="","",LOOKUP(I167,Impostazioni!$E$4:$E$9,Impostazioni!$F$4:$F$9))</f>
        <v/>
      </c>
      <c r="K167" s="36"/>
      <c r="L167" s="36"/>
      <c r="M167" s="36"/>
      <c r="N167" s="36"/>
      <c r="O167" s="39" t="str">
        <f aca="false">IF(COUNT(K167:N167)=0,"",ROUND(AVERAGE(K167:N167),0))</f>
        <v/>
      </c>
      <c r="P167" s="38" t="str">
        <f aca="false">IF(O167="","",LOOKUP(O167,Impostazioni!$E$4:$E$9,Impostazioni!$F$4:$F$9))</f>
        <v/>
      </c>
      <c r="Q167" s="36"/>
      <c r="R167" s="36"/>
      <c r="S167" s="36"/>
      <c r="T167" s="36"/>
      <c r="U167" s="39" t="str">
        <f aca="false">IF(COUNT(Q167:T167)=0,"",ROUND(AVERAGE(Q167:T167),0))</f>
        <v/>
      </c>
      <c r="V167" s="38" t="str">
        <f aca="false">IF(U167="","",LOOKUP(U167,Impostazioni!$E$4:$E$9,Impostazioni!$F$4:$F$9))</f>
        <v/>
      </c>
      <c r="W167" s="36"/>
      <c r="X167" s="36"/>
      <c r="Y167" s="36"/>
      <c r="Z167" s="36"/>
      <c r="AA167" s="39" t="str">
        <f aca="false">IF(COUNT(W167:Z167)=0,"",ROUND(AVERAGE(W167:Z167),0))</f>
        <v/>
      </c>
      <c r="AB167" s="38" t="str">
        <f aca="false">IF(AA167="","",LOOKUP(AA167,Impostazioni!$E$4:$E$9,Impostazioni!$F$4:$F$9))</f>
        <v/>
      </c>
    </row>
    <row r="168" customFormat="false" ht="21" hidden="false" customHeight="true" outlineLevel="0" collapsed="false">
      <c r="A168" s="33" t="n">
        <v>14</v>
      </c>
      <c r="B168" s="34" t="str">
        <f aca="false">IFERROR(INDEX(Alunni!$C$1:$C$1000,MATCH($A168,Alunni!$A$1:$A$1000,0))&amp;"","")</f>
        <v/>
      </c>
      <c r="C168" s="15"/>
      <c r="D168" s="35"/>
      <c r="E168" s="36"/>
      <c r="F168" s="36"/>
      <c r="G168" s="36"/>
      <c r="H168" s="36"/>
      <c r="I168" s="39" t="str">
        <f aca="false">IF(COUNT(E168:H168)=0,"",ROUND(AVERAGE(E168:H168),0))</f>
        <v/>
      </c>
      <c r="J168" s="38" t="str">
        <f aca="false">IF(I168="","",LOOKUP(I168,Impostazioni!$E$4:$E$9,Impostazioni!$F$4:$F$9))</f>
        <v/>
      </c>
      <c r="K168" s="36"/>
      <c r="L168" s="36"/>
      <c r="M168" s="36"/>
      <c r="N168" s="36"/>
      <c r="O168" s="39" t="str">
        <f aca="false">IF(COUNT(K168:N168)=0,"",ROUND(AVERAGE(K168:N168),0))</f>
        <v/>
      </c>
      <c r="P168" s="38" t="str">
        <f aca="false">IF(O168="","",LOOKUP(O168,Impostazioni!$E$4:$E$9,Impostazioni!$F$4:$F$9))</f>
        <v/>
      </c>
      <c r="Q168" s="36"/>
      <c r="R168" s="36"/>
      <c r="S168" s="36"/>
      <c r="T168" s="36"/>
      <c r="U168" s="39" t="str">
        <f aca="false">IF(COUNT(Q168:T168)=0,"",ROUND(AVERAGE(Q168:T168),0))</f>
        <v/>
      </c>
      <c r="V168" s="38" t="str">
        <f aca="false">IF(U168="","",LOOKUP(U168,Impostazioni!$E$4:$E$9,Impostazioni!$F$4:$F$9))</f>
        <v/>
      </c>
      <c r="W168" s="36"/>
      <c r="X168" s="36"/>
      <c r="Y168" s="36"/>
      <c r="Z168" s="36"/>
      <c r="AA168" s="39" t="str">
        <f aca="false">IF(COUNT(W168:Z168)=0,"",ROUND(AVERAGE(W168:Z168),0))</f>
        <v/>
      </c>
      <c r="AB168" s="38" t="str">
        <f aca="false">IF(AA168="","",LOOKUP(AA168,Impostazioni!$E$4:$E$9,Impostazioni!$F$4:$F$9))</f>
        <v/>
      </c>
    </row>
    <row r="169" customFormat="false" ht="21" hidden="false" customHeight="true" outlineLevel="0" collapsed="false">
      <c r="A169" s="33" t="n">
        <v>15</v>
      </c>
      <c r="B169" s="34" t="str">
        <f aca="false">IFERROR(INDEX(Alunni!$C$1:$C$1000,MATCH($A169,Alunni!$A$1:$A$1000,0))&amp;"","")</f>
        <v/>
      </c>
      <c r="C169" s="15"/>
      <c r="D169" s="35"/>
      <c r="E169" s="36"/>
      <c r="F169" s="36"/>
      <c r="G169" s="36"/>
      <c r="H169" s="36"/>
      <c r="I169" s="39" t="str">
        <f aca="false">IF(COUNT(E169:H169)=0,"",ROUND(AVERAGE(E169:H169),0))</f>
        <v/>
      </c>
      <c r="J169" s="38" t="str">
        <f aca="false">IF(I169="","",LOOKUP(I169,Impostazioni!$E$4:$E$9,Impostazioni!$F$4:$F$9))</f>
        <v/>
      </c>
      <c r="K169" s="36"/>
      <c r="L169" s="36"/>
      <c r="M169" s="36"/>
      <c r="N169" s="36"/>
      <c r="O169" s="39" t="str">
        <f aca="false">IF(COUNT(K169:N169)=0,"",ROUND(AVERAGE(K169:N169),0))</f>
        <v/>
      </c>
      <c r="P169" s="38" t="str">
        <f aca="false">IF(O169="","",LOOKUP(O169,Impostazioni!$E$4:$E$9,Impostazioni!$F$4:$F$9))</f>
        <v/>
      </c>
      <c r="Q169" s="36"/>
      <c r="R169" s="36"/>
      <c r="S169" s="36"/>
      <c r="T169" s="36"/>
      <c r="U169" s="39" t="str">
        <f aca="false">IF(COUNT(Q169:T169)=0,"",ROUND(AVERAGE(Q169:T169),0))</f>
        <v/>
      </c>
      <c r="V169" s="38" t="str">
        <f aca="false">IF(U169="","",LOOKUP(U169,Impostazioni!$E$4:$E$9,Impostazioni!$F$4:$F$9))</f>
        <v/>
      </c>
      <c r="W169" s="36"/>
      <c r="X169" s="36"/>
      <c r="Y169" s="36"/>
      <c r="Z169" s="36"/>
      <c r="AA169" s="39" t="str">
        <f aca="false">IF(COUNT(W169:Z169)=0,"",ROUND(AVERAGE(W169:Z169),0))</f>
        <v/>
      </c>
      <c r="AB169" s="38" t="str">
        <f aca="false">IF(AA169="","",LOOKUP(AA169,Impostazioni!$E$4:$E$9,Impostazioni!$F$4:$F$9))</f>
        <v/>
      </c>
    </row>
    <row r="170" customFormat="false" ht="21" hidden="false" customHeight="true" outlineLevel="0" collapsed="false">
      <c r="A170" s="33" t="n">
        <v>16</v>
      </c>
      <c r="B170" s="34" t="str">
        <f aca="false">IFERROR(INDEX(Alunni!$C$1:$C$1000,MATCH($A170,Alunni!$A$1:$A$1000,0))&amp;"","")</f>
        <v/>
      </c>
      <c r="C170" s="15"/>
      <c r="D170" s="35"/>
      <c r="E170" s="36"/>
      <c r="F170" s="36"/>
      <c r="G170" s="36"/>
      <c r="H170" s="36"/>
      <c r="I170" s="39" t="str">
        <f aca="false">IF(COUNT(E170:H170)=0,"",ROUND(AVERAGE(E170:H170),0))</f>
        <v/>
      </c>
      <c r="J170" s="38" t="str">
        <f aca="false">IF(I170="","",LOOKUP(I170,Impostazioni!$E$4:$E$9,Impostazioni!$F$4:$F$9))</f>
        <v/>
      </c>
      <c r="K170" s="36"/>
      <c r="L170" s="36"/>
      <c r="M170" s="36"/>
      <c r="N170" s="36"/>
      <c r="O170" s="39" t="str">
        <f aca="false">IF(COUNT(K170:N170)=0,"",ROUND(AVERAGE(K170:N170),0))</f>
        <v/>
      </c>
      <c r="P170" s="38" t="str">
        <f aca="false">IF(O170="","",LOOKUP(O170,Impostazioni!$E$4:$E$9,Impostazioni!$F$4:$F$9))</f>
        <v/>
      </c>
      <c r="Q170" s="36"/>
      <c r="R170" s="36"/>
      <c r="S170" s="36"/>
      <c r="T170" s="36"/>
      <c r="U170" s="39" t="str">
        <f aca="false">IF(COUNT(Q170:T170)=0,"",ROUND(AVERAGE(Q170:T170),0))</f>
        <v/>
      </c>
      <c r="V170" s="38" t="str">
        <f aca="false">IF(U170="","",LOOKUP(U170,Impostazioni!$E$4:$E$9,Impostazioni!$F$4:$F$9))</f>
        <v/>
      </c>
      <c r="W170" s="36"/>
      <c r="X170" s="36"/>
      <c r="Y170" s="36"/>
      <c r="Z170" s="36"/>
      <c r="AA170" s="39" t="str">
        <f aca="false">IF(COUNT(W170:Z170)=0,"",ROUND(AVERAGE(W170:Z170),0))</f>
        <v/>
      </c>
      <c r="AB170" s="38" t="str">
        <f aca="false">IF(AA170="","",LOOKUP(AA170,Impostazioni!$E$4:$E$9,Impostazioni!$F$4:$F$9))</f>
        <v/>
      </c>
    </row>
    <row r="171" customFormat="false" ht="21" hidden="false" customHeight="true" outlineLevel="0" collapsed="false">
      <c r="A171" s="33" t="n">
        <v>17</v>
      </c>
      <c r="B171" s="34" t="str">
        <f aca="false">IFERROR(INDEX(Alunni!$C$1:$C$1000,MATCH($A171,Alunni!$A$1:$A$1000,0))&amp;"","")</f>
        <v/>
      </c>
      <c r="C171" s="15"/>
      <c r="D171" s="35"/>
      <c r="E171" s="36"/>
      <c r="F171" s="36"/>
      <c r="G171" s="36"/>
      <c r="H171" s="36"/>
      <c r="I171" s="39" t="str">
        <f aca="false">IF(COUNT(E171:H171)=0,"",ROUND(AVERAGE(E171:H171),0))</f>
        <v/>
      </c>
      <c r="J171" s="38" t="str">
        <f aca="false">IF(I171="","",LOOKUP(I171,Impostazioni!$E$4:$E$9,Impostazioni!$F$4:$F$9))</f>
        <v/>
      </c>
      <c r="K171" s="36"/>
      <c r="L171" s="36"/>
      <c r="M171" s="36"/>
      <c r="N171" s="36"/>
      <c r="O171" s="39" t="str">
        <f aca="false">IF(COUNT(K171:N171)=0,"",ROUND(AVERAGE(K171:N171),0))</f>
        <v/>
      </c>
      <c r="P171" s="38" t="str">
        <f aca="false">IF(O171="","",LOOKUP(O171,Impostazioni!$E$4:$E$9,Impostazioni!$F$4:$F$9))</f>
        <v/>
      </c>
      <c r="Q171" s="36"/>
      <c r="R171" s="36"/>
      <c r="S171" s="36"/>
      <c r="T171" s="36"/>
      <c r="U171" s="39" t="str">
        <f aca="false">IF(COUNT(Q171:T171)=0,"",ROUND(AVERAGE(Q171:T171),0))</f>
        <v/>
      </c>
      <c r="V171" s="38" t="str">
        <f aca="false">IF(U171="","",LOOKUP(U171,Impostazioni!$E$4:$E$9,Impostazioni!$F$4:$F$9))</f>
        <v/>
      </c>
      <c r="W171" s="36"/>
      <c r="X171" s="36"/>
      <c r="Y171" s="36"/>
      <c r="Z171" s="36"/>
      <c r="AA171" s="39" t="str">
        <f aca="false">IF(COUNT(W171:Z171)=0,"",ROUND(AVERAGE(W171:Z171),0))</f>
        <v/>
      </c>
      <c r="AB171" s="38" t="str">
        <f aca="false">IF(AA171="","",LOOKUP(AA171,Impostazioni!$E$4:$E$9,Impostazioni!$F$4:$F$9))</f>
        <v/>
      </c>
    </row>
    <row r="172" customFormat="false" ht="21" hidden="false" customHeight="true" outlineLevel="0" collapsed="false">
      <c r="A172" s="33" t="n">
        <v>18</v>
      </c>
      <c r="B172" s="34" t="str">
        <f aca="false">IFERROR(INDEX(Alunni!$C$1:$C$1000,MATCH($A172,Alunni!$A$1:$A$1000,0))&amp;"","")</f>
        <v/>
      </c>
      <c r="C172" s="15"/>
      <c r="D172" s="35"/>
      <c r="E172" s="36"/>
      <c r="F172" s="36"/>
      <c r="G172" s="36"/>
      <c r="H172" s="36"/>
      <c r="I172" s="39" t="str">
        <f aca="false">IF(COUNT(E172:H172)=0,"",ROUND(AVERAGE(E172:H172),0))</f>
        <v/>
      </c>
      <c r="J172" s="38" t="str">
        <f aca="false">IF(I172="","",LOOKUP(I172,Impostazioni!$E$4:$E$9,Impostazioni!$F$4:$F$9))</f>
        <v/>
      </c>
      <c r="K172" s="36"/>
      <c r="L172" s="36"/>
      <c r="M172" s="36"/>
      <c r="N172" s="36"/>
      <c r="O172" s="39" t="str">
        <f aca="false">IF(COUNT(K172:N172)=0,"",ROUND(AVERAGE(K172:N172),0))</f>
        <v/>
      </c>
      <c r="P172" s="38" t="str">
        <f aca="false">IF(O172="","",LOOKUP(O172,Impostazioni!$E$4:$E$9,Impostazioni!$F$4:$F$9))</f>
        <v/>
      </c>
      <c r="Q172" s="36"/>
      <c r="R172" s="36"/>
      <c r="S172" s="36"/>
      <c r="T172" s="36"/>
      <c r="U172" s="39" t="str">
        <f aca="false">IF(COUNT(Q172:T172)=0,"",ROUND(AVERAGE(Q172:T172),0))</f>
        <v/>
      </c>
      <c r="V172" s="38" t="str">
        <f aca="false">IF(U172="","",LOOKUP(U172,Impostazioni!$E$4:$E$9,Impostazioni!$F$4:$F$9))</f>
        <v/>
      </c>
      <c r="W172" s="36"/>
      <c r="X172" s="36"/>
      <c r="Y172" s="36"/>
      <c r="Z172" s="36"/>
      <c r="AA172" s="39" t="str">
        <f aca="false">IF(COUNT(W172:Z172)=0,"",ROUND(AVERAGE(W172:Z172),0))</f>
        <v/>
      </c>
      <c r="AB172" s="38" t="str">
        <f aca="false">IF(AA172="","",LOOKUP(AA172,Impostazioni!$E$4:$E$9,Impostazioni!$F$4:$F$9))</f>
        <v/>
      </c>
    </row>
    <row r="173" customFormat="false" ht="21" hidden="false" customHeight="true" outlineLevel="0" collapsed="false">
      <c r="A173" s="33" t="n">
        <v>19</v>
      </c>
      <c r="B173" s="34" t="str">
        <f aca="false">IFERROR(INDEX(Alunni!$C$1:$C$1000,MATCH($A173,Alunni!$A$1:$A$1000,0))&amp;"","")</f>
        <v/>
      </c>
      <c r="C173" s="15"/>
      <c r="D173" s="35"/>
      <c r="E173" s="36"/>
      <c r="F173" s="36"/>
      <c r="G173" s="36"/>
      <c r="H173" s="36"/>
      <c r="I173" s="39" t="str">
        <f aca="false">IF(COUNT(E173:H173)=0,"",ROUND(AVERAGE(E173:H173),0))</f>
        <v/>
      </c>
      <c r="J173" s="38" t="str">
        <f aca="false">IF(I173="","",LOOKUP(I173,Impostazioni!$E$4:$E$9,Impostazioni!$F$4:$F$9))</f>
        <v/>
      </c>
      <c r="K173" s="36"/>
      <c r="L173" s="36"/>
      <c r="M173" s="36"/>
      <c r="N173" s="36"/>
      <c r="O173" s="39" t="str">
        <f aca="false">IF(COUNT(K173:N173)=0,"",ROUND(AVERAGE(K173:N173),0))</f>
        <v/>
      </c>
      <c r="P173" s="38" t="str">
        <f aca="false">IF(O173="","",LOOKUP(O173,Impostazioni!$E$4:$E$9,Impostazioni!$F$4:$F$9))</f>
        <v/>
      </c>
      <c r="Q173" s="36"/>
      <c r="R173" s="36"/>
      <c r="S173" s="36"/>
      <c r="T173" s="36"/>
      <c r="U173" s="39" t="str">
        <f aca="false">IF(COUNT(Q173:T173)=0,"",ROUND(AVERAGE(Q173:T173),0))</f>
        <v/>
      </c>
      <c r="V173" s="38" t="str">
        <f aca="false">IF(U173="","",LOOKUP(U173,Impostazioni!$E$4:$E$9,Impostazioni!$F$4:$F$9))</f>
        <v/>
      </c>
      <c r="W173" s="36"/>
      <c r="X173" s="36"/>
      <c r="Y173" s="36"/>
      <c r="Z173" s="36"/>
      <c r="AA173" s="39" t="str">
        <f aca="false">IF(COUNT(W173:Z173)=0,"",ROUND(AVERAGE(W173:Z173),0))</f>
        <v/>
      </c>
      <c r="AB173" s="38" t="str">
        <f aca="false">IF(AA173="","",LOOKUP(AA173,Impostazioni!$E$4:$E$9,Impostazioni!$F$4:$F$9))</f>
        <v/>
      </c>
    </row>
    <row r="174" customFormat="false" ht="21" hidden="false" customHeight="true" outlineLevel="0" collapsed="false">
      <c r="A174" s="33" t="n">
        <v>20</v>
      </c>
      <c r="B174" s="34" t="str">
        <f aca="false">IFERROR(INDEX(Alunni!$C$1:$C$1000,MATCH($A174,Alunni!$A$1:$A$1000,0))&amp;"","")</f>
        <v/>
      </c>
      <c r="C174" s="15"/>
      <c r="D174" s="35"/>
      <c r="E174" s="36"/>
      <c r="F174" s="36"/>
      <c r="G174" s="36"/>
      <c r="H174" s="36"/>
      <c r="I174" s="39" t="str">
        <f aca="false">IF(COUNT(E174:H174)=0,"",ROUND(AVERAGE(E174:H174),0))</f>
        <v/>
      </c>
      <c r="J174" s="38" t="str">
        <f aca="false">IF(I174="","",LOOKUP(I174,Impostazioni!$E$4:$E$9,Impostazioni!$F$4:$F$9))</f>
        <v/>
      </c>
      <c r="K174" s="36"/>
      <c r="L174" s="36"/>
      <c r="M174" s="36"/>
      <c r="N174" s="36"/>
      <c r="O174" s="39" t="str">
        <f aca="false">IF(COUNT(K174:N174)=0,"",ROUND(AVERAGE(K174:N174),0))</f>
        <v/>
      </c>
      <c r="P174" s="38" t="str">
        <f aca="false">IF(O174="","",LOOKUP(O174,Impostazioni!$E$4:$E$9,Impostazioni!$F$4:$F$9))</f>
        <v/>
      </c>
      <c r="Q174" s="36"/>
      <c r="R174" s="36"/>
      <c r="S174" s="36"/>
      <c r="T174" s="36"/>
      <c r="U174" s="39" t="str">
        <f aca="false">IF(COUNT(Q174:T174)=0,"",ROUND(AVERAGE(Q174:T174),0))</f>
        <v/>
      </c>
      <c r="V174" s="38" t="str">
        <f aca="false">IF(U174="","",LOOKUP(U174,Impostazioni!$E$4:$E$9,Impostazioni!$F$4:$F$9))</f>
        <v/>
      </c>
      <c r="W174" s="36"/>
      <c r="X174" s="36"/>
      <c r="Y174" s="36"/>
      <c r="Z174" s="36"/>
      <c r="AA174" s="39" t="str">
        <f aca="false">IF(COUNT(W174:Z174)=0,"",ROUND(AVERAGE(W174:Z174),0))</f>
        <v/>
      </c>
      <c r="AB174" s="38" t="str">
        <f aca="false">IF(AA174="","",LOOKUP(AA174,Impostazioni!$E$4:$E$9,Impostazioni!$F$4:$F$9))</f>
        <v/>
      </c>
    </row>
    <row r="175" customFormat="false" ht="21" hidden="false" customHeight="true" outlineLevel="0" collapsed="false">
      <c r="A175" s="33" t="n">
        <v>21</v>
      </c>
      <c r="B175" s="34" t="str">
        <f aca="false">IFERROR(INDEX(Alunni!$C$1:$C$1000,MATCH($A175,Alunni!$A$1:$A$1000,0))&amp;"","")</f>
        <v/>
      </c>
      <c r="C175" s="15"/>
      <c r="D175" s="35"/>
      <c r="E175" s="36"/>
      <c r="F175" s="36"/>
      <c r="G175" s="36"/>
      <c r="H175" s="36"/>
      <c r="I175" s="39" t="str">
        <f aca="false">IF(COUNT(E175:H175)=0,"",ROUND(AVERAGE(E175:H175),0))</f>
        <v/>
      </c>
      <c r="J175" s="38" t="str">
        <f aca="false">IF(I175="","",LOOKUP(I175,Impostazioni!$E$4:$E$9,Impostazioni!$F$4:$F$9))</f>
        <v/>
      </c>
      <c r="K175" s="36"/>
      <c r="L175" s="36"/>
      <c r="M175" s="36"/>
      <c r="N175" s="36"/>
      <c r="O175" s="39" t="str">
        <f aca="false">IF(COUNT(K175:N175)=0,"",ROUND(AVERAGE(K175:N175),0))</f>
        <v/>
      </c>
      <c r="P175" s="38" t="str">
        <f aca="false">IF(O175="","",LOOKUP(O175,Impostazioni!$E$4:$E$9,Impostazioni!$F$4:$F$9))</f>
        <v/>
      </c>
      <c r="Q175" s="36"/>
      <c r="R175" s="36"/>
      <c r="S175" s="36"/>
      <c r="T175" s="36"/>
      <c r="U175" s="39" t="str">
        <f aca="false">IF(COUNT(Q175:T175)=0,"",ROUND(AVERAGE(Q175:T175),0))</f>
        <v/>
      </c>
      <c r="V175" s="38" t="str">
        <f aca="false">IF(U175="","",LOOKUP(U175,Impostazioni!$E$4:$E$9,Impostazioni!$F$4:$F$9))</f>
        <v/>
      </c>
      <c r="W175" s="36"/>
      <c r="X175" s="36"/>
      <c r="Y175" s="36"/>
      <c r="Z175" s="36"/>
      <c r="AA175" s="39" t="str">
        <f aca="false">IF(COUNT(W175:Z175)=0,"",ROUND(AVERAGE(W175:Z175),0))</f>
        <v/>
      </c>
      <c r="AB175" s="38" t="str">
        <f aca="false">IF(AA175="","",LOOKUP(AA175,Impostazioni!$E$4:$E$9,Impostazioni!$F$4:$F$9))</f>
        <v/>
      </c>
    </row>
    <row r="176" customFormat="false" ht="21" hidden="false" customHeight="true" outlineLevel="0" collapsed="false">
      <c r="A176" s="33" t="n">
        <v>22</v>
      </c>
      <c r="B176" s="34" t="str">
        <f aca="false">IFERROR(INDEX(Alunni!$C$1:$C$1000,MATCH($A176,Alunni!$A$1:$A$1000,0))&amp;"","")</f>
        <v/>
      </c>
      <c r="C176" s="15"/>
      <c r="D176" s="35"/>
      <c r="E176" s="36"/>
      <c r="F176" s="36"/>
      <c r="G176" s="36"/>
      <c r="H176" s="36"/>
      <c r="I176" s="39" t="str">
        <f aca="false">IF(COUNT(E176:H176)=0,"",ROUND(AVERAGE(E176:H176),0))</f>
        <v/>
      </c>
      <c r="J176" s="38" t="str">
        <f aca="false">IF(I176="","",LOOKUP(I176,Impostazioni!$E$4:$E$9,Impostazioni!$F$4:$F$9))</f>
        <v/>
      </c>
      <c r="K176" s="36"/>
      <c r="L176" s="36"/>
      <c r="M176" s="36"/>
      <c r="N176" s="36"/>
      <c r="O176" s="39" t="str">
        <f aca="false">IF(COUNT(K176:N176)=0,"",ROUND(AVERAGE(K176:N176),0))</f>
        <v/>
      </c>
      <c r="P176" s="38" t="str">
        <f aca="false">IF(O176="","",LOOKUP(O176,Impostazioni!$E$4:$E$9,Impostazioni!$F$4:$F$9))</f>
        <v/>
      </c>
      <c r="Q176" s="36"/>
      <c r="R176" s="36"/>
      <c r="S176" s="36"/>
      <c r="T176" s="36"/>
      <c r="U176" s="39" t="str">
        <f aca="false">IF(COUNT(Q176:T176)=0,"",ROUND(AVERAGE(Q176:T176),0))</f>
        <v/>
      </c>
      <c r="V176" s="38" t="str">
        <f aca="false">IF(U176="","",LOOKUP(U176,Impostazioni!$E$4:$E$9,Impostazioni!$F$4:$F$9))</f>
        <v/>
      </c>
      <c r="W176" s="36"/>
      <c r="X176" s="36"/>
      <c r="Y176" s="36"/>
      <c r="Z176" s="36"/>
      <c r="AA176" s="39" t="str">
        <f aca="false">IF(COUNT(W176:Z176)=0,"",ROUND(AVERAGE(W176:Z176),0))</f>
        <v/>
      </c>
      <c r="AB176" s="38" t="str">
        <f aca="false">IF(AA176="","",LOOKUP(AA176,Impostazioni!$E$4:$E$9,Impostazioni!$F$4:$F$9))</f>
        <v/>
      </c>
    </row>
    <row r="177" customFormat="false" ht="21" hidden="false" customHeight="true" outlineLevel="0" collapsed="false">
      <c r="A177" s="33" t="n">
        <v>23</v>
      </c>
      <c r="B177" s="34" t="str">
        <f aca="false">IFERROR(INDEX(Alunni!$C$1:$C$1000,MATCH($A177,Alunni!$A$1:$A$1000,0))&amp;"","")</f>
        <v/>
      </c>
      <c r="C177" s="15"/>
      <c r="D177" s="35"/>
      <c r="E177" s="36"/>
      <c r="F177" s="36"/>
      <c r="G177" s="36"/>
      <c r="H177" s="36"/>
      <c r="I177" s="39" t="str">
        <f aca="false">IF(COUNT(E177:H177)=0,"",ROUND(AVERAGE(E177:H177),0))</f>
        <v/>
      </c>
      <c r="J177" s="38" t="str">
        <f aca="false">IF(I177="","",LOOKUP(I177,Impostazioni!$E$4:$E$9,Impostazioni!$F$4:$F$9))</f>
        <v/>
      </c>
      <c r="K177" s="36"/>
      <c r="L177" s="36"/>
      <c r="M177" s="36"/>
      <c r="N177" s="36"/>
      <c r="O177" s="39" t="str">
        <f aca="false">IF(COUNT(K177:N177)=0,"",ROUND(AVERAGE(K177:N177),0))</f>
        <v/>
      </c>
      <c r="P177" s="38" t="str">
        <f aca="false">IF(O177="","",LOOKUP(O177,Impostazioni!$E$4:$E$9,Impostazioni!$F$4:$F$9))</f>
        <v/>
      </c>
      <c r="Q177" s="36"/>
      <c r="R177" s="36"/>
      <c r="S177" s="36"/>
      <c r="T177" s="36"/>
      <c r="U177" s="39" t="str">
        <f aca="false">IF(COUNT(Q177:T177)=0,"",ROUND(AVERAGE(Q177:T177),0))</f>
        <v/>
      </c>
      <c r="V177" s="38" t="str">
        <f aca="false">IF(U177="","",LOOKUP(U177,Impostazioni!$E$4:$E$9,Impostazioni!$F$4:$F$9))</f>
        <v/>
      </c>
      <c r="W177" s="36"/>
      <c r="X177" s="36"/>
      <c r="Y177" s="36"/>
      <c r="Z177" s="36"/>
      <c r="AA177" s="39" t="str">
        <f aca="false">IF(COUNT(W177:Z177)=0,"",ROUND(AVERAGE(W177:Z177),0))</f>
        <v/>
      </c>
      <c r="AB177" s="38" t="str">
        <f aca="false">IF(AA177="","",LOOKUP(AA177,Impostazioni!$E$4:$E$9,Impostazioni!$F$4:$F$9))</f>
        <v/>
      </c>
    </row>
    <row r="178" customFormat="false" ht="21" hidden="false" customHeight="true" outlineLevel="0" collapsed="false">
      <c r="A178" s="33" t="n">
        <v>24</v>
      </c>
      <c r="B178" s="34" t="str">
        <f aca="false">IFERROR(INDEX(Alunni!$C$1:$C$1000,MATCH($A178,Alunni!$A$1:$A$1000,0))&amp;"","")</f>
        <v/>
      </c>
      <c r="C178" s="15"/>
      <c r="D178" s="35"/>
      <c r="E178" s="36"/>
      <c r="F178" s="36"/>
      <c r="G178" s="36"/>
      <c r="H178" s="36"/>
      <c r="I178" s="39" t="str">
        <f aca="false">IF(COUNT(E178:H178)=0,"",ROUND(AVERAGE(E178:H178),0))</f>
        <v/>
      </c>
      <c r="J178" s="38" t="str">
        <f aca="false">IF(I178="","",LOOKUP(I178,Impostazioni!$E$4:$E$9,Impostazioni!$F$4:$F$9))</f>
        <v/>
      </c>
      <c r="K178" s="36"/>
      <c r="L178" s="36"/>
      <c r="M178" s="36"/>
      <c r="N178" s="36"/>
      <c r="O178" s="39" t="str">
        <f aca="false">IF(COUNT(K178:N178)=0,"",ROUND(AVERAGE(K178:N178),0))</f>
        <v/>
      </c>
      <c r="P178" s="38" t="str">
        <f aca="false">IF(O178="","",LOOKUP(O178,Impostazioni!$E$4:$E$9,Impostazioni!$F$4:$F$9))</f>
        <v/>
      </c>
      <c r="Q178" s="36"/>
      <c r="R178" s="36"/>
      <c r="S178" s="36"/>
      <c r="T178" s="36"/>
      <c r="U178" s="39" t="str">
        <f aca="false">IF(COUNT(Q178:T178)=0,"",ROUND(AVERAGE(Q178:T178),0))</f>
        <v/>
      </c>
      <c r="V178" s="38" t="str">
        <f aca="false">IF(U178="","",LOOKUP(U178,Impostazioni!$E$4:$E$9,Impostazioni!$F$4:$F$9))</f>
        <v/>
      </c>
      <c r="W178" s="36"/>
      <c r="X178" s="36"/>
      <c r="Y178" s="36"/>
      <c r="Z178" s="36"/>
      <c r="AA178" s="39" t="str">
        <f aca="false">IF(COUNT(W178:Z178)=0,"",ROUND(AVERAGE(W178:Z178),0))</f>
        <v/>
      </c>
      <c r="AB178" s="38" t="str">
        <f aca="false">IF(AA178="","",LOOKUP(AA178,Impostazioni!$E$4:$E$9,Impostazioni!$F$4:$F$9))</f>
        <v/>
      </c>
    </row>
    <row r="179" customFormat="false" ht="21" hidden="false" customHeight="true" outlineLevel="0" collapsed="false">
      <c r="A179" s="33" t="n">
        <v>25</v>
      </c>
      <c r="B179" s="34" t="str">
        <f aca="false">IFERROR(INDEX(Alunni!$C$1:$C$1000,MATCH($A179,Alunni!$A$1:$A$1000,0))&amp;"","")</f>
        <v/>
      </c>
      <c r="C179" s="15"/>
      <c r="D179" s="35"/>
      <c r="E179" s="36"/>
      <c r="F179" s="36"/>
      <c r="G179" s="36"/>
      <c r="H179" s="36"/>
      <c r="I179" s="39" t="str">
        <f aca="false">IF(COUNT(E179:H179)=0,"",ROUND(AVERAGE(E179:H179),0))</f>
        <v/>
      </c>
      <c r="J179" s="38" t="str">
        <f aca="false">IF(I179="","",LOOKUP(I179,Impostazioni!$E$4:$E$9,Impostazioni!$F$4:$F$9))</f>
        <v/>
      </c>
      <c r="K179" s="36"/>
      <c r="L179" s="36"/>
      <c r="M179" s="36"/>
      <c r="N179" s="36"/>
      <c r="O179" s="39" t="str">
        <f aca="false">IF(COUNT(K179:N179)=0,"",ROUND(AVERAGE(K179:N179),0))</f>
        <v/>
      </c>
      <c r="P179" s="38" t="str">
        <f aca="false">IF(O179="","",LOOKUP(O179,Impostazioni!$E$4:$E$9,Impostazioni!$F$4:$F$9))</f>
        <v/>
      </c>
      <c r="Q179" s="36"/>
      <c r="R179" s="36"/>
      <c r="S179" s="36"/>
      <c r="T179" s="36"/>
      <c r="U179" s="39" t="str">
        <f aca="false">IF(COUNT(Q179:T179)=0,"",ROUND(AVERAGE(Q179:T179),0))</f>
        <v/>
      </c>
      <c r="V179" s="38" t="str">
        <f aca="false">IF(U179="","",LOOKUP(U179,Impostazioni!$E$4:$E$9,Impostazioni!$F$4:$F$9))</f>
        <v/>
      </c>
      <c r="W179" s="36"/>
      <c r="X179" s="36"/>
      <c r="Y179" s="36"/>
      <c r="Z179" s="36"/>
      <c r="AA179" s="39" t="str">
        <f aca="false">IF(COUNT(W179:Z179)=0,"",ROUND(AVERAGE(W179:Z179),0))</f>
        <v/>
      </c>
      <c r="AB179" s="38" t="str">
        <f aca="false">IF(AA179="","",LOOKUP(AA179,Impostazioni!$E$4:$E$9,Impostazioni!$F$4:$F$9))</f>
        <v/>
      </c>
    </row>
    <row r="180" customFormat="false" ht="21" hidden="false" customHeight="true" outlineLevel="0" collapsed="false">
      <c r="A180" s="33" t="n">
        <v>26</v>
      </c>
      <c r="B180" s="34" t="str">
        <f aca="false">IFERROR(INDEX(Alunni!$C$1:$C$1000,MATCH($A180,Alunni!$A$1:$A$1000,0))&amp;"","")</f>
        <v/>
      </c>
      <c r="C180" s="15"/>
      <c r="D180" s="35"/>
      <c r="E180" s="36"/>
      <c r="F180" s="36"/>
      <c r="G180" s="36"/>
      <c r="H180" s="36"/>
      <c r="I180" s="39" t="str">
        <f aca="false">IF(COUNT(E180:H180)=0,"",ROUND(AVERAGE(E180:H180),0))</f>
        <v/>
      </c>
      <c r="J180" s="38" t="str">
        <f aca="false">IF(I180="","",LOOKUP(I180,Impostazioni!$E$4:$E$9,Impostazioni!$F$4:$F$9))</f>
        <v/>
      </c>
      <c r="K180" s="36"/>
      <c r="L180" s="36"/>
      <c r="M180" s="36"/>
      <c r="N180" s="36"/>
      <c r="O180" s="39" t="str">
        <f aca="false">IF(COUNT(K180:N180)=0,"",ROUND(AVERAGE(K180:N180),0))</f>
        <v/>
      </c>
      <c r="P180" s="38" t="str">
        <f aca="false">IF(O180="","",LOOKUP(O180,Impostazioni!$E$4:$E$9,Impostazioni!$F$4:$F$9))</f>
        <v/>
      </c>
      <c r="Q180" s="36"/>
      <c r="R180" s="36"/>
      <c r="S180" s="36"/>
      <c r="T180" s="36"/>
      <c r="U180" s="39" t="str">
        <f aca="false">IF(COUNT(Q180:T180)=0,"",ROUND(AVERAGE(Q180:T180),0))</f>
        <v/>
      </c>
      <c r="V180" s="38" t="str">
        <f aca="false">IF(U180="","",LOOKUP(U180,Impostazioni!$E$4:$E$9,Impostazioni!$F$4:$F$9))</f>
        <v/>
      </c>
      <c r="W180" s="36"/>
      <c r="X180" s="36"/>
      <c r="Y180" s="36"/>
      <c r="Z180" s="36"/>
      <c r="AA180" s="39" t="str">
        <f aca="false">IF(COUNT(W180:Z180)=0,"",ROUND(AVERAGE(W180:Z180),0))</f>
        <v/>
      </c>
      <c r="AB180" s="38" t="str">
        <f aca="false">IF(AA180="","",LOOKUP(AA180,Impostazioni!$E$4:$E$9,Impostazioni!$F$4:$F$9))</f>
        <v/>
      </c>
    </row>
    <row r="181" customFormat="false" ht="21" hidden="false" customHeight="true" outlineLevel="0" collapsed="false">
      <c r="A181" s="33" t="n">
        <v>27</v>
      </c>
      <c r="B181" s="34" t="str">
        <f aca="false">IFERROR(INDEX(Alunni!$C$1:$C$1000,MATCH($A181,Alunni!$A$1:$A$1000,0))&amp;"","")</f>
        <v/>
      </c>
      <c r="C181" s="15"/>
      <c r="D181" s="35"/>
      <c r="E181" s="36"/>
      <c r="F181" s="36"/>
      <c r="G181" s="36"/>
      <c r="H181" s="36"/>
      <c r="I181" s="39" t="str">
        <f aca="false">IF(COUNT(E181:H181)=0,"",ROUND(AVERAGE(E181:H181),0))</f>
        <v/>
      </c>
      <c r="J181" s="38" t="str">
        <f aca="false">IF(I181="","",LOOKUP(I181,Impostazioni!$E$4:$E$9,Impostazioni!$F$4:$F$9))</f>
        <v/>
      </c>
      <c r="K181" s="36"/>
      <c r="L181" s="36"/>
      <c r="M181" s="36"/>
      <c r="N181" s="36"/>
      <c r="O181" s="39" t="str">
        <f aca="false">IF(COUNT(K181:N181)=0,"",ROUND(AVERAGE(K181:N181),0))</f>
        <v/>
      </c>
      <c r="P181" s="38" t="str">
        <f aca="false">IF(O181="","",LOOKUP(O181,Impostazioni!$E$4:$E$9,Impostazioni!$F$4:$F$9))</f>
        <v/>
      </c>
      <c r="Q181" s="36"/>
      <c r="R181" s="36"/>
      <c r="S181" s="36"/>
      <c r="T181" s="36"/>
      <c r="U181" s="39" t="str">
        <f aca="false">IF(COUNT(Q181:T181)=0,"",ROUND(AVERAGE(Q181:T181),0))</f>
        <v/>
      </c>
      <c r="V181" s="38" t="str">
        <f aca="false">IF(U181="","",LOOKUP(U181,Impostazioni!$E$4:$E$9,Impostazioni!$F$4:$F$9))</f>
        <v/>
      </c>
      <c r="W181" s="36"/>
      <c r="X181" s="36"/>
      <c r="Y181" s="36"/>
      <c r="Z181" s="36"/>
      <c r="AA181" s="39" t="str">
        <f aca="false">IF(COUNT(W181:Z181)=0,"",ROUND(AVERAGE(W181:Z181),0))</f>
        <v/>
      </c>
      <c r="AB181" s="38" t="str">
        <f aca="false">IF(AA181="","",LOOKUP(AA181,Impostazioni!$E$4:$E$9,Impostazioni!$F$4:$F$9))</f>
        <v/>
      </c>
    </row>
    <row r="182" customFormat="false" ht="21" hidden="false" customHeight="true" outlineLevel="0" collapsed="false">
      <c r="A182" s="33" t="n">
        <v>28</v>
      </c>
      <c r="B182" s="34" t="str">
        <f aca="false">IFERROR(INDEX(Alunni!$C$1:$C$1000,MATCH($A182,Alunni!$A$1:$A$1000,0))&amp;"","")</f>
        <v/>
      </c>
      <c r="C182" s="15"/>
      <c r="D182" s="35"/>
      <c r="E182" s="36"/>
      <c r="F182" s="36"/>
      <c r="G182" s="36"/>
      <c r="H182" s="36"/>
      <c r="I182" s="39" t="str">
        <f aca="false">IF(COUNT(E182:H182)=0,"",ROUND(AVERAGE(E182:H182),0))</f>
        <v/>
      </c>
      <c r="J182" s="38" t="str">
        <f aca="false">IF(I182="","",LOOKUP(I182,Impostazioni!$E$4:$E$9,Impostazioni!$F$4:$F$9))</f>
        <v/>
      </c>
      <c r="K182" s="36"/>
      <c r="L182" s="36"/>
      <c r="M182" s="36"/>
      <c r="N182" s="36"/>
      <c r="O182" s="39" t="str">
        <f aca="false">IF(COUNT(K182:N182)=0,"",ROUND(AVERAGE(K182:N182),0))</f>
        <v/>
      </c>
      <c r="P182" s="38" t="str">
        <f aca="false">IF(O182="","",LOOKUP(O182,Impostazioni!$E$4:$E$9,Impostazioni!$F$4:$F$9))</f>
        <v/>
      </c>
      <c r="Q182" s="36"/>
      <c r="R182" s="36"/>
      <c r="S182" s="36"/>
      <c r="T182" s="36"/>
      <c r="U182" s="39" t="str">
        <f aca="false">IF(COUNT(Q182:T182)=0,"",ROUND(AVERAGE(Q182:T182),0))</f>
        <v/>
      </c>
      <c r="V182" s="38" t="str">
        <f aca="false">IF(U182="","",LOOKUP(U182,Impostazioni!$E$4:$E$9,Impostazioni!$F$4:$F$9))</f>
        <v/>
      </c>
      <c r="W182" s="36"/>
      <c r="X182" s="36"/>
      <c r="Y182" s="36"/>
      <c r="Z182" s="36"/>
      <c r="AA182" s="39" t="str">
        <f aca="false">IF(COUNT(W182:Z182)=0,"",ROUND(AVERAGE(W182:Z182),0))</f>
        <v/>
      </c>
      <c r="AB182" s="38" t="str">
        <f aca="false">IF(AA182="","",LOOKUP(AA182,Impostazioni!$E$4:$E$9,Impostazioni!$F$4:$F$9))</f>
        <v/>
      </c>
    </row>
    <row r="183" customFormat="false" ht="21" hidden="false" customHeight="true" outlineLevel="0" collapsed="false">
      <c r="A183" s="33" t="n">
        <v>29</v>
      </c>
      <c r="B183" s="34" t="str">
        <f aca="false">IFERROR(INDEX(Alunni!$C$1:$C$1000,MATCH($A183,Alunni!$A$1:$A$1000,0))&amp;"","")</f>
        <v/>
      </c>
      <c r="C183" s="15"/>
      <c r="D183" s="35"/>
      <c r="E183" s="36"/>
      <c r="F183" s="36"/>
      <c r="G183" s="36"/>
      <c r="H183" s="36"/>
      <c r="I183" s="39" t="str">
        <f aca="false">IF(COUNT(E183:H183)=0,"",ROUND(AVERAGE(E183:H183),0))</f>
        <v/>
      </c>
      <c r="J183" s="38" t="str">
        <f aca="false">IF(I183="","",LOOKUP(I183,Impostazioni!$E$4:$E$9,Impostazioni!$F$4:$F$9))</f>
        <v/>
      </c>
      <c r="K183" s="36"/>
      <c r="L183" s="36"/>
      <c r="M183" s="36"/>
      <c r="N183" s="36"/>
      <c r="O183" s="39" t="str">
        <f aca="false">IF(COUNT(K183:N183)=0,"",ROUND(AVERAGE(K183:N183),0))</f>
        <v/>
      </c>
      <c r="P183" s="38" t="str">
        <f aca="false">IF(O183="","",LOOKUP(O183,Impostazioni!$E$4:$E$9,Impostazioni!$F$4:$F$9))</f>
        <v/>
      </c>
      <c r="Q183" s="36"/>
      <c r="R183" s="36"/>
      <c r="S183" s="36"/>
      <c r="T183" s="36"/>
      <c r="U183" s="39" t="str">
        <f aca="false">IF(COUNT(Q183:T183)=0,"",ROUND(AVERAGE(Q183:T183),0))</f>
        <v/>
      </c>
      <c r="V183" s="38" t="str">
        <f aca="false">IF(U183="","",LOOKUP(U183,Impostazioni!$E$4:$E$9,Impostazioni!$F$4:$F$9))</f>
        <v/>
      </c>
      <c r="W183" s="36"/>
      <c r="X183" s="36"/>
      <c r="Y183" s="36"/>
      <c r="Z183" s="36"/>
      <c r="AA183" s="39" t="str">
        <f aca="false">IF(COUNT(W183:Z183)=0,"",ROUND(AVERAGE(W183:Z183),0))</f>
        <v/>
      </c>
      <c r="AB183" s="38" t="str">
        <f aca="false">IF(AA183="","",LOOKUP(AA183,Impostazioni!$E$4:$E$9,Impostazioni!$F$4:$F$9))</f>
        <v/>
      </c>
    </row>
    <row r="184" customFormat="false" ht="21" hidden="false" customHeight="true" outlineLevel="0" collapsed="false">
      <c r="A184" s="33" t="n">
        <v>30</v>
      </c>
      <c r="B184" s="34" t="str">
        <f aca="false">IFERROR(INDEX(Alunni!$C$1:$C$1000,MATCH($A184,Alunni!$A$1:$A$1000,0))&amp;"","")</f>
        <v/>
      </c>
      <c r="C184" s="15"/>
      <c r="D184" s="35"/>
      <c r="E184" s="36"/>
      <c r="F184" s="36"/>
      <c r="G184" s="36"/>
      <c r="H184" s="36"/>
      <c r="I184" s="39" t="str">
        <f aca="false">IF(COUNT(E184:H184)=0,"",ROUND(AVERAGE(E184:H184),0))</f>
        <v/>
      </c>
      <c r="J184" s="38" t="str">
        <f aca="false">IF(I184="","",LOOKUP(I184,Impostazioni!$E$4:$E$9,Impostazioni!$F$4:$F$9))</f>
        <v/>
      </c>
      <c r="K184" s="36"/>
      <c r="L184" s="36"/>
      <c r="M184" s="36"/>
      <c r="N184" s="36"/>
      <c r="O184" s="39" t="str">
        <f aca="false">IF(COUNT(K184:N184)=0,"",ROUND(AVERAGE(K184:N184),0))</f>
        <v/>
      </c>
      <c r="P184" s="38" t="str">
        <f aca="false">IF(O184="","",LOOKUP(O184,Impostazioni!$E$4:$E$9,Impostazioni!$F$4:$F$9))</f>
        <v/>
      </c>
      <c r="Q184" s="36"/>
      <c r="R184" s="36"/>
      <c r="S184" s="36"/>
      <c r="T184" s="36"/>
      <c r="U184" s="39" t="str">
        <f aca="false">IF(COUNT(Q184:T184)=0,"",ROUND(AVERAGE(Q184:T184),0))</f>
        <v/>
      </c>
      <c r="V184" s="38" t="str">
        <f aca="false">IF(U184="","",LOOKUP(U184,Impostazioni!$E$4:$E$9,Impostazioni!$F$4:$F$9))</f>
        <v/>
      </c>
      <c r="W184" s="36"/>
      <c r="X184" s="36"/>
      <c r="Y184" s="36"/>
      <c r="Z184" s="36"/>
      <c r="AA184" s="39" t="str">
        <f aca="false">IF(COUNT(W184:Z184)=0,"",ROUND(AVERAGE(W184:Z184),0))</f>
        <v/>
      </c>
      <c r="AB184" s="38" t="str">
        <f aca="false">IF(AA184="","",LOOKUP(AA184,Impostazioni!$E$4:$E$9,Impostazioni!$F$4:$F$9))</f>
        <v/>
      </c>
    </row>
    <row r="186" customFormat="false" ht="25.5" hidden="false" customHeight="true" outlineLevel="0" collapsed="false">
      <c r="A186" s="4" t="str">
        <f aca="false">Calendario!B12&amp;"   ·   "&amp;IF(Calendario!G12="","(descrizione da Calendario)",Calendario!G12)&amp;"   ·   "&amp;IF(Calendario!E12="","data da fissare",CHOOSE(WEEKDAY(Calendario!E12,2),"lunedì","martedì","mercoledì","giovedì","venerdì","sabato","domenica")&amp;" "&amp;TEXT(DAY(Calendario!E12),"00")&amp;"/"&amp;TEXT(MONTH(Calendario!E12),"00")&amp;"/"&amp;YEAR(Calendario!E12))</f>
        <v>Q1-G06   ·   (descrizione da Calendario)   ·   data da fissare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customFormat="false" ht="15" hidden="false" customHeight="true" outlineLevel="0" collapsed="false">
      <c r="A187" s="25" t="s">
        <v>80</v>
      </c>
      <c r="B187" s="25"/>
      <c r="C187" s="25"/>
      <c r="D187" s="25"/>
      <c r="E187" s="26" t="str">
        <f aca="false">IF(Calendario!$H$12="","— libero —",Calendario!$H$12&amp;"  "&amp;IFERROR(VLOOKUP(Calendario!$H$12,Impostazioni!$A$25:$J$36,3,FALSE()),""))</f>
        <v>— libero —</v>
      </c>
      <c r="F187" s="26"/>
      <c r="G187" s="26"/>
      <c r="H187" s="26"/>
      <c r="I187" s="26"/>
      <c r="J187" s="26"/>
      <c r="K187" s="26" t="str">
        <f aca="false">IF(Calendario!$I$12="","— libero —",Calendario!$I$12&amp;"  "&amp;IFERROR(VLOOKUP(Calendario!$I$12,Impostazioni!$A$25:$J$36,3,FALSE()),""))</f>
        <v>— libero —</v>
      </c>
      <c r="L187" s="26"/>
      <c r="M187" s="26"/>
      <c r="N187" s="26"/>
      <c r="O187" s="26"/>
      <c r="P187" s="26"/>
      <c r="Q187" s="26" t="str">
        <f aca="false">IF(Calendario!$J$12="","— libero —",Calendario!$J$12&amp;"  "&amp;IFERROR(VLOOKUP(Calendario!$J$12,Impostazioni!$A$25:$J$36,3,FALSE()),""))</f>
        <v>— libero —</v>
      </c>
      <c r="R187" s="26"/>
      <c r="S187" s="26"/>
      <c r="T187" s="26"/>
      <c r="U187" s="26"/>
      <c r="V187" s="26"/>
      <c r="W187" s="26" t="str">
        <f aca="false">IF(Calendario!$K$12="","— libero —",Calendario!$K$12&amp;"  "&amp;IFERROR(VLOOKUP(Calendario!$K$12,Impostazioni!$A$25:$J$36,3,FALSE()),""))</f>
        <v>— libero —</v>
      </c>
      <c r="X187" s="26"/>
      <c r="Y187" s="26"/>
      <c r="Z187" s="26"/>
      <c r="AA187" s="26"/>
      <c r="AB187" s="26"/>
    </row>
    <row r="188" customFormat="false" ht="15" hidden="false" customHeight="true" outlineLevel="0" collapsed="false">
      <c r="A188" s="25" t="s">
        <v>81</v>
      </c>
      <c r="B188" s="25"/>
      <c r="C188" s="25"/>
      <c r="D188" s="25"/>
      <c r="E188" s="27" t="str">
        <f aca="false">IF(Calendario!$H$12="","","Ob. "&amp;IFERROR(VLOOKUP(Calendario!$H$12,Impostazioni!$A$25:$J$36,5,FALSE()),"?")&amp;" · peso "&amp;IF(Calendario!$F$12=2,Impostazioni!$B$11,Impostazioni!$B$10))</f>
        <v/>
      </c>
      <c r="F188" s="27"/>
      <c r="G188" s="27"/>
      <c r="H188" s="27"/>
      <c r="I188" s="27"/>
      <c r="J188" s="27"/>
      <c r="K188" s="27" t="str">
        <f aca="false">IF(Calendario!$I$12="","","Ob. "&amp;IFERROR(VLOOKUP(Calendario!$I$12,Impostazioni!$A$25:$J$36,5,FALSE()),"?")&amp;" · peso "&amp;IF(Calendario!$F$12=2,Impostazioni!$B$11,Impostazioni!$B$10))</f>
        <v/>
      </c>
      <c r="L188" s="27"/>
      <c r="M188" s="27"/>
      <c r="N188" s="27"/>
      <c r="O188" s="27"/>
      <c r="P188" s="27"/>
      <c r="Q188" s="27" t="str">
        <f aca="false">IF(Calendario!$J$12="","","Ob. "&amp;IFERROR(VLOOKUP(Calendario!$J$12,Impostazioni!$A$25:$J$36,5,FALSE()),"?")&amp;" · peso "&amp;IF(Calendario!$F$12=2,Impostazioni!$B$11,Impostazioni!$B$10))</f>
        <v/>
      </c>
      <c r="R188" s="27"/>
      <c r="S188" s="27"/>
      <c r="T188" s="27"/>
      <c r="U188" s="27"/>
      <c r="V188" s="27"/>
      <c r="W188" s="27" t="str">
        <f aca="false">IF(Calendario!$K$12="","","Ob. "&amp;IFERROR(VLOOKUP(Calendario!$K$12,Impostazioni!$A$25:$J$36,5,FALSE()),"?")&amp;" · peso "&amp;IF(Calendario!$F$12=2,Impostazioni!$B$11,Impostazioni!$B$10))</f>
        <v/>
      </c>
      <c r="X188" s="27"/>
      <c r="Y188" s="27"/>
      <c r="Z188" s="27"/>
      <c r="AA188" s="27"/>
      <c r="AB188" s="27"/>
    </row>
    <row r="189" customFormat="false" ht="33.75" hidden="false" customHeight="true" outlineLevel="0" collapsed="false">
      <c r="A189" s="25" t="s">
        <v>82</v>
      </c>
      <c r="B189" s="25"/>
      <c r="C189" s="25"/>
      <c r="D189" s="25"/>
      <c r="E189" s="28" t="str">
        <f aca="false">IF(Calendario!$H$12="","",IFERROR(HYPERLINK("#Rubriche!C"&amp;(MATCH(Calendario!$H$12,Rubriche!$A$1:$A$1000,0)+0),VLOOKUP(Calendario!$H$12,Impostazioni!$A$25:$J$36,7,FALSE())),""))</f>
        <v/>
      </c>
      <c r="F189" s="28" t="str">
        <f aca="false">IF(Calendario!$H$12="","",IFERROR(HYPERLINK("#Rubriche!C"&amp;(MATCH(Calendario!$H$12,Rubriche!$A$1:$A$1000,0)+1),VLOOKUP(Calendario!$H$12,Impostazioni!$A$25:$J$36,8,FALSE())),""))</f>
        <v/>
      </c>
      <c r="G189" s="28" t="str">
        <f aca="false">IF(Calendario!$H$12="","",IFERROR(HYPERLINK("#Rubriche!C"&amp;(MATCH(Calendario!$H$12,Rubriche!$A$1:$A$1000,0)+2),VLOOKUP(Calendario!$H$12,Impostazioni!$A$25:$J$36,9,FALSE())),""))</f>
        <v/>
      </c>
      <c r="H189" s="28" t="str">
        <f aca="false">IF(Calendario!$H$12="","",IFERROR(HYPERLINK("#Rubriche!C"&amp;(MATCH(Calendario!$H$12,Rubriche!$A$1:$A$1000,0)+3),VLOOKUP(Calendario!$H$12,Impostazioni!$A$25:$J$36,10,FALSE())),""))</f>
        <v/>
      </c>
      <c r="I189" s="29"/>
      <c r="J189" s="29"/>
      <c r="K189" s="28" t="str">
        <f aca="false">IF(Calendario!$I$12="","",IFERROR(HYPERLINK("#Rubriche!C"&amp;(MATCH(Calendario!$I$12,Rubriche!$A$1:$A$1000,0)+0),VLOOKUP(Calendario!$I$12,Impostazioni!$A$25:$J$36,7,FALSE())),""))</f>
        <v/>
      </c>
      <c r="L189" s="28" t="str">
        <f aca="false">IF(Calendario!$I$12="","",IFERROR(HYPERLINK("#Rubriche!C"&amp;(MATCH(Calendario!$I$12,Rubriche!$A$1:$A$1000,0)+1),VLOOKUP(Calendario!$I$12,Impostazioni!$A$25:$J$36,8,FALSE())),""))</f>
        <v/>
      </c>
      <c r="M189" s="28" t="str">
        <f aca="false">IF(Calendario!$I$12="","",IFERROR(HYPERLINK("#Rubriche!C"&amp;(MATCH(Calendario!$I$12,Rubriche!$A$1:$A$1000,0)+2),VLOOKUP(Calendario!$I$12,Impostazioni!$A$25:$J$36,9,FALSE())),""))</f>
        <v/>
      </c>
      <c r="N189" s="28" t="str">
        <f aca="false">IF(Calendario!$I$12="","",IFERROR(HYPERLINK("#Rubriche!C"&amp;(MATCH(Calendario!$I$12,Rubriche!$A$1:$A$1000,0)+3),VLOOKUP(Calendario!$I$12,Impostazioni!$A$25:$J$36,10,FALSE())),""))</f>
        <v/>
      </c>
      <c r="O189" s="29"/>
      <c r="P189" s="29"/>
      <c r="Q189" s="28" t="str">
        <f aca="false">IF(Calendario!$J$12="","",IFERROR(HYPERLINK("#Rubriche!C"&amp;(MATCH(Calendario!$J$12,Rubriche!$A$1:$A$1000,0)+0),VLOOKUP(Calendario!$J$12,Impostazioni!$A$25:$J$36,7,FALSE())),""))</f>
        <v/>
      </c>
      <c r="R189" s="28" t="str">
        <f aca="false">IF(Calendario!$J$12="","",IFERROR(HYPERLINK("#Rubriche!C"&amp;(MATCH(Calendario!$J$12,Rubriche!$A$1:$A$1000,0)+1),VLOOKUP(Calendario!$J$12,Impostazioni!$A$25:$J$36,8,FALSE())),""))</f>
        <v/>
      </c>
      <c r="S189" s="28" t="str">
        <f aca="false">IF(Calendario!$J$12="","",IFERROR(HYPERLINK("#Rubriche!C"&amp;(MATCH(Calendario!$J$12,Rubriche!$A$1:$A$1000,0)+2),VLOOKUP(Calendario!$J$12,Impostazioni!$A$25:$J$36,9,FALSE())),""))</f>
        <v/>
      </c>
      <c r="T189" s="28" t="str">
        <f aca="false">IF(Calendario!$J$12="","",IFERROR(HYPERLINK("#Rubriche!C"&amp;(MATCH(Calendario!$J$12,Rubriche!$A$1:$A$1000,0)+3),VLOOKUP(Calendario!$J$12,Impostazioni!$A$25:$J$36,10,FALSE())),""))</f>
        <v/>
      </c>
      <c r="U189" s="29"/>
      <c r="V189" s="29"/>
      <c r="W189" s="28" t="str">
        <f aca="false">IF(Calendario!$K$12="","",IFERROR(HYPERLINK("#Rubriche!C"&amp;(MATCH(Calendario!$K$12,Rubriche!$A$1:$A$1000,0)+0),VLOOKUP(Calendario!$K$12,Impostazioni!$A$25:$J$36,7,FALSE())),""))</f>
        <v/>
      </c>
      <c r="X189" s="28" t="str">
        <f aca="false">IF(Calendario!$K$12="","",IFERROR(HYPERLINK("#Rubriche!C"&amp;(MATCH(Calendario!$K$12,Rubriche!$A$1:$A$1000,0)+1),VLOOKUP(Calendario!$K$12,Impostazioni!$A$25:$J$36,8,FALSE())),""))</f>
        <v/>
      </c>
      <c r="Y189" s="28" t="str">
        <f aca="false">IF(Calendario!$K$12="","",IFERROR(HYPERLINK("#Rubriche!C"&amp;(MATCH(Calendario!$K$12,Rubriche!$A$1:$A$1000,0)+2),VLOOKUP(Calendario!$K$12,Impostazioni!$A$25:$J$36,9,FALSE())),""))</f>
        <v/>
      </c>
      <c r="Z189" s="28" t="str">
        <f aca="false">IF(Calendario!$K$12="","",IFERROR(HYPERLINK("#Rubriche!C"&amp;(MATCH(Calendario!$K$12,Rubriche!$A$1:$A$1000,0)+3),VLOOKUP(Calendario!$K$12,Impostazioni!$A$25:$J$36,10,FALSE())),""))</f>
        <v/>
      </c>
      <c r="AA189" s="29"/>
      <c r="AB189" s="29"/>
    </row>
    <row r="190" customFormat="false" ht="25.5" hidden="false" customHeight="true" outlineLevel="0" collapsed="false">
      <c r="A190" s="8" t="s">
        <v>65</v>
      </c>
      <c r="B190" s="8" t="s">
        <v>83</v>
      </c>
      <c r="C190" s="8" t="s">
        <v>68</v>
      </c>
      <c r="D190" s="8" t="s">
        <v>84</v>
      </c>
      <c r="E190" s="30" t="s">
        <v>85</v>
      </c>
      <c r="F190" s="30" t="s">
        <v>86</v>
      </c>
      <c r="G190" s="30" t="s">
        <v>87</v>
      </c>
      <c r="H190" s="30" t="s">
        <v>88</v>
      </c>
      <c r="I190" s="31" t="s">
        <v>89</v>
      </c>
      <c r="J190" s="32" t="s">
        <v>90</v>
      </c>
      <c r="K190" s="30" t="s">
        <v>85</v>
      </c>
      <c r="L190" s="30" t="s">
        <v>86</v>
      </c>
      <c r="M190" s="30" t="s">
        <v>87</v>
      </c>
      <c r="N190" s="30" t="s">
        <v>88</v>
      </c>
      <c r="O190" s="31" t="s">
        <v>89</v>
      </c>
      <c r="P190" s="32" t="s">
        <v>90</v>
      </c>
      <c r="Q190" s="30" t="s">
        <v>85</v>
      </c>
      <c r="R190" s="30" t="s">
        <v>86</v>
      </c>
      <c r="S190" s="30" t="s">
        <v>87</v>
      </c>
      <c r="T190" s="30" t="s">
        <v>88</v>
      </c>
      <c r="U190" s="31" t="s">
        <v>89</v>
      </c>
      <c r="V190" s="32" t="s">
        <v>90</v>
      </c>
      <c r="W190" s="30" t="s">
        <v>85</v>
      </c>
      <c r="X190" s="30" t="s">
        <v>86</v>
      </c>
      <c r="Y190" s="30" t="s">
        <v>87</v>
      </c>
      <c r="Z190" s="30" t="s">
        <v>88</v>
      </c>
      <c r="AA190" s="31" t="s">
        <v>89</v>
      </c>
      <c r="AB190" s="32" t="s">
        <v>90</v>
      </c>
    </row>
    <row r="191" customFormat="false" ht="21" hidden="false" customHeight="true" outlineLevel="0" collapsed="false">
      <c r="A191" s="33" t="n">
        <v>1</v>
      </c>
      <c r="B191" s="34" t="str">
        <f aca="false">IFERROR(INDEX(Alunni!$C$1:$C$1000,MATCH($A191,Alunni!$A$1:$A$1000,0))&amp;"","")</f>
        <v>Rossi Mario (esempio)</v>
      </c>
      <c r="C191" s="15"/>
      <c r="D191" s="35"/>
      <c r="E191" s="36"/>
      <c r="F191" s="36"/>
      <c r="G191" s="36"/>
      <c r="H191" s="36"/>
      <c r="I191" s="39" t="str">
        <f aca="false">IF(COUNT(E191:H191)=0,"",ROUND(AVERAGE(E191:H191),0))</f>
        <v/>
      </c>
      <c r="J191" s="38" t="str">
        <f aca="false">IF(I191="","",LOOKUP(I191,Impostazioni!$E$4:$E$9,Impostazioni!$F$4:$F$9))</f>
        <v/>
      </c>
      <c r="K191" s="36"/>
      <c r="L191" s="36"/>
      <c r="M191" s="36"/>
      <c r="N191" s="36"/>
      <c r="O191" s="39" t="str">
        <f aca="false">IF(COUNT(K191:N191)=0,"",ROUND(AVERAGE(K191:N191),0))</f>
        <v/>
      </c>
      <c r="P191" s="38" t="str">
        <f aca="false">IF(O191="","",LOOKUP(O191,Impostazioni!$E$4:$E$9,Impostazioni!$F$4:$F$9))</f>
        <v/>
      </c>
      <c r="Q191" s="36"/>
      <c r="R191" s="36"/>
      <c r="S191" s="36"/>
      <c r="T191" s="36"/>
      <c r="U191" s="39" t="str">
        <f aca="false">IF(COUNT(Q191:T191)=0,"",ROUND(AVERAGE(Q191:T191),0))</f>
        <v/>
      </c>
      <c r="V191" s="38" t="str">
        <f aca="false">IF(U191="","",LOOKUP(U191,Impostazioni!$E$4:$E$9,Impostazioni!$F$4:$F$9))</f>
        <v/>
      </c>
      <c r="W191" s="36"/>
      <c r="X191" s="36"/>
      <c r="Y191" s="36"/>
      <c r="Z191" s="36"/>
      <c r="AA191" s="39" t="str">
        <f aca="false">IF(COUNT(W191:Z191)=0,"",ROUND(AVERAGE(W191:Z191),0))</f>
        <v/>
      </c>
      <c r="AB191" s="38" t="str">
        <f aca="false">IF(AA191="","",LOOKUP(AA191,Impostazioni!$E$4:$E$9,Impostazioni!$F$4:$F$9))</f>
        <v/>
      </c>
    </row>
    <row r="192" customFormat="false" ht="21" hidden="false" customHeight="true" outlineLevel="0" collapsed="false">
      <c r="A192" s="33" t="n">
        <v>2</v>
      </c>
      <c r="B192" s="34" t="str">
        <f aca="false">IFERROR(INDEX(Alunni!$C$1:$C$1000,MATCH($A192,Alunni!$A$1:$A$1000,0))&amp;"","")</f>
        <v>Bianchi Anna (esempio)</v>
      </c>
      <c r="C192" s="15"/>
      <c r="D192" s="35"/>
      <c r="E192" s="36"/>
      <c r="F192" s="36"/>
      <c r="G192" s="36"/>
      <c r="H192" s="36"/>
      <c r="I192" s="39" t="str">
        <f aca="false">IF(COUNT(E192:H192)=0,"",ROUND(AVERAGE(E192:H192),0))</f>
        <v/>
      </c>
      <c r="J192" s="38" t="str">
        <f aca="false">IF(I192="","",LOOKUP(I192,Impostazioni!$E$4:$E$9,Impostazioni!$F$4:$F$9))</f>
        <v/>
      </c>
      <c r="K192" s="36"/>
      <c r="L192" s="36"/>
      <c r="M192" s="36"/>
      <c r="N192" s="36"/>
      <c r="O192" s="39" t="str">
        <f aca="false">IF(COUNT(K192:N192)=0,"",ROUND(AVERAGE(K192:N192),0))</f>
        <v/>
      </c>
      <c r="P192" s="38" t="str">
        <f aca="false">IF(O192="","",LOOKUP(O192,Impostazioni!$E$4:$E$9,Impostazioni!$F$4:$F$9))</f>
        <v/>
      </c>
      <c r="Q192" s="36"/>
      <c r="R192" s="36"/>
      <c r="S192" s="36"/>
      <c r="T192" s="36"/>
      <c r="U192" s="39" t="str">
        <f aca="false">IF(COUNT(Q192:T192)=0,"",ROUND(AVERAGE(Q192:T192),0))</f>
        <v/>
      </c>
      <c r="V192" s="38" t="str">
        <f aca="false">IF(U192="","",LOOKUP(U192,Impostazioni!$E$4:$E$9,Impostazioni!$F$4:$F$9))</f>
        <v/>
      </c>
      <c r="W192" s="36"/>
      <c r="X192" s="36"/>
      <c r="Y192" s="36"/>
      <c r="Z192" s="36"/>
      <c r="AA192" s="39" t="str">
        <f aca="false">IF(COUNT(W192:Z192)=0,"",ROUND(AVERAGE(W192:Z192),0))</f>
        <v/>
      </c>
      <c r="AB192" s="38" t="str">
        <f aca="false">IF(AA192="","",LOOKUP(AA192,Impostazioni!$E$4:$E$9,Impostazioni!$F$4:$F$9))</f>
        <v/>
      </c>
    </row>
    <row r="193" customFormat="false" ht="21" hidden="false" customHeight="true" outlineLevel="0" collapsed="false">
      <c r="A193" s="33" t="n">
        <v>3</v>
      </c>
      <c r="B193" s="34" t="str">
        <f aca="false">IFERROR(INDEX(Alunni!$C$1:$C$1000,MATCH($A193,Alunni!$A$1:$A$1000,0))&amp;"","")</f>
        <v>Verdi Luca (esempio)</v>
      </c>
      <c r="C193" s="15"/>
      <c r="D193" s="35"/>
      <c r="E193" s="36"/>
      <c r="F193" s="36"/>
      <c r="G193" s="36"/>
      <c r="H193" s="36"/>
      <c r="I193" s="39" t="str">
        <f aca="false">IF(COUNT(E193:H193)=0,"",ROUND(AVERAGE(E193:H193),0))</f>
        <v/>
      </c>
      <c r="J193" s="38" t="str">
        <f aca="false">IF(I193="","",LOOKUP(I193,Impostazioni!$E$4:$E$9,Impostazioni!$F$4:$F$9))</f>
        <v/>
      </c>
      <c r="K193" s="36"/>
      <c r="L193" s="36"/>
      <c r="M193" s="36"/>
      <c r="N193" s="36"/>
      <c r="O193" s="39" t="str">
        <f aca="false">IF(COUNT(K193:N193)=0,"",ROUND(AVERAGE(K193:N193),0))</f>
        <v/>
      </c>
      <c r="P193" s="38" t="str">
        <f aca="false">IF(O193="","",LOOKUP(O193,Impostazioni!$E$4:$E$9,Impostazioni!$F$4:$F$9))</f>
        <v/>
      </c>
      <c r="Q193" s="36"/>
      <c r="R193" s="36"/>
      <c r="S193" s="36"/>
      <c r="T193" s="36"/>
      <c r="U193" s="39" t="str">
        <f aca="false">IF(COUNT(Q193:T193)=0,"",ROUND(AVERAGE(Q193:T193),0))</f>
        <v/>
      </c>
      <c r="V193" s="38" t="str">
        <f aca="false">IF(U193="","",LOOKUP(U193,Impostazioni!$E$4:$E$9,Impostazioni!$F$4:$F$9))</f>
        <v/>
      </c>
      <c r="W193" s="36"/>
      <c r="X193" s="36"/>
      <c r="Y193" s="36"/>
      <c r="Z193" s="36"/>
      <c r="AA193" s="39" t="str">
        <f aca="false">IF(COUNT(W193:Z193)=0,"",ROUND(AVERAGE(W193:Z193),0))</f>
        <v/>
      </c>
      <c r="AB193" s="38" t="str">
        <f aca="false">IF(AA193="","",LOOKUP(AA193,Impostazioni!$E$4:$E$9,Impostazioni!$F$4:$F$9))</f>
        <v/>
      </c>
    </row>
    <row r="194" customFormat="false" ht="21" hidden="false" customHeight="true" outlineLevel="0" collapsed="false">
      <c r="A194" s="33" t="n">
        <v>4</v>
      </c>
      <c r="B194" s="34" t="str">
        <f aca="false">IFERROR(INDEX(Alunni!$C$1:$C$1000,MATCH($A194,Alunni!$A$1:$A$1000,0))&amp;"","")</f>
        <v/>
      </c>
      <c r="C194" s="15"/>
      <c r="D194" s="35"/>
      <c r="E194" s="36"/>
      <c r="F194" s="36"/>
      <c r="G194" s="36"/>
      <c r="H194" s="36"/>
      <c r="I194" s="39" t="str">
        <f aca="false">IF(COUNT(E194:H194)=0,"",ROUND(AVERAGE(E194:H194),0))</f>
        <v/>
      </c>
      <c r="J194" s="38" t="str">
        <f aca="false">IF(I194="","",LOOKUP(I194,Impostazioni!$E$4:$E$9,Impostazioni!$F$4:$F$9))</f>
        <v/>
      </c>
      <c r="K194" s="36"/>
      <c r="L194" s="36"/>
      <c r="M194" s="36"/>
      <c r="N194" s="36"/>
      <c r="O194" s="39" t="str">
        <f aca="false">IF(COUNT(K194:N194)=0,"",ROUND(AVERAGE(K194:N194),0))</f>
        <v/>
      </c>
      <c r="P194" s="38" t="str">
        <f aca="false">IF(O194="","",LOOKUP(O194,Impostazioni!$E$4:$E$9,Impostazioni!$F$4:$F$9))</f>
        <v/>
      </c>
      <c r="Q194" s="36"/>
      <c r="R194" s="36"/>
      <c r="S194" s="36"/>
      <c r="T194" s="36"/>
      <c r="U194" s="39" t="str">
        <f aca="false">IF(COUNT(Q194:T194)=0,"",ROUND(AVERAGE(Q194:T194),0))</f>
        <v/>
      </c>
      <c r="V194" s="38" t="str">
        <f aca="false">IF(U194="","",LOOKUP(U194,Impostazioni!$E$4:$E$9,Impostazioni!$F$4:$F$9))</f>
        <v/>
      </c>
      <c r="W194" s="36"/>
      <c r="X194" s="36"/>
      <c r="Y194" s="36"/>
      <c r="Z194" s="36"/>
      <c r="AA194" s="39" t="str">
        <f aca="false">IF(COUNT(W194:Z194)=0,"",ROUND(AVERAGE(W194:Z194),0))</f>
        <v/>
      </c>
      <c r="AB194" s="38" t="str">
        <f aca="false">IF(AA194="","",LOOKUP(AA194,Impostazioni!$E$4:$E$9,Impostazioni!$F$4:$F$9))</f>
        <v/>
      </c>
    </row>
    <row r="195" customFormat="false" ht="21" hidden="false" customHeight="true" outlineLevel="0" collapsed="false">
      <c r="A195" s="33" t="n">
        <v>5</v>
      </c>
      <c r="B195" s="34" t="str">
        <f aca="false">IFERROR(INDEX(Alunni!$C$1:$C$1000,MATCH($A195,Alunni!$A$1:$A$1000,0))&amp;"","")</f>
        <v/>
      </c>
      <c r="C195" s="15"/>
      <c r="D195" s="35"/>
      <c r="E195" s="36"/>
      <c r="F195" s="36"/>
      <c r="G195" s="36"/>
      <c r="H195" s="36"/>
      <c r="I195" s="39" t="str">
        <f aca="false">IF(COUNT(E195:H195)=0,"",ROUND(AVERAGE(E195:H195),0))</f>
        <v/>
      </c>
      <c r="J195" s="38" t="str">
        <f aca="false">IF(I195="","",LOOKUP(I195,Impostazioni!$E$4:$E$9,Impostazioni!$F$4:$F$9))</f>
        <v/>
      </c>
      <c r="K195" s="36"/>
      <c r="L195" s="36"/>
      <c r="M195" s="36"/>
      <c r="N195" s="36"/>
      <c r="O195" s="39" t="str">
        <f aca="false">IF(COUNT(K195:N195)=0,"",ROUND(AVERAGE(K195:N195),0))</f>
        <v/>
      </c>
      <c r="P195" s="38" t="str">
        <f aca="false">IF(O195="","",LOOKUP(O195,Impostazioni!$E$4:$E$9,Impostazioni!$F$4:$F$9))</f>
        <v/>
      </c>
      <c r="Q195" s="36"/>
      <c r="R195" s="36"/>
      <c r="S195" s="36"/>
      <c r="T195" s="36"/>
      <c r="U195" s="39" t="str">
        <f aca="false">IF(COUNT(Q195:T195)=0,"",ROUND(AVERAGE(Q195:T195),0))</f>
        <v/>
      </c>
      <c r="V195" s="38" t="str">
        <f aca="false">IF(U195="","",LOOKUP(U195,Impostazioni!$E$4:$E$9,Impostazioni!$F$4:$F$9))</f>
        <v/>
      </c>
      <c r="W195" s="36"/>
      <c r="X195" s="36"/>
      <c r="Y195" s="36"/>
      <c r="Z195" s="36"/>
      <c r="AA195" s="39" t="str">
        <f aca="false">IF(COUNT(W195:Z195)=0,"",ROUND(AVERAGE(W195:Z195),0))</f>
        <v/>
      </c>
      <c r="AB195" s="38" t="str">
        <f aca="false">IF(AA195="","",LOOKUP(AA195,Impostazioni!$E$4:$E$9,Impostazioni!$F$4:$F$9))</f>
        <v/>
      </c>
    </row>
    <row r="196" customFormat="false" ht="21" hidden="false" customHeight="true" outlineLevel="0" collapsed="false">
      <c r="A196" s="33" t="n">
        <v>6</v>
      </c>
      <c r="B196" s="34" t="str">
        <f aca="false">IFERROR(INDEX(Alunni!$C$1:$C$1000,MATCH($A196,Alunni!$A$1:$A$1000,0))&amp;"","")</f>
        <v/>
      </c>
      <c r="C196" s="15"/>
      <c r="D196" s="35"/>
      <c r="E196" s="36"/>
      <c r="F196" s="36"/>
      <c r="G196" s="36"/>
      <c r="H196" s="36"/>
      <c r="I196" s="39" t="str">
        <f aca="false">IF(COUNT(E196:H196)=0,"",ROUND(AVERAGE(E196:H196),0))</f>
        <v/>
      </c>
      <c r="J196" s="38" t="str">
        <f aca="false">IF(I196="","",LOOKUP(I196,Impostazioni!$E$4:$E$9,Impostazioni!$F$4:$F$9))</f>
        <v/>
      </c>
      <c r="K196" s="36"/>
      <c r="L196" s="36"/>
      <c r="M196" s="36"/>
      <c r="N196" s="36"/>
      <c r="O196" s="39" t="str">
        <f aca="false">IF(COUNT(K196:N196)=0,"",ROUND(AVERAGE(K196:N196),0))</f>
        <v/>
      </c>
      <c r="P196" s="38" t="str">
        <f aca="false">IF(O196="","",LOOKUP(O196,Impostazioni!$E$4:$E$9,Impostazioni!$F$4:$F$9))</f>
        <v/>
      </c>
      <c r="Q196" s="36"/>
      <c r="R196" s="36"/>
      <c r="S196" s="36"/>
      <c r="T196" s="36"/>
      <c r="U196" s="39" t="str">
        <f aca="false">IF(COUNT(Q196:T196)=0,"",ROUND(AVERAGE(Q196:T196),0))</f>
        <v/>
      </c>
      <c r="V196" s="38" t="str">
        <f aca="false">IF(U196="","",LOOKUP(U196,Impostazioni!$E$4:$E$9,Impostazioni!$F$4:$F$9))</f>
        <v/>
      </c>
      <c r="W196" s="36"/>
      <c r="X196" s="36"/>
      <c r="Y196" s="36"/>
      <c r="Z196" s="36"/>
      <c r="AA196" s="39" t="str">
        <f aca="false">IF(COUNT(W196:Z196)=0,"",ROUND(AVERAGE(W196:Z196),0))</f>
        <v/>
      </c>
      <c r="AB196" s="38" t="str">
        <f aca="false">IF(AA196="","",LOOKUP(AA196,Impostazioni!$E$4:$E$9,Impostazioni!$F$4:$F$9))</f>
        <v/>
      </c>
    </row>
    <row r="197" customFormat="false" ht="21" hidden="false" customHeight="true" outlineLevel="0" collapsed="false">
      <c r="A197" s="33" t="n">
        <v>7</v>
      </c>
      <c r="B197" s="34" t="str">
        <f aca="false">IFERROR(INDEX(Alunni!$C$1:$C$1000,MATCH($A197,Alunni!$A$1:$A$1000,0))&amp;"","")</f>
        <v/>
      </c>
      <c r="C197" s="15"/>
      <c r="D197" s="35"/>
      <c r="E197" s="36"/>
      <c r="F197" s="36"/>
      <c r="G197" s="36"/>
      <c r="H197" s="36"/>
      <c r="I197" s="39" t="str">
        <f aca="false">IF(COUNT(E197:H197)=0,"",ROUND(AVERAGE(E197:H197),0))</f>
        <v/>
      </c>
      <c r="J197" s="38" t="str">
        <f aca="false">IF(I197="","",LOOKUP(I197,Impostazioni!$E$4:$E$9,Impostazioni!$F$4:$F$9))</f>
        <v/>
      </c>
      <c r="K197" s="36"/>
      <c r="L197" s="36"/>
      <c r="M197" s="36"/>
      <c r="N197" s="36"/>
      <c r="O197" s="39" t="str">
        <f aca="false">IF(COUNT(K197:N197)=0,"",ROUND(AVERAGE(K197:N197),0))</f>
        <v/>
      </c>
      <c r="P197" s="38" t="str">
        <f aca="false">IF(O197="","",LOOKUP(O197,Impostazioni!$E$4:$E$9,Impostazioni!$F$4:$F$9))</f>
        <v/>
      </c>
      <c r="Q197" s="36"/>
      <c r="R197" s="36"/>
      <c r="S197" s="36"/>
      <c r="T197" s="36"/>
      <c r="U197" s="39" t="str">
        <f aca="false">IF(COUNT(Q197:T197)=0,"",ROUND(AVERAGE(Q197:T197),0))</f>
        <v/>
      </c>
      <c r="V197" s="38" t="str">
        <f aca="false">IF(U197="","",LOOKUP(U197,Impostazioni!$E$4:$E$9,Impostazioni!$F$4:$F$9))</f>
        <v/>
      </c>
      <c r="W197" s="36"/>
      <c r="X197" s="36"/>
      <c r="Y197" s="36"/>
      <c r="Z197" s="36"/>
      <c r="AA197" s="39" t="str">
        <f aca="false">IF(COUNT(W197:Z197)=0,"",ROUND(AVERAGE(W197:Z197),0))</f>
        <v/>
      </c>
      <c r="AB197" s="38" t="str">
        <f aca="false">IF(AA197="","",LOOKUP(AA197,Impostazioni!$E$4:$E$9,Impostazioni!$F$4:$F$9))</f>
        <v/>
      </c>
    </row>
    <row r="198" customFormat="false" ht="21" hidden="false" customHeight="true" outlineLevel="0" collapsed="false">
      <c r="A198" s="33" t="n">
        <v>8</v>
      </c>
      <c r="B198" s="34" t="str">
        <f aca="false">IFERROR(INDEX(Alunni!$C$1:$C$1000,MATCH($A198,Alunni!$A$1:$A$1000,0))&amp;"","")</f>
        <v/>
      </c>
      <c r="C198" s="15"/>
      <c r="D198" s="35"/>
      <c r="E198" s="36"/>
      <c r="F198" s="36"/>
      <c r="G198" s="36"/>
      <c r="H198" s="36"/>
      <c r="I198" s="39" t="str">
        <f aca="false">IF(COUNT(E198:H198)=0,"",ROUND(AVERAGE(E198:H198),0))</f>
        <v/>
      </c>
      <c r="J198" s="38" t="str">
        <f aca="false">IF(I198="","",LOOKUP(I198,Impostazioni!$E$4:$E$9,Impostazioni!$F$4:$F$9))</f>
        <v/>
      </c>
      <c r="K198" s="36"/>
      <c r="L198" s="36"/>
      <c r="M198" s="36"/>
      <c r="N198" s="36"/>
      <c r="O198" s="39" t="str">
        <f aca="false">IF(COUNT(K198:N198)=0,"",ROUND(AVERAGE(K198:N198),0))</f>
        <v/>
      </c>
      <c r="P198" s="38" t="str">
        <f aca="false">IF(O198="","",LOOKUP(O198,Impostazioni!$E$4:$E$9,Impostazioni!$F$4:$F$9))</f>
        <v/>
      </c>
      <c r="Q198" s="36"/>
      <c r="R198" s="36"/>
      <c r="S198" s="36"/>
      <c r="T198" s="36"/>
      <c r="U198" s="39" t="str">
        <f aca="false">IF(COUNT(Q198:T198)=0,"",ROUND(AVERAGE(Q198:T198),0))</f>
        <v/>
      </c>
      <c r="V198" s="38" t="str">
        <f aca="false">IF(U198="","",LOOKUP(U198,Impostazioni!$E$4:$E$9,Impostazioni!$F$4:$F$9))</f>
        <v/>
      </c>
      <c r="W198" s="36"/>
      <c r="X198" s="36"/>
      <c r="Y198" s="36"/>
      <c r="Z198" s="36"/>
      <c r="AA198" s="39" t="str">
        <f aca="false">IF(COUNT(W198:Z198)=0,"",ROUND(AVERAGE(W198:Z198),0))</f>
        <v/>
      </c>
      <c r="AB198" s="38" t="str">
        <f aca="false">IF(AA198="","",LOOKUP(AA198,Impostazioni!$E$4:$E$9,Impostazioni!$F$4:$F$9))</f>
        <v/>
      </c>
    </row>
    <row r="199" customFormat="false" ht="21" hidden="false" customHeight="true" outlineLevel="0" collapsed="false">
      <c r="A199" s="33" t="n">
        <v>9</v>
      </c>
      <c r="B199" s="34" t="str">
        <f aca="false">IFERROR(INDEX(Alunni!$C$1:$C$1000,MATCH($A199,Alunni!$A$1:$A$1000,0))&amp;"","")</f>
        <v/>
      </c>
      <c r="C199" s="15"/>
      <c r="D199" s="35"/>
      <c r="E199" s="36"/>
      <c r="F199" s="36"/>
      <c r="G199" s="36"/>
      <c r="H199" s="36"/>
      <c r="I199" s="39" t="str">
        <f aca="false">IF(COUNT(E199:H199)=0,"",ROUND(AVERAGE(E199:H199),0))</f>
        <v/>
      </c>
      <c r="J199" s="38" t="str">
        <f aca="false">IF(I199="","",LOOKUP(I199,Impostazioni!$E$4:$E$9,Impostazioni!$F$4:$F$9))</f>
        <v/>
      </c>
      <c r="K199" s="36"/>
      <c r="L199" s="36"/>
      <c r="M199" s="36"/>
      <c r="N199" s="36"/>
      <c r="O199" s="39" t="str">
        <f aca="false">IF(COUNT(K199:N199)=0,"",ROUND(AVERAGE(K199:N199),0))</f>
        <v/>
      </c>
      <c r="P199" s="38" t="str">
        <f aca="false">IF(O199="","",LOOKUP(O199,Impostazioni!$E$4:$E$9,Impostazioni!$F$4:$F$9))</f>
        <v/>
      </c>
      <c r="Q199" s="36"/>
      <c r="R199" s="36"/>
      <c r="S199" s="36"/>
      <c r="T199" s="36"/>
      <c r="U199" s="39" t="str">
        <f aca="false">IF(COUNT(Q199:T199)=0,"",ROUND(AVERAGE(Q199:T199),0))</f>
        <v/>
      </c>
      <c r="V199" s="38" t="str">
        <f aca="false">IF(U199="","",LOOKUP(U199,Impostazioni!$E$4:$E$9,Impostazioni!$F$4:$F$9))</f>
        <v/>
      </c>
      <c r="W199" s="36"/>
      <c r="X199" s="36"/>
      <c r="Y199" s="36"/>
      <c r="Z199" s="36"/>
      <c r="AA199" s="39" t="str">
        <f aca="false">IF(COUNT(W199:Z199)=0,"",ROUND(AVERAGE(W199:Z199),0))</f>
        <v/>
      </c>
      <c r="AB199" s="38" t="str">
        <f aca="false">IF(AA199="","",LOOKUP(AA199,Impostazioni!$E$4:$E$9,Impostazioni!$F$4:$F$9))</f>
        <v/>
      </c>
    </row>
    <row r="200" customFormat="false" ht="21" hidden="false" customHeight="true" outlineLevel="0" collapsed="false">
      <c r="A200" s="33" t="n">
        <v>10</v>
      </c>
      <c r="B200" s="34" t="str">
        <f aca="false">IFERROR(INDEX(Alunni!$C$1:$C$1000,MATCH($A200,Alunni!$A$1:$A$1000,0))&amp;"","")</f>
        <v/>
      </c>
      <c r="C200" s="15"/>
      <c r="D200" s="35"/>
      <c r="E200" s="36"/>
      <c r="F200" s="36"/>
      <c r="G200" s="36"/>
      <c r="H200" s="36"/>
      <c r="I200" s="39" t="str">
        <f aca="false">IF(COUNT(E200:H200)=0,"",ROUND(AVERAGE(E200:H200),0))</f>
        <v/>
      </c>
      <c r="J200" s="38" t="str">
        <f aca="false">IF(I200="","",LOOKUP(I200,Impostazioni!$E$4:$E$9,Impostazioni!$F$4:$F$9))</f>
        <v/>
      </c>
      <c r="K200" s="36"/>
      <c r="L200" s="36"/>
      <c r="M200" s="36"/>
      <c r="N200" s="36"/>
      <c r="O200" s="39" t="str">
        <f aca="false">IF(COUNT(K200:N200)=0,"",ROUND(AVERAGE(K200:N200),0))</f>
        <v/>
      </c>
      <c r="P200" s="38" t="str">
        <f aca="false">IF(O200="","",LOOKUP(O200,Impostazioni!$E$4:$E$9,Impostazioni!$F$4:$F$9))</f>
        <v/>
      </c>
      <c r="Q200" s="36"/>
      <c r="R200" s="36"/>
      <c r="S200" s="36"/>
      <c r="T200" s="36"/>
      <c r="U200" s="39" t="str">
        <f aca="false">IF(COUNT(Q200:T200)=0,"",ROUND(AVERAGE(Q200:T200),0))</f>
        <v/>
      </c>
      <c r="V200" s="38" t="str">
        <f aca="false">IF(U200="","",LOOKUP(U200,Impostazioni!$E$4:$E$9,Impostazioni!$F$4:$F$9))</f>
        <v/>
      </c>
      <c r="W200" s="36"/>
      <c r="X200" s="36"/>
      <c r="Y200" s="36"/>
      <c r="Z200" s="36"/>
      <c r="AA200" s="39" t="str">
        <f aca="false">IF(COUNT(W200:Z200)=0,"",ROUND(AVERAGE(W200:Z200),0))</f>
        <v/>
      </c>
      <c r="AB200" s="38" t="str">
        <f aca="false">IF(AA200="","",LOOKUP(AA200,Impostazioni!$E$4:$E$9,Impostazioni!$F$4:$F$9))</f>
        <v/>
      </c>
    </row>
    <row r="201" customFormat="false" ht="21" hidden="false" customHeight="true" outlineLevel="0" collapsed="false">
      <c r="A201" s="33" t="n">
        <v>11</v>
      </c>
      <c r="B201" s="34" t="str">
        <f aca="false">IFERROR(INDEX(Alunni!$C$1:$C$1000,MATCH($A201,Alunni!$A$1:$A$1000,0))&amp;"","")</f>
        <v/>
      </c>
      <c r="C201" s="15"/>
      <c r="D201" s="35"/>
      <c r="E201" s="36"/>
      <c r="F201" s="36"/>
      <c r="G201" s="36"/>
      <c r="H201" s="36"/>
      <c r="I201" s="39" t="str">
        <f aca="false">IF(COUNT(E201:H201)=0,"",ROUND(AVERAGE(E201:H201),0))</f>
        <v/>
      </c>
      <c r="J201" s="38" t="str">
        <f aca="false">IF(I201="","",LOOKUP(I201,Impostazioni!$E$4:$E$9,Impostazioni!$F$4:$F$9))</f>
        <v/>
      </c>
      <c r="K201" s="36"/>
      <c r="L201" s="36"/>
      <c r="M201" s="36"/>
      <c r="N201" s="36"/>
      <c r="O201" s="39" t="str">
        <f aca="false">IF(COUNT(K201:N201)=0,"",ROUND(AVERAGE(K201:N201),0))</f>
        <v/>
      </c>
      <c r="P201" s="38" t="str">
        <f aca="false">IF(O201="","",LOOKUP(O201,Impostazioni!$E$4:$E$9,Impostazioni!$F$4:$F$9))</f>
        <v/>
      </c>
      <c r="Q201" s="36"/>
      <c r="R201" s="36"/>
      <c r="S201" s="36"/>
      <c r="T201" s="36"/>
      <c r="U201" s="39" t="str">
        <f aca="false">IF(COUNT(Q201:T201)=0,"",ROUND(AVERAGE(Q201:T201),0))</f>
        <v/>
      </c>
      <c r="V201" s="38" t="str">
        <f aca="false">IF(U201="","",LOOKUP(U201,Impostazioni!$E$4:$E$9,Impostazioni!$F$4:$F$9))</f>
        <v/>
      </c>
      <c r="W201" s="36"/>
      <c r="X201" s="36"/>
      <c r="Y201" s="36"/>
      <c r="Z201" s="36"/>
      <c r="AA201" s="39" t="str">
        <f aca="false">IF(COUNT(W201:Z201)=0,"",ROUND(AVERAGE(W201:Z201),0))</f>
        <v/>
      </c>
      <c r="AB201" s="38" t="str">
        <f aca="false">IF(AA201="","",LOOKUP(AA201,Impostazioni!$E$4:$E$9,Impostazioni!$F$4:$F$9))</f>
        <v/>
      </c>
    </row>
    <row r="202" customFormat="false" ht="21" hidden="false" customHeight="true" outlineLevel="0" collapsed="false">
      <c r="A202" s="33" t="n">
        <v>12</v>
      </c>
      <c r="B202" s="34" t="str">
        <f aca="false">IFERROR(INDEX(Alunni!$C$1:$C$1000,MATCH($A202,Alunni!$A$1:$A$1000,0))&amp;"","")</f>
        <v/>
      </c>
      <c r="C202" s="15"/>
      <c r="D202" s="35"/>
      <c r="E202" s="36"/>
      <c r="F202" s="36"/>
      <c r="G202" s="36"/>
      <c r="H202" s="36"/>
      <c r="I202" s="39" t="str">
        <f aca="false">IF(COUNT(E202:H202)=0,"",ROUND(AVERAGE(E202:H202),0))</f>
        <v/>
      </c>
      <c r="J202" s="38" t="str">
        <f aca="false">IF(I202="","",LOOKUP(I202,Impostazioni!$E$4:$E$9,Impostazioni!$F$4:$F$9))</f>
        <v/>
      </c>
      <c r="K202" s="36"/>
      <c r="L202" s="36"/>
      <c r="M202" s="36"/>
      <c r="N202" s="36"/>
      <c r="O202" s="39" t="str">
        <f aca="false">IF(COUNT(K202:N202)=0,"",ROUND(AVERAGE(K202:N202),0))</f>
        <v/>
      </c>
      <c r="P202" s="38" t="str">
        <f aca="false">IF(O202="","",LOOKUP(O202,Impostazioni!$E$4:$E$9,Impostazioni!$F$4:$F$9))</f>
        <v/>
      </c>
      <c r="Q202" s="36"/>
      <c r="R202" s="36"/>
      <c r="S202" s="36"/>
      <c r="T202" s="36"/>
      <c r="U202" s="39" t="str">
        <f aca="false">IF(COUNT(Q202:T202)=0,"",ROUND(AVERAGE(Q202:T202),0))</f>
        <v/>
      </c>
      <c r="V202" s="38" t="str">
        <f aca="false">IF(U202="","",LOOKUP(U202,Impostazioni!$E$4:$E$9,Impostazioni!$F$4:$F$9))</f>
        <v/>
      </c>
      <c r="W202" s="36"/>
      <c r="X202" s="36"/>
      <c r="Y202" s="36"/>
      <c r="Z202" s="36"/>
      <c r="AA202" s="39" t="str">
        <f aca="false">IF(COUNT(W202:Z202)=0,"",ROUND(AVERAGE(W202:Z202),0))</f>
        <v/>
      </c>
      <c r="AB202" s="38" t="str">
        <f aca="false">IF(AA202="","",LOOKUP(AA202,Impostazioni!$E$4:$E$9,Impostazioni!$F$4:$F$9))</f>
        <v/>
      </c>
    </row>
    <row r="203" customFormat="false" ht="21" hidden="false" customHeight="true" outlineLevel="0" collapsed="false">
      <c r="A203" s="33" t="n">
        <v>13</v>
      </c>
      <c r="B203" s="34" t="str">
        <f aca="false">IFERROR(INDEX(Alunni!$C$1:$C$1000,MATCH($A203,Alunni!$A$1:$A$1000,0))&amp;"","")</f>
        <v/>
      </c>
      <c r="C203" s="15"/>
      <c r="D203" s="35"/>
      <c r="E203" s="36"/>
      <c r="F203" s="36"/>
      <c r="G203" s="36"/>
      <c r="H203" s="36"/>
      <c r="I203" s="39" t="str">
        <f aca="false">IF(COUNT(E203:H203)=0,"",ROUND(AVERAGE(E203:H203),0))</f>
        <v/>
      </c>
      <c r="J203" s="38" t="str">
        <f aca="false">IF(I203="","",LOOKUP(I203,Impostazioni!$E$4:$E$9,Impostazioni!$F$4:$F$9))</f>
        <v/>
      </c>
      <c r="K203" s="36"/>
      <c r="L203" s="36"/>
      <c r="M203" s="36"/>
      <c r="N203" s="36"/>
      <c r="O203" s="39" t="str">
        <f aca="false">IF(COUNT(K203:N203)=0,"",ROUND(AVERAGE(K203:N203),0))</f>
        <v/>
      </c>
      <c r="P203" s="38" t="str">
        <f aca="false">IF(O203="","",LOOKUP(O203,Impostazioni!$E$4:$E$9,Impostazioni!$F$4:$F$9))</f>
        <v/>
      </c>
      <c r="Q203" s="36"/>
      <c r="R203" s="36"/>
      <c r="S203" s="36"/>
      <c r="T203" s="36"/>
      <c r="U203" s="39" t="str">
        <f aca="false">IF(COUNT(Q203:T203)=0,"",ROUND(AVERAGE(Q203:T203),0))</f>
        <v/>
      </c>
      <c r="V203" s="38" t="str">
        <f aca="false">IF(U203="","",LOOKUP(U203,Impostazioni!$E$4:$E$9,Impostazioni!$F$4:$F$9))</f>
        <v/>
      </c>
      <c r="W203" s="36"/>
      <c r="X203" s="36"/>
      <c r="Y203" s="36"/>
      <c r="Z203" s="36"/>
      <c r="AA203" s="39" t="str">
        <f aca="false">IF(COUNT(W203:Z203)=0,"",ROUND(AVERAGE(W203:Z203),0))</f>
        <v/>
      </c>
      <c r="AB203" s="38" t="str">
        <f aca="false">IF(AA203="","",LOOKUP(AA203,Impostazioni!$E$4:$E$9,Impostazioni!$F$4:$F$9))</f>
        <v/>
      </c>
    </row>
    <row r="204" customFormat="false" ht="21" hidden="false" customHeight="true" outlineLevel="0" collapsed="false">
      <c r="A204" s="33" t="n">
        <v>14</v>
      </c>
      <c r="B204" s="34" t="str">
        <f aca="false">IFERROR(INDEX(Alunni!$C$1:$C$1000,MATCH($A204,Alunni!$A$1:$A$1000,0))&amp;"","")</f>
        <v/>
      </c>
      <c r="C204" s="15"/>
      <c r="D204" s="35"/>
      <c r="E204" s="36"/>
      <c r="F204" s="36"/>
      <c r="G204" s="36"/>
      <c r="H204" s="36"/>
      <c r="I204" s="39" t="str">
        <f aca="false">IF(COUNT(E204:H204)=0,"",ROUND(AVERAGE(E204:H204),0))</f>
        <v/>
      </c>
      <c r="J204" s="38" t="str">
        <f aca="false">IF(I204="","",LOOKUP(I204,Impostazioni!$E$4:$E$9,Impostazioni!$F$4:$F$9))</f>
        <v/>
      </c>
      <c r="K204" s="36"/>
      <c r="L204" s="36"/>
      <c r="M204" s="36"/>
      <c r="N204" s="36"/>
      <c r="O204" s="39" t="str">
        <f aca="false">IF(COUNT(K204:N204)=0,"",ROUND(AVERAGE(K204:N204),0))</f>
        <v/>
      </c>
      <c r="P204" s="38" t="str">
        <f aca="false">IF(O204="","",LOOKUP(O204,Impostazioni!$E$4:$E$9,Impostazioni!$F$4:$F$9))</f>
        <v/>
      </c>
      <c r="Q204" s="36"/>
      <c r="R204" s="36"/>
      <c r="S204" s="36"/>
      <c r="T204" s="36"/>
      <c r="U204" s="39" t="str">
        <f aca="false">IF(COUNT(Q204:T204)=0,"",ROUND(AVERAGE(Q204:T204),0))</f>
        <v/>
      </c>
      <c r="V204" s="38" t="str">
        <f aca="false">IF(U204="","",LOOKUP(U204,Impostazioni!$E$4:$E$9,Impostazioni!$F$4:$F$9))</f>
        <v/>
      </c>
      <c r="W204" s="36"/>
      <c r="X204" s="36"/>
      <c r="Y204" s="36"/>
      <c r="Z204" s="36"/>
      <c r="AA204" s="39" t="str">
        <f aca="false">IF(COUNT(W204:Z204)=0,"",ROUND(AVERAGE(W204:Z204),0))</f>
        <v/>
      </c>
      <c r="AB204" s="38" t="str">
        <f aca="false">IF(AA204="","",LOOKUP(AA204,Impostazioni!$E$4:$E$9,Impostazioni!$F$4:$F$9))</f>
        <v/>
      </c>
    </row>
    <row r="205" customFormat="false" ht="21" hidden="false" customHeight="true" outlineLevel="0" collapsed="false">
      <c r="A205" s="33" t="n">
        <v>15</v>
      </c>
      <c r="B205" s="34" t="str">
        <f aca="false">IFERROR(INDEX(Alunni!$C$1:$C$1000,MATCH($A205,Alunni!$A$1:$A$1000,0))&amp;"","")</f>
        <v/>
      </c>
      <c r="C205" s="15"/>
      <c r="D205" s="35"/>
      <c r="E205" s="36"/>
      <c r="F205" s="36"/>
      <c r="G205" s="36"/>
      <c r="H205" s="36"/>
      <c r="I205" s="39" t="str">
        <f aca="false">IF(COUNT(E205:H205)=0,"",ROUND(AVERAGE(E205:H205),0))</f>
        <v/>
      </c>
      <c r="J205" s="38" t="str">
        <f aca="false">IF(I205="","",LOOKUP(I205,Impostazioni!$E$4:$E$9,Impostazioni!$F$4:$F$9))</f>
        <v/>
      </c>
      <c r="K205" s="36"/>
      <c r="L205" s="36"/>
      <c r="M205" s="36"/>
      <c r="N205" s="36"/>
      <c r="O205" s="39" t="str">
        <f aca="false">IF(COUNT(K205:N205)=0,"",ROUND(AVERAGE(K205:N205),0))</f>
        <v/>
      </c>
      <c r="P205" s="38" t="str">
        <f aca="false">IF(O205="","",LOOKUP(O205,Impostazioni!$E$4:$E$9,Impostazioni!$F$4:$F$9))</f>
        <v/>
      </c>
      <c r="Q205" s="36"/>
      <c r="R205" s="36"/>
      <c r="S205" s="36"/>
      <c r="T205" s="36"/>
      <c r="U205" s="39" t="str">
        <f aca="false">IF(COUNT(Q205:T205)=0,"",ROUND(AVERAGE(Q205:T205),0))</f>
        <v/>
      </c>
      <c r="V205" s="38" t="str">
        <f aca="false">IF(U205="","",LOOKUP(U205,Impostazioni!$E$4:$E$9,Impostazioni!$F$4:$F$9))</f>
        <v/>
      </c>
      <c r="W205" s="36"/>
      <c r="X205" s="36"/>
      <c r="Y205" s="36"/>
      <c r="Z205" s="36"/>
      <c r="AA205" s="39" t="str">
        <f aca="false">IF(COUNT(W205:Z205)=0,"",ROUND(AVERAGE(W205:Z205),0))</f>
        <v/>
      </c>
      <c r="AB205" s="38" t="str">
        <f aca="false">IF(AA205="","",LOOKUP(AA205,Impostazioni!$E$4:$E$9,Impostazioni!$F$4:$F$9))</f>
        <v/>
      </c>
    </row>
    <row r="206" customFormat="false" ht="21" hidden="false" customHeight="true" outlineLevel="0" collapsed="false">
      <c r="A206" s="33" t="n">
        <v>16</v>
      </c>
      <c r="B206" s="34" t="str">
        <f aca="false">IFERROR(INDEX(Alunni!$C$1:$C$1000,MATCH($A206,Alunni!$A$1:$A$1000,0))&amp;"","")</f>
        <v/>
      </c>
      <c r="C206" s="15"/>
      <c r="D206" s="35"/>
      <c r="E206" s="36"/>
      <c r="F206" s="36"/>
      <c r="G206" s="36"/>
      <c r="H206" s="36"/>
      <c r="I206" s="39" t="str">
        <f aca="false">IF(COUNT(E206:H206)=0,"",ROUND(AVERAGE(E206:H206),0))</f>
        <v/>
      </c>
      <c r="J206" s="38" t="str">
        <f aca="false">IF(I206="","",LOOKUP(I206,Impostazioni!$E$4:$E$9,Impostazioni!$F$4:$F$9))</f>
        <v/>
      </c>
      <c r="K206" s="36"/>
      <c r="L206" s="36"/>
      <c r="M206" s="36"/>
      <c r="N206" s="36"/>
      <c r="O206" s="39" t="str">
        <f aca="false">IF(COUNT(K206:N206)=0,"",ROUND(AVERAGE(K206:N206),0))</f>
        <v/>
      </c>
      <c r="P206" s="38" t="str">
        <f aca="false">IF(O206="","",LOOKUP(O206,Impostazioni!$E$4:$E$9,Impostazioni!$F$4:$F$9))</f>
        <v/>
      </c>
      <c r="Q206" s="36"/>
      <c r="R206" s="36"/>
      <c r="S206" s="36"/>
      <c r="T206" s="36"/>
      <c r="U206" s="39" t="str">
        <f aca="false">IF(COUNT(Q206:T206)=0,"",ROUND(AVERAGE(Q206:T206),0))</f>
        <v/>
      </c>
      <c r="V206" s="38" t="str">
        <f aca="false">IF(U206="","",LOOKUP(U206,Impostazioni!$E$4:$E$9,Impostazioni!$F$4:$F$9))</f>
        <v/>
      </c>
      <c r="W206" s="36"/>
      <c r="X206" s="36"/>
      <c r="Y206" s="36"/>
      <c r="Z206" s="36"/>
      <c r="AA206" s="39" t="str">
        <f aca="false">IF(COUNT(W206:Z206)=0,"",ROUND(AVERAGE(W206:Z206),0))</f>
        <v/>
      </c>
      <c r="AB206" s="38" t="str">
        <f aca="false">IF(AA206="","",LOOKUP(AA206,Impostazioni!$E$4:$E$9,Impostazioni!$F$4:$F$9))</f>
        <v/>
      </c>
    </row>
    <row r="207" customFormat="false" ht="21" hidden="false" customHeight="true" outlineLevel="0" collapsed="false">
      <c r="A207" s="33" t="n">
        <v>17</v>
      </c>
      <c r="B207" s="34" t="str">
        <f aca="false">IFERROR(INDEX(Alunni!$C$1:$C$1000,MATCH($A207,Alunni!$A$1:$A$1000,0))&amp;"","")</f>
        <v/>
      </c>
      <c r="C207" s="15"/>
      <c r="D207" s="35"/>
      <c r="E207" s="36"/>
      <c r="F207" s="36"/>
      <c r="G207" s="36"/>
      <c r="H207" s="36"/>
      <c r="I207" s="39" t="str">
        <f aca="false">IF(COUNT(E207:H207)=0,"",ROUND(AVERAGE(E207:H207),0))</f>
        <v/>
      </c>
      <c r="J207" s="38" t="str">
        <f aca="false">IF(I207="","",LOOKUP(I207,Impostazioni!$E$4:$E$9,Impostazioni!$F$4:$F$9))</f>
        <v/>
      </c>
      <c r="K207" s="36"/>
      <c r="L207" s="36"/>
      <c r="M207" s="36"/>
      <c r="N207" s="36"/>
      <c r="O207" s="39" t="str">
        <f aca="false">IF(COUNT(K207:N207)=0,"",ROUND(AVERAGE(K207:N207),0))</f>
        <v/>
      </c>
      <c r="P207" s="38" t="str">
        <f aca="false">IF(O207="","",LOOKUP(O207,Impostazioni!$E$4:$E$9,Impostazioni!$F$4:$F$9))</f>
        <v/>
      </c>
      <c r="Q207" s="36"/>
      <c r="R207" s="36"/>
      <c r="S207" s="36"/>
      <c r="T207" s="36"/>
      <c r="U207" s="39" t="str">
        <f aca="false">IF(COUNT(Q207:T207)=0,"",ROUND(AVERAGE(Q207:T207),0))</f>
        <v/>
      </c>
      <c r="V207" s="38" t="str">
        <f aca="false">IF(U207="","",LOOKUP(U207,Impostazioni!$E$4:$E$9,Impostazioni!$F$4:$F$9))</f>
        <v/>
      </c>
      <c r="W207" s="36"/>
      <c r="X207" s="36"/>
      <c r="Y207" s="36"/>
      <c r="Z207" s="36"/>
      <c r="AA207" s="39" t="str">
        <f aca="false">IF(COUNT(W207:Z207)=0,"",ROUND(AVERAGE(W207:Z207),0))</f>
        <v/>
      </c>
      <c r="AB207" s="38" t="str">
        <f aca="false">IF(AA207="","",LOOKUP(AA207,Impostazioni!$E$4:$E$9,Impostazioni!$F$4:$F$9))</f>
        <v/>
      </c>
    </row>
    <row r="208" customFormat="false" ht="21" hidden="false" customHeight="true" outlineLevel="0" collapsed="false">
      <c r="A208" s="33" t="n">
        <v>18</v>
      </c>
      <c r="B208" s="34" t="str">
        <f aca="false">IFERROR(INDEX(Alunni!$C$1:$C$1000,MATCH($A208,Alunni!$A$1:$A$1000,0))&amp;"","")</f>
        <v/>
      </c>
      <c r="C208" s="15"/>
      <c r="D208" s="35"/>
      <c r="E208" s="36"/>
      <c r="F208" s="36"/>
      <c r="G208" s="36"/>
      <c r="H208" s="36"/>
      <c r="I208" s="39" t="str">
        <f aca="false">IF(COUNT(E208:H208)=0,"",ROUND(AVERAGE(E208:H208),0))</f>
        <v/>
      </c>
      <c r="J208" s="38" t="str">
        <f aca="false">IF(I208="","",LOOKUP(I208,Impostazioni!$E$4:$E$9,Impostazioni!$F$4:$F$9))</f>
        <v/>
      </c>
      <c r="K208" s="36"/>
      <c r="L208" s="36"/>
      <c r="M208" s="36"/>
      <c r="N208" s="36"/>
      <c r="O208" s="39" t="str">
        <f aca="false">IF(COUNT(K208:N208)=0,"",ROUND(AVERAGE(K208:N208),0))</f>
        <v/>
      </c>
      <c r="P208" s="38" t="str">
        <f aca="false">IF(O208="","",LOOKUP(O208,Impostazioni!$E$4:$E$9,Impostazioni!$F$4:$F$9))</f>
        <v/>
      </c>
      <c r="Q208" s="36"/>
      <c r="R208" s="36"/>
      <c r="S208" s="36"/>
      <c r="T208" s="36"/>
      <c r="U208" s="39" t="str">
        <f aca="false">IF(COUNT(Q208:T208)=0,"",ROUND(AVERAGE(Q208:T208),0))</f>
        <v/>
      </c>
      <c r="V208" s="38" t="str">
        <f aca="false">IF(U208="","",LOOKUP(U208,Impostazioni!$E$4:$E$9,Impostazioni!$F$4:$F$9))</f>
        <v/>
      </c>
      <c r="W208" s="36"/>
      <c r="X208" s="36"/>
      <c r="Y208" s="36"/>
      <c r="Z208" s="36"/>
      <c r="AA208" s="39" t="str">
        <f aca="false">IF(COUNT(W208:Z208)=0,"",ROUND(AVERAGE(W208:Z208),0))</f>
        <v/>
      </c>
      <c r="AB208" s="38" t="str">
        <f aca="false">IF(AA208="","",LOOKUP(AA208,Impostazioni!$E$4:$E$9,Impostazioni!$F$4:$F$9))</f>
        <v/>
      </c>
    </row>
    <row r="209" customFormat="false" ht="21" hidden="false" customHeight="true" outlineLevel="0" collapsed="false">
      <c r="A209" s="33" t="n">
        <v>19</v>
      </c>
      <c r="B209" s="34" t="str">
        <f aca="false">IFERROR(INDEX(Alunni!$C$1:$C$1000,MATCH($A209,Alunni!$A$1:$A$1000,0))&amp;"","")</f>
        <v/>
      </c>
      <c r="C209" s="15"/>
      <c r="D209" s="35"/>
      <c r="E209" s="36"/>
      <c r="F209" s="36"/>
      <c r="G209" s="36"/>
      <c r="H209" s="36"/>
      <c r="I209" s="39" t="str">
        <f aca="false">IF(COUNT(E209:H209)=0,"",ROUND(AVERAGE(E209:H209),0))</f>
        <v/>
      </c>
      <c r="J209" s="38" t="str">
        <f aca="false">IF(I209="","",LOOKUP(I209,Impostazioni!$E$4:$E$9,Impostazioni!$F$4:$F$9))</f>
        <v/>
      </c>
      <c r="K209" s="36"/>
      <c r="L209" s="36"/>
      <c r="M209" s="36"/>
      <c r="N209" s="36"/>
      <c r="O209" s="39" t="str">
        <f aca="false">IF(COUNT(K209:N209)=0,"",ROUND(AVERAGE(K209:N209),0))</f>
        <v/>
      </c>
      <c r="P209" s="38" t="str">
        <f aca="false">IF(O209="","",LOOKUP(O209,Impostazioni!$E$4:$E$9,Impostazioni!$F$4:$F$9))</f>
        <v/>
      </c>
      <c r="Q209" s="36"/>
      <c r="R209" s="36"/>
      <c r="S209" s="36"/>
      <c r="T209" s="36"/>
      <c r="U209" s="39" t="str">
        <f aca="false">IF(COUNT(Q209:T209)=0,"",ROUND(AVERAGE(Q209:T209),0))</f>
        <v/>
      </c>
      <c r="V209" s="38" t="str">
        <f aca="false">IF(U209="","",LOOKUP(U209,Impostazioni!$E$4:$E$9,Impostazioni!$F$4:$F$9))</f>
        <v/>
      </c>
      <c r="W209" s="36"/>
      <c r="X209" s="36"/>
      <c r="Y209" s="36"/>
      <c r="Z209" s="36"/>
      <c r="AA209" s="39" t="str">
        <f aca="false">IF(COUNT(W209:Z209)=0,"",ROUND(AVERAGE(W209:Z209),0))</f>
        <v/>
      </c>
      <c r="AB209" s="38" t="str">
        <f aca="false">IF(AA209="","",LOOKUP(AA209,Impostazioni!$E$4:$E$9,Impostazioni!$F$4:$F$9))</f>
        <v/>
      </c>
    </row>
    <row r="210" customFormat="false" ht="21" hidden="false" customHeight="true" outlineLevel="0" collapsed="false">
      <c r="A210" s="33" t="n">
        <v>20</v>
      </c>
      <c r="B210" s="34" t="str">
        <f aca="false">IFERROR(INDEX(Alunni!$C$1:$C$1000,MATCH($A210,Alunni!$A$1:$A$1000,0))&amp;"","")</f>
        <v/>
      </c>
      <c r="C210" s="15"/>
      <c r="D210" s="35"/>
      <c r="E210" s="36"/>
      <c r="F210" s="36"/>
      <c r="G210" s="36"/>
      <c r="H210" s="36"/>
      <c r="I210" s="39" t="str">
        <f aca="false">IF(COUNT(E210:H210)=0,"",ROUND(AVERAGE(E210:H210),0))</f>
        <v/>
      </c>
      <c r="J210" s="38" t="str">
        <f aca="false">IF(I210="","",LOOKUP(I210,Impostazioni!$E$4:$E$9,Impostazioni!$F$4:$F$9))</f>
        <v/>
      </c>
      <c r="K210" s="36"/>
      <c r="L210" s="36"/>
      <c r="M210" s="36"/>
      <c r="N210" s="36"/>
      <c r="O210" s="39" t="str">
        <f aca="false">IF(COUNT(K210:N210)=0,"",ROUND(AVERAGE(K210:N210),0))</f>
        <v/>
      </c>
      <c r="P210" s="38" t="str">
        <f aca="false">IF(O210="","",LOOKUP(O210,Impostazioni!$E$4:$E$9,Impostazioni!$F$4:$F$9))</f>
        <v/>
      </c>
      <c r="Q210" s="36"/>
      <c r="R210" s="36"/>
      <c r="S210" s="36"/>
      <c r="T210" s="36"/>
      <c r="U210" s="39" t="str">
        <f aca="false">IF(COUNT(Q210:T210)=0,"",ROUND(AVERAGE(Q210:T210),0))</f>
        <v/>
      </c>
      <c r="V210" s="38" t="str">
        <f aca="false">IF(U210="","",LOOKUP(U210,Impostazioni!$E$4:$E$9,Impostazioni!$F$4:$F$9))</f>
        <v/>
      </c>
      <c r="W210" s="36"/>
      <c r="X210" s="36"/>
      <c r="Y210" s="36"/>
      <c r="Z210" s="36"/>
      <c r="AA210" s="39" t="str">
        <f aca="false">IF(COUNT(W210:Z210)=0,"",ROUND(AVERAGE(W210:Z210),0))</f>
        <v/>
      </c>
      <c r="AB210" s="38" t="str">
        <f aca="false">IF(AA210="","",LOOKUP(AA210,Impostazioni!$E$4:$E$9,Impostazioni!$F$4:$F$9))</f>
        <v/>
      </c>
    </row>
    <row r="211" customFormat="false" ht="21" hidden="false" customHeight="true" outlineLevel="0" collapsed="false">
      <c r="A211" s="33" t="n">
        <v>21</v>
      </c>
      <c r="B211" s="34" t="str">
        <f aca="false">IFERROR(INDEX(Alunni!$C$1:$C$1000,MATCH($A211,Alunni!$A$1:$A$1000,0))&amp;"","")</f>
        <v/>
      </c>
      <c r="C211" s="15"/>
      <c r="D211" s="35"/>
      <c r="E211" s="36"/>
      <c r="F211" s="36"/>
      <c r="G211" s="36"/>
      <c r="H211" s="36"/>
      <c r="I211" s="39" t="str">
        <f aca="false">IF(COUNT(E211:H211)=0,"",ROUND(AVERAGE(E211:H211),0))</f>
        <v/>
      </c>
      <c r="J211" s="38" t="str">
        <f aca="false">IF(I211="","",LOOKUP(I211,Impostazioni!$E$4:$E$9,Impostazioni!$F$4:$F$9))</f>
        <v/>
      </c>
      <c r="K211" s="36"/>
      <c r="L211" s="36"/>
      <c r="M211" s="36"/>
      <c r="N211" s="36"/>
      <c r="O211" s="39" t="str">
        <f aca="false">IF(COUNT(K211:N211)=0,"",ROUND(AVERAGE(K211:N211),0))</f>
        <v/>
      </c>
      <c r="P211" s="38" t="str">
        <f aca="false">IF(O211="","",LOOKUP(O211,Impostazioni!$E$4:$E$9,Impostazioni!$F$4:$F$9))</f>
        <v/>
      </c>
      <c r="Q211" s="36"/>
      <c r="R211" s="36"/>
      <c r="S211" s="36"/>
      <c r="T211" s="36"/>
      <c r="U211" s="39" t="str">
        <f aca="false">IF(COUNT(Q211:T211)=0,"",ROUND(AVERAGE(Q211:T211),0))</f>
        <v/>
      </c>
      <c r="V211" s="38" t="str">
        <f aca="false">IF(U211="","",LOOKUP(U211,Impostazioni!$E$4:$E$9,Impostazioni!$F$4:$F$9))</f>
        <v/>
      </c>
      <c r="W211" s="36"/>
      <c r="X211" s="36"/>
      <c r="Y211" s="36"/>
      <c r="Z211" s="36"/>
      <c r="AA211" s="39" t="str">
        <f aca="false">IF(COUNT(W211:Z211)=0,"",ROUND(AVERAGE(W211:Z211),0))</f>
        <v/>
      </c>
      <c r="AB211" s="38" t="str">
        <f aca="false">IF(AA211="","",LOOKUP(AA211,Impostazioni!$E$4:$E$9,Impostazioni!$F$4:$F$9))</f>
        <v/>
      </c>
    </row>
    <row r="212" customFormat="false" ht="21" hidden="false" customHeight="true" outlineLevel="0" collapsed="false">
      <c r="A212" s="33" t="n">
        <v>22</v>
      </c>
      <c r="B212" s="34" t="str">
        <f aca="false">IFERROR(INDEX(Alunni!$C$1:$C$1000,MATCH($A212,Alunni!$A$1:$A$1000,0))&amp;"","")</f>
        <v/>
      </c>
      <c r="C212" s="15"/>
      <c r="D212" s="35"/>
      <c r="E212" s="36"/>
      <c r="F212" s="36"/>
      <c r="G212" s="36"/>
      <c r="H212" s="36"/>
      <c r="I212" s="39" t="str">
        <f aca="false">IF(COUNT(E212:H212)=0,"",ROUND(AVERAGE(E212:H212),0))</f>
        <v/>
      </c>
      <c r="J212" s="38" t="str">
        <f aca="false">IF(I212="","",LOOKUP(I212,Impostazioni!$E$4:$E$9,Impostazioni!$F$4:$F$9))</f>
        <v/>
      </c>
      <c r="K212" s="36"/>
      <c r="L212" s="36"/>
      <c r="M212" s="36"/>
      <c r="N212" s="36"/>
      <c r="O212" s="39" t="str">
        <f aca="false">IF(COUNT(K212:N212)=0,"",ROUND(AVERAGE(K212:N212),0))</f>
        <v/>
      </c>
      <c r="P212" s="38" t="str">
        <f aca="false">IF(O212="","",LOOKUP(O212,Impostazioni!$E$4:$E$9,Impostazioni!$F$4:$F$9))</f>
        <v/>
      </c>
      <c r="Q212" s="36"/>
      <c r="R212" s="36"/>
      <c r="S212" s="36"/>
      <c r="T212" s="36"/>
      <c r="U212" s="39" t="str">
        <f aca="false">IF(COUNT(Q212:T212)=0,"",ROUND(AVERAGE(Q212:T212),0))</f>
        <v/>
      </c>
      <c r="V212" s="38" t="str">
        <f aca="false">IF(U212="","",LOOKUP(U212,Impostazioni!$E$4:$E$9,Impostazioni!$F$4:$F$9))</f>
        <v/>
      </c>
      <c r="W212" s="36"/>
      <c r="X212" s="36"/>
      <c r="Y212" s="36"/>
      <c r="Z212" s="36"/>
      <c r="AA212" s="39" t="str">
        <f aca="false">IF(COUNT(W212:Z212)=0,"",ROUND(AVERAGE(W212:Z212),0))</f>
        <v/>
      </c>
      <c r="AB212" s="38" t="str">
        <f aca="false">IF(AA212="","",LOOKUP(AA212,Impostazioni!$E$4:$E$9,Impostazioni!$F$4:$F$9))</f>
        <v/>
      </c>
    </row>
    <row r="213" customFormat="false" ht="21" hidden="false" customHeight="true" outlineLevel="0" collapsed="false">
      <c r="A213" s="33" t="n">
        <v>23</v>
      </c>
      <c r="B213" s="34" t="str">
        <f aca="false">IFERROR(INDEX(Alunni!$C$1:$C$1000,MATCH($A213,Alunni!$A$1:$A$1000,0))&amp;"","")</f>
        <v/>
      </c>
      <c r="C213" s="15"/>
      <c r="D213" s="35"/>
      <c r="E213" s="36"/>
      <c r="F213" s="36"/>
      <c r="G213" s="36"/>
      <c r="H213" s="36"/>
      <c r="I213" s="39" t="str">
        <f aca="false">IF(COUNT(E213:H213)=0,"",ROUND(AVERAGE(E213:H213),0))</f>
        <v/>
      </c>
      <c r="J213" s="38" t="str">
        <f aca="false">IF(I213="","",LOOKUP(I213,Impostazioni!$E$4:$E$9,Impostazioni!$F$4:$F$9))</f>
        <v/>
      </c>
      <c r="K213" s="36"/>
      <c r="L213" s="36"/>
      <c r="M213" s="36"/>
      <c r="N213" s="36"/>
      <c r="O213" s="39" t="str">
        <f aca="false">IF(COUNT(K213:N213)=0,"",ROUND(AVERAGE(K213:N213),0))</f>
        <v/>
      </c>
      <c r="P213" s="38" t="str">
        <f aca="false">IF(O213="","",LOOKUP(O213,Impostazioni!$E$4:$E$9,Impostazioni!$F$4:$F$9))</f>
        <v/>
      </c>
      <c r="Q213" s="36"/>
      <c r="R213" s="36"/>
      <c r="S213" s="36"/>
      <c r="T213" s="36"/>
      <c r="U213" s="39" t="str">
        <f aca="false">IF(COUNT(Q213:T213)=0,"",ROUND(AVERAGE(Q213:T213),0))</f>
        <v/>
      </c>
      <c r="V213" s="38" t="str">
        <f aca="false">IF(U213="","",LOOKUP(U213,Impostazioni!$E$4:$E$9,Impostazioni!$F$4:$F$9))</f>
        <v/>
      </c>
      <c r="W213" s="36"/>
      <c r="X213" s="36"/>
      <c r="Y213" s="36"/>
      <c r="Z213" s="36"/>
      <c r="AA213" s="39" t="str">
        <f aca="false">IF(COUNT(W213:Z213)=0,"",ROUND(AVERAGE(W213:Z213),0))</f>
        <v/>
      </c>
      <c r="AB213" s="38" t="str">
        <f aca="false">IF(AA213="","",LOOKUP(AA213,Impostazioni!$E$4:$E$9,Impostazioni!$F$4:$F$9))</f>
        <v/>
      </c>
    </row>
    <row r="214" customFormat="false" ht="21" hidden="false" customHeight="true" outlineLevel="0" collapsed="false">
      <c r="A214" s="33" t="n">
        <v>24</v>
      </c>
      <c r="B214" s="34" t="str">
        <f aca="false">IFERROR(INDEX(Alunni!$C$1:$C$1000,MATCH($A214,Alunni!$A$1:$A$1000,0))&amp;"","")</f>
        <v/>
      </c>
      <c r="C214" s="15"/>
      <c r="D214" s="35"/>
      <c r="E214" s="36"/>
      <c r="F214" s="36"/>
      <c r="G214" s="36"/>
      <c r="H214" s="36"/>
      <c r="I214" s="39" t="str">
        <f aca="false">IF(COUNT(E214:H214)=0,"",ROUND(AVERAGE(E214:H214),0))</f>
        <v/>
      </c>
      <c r="J214" s="38" t="str">
        <f aca="false">IF(I214="","",LOOKUP(I214,Impostazioni!$E$4:$E$9,Impostazioni!$F$4:$F$9))</f>
        <v/>
      </c>
      <c r="K214" s="36"/>
      <c r="L214" s="36"/>
      <c r="M214" s="36"/>
      <c r="N214" s="36"/>
      <c r="O214" s="39" t="str">
        <f aca="false">IF(COUNT(K214:N214)=0,"",ROUND(AVERAGE(K214:N214),0))</f>
        <v/>
      </c>
      <c r="P214" s="38" t="str">
        <f aca="false">IF(O214="","",LOOKUP(O214,Impostazioni!$E$4:$E$9,Impostazioni!$F$4:$F$9))</f>
        <v/>
      </c>
      <c r="Q214" s="36"/>
      <c r="R214" s="36"/>
      <c r="S214" s="36"/>
      <c r="T214" s="36"/>
      <c r="U214" s="39" t="str">
        <f aca="false">IF(COUNT(Q214:T214)=0,"",ROUND(AVERAGE(Q214:T214),0))</f>
        <v/>
      </c>
      <c r="V214" s="38" t="str">
        <f aca="false">IF(U214="","",LOOKUP(U214,Impostazioni!$E$4:$E$9,Impostazioni!$F$4:$F$9))</f>
        <v/>
      </c>
      <c r="W214" s="36"/>
      <c r="X214" s="36"/>
      <c r="Y214" s="36"/>
      <c r="Z214" s="36"/>
      <c r="AA214" s="39" t="str">
        <f aca="false">IF(COUNT(W214:Z214)=0,"",ROUND(AVERAGE(W214:Z214),0))</f>
        <v/>
      </c>
      <c r="AB214" s="38" t="str">
        <f aca="false">IF(AA214="","",LOOKUP(AA214,Impostazioni!$E$4:$E$9,Impostazioni!$F$4:$F$9))</f>
        <v/>
      </c>
    </row>
    <row r="215" customFormat="false" ht="21" hidden="false" customHeight="true" outlineLevel="0" collapsed="false">
      <c r="A215" s="33" t="n">
        <v>25</v>
      </c>
      <c r="B215" s="34" t="str">
        <f aca="false">IFERROR(INDEX(Alunni!$C$1:$C$1000,MATCH($A215,Alunni!$A$1:$A$1000,0))&amp;"","")</f>
        <v/>
      </c>
      <c r="C215" s="15"/>
      <c r="D215" s="35"/>
      <c r="E215" s="36"/>
      <c r="F215" s="36"/>
      <c r="G215" s="36"/>
      <c r="H215" s="36"/>
      <c r="I215" s="39" t="str">
        <f aca="false">IF(COUNT(E215:H215)=0,"",ROUND(AVERAGE(E215:H215),0))</f>
        <v/>
      </c>
      <c r="J215" s="38" t="str">
        <f aca="false">IF(I215="","",LOOKUP(I215,Impostazioni!$E$4:$E$9,Impostazioni!$F$4:$F$9))</f>
        <v/>
      </c>
      <c r="K215" s="36"/>
      <c r="L215" s="36"/>
      <c r="M215" s="36"/>
      <c r="N215" s="36"/>
      <c r="O215" s="39" t="str">
        <f aca="false">IF(COUNT(K215:N215)=0,"",ROUND(AVERAGE(K215:N215),0))</f>
        <v/>
      </c>
      <c r="P215" s="38" t="str">
        <f aca="false">IF(O215="","",LOOKUP(O215,Impostazioni!$E$4:$E$9,Impostazioni!$F$4:$F$9))</f>
        <v/>
      </c>
      <c r="Q215" s="36"/>
      <c r="R215" s="36"/>
      <c r="S215" s="36"/>
      <c r="T215" s="36"/>
      <c r="U215" s="39" t="str">
        <f aca="false">IF(COUNT(Q215:T215)=0,"",ROUND(AVERAGE(Q215:T215),0))</f>
        <v/>
      </c>
      <c r="V215" s="38" t="str">
        <f aca="false">IF(U215="","",LOOKUP(U215,Impostazioni!$E$4:$E$9,Impostazioni!$F$4:$F$9))</f>
        <v/>
      </c>
      <c r="W215" s="36"/>
      <c r="X215" s="36"/>
      <c r="Y215" s="36"/>
      <c r="Z215" s="36"/>
      <c r="AA215" s="39" t="str">
        <f aca="false">IF(COUNT(W215:Z215)=0,"",ROUND(AVERAGE(W215:Z215),0))</f>
        <v/>
      </c>
      <c r="AB215" s="38" t="str">
        <f aca="false">IF(AA215="","",LOOKUP(AA215,Impostazioni!$E$4:$E$9,Impostazioni!$F$4:$F$9))</f>
        <v/>
      </c>
    </row>
    <row r="216" customFormat="false" ht="21" hidden="false" customHeight="true" outlineLevel="0" collapsed="false">
      <c r="A216" s="33" t="n">
        <v>26</v>
      </c>
      <c r="B216" s="34" t="str">
        <f aca="false">IFERROR(INDEX(Alunni!$C$1:$C$1000,MATCH($A216,Alunni!$A$1:$A$1000,0))&amp;"","")</f>
        <v/>
      </c>
      <c r="C216" s="15"/>
      <c r="D216" s="35"/>
      <c r="E216" s="36"/>
      <c r="F216" s="36"/>
      <c r="G216" s="36"/>
      <c r="H216" s="36"/>
      <c r="I216" s="39" t="str">
        <f aca="false">IF(COUNT(E216:H216)=0,"",ROUND(AVERAGE(E216:H216),0))</f>
        <v/>
      </c>
      <c r="J216" s="38" t="str">
        <f aca="false">IF(I216="","",LOOKUP(I216,Impostazioni!$E$4:$E$9,Impostazioni!$F$4:$F$9))</f>
        <v/>
      </c>
      <c r="K216" s="36"/>
      <c r="L216" s="36"/>
      <c r="M216" s="36"/>
      <c r="N216" s="36"/>
      <c r="O216" s="39" t="str">
        <f aca="false">IF(COUNT(K216:N216)=0,"",ROUND(AVERAGE(K216:N216),0))</f>
        <v/>
      </c>
      <c r="P216" s="38" t="str">
        <f aca="false">IF(O216="","",LOOKUP(O216,Impostazioni!$E$4:$E$9,Impostazioni!$F$4:$F$9))</f>
        <v/>
      </c>
      <c r="Q216" s="36"/>
      <c r="R216" s="36"/>
      <c r="S216" s="36"/>
      <c r="T216" s="36"/>
      <c r="U216" s="39" t="str">
        <f aca="false">IF(COUNT(Q216:T216)=0,"",ROUND(AVERAGE(Q216:T216),0))</f>
        <v/>
      </c>
      <c r="V216" s="38" t="str">
        <f aca="false">IF(U216="","",LOOKUP(U216,Impostazioni!$E$4:$E$9,Impostazioni!$F$4:$F$9))</f>
        <v/>
      </c>
      <c r="W216" s="36"/>
      <c r="X216" s="36"/>
      <c r="Y216" s="36"/>
      <c r="Z216" s="36"/>
      <c r="AA216" s="39" t="str">
        <f aca="false">IF(COUNT(W216:Z216)=0,"",ROUND(AVERAGE(W216:Z216),0))</f>
        <v/>
      </c>
      <c r="AB216" s="38" t="str">
        <f aca="false">IF(AA216="","",LOOKUP(AA216,Impostazioni!$E$4:$E$9,Impostazioni!$F$4:$F$9))</f>
        <v/>
      </c>
    </row>
    <row r="217" customFormat="false" ht="21" hidden="false" customHeight="true" outlineLevel="0" collapsed="false">
      <c r="A217" s="33" t="n">
        <v>27</v>
      </c>
      <c r="B217" s="34" t="str">
        <f aca="false">IFERROR(INDEX(Alunni!$C$1:$C$1000,MATCH($A217,Alunni!$A$1:$A$1000,0))&amp;"","")</f>
        <v/>
      </c>
      <c r="C217" s="15"/>
      <c r="D217" s="35"/>
      <c r="E217" s="36"/>
      <c r="F217" s="36"/>
      <c r="G217" s="36"/>
      <c r="H217" s="36"/>
      <c r="I217" s="39" t="str">
        <f aca="false">IF(COUNT(E217:H217)=0,"",ROUND(AVERAGE(E217:H217),0))</f>
        <v/>
      </c>
      <c r="J217" s="38" t="str">
        <f aca="false">IF(I217="","",LOOKUP(I217,Impostazioni!$E$4:$E$9,Impostazioni!$F$4:$F$9))</f>
        <v/>
      </c>
      <c r="K217" s="36"/>
      <c r="L217" s="36"/>
      <c r="M217" s="36"/>
      <c r="N217" s="36"/>
      <c r="O217" s="39" t="str">
        <f aca="false">IF(COUNT(K217:N217)=0,"",ROUND(AVERAGE(K217:N217),0))</f>
        <v/>
      </c>
      <c r="P217" s="38" t="str">
        <f aca="false">IF(O217="","",LOOKUP(O217,Impostazioni!$E$4:$E$9,Impostazioni!$F$4:$F$9))</f>
        <v/>
      </c>
      <c r="Q217" s="36"/>
      <c r="R217" s="36"/>
      <c r="S217" s="36"/>
      <c r="T217" s="36"/>
      <c r="U217" s="39" t="str">
        <f aca="false">IF(COUNT(Q217:T217)=0,"",ROUND(AVERAGE(Q217:T217),0))</f>
        <v/>
      </c>
      <c r="V217" s="38" t="str">
        <f aca="false">IF(U217="","",LOOKUP(U217,Impostazioni!$E$4:$E$9,Impostazioni!$F$4:$F$9))</f>
        <v/>
      </c>
      <c r="W217" s="36"/>
      <c r="X217" s="36"/>
      <c r="Y217" s="36"/>
      <c r="Z217" s="36"/>
      <c r="AA217" s="39" t="str">
        <f aca="false">IF(COUNT(W217:Z217)=0,"",ROUND(AVERAGE(W217:Z217),0))</f>
        <v/>
      </c>
      <c r="AB217" s="38" t="str">
        <f aca="false">IF(AA217="","",LOOKUP(AA217,Impostazioni!$E$4:$E$9,Impostazioni!$F$4:$F$9))</f>
        <v/>
      </c>
    </row>
    <row r="218" customFormat="false" ht="21" hidden="false" customHeight="true" outlineLevel="0" collapsed="false">
      <c r="A218" s="33" t="n">
        <v>28</v>
      </c>
      <c r="B218" s="34" t="str">
        <f aca="false">IFERROR(INDEX(Alunni!$C$1:$C$1000,MATCH($A218,Alunni!$A$1:$A$1000,0))&amp;"","")</f>
        <v/>
      </c>
      <c r="C218" s="15"/>
      <c r="D218" s="35"/>
      <c r="E218" s="36"/>
      <c r="F218" s="36"/>
      <c r="G218" s="36"/>
      <c r="H218" s="36"/>
      <c r="I218" s="39" t="str">
        <f aca="false">IF(COUNT(E218:H218)=0,"",ROUND(AVERAGE(E218:H218),0))</f>
        <v/>
      </c>
      <c r="J218" s="38" t="str">
        <f aca="false">IF(I218="","",LOOKUP(I218,Impostazioni!$E$4:$E$9,Impostazioni!$F$4:$F$9))</f>
        <v/>
      </c>
      <c r="K218" s="36"/>
      <c r="L218" s="36"/>
      <c r="M218" s="36"/>
      <c r="N218" s="36"/>
      <c r="O218" s="39" t="str">
        <f aca="false">IF(COUNT(K218:N218)=0,"",ROUND(AVERAGE(K218:N218),0))</f>
        <v/>
      </c>
      <c r="P218" s="38" t="str">
        <f aca="false">IF(O218="","",LOOKUP(O218,Impostazioni!$E$4:$E$9,Impostazioni!$F$4:$F$9))</f>
        <v/>
      </c>
      <c r="Q218" s="36"/>
      <c r="R218" s="36"/>
      <c r="S218" s="36"/>
      <c r="T218" s="36"/>
      <c r="U218" s="39" t="str">
        <f aca="false">IF(COUNT(Q218:T218)=0,"",ROUND(AVERAGE(Q218:T218),0))</f>
        <v/>
      </c>
      <c r="V218" s="38" t="str">
        <f aca="false">IF(U218="","",LOOKUP(U218,Impostazioni!$E$4:$E$9,Impostazioni!$F$4:$F$9))</f>
        <v/>
      </c>
      <c r="W218" s="36"/>
      <c r="X218" s="36"/>
      <c r="Y218" s="36"/>
      <c r="Z218" s="36"/>
      <c r="AA218" s="39" t="str">
        <f aca="false">IF(COUNT(W218:Z218)=0,"",ROUND(AVERAGE(W218:Z218),0))</f>
        <v/>
      </c>
      <c r="AB218" s="38" t="str">
        <f aca="false">IF(AA218="","",LOOKUP(AA218,Impostazioni!$E$4:$E$9,Impostazioni!$F$4:$F$9))</f>
        <v/>
      </c>
    </row>
    <row r="219" customFormat="false" ht="21" hidden="false" customHeight="true" outlineLevel="0" collapsed="false">
      <c r="A219" s="33" t="n">
        <v>29</v>
      </c>
      <c r="B219" s="34" t="str">
        <f aca="false">IFERROR(INDEX(Alunni!$C$1:$C$1000,MATCH($A219,Alunni!$A$1:$A$1000,0))&amp;"","")</f>
        <v/>
      </c>
      <c r="C219" s="15"/>
      <c r="D219" s="35"/>
      <c r="E219" s="36"/>
      <c r="F219" s="36"/>
      <c r="G219" s="36"/>
      <c r="H219" s="36"/>
      <c r="I219" s="39" t="str">
        <f aca="false">IF(COUNT(E219:H219)=0,"",ROUND(AVERAGE(E219:H219),0))</f>
        <v/>
      </c>
      <c r="J219" s="38" t="str">
        <f aca="false">IF(I219="","",LOOKUP(I219,Impostazioni!$E$4:$E$9,Impostazioni!$F$4:$F$9))</f>
        <v/>
      </c>
      <c r="K219" s="36"/>
      <c r="L219" s="36"/>
      <c r="M219" s="36"/>
      <c r="N219" s="36"/>
      <c r="O219" s="39" t="str">
        <f aca="false">IF(COUNT(K219:N219)=0,"",ROUND(AVERAGE(K219:N219),0))</f>
        <v/>
      </c>
      <c r="P219" s="38" t="str">
        <f aca="false">IF(O219="","",LOOKUP(O219,Impostazioni!$E$4:$E$9,Impostazioni!$F$4:$F$9))</f>
        <v/>
      </c>
      <c r="Q219" s="36"/>
      <c r="R219" s="36"/>
      <c r="S219" s="36"/>
      <c r="T219" s="36"/>
      <c r="U219" s="39" t="str">
        <f aca="false">IF(COUNT(Q219:T219)=0,"",ROUND(AVERAGE(Q219:T219),0))</f>
        <v/>
      </c>
      <c r="V219" s="38" t="str">
        <f aca="false">IF(U219="","",LOOKUP(U219,Impostazioni!$E$4:$E$9,Impostazioni!$F$4:$F$9))</f>
        <v/>
      </c>
      <c r="W219" s="36"/>
      <c r="X219" s="36"/>
      <c r="Y219" s="36"/>
      <c r="Z219" s="36"/>
      <c r="AA219" s="39" t="str">
        <f aca="false">IF(COUNT(W219:Z219)=0,"",ROUND(AVERAGE(W219:Z219),0))</f>
        <v/>
      </c>
      <c r="AB219" s="38" t="str">
        <f aca="false">IF(AA219="","",LOOKUP(AA219,Impostazioni!$E$4:$E$9,Impostazioni!$F$4:$F$9))</f>
        <v/>
      </c>
    </row>
    <row r="220" customFormat="false" ht="21" hidden="false" customHeight="true" outlineLevel="0" collapsed="false">
      <c r="A220" s="33" t="n">
        <v>30</v>
      </c>
      <c r="B220" s="34" t="str">
        <f aca="false">IFERROR(INDEX(Alunni!$C$1:$C$1000,MATCH($A220,Alunni!$A$1:$A$1000,0))&amp;"","")</f>
        <v/>
      </c>
      <c r="C220" s="15"/>
      <c r="D220" s="35"/>
      <c r="E220" s="36"/>
      <c r="F220" s="36"/>
      <c r="G220" s="36"/>
      <c r="H220" s="36"/>
      <c r="I220" s="39" t="str">
        <f aca="false">IF(COUNT(E220:H220)=0,"",ROUND(AVERAGE(E220:H220),0))</f>
        <v/>
      </c>
      <c r="J220" s="38" t="str">
        <f aca="false">IF(I220="","",LOOKUP(I220,Impostazioni!$E$4:$E$9,Impostazioni!$F$4:$F$9))</f>
        <v/>
      </c>
      <c r="K220" s="36"/>
      <c r="L220" s="36"/>
      <c r="M220" s="36"/>
      <c r="N220" s="36"/>
      <c r="O220" s="39" t="str">
        <f aca="false">IF(COUNT(K220:N220)=0,"",ROUND(AVERAGE(K220:N220),0))</f>
        <v/>
      </c>
      <c r="P220" s="38" t="str">
        <f aca="false">IF(O220="","",LOOKUP(O220,Impostazioni!$E$4:$E$9,Impostazioni!$F$4:$F$9))</f>
        <v/>
      </c>
      <c r="Q220" s="36"/>
      <c r="R220" s="36"/>
      <c r="S220" s="36"/>
      <c r="T220" s="36"/>
      <c r="U220" s="39" t="str">
        <f aca="false">IF(COUNT(Q220:T220)=0,"",ROUND(AVERAGE(Q220:T220),0))</f>
        <v/>
      </c>
      <c r="V220" s="38" t="str">
        <f aca="false">IF(U220="","",LOOKUP(U220,Impostazioni!$E$4:$E$9,Impostazioni!$F$4:$F$9))</f>
        <v/>
      </c>
      <c r="W220" s="36"/>
      <c r="X220" s="36"/>
      <c r="Y220" s="36"/>
      <c r="Z220" s="36"/>
      <c r="AA220" s="39" t="str">
        <f aca="false">IF(COUNT(W220:Z220)=0,"",ROUND(AVERAGE(W220:Z220),0))</f>
        <v/>
      </c>
      <c r="AB220" s="38" t="str">
        <f aca="false">IF(AA220="","",LOOKUP(AA220,Impostazioni!$E$4:$E$9,Impostazioni!$F$4:$F$9))</f>
        <v/>
      </c>
    </row>
    <row r="222" customFormat="false" ht="25.5" hidden="false" customHeight="true" outlineLevel="0" collapsed="false">
      <c r="A222" s="4" t="str">
        <f aca="false">Calendario!B13&amp;"   ·   "&amp;IF(Calendario!G13="","(descrizione da Calendario)",Calendario!G13)&amp;"   ·   "&amp;IF(Calendario!E13="","data da fissare",CHOOSE(WEEKDAY(Calendario!E13,2),"lunedì","martedì","mercoledì","giovedì","venerdì","sabato","domenica")&amp;" "&amp;TEXT(DAY(Calendario!E13),"00")&amp;"/"&amp;TEXT(MONTH(Calendario!E13),"00")&amp;"/"&amp;YEAR(Calendario!E13))</f>
        <v>Q1-G07   ·   (descrizione da Calendario)   ·   data da fissare</v>
      </c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customFormat="false" ht="15" hidden="false" customHeight="true" outlineLevel="0" collapsed="false">
      <c r="A223" s="25" t="s">
        <v>80</v>
      </c>
      <c r="B223" s="25"/>
      <c r="C223" s="25"/>
      <c r="D223" s="25"/>
      <c r="E223" s="26" t="str">
        <f aca="false">IF(Calendario!$H$13="","— libero —",Calendario!$H$13&amp;"  "&amp;IFERROR(VLOOKUP(Calendario!$H$13,Impostazioni!$A$25:$J$36,3,FALSE()),""))</f>
        <v>— libero —</v>
      </c>
      <c r="F223" s="26"/>
      <c r="G223" s="26"/>
      <c r="H223" s="26"/>
      <c r="I223" s="26"/>
      <c r="J223" s="26"/>
      <c r="K223" s="26" t="str">
        <f aca="false">IF(Calendario!$I$13="","— libero —",Calendario!$I$13&amp;"  "&amp;IFERROR(VLOOKUP(Calendario!$I$13,Impostazioni!$A$25:$J$36,3,FALSE()),""))</f>
        <v>— libero —</v>
      </c>
      <c r="L223" s="26"/>
      <c r="M223" s="26"/>
      <c r="N223" s="26"/>
      <c r="O223" s="26"/>
      <c r="P223" s="26"/>
      <c r="Q223" s="26" t="str">
        <f aca="false">IF(Calendario!$J$13="","— libero —",Calendario!$J$13&amp;"  "&amp;IFERROR(VLOOKUP(Calendario!$J$13,Impostazioni!$A$25:$J$36,3,FALSE()),""))</f>
        <v>— libero —</v>
      </c>
      <c r="R223" s="26"/>
      <c r="S223" s="26"/>
      <c r="T223" s="26"/>
      <c r="U223" s="26"/>
      <c r="V223" s="26"/>
      <c r="W223" s="26" t="str">
        <f aca="false">IF(Calendario!$K$13="","— libero —",Calendario!$K$13&amp;"  "&amp;IFERROR(VLOOKUP(Calendario!$K$13,Impostazioni!$A$25:$J$36,3,FALSE()),""))</f>
        <v>— libero —</v>
      </c>
      <c r="X223" s="26"/>
      <c r="Y223" s="26"/>
      <c r="Z223" s="26"/>
      <c r="AA223" s="26"/>
      <c r="AB223" s="26"/>
    </row>
    <row r="224" customFormat="false" ht="15" hidden="false" customHeight="true" outlineLevel="0" collapsed="false">
      <c r="A224" s="25" t="s">
        <v>81</v>
      </c>
      <c r="B224" s="25"/>
      <c r="C224" s="25"/>
      <c r="D224" s="25"/>
      <c r="E224" s="27" t="str">
        <f aca="false">IF(Calendario!$H$13="","","Ob. "&amp;IFERROR(VLOOKUP(Calendario!$H$13,Impostazioni!$A$25:$J$36,5,FALSE()),"?")&amp;" · peso "&amp;IF(Calendario!$F$13=2,Impostazioni!$B$11,Impostazioni!$B$10))</f>
        <v/>
      </c>
      <c r="F224" s="27"/>
      <c r="G224" s="27"/>
      <c r="H224" s="27"/>
      <c r="I224" s="27"/>
      <c r="J224" s="27"/>
      <c r="K224" s="27" t="str">
        <f aca="false">IF(Calendario!$I$13="","","Ob. "&amp;IFERROR(VLOOKUP(Calendario!$I$13,Impostazioni!$A$25:$J$36,5,FALSE()),"?")&amp;" · peso "&amp;IF(Calendario!$F$13=2,Impostazioni!$B$11,Impostazioni!$B$10))</f>
        <v/>
      </c>
      <c r="L224" s="27"/>
      <c r="M224" s="27"/>
      <c r="N224" s="27"/>
      <c r="O224" s="27"/>
      <c r="P224" s="27"/>
      <c r="Q224" s="27" t="str">
        <f aca="false">IF(Calendario!$J$13="","","Ob. "&amp;IFERROR(VLOOKUP(Calendario!$J$13,Impostazioni!$A$25:$J$36,5,FALSE()),"?")&amp;" · peso "&amp;IF(Calendario!$F$13=2,Impostazioni!$B$11,Impostazioni!$B$10))</f>
        <v/>
      </c>
      <c r="R224" s="27"/>
      <c r="S224" s="27"/>
      <c r="T224" s="27"/>
      <c r="U224" s="27"/>
      <c r="V224" s="27"/>
      <c r="W224" s="27" t="str">
        <f aca="false">IF(Calendario!$K$13="","","Ob. "&amp;IFERROR(VLOOKUP(Calendario!$K$13,Impostazioni!$A$25:$J$36,5,FALSE()),"?")&amp;" · peso "&amp;IF(Calendario!$F$13=2,Impostazioni!$B$11,Impostazioni!$B$10))</f>
        <v/>
      </c>
      <c r="X224" s="27"/>
      <c r="Y224" s="27"/>
      <c r="Z224" s="27"/>
      <c r="AA224" s="27"/>
      <c r="AB224" s="27"/>
    </row>
    <row r="225" customFormat="false" ht="33.75" hidden="false" customHeight="true" outlineLevel="0" collapsed="false">
      <c r="A225" s="25" t="s">
        <v>82</v>
      </c>
      <c r="B225" s="25"/>
      <c r="C225" s="25"/>
      <c r="D225" s="25"/>
      <c r="E225" s="28" t="str">
        <f aca="false">IF(Calendario!$H$13="","",IFERROR(HYPERLINK("#Rubriche!C"&amp;(MATCH(Calendario!$H$13,Rubriche!$A$1:$A$1000,0)+0),VLOOKUP(Calendario!$H$13,Impostazioni!$A$25:$J$36,7,FALSE())),""))</f>
        <v/>
      </c>
      <c r="F225" s="28" t="str">
        <f aca="false">IF(Calendario!$H$13="","",IFERROR(HYPERLINK("#Rubriche!C"&amp;(MATCH(Calendario!$H$13,Rubriche!$A$1:$A$1000,0)+1),VLOOKUP(Calendario!$H$13,Impostazioni!$A$25:$J$36,8,FALSE())),""))</f>
        <v/>
      </c>
      <c r="G225" s="28" t="str">
        <f aca="false">IF(Calendario!$H$13="","",IFERROR(HYPERLINK("#Rubriche!C"&amp;(MATCH(Calendario!$H$13,Rubriche!$A$1:$A$1000,0)+2),VLOOKUP(Calendario!$H$13,Impostazioni!$A$25:$J$36,9,FALSE())),""))</f>
        <v/>
      </c>
      <c r="H225" s="28" t="str">
        <f aca="false">IF(Calendario!$H$13="","",IFERROR(HYPERLINK("#Rubriche!C"&amp;(MATCH(Calendario!$H$13,Rubriche!$A$1:$A$1000,0)+3),VLOOKUP(Calendario!$H$13,Impostazioni!$A$25:$J$36,10,FALSE())),""))</f>
        <v/>
      </c>
      <c r="I225" s="29"/>
      <c r="J225" s="29"/>
      <c r="K225" s="28" t="str">
        <f aca="false">IF(Calendario!$I$13="","",IFERROR(HYPERLINK("#Rubriche!C"&amp;(MATCH(Calendario!$I$13,Rubriche!$A$1:$A$1000,0)+0),VLOOKUP(Calendario!$I$13,Impostazioni!$A$25:$J$36,7,FALSE())),""))</f>
        <v/>
      </c>
      <c r="L225" s="28" t="str">
        <f aca="false">IF(Calendario!$I$13="","",IFERROR(HYPERLINK("#Rubriche!C"&amp;(MATCH(Calendario!$I$13,Rubriche!$A$1:$A$1000,0)+1),VLOOKUP(Calendario!$I$13,Impostazioni!$A$25:$J$36,8,FALSE())),""))</f>
        <v/>
      </c>
      <c r="M225" s="28" t="str">
        <f aca="false">IF(Calendario!$I$13="","",IFERROR(HYPERLINK("#Rubriche!C"&amp;(MATCH(Calendario!$I$13,Rubriche!$A$1:$A$1000,0)+2),VLOOKUP(Calendario!$I$13,Impostazioni!$A$25:$J$36,9,FALSE())),""))</f>
        <v/>
      </c>
      <c r="N225" s="28" t="str">
        <f aca="false">IF(Calendario!$I$13="","",IFERROR(HYPERLINK("#Rubriche!C"&amp;(MATCH(Calendario!$I$13,Rubriche!$A$1:$A$1000,0)+3),VLOOKUP(Calendario!$I$13,Impostazioni!$A$25:$J$36,10,FALSE())),""))</f>
        <v/>
      </c>
      <c r="O225" s="29"/>
      <c r="P225" s="29"/>
      <c r="Q225" s="28" t="str">
        <f aca="false">IF(Calendario!$J$13="","",IFERROR(HYPERLINK("#Rubriche!C"&amp;(MATCH(Calendario!$J$13,Rubriche!$A$1:$A$1000,0)+0),VLOOKUP(Calendario!$J$13,Impostazioni!$A$25:$J$36,7,FALSE())),""))</f>
        <v/>
      </c>
      <c r="R225" s="28" t="str">
        <f aca="false">IF(Calendario!$J$13="","",IFERROR(HYPERLINK("#Rubriche!C"&amp;(MATCH(Calendario!$J$13,Rubriche!$A$1:$A$1000,0)+1),VLOOKUP(Calendario!$J$13,Impostazioni!$A$25:$J$36,8,FALSE())),""))</f>
        <v/>
      </c>
      <c r="S225" s="28" t="str">
        <f aca="false">IF(Calendario!$J$13="","",IFERROR(HYPERLINK("#Rubriche!C"&amp;(MATCH(Calendario!$J$13,Rubriche!$A$1:$A$1000,0)+2),VLOOKUP(Calendario!$J$13,Impostazioni!$A$25:$J$36,9,FALSE())),""))</f>
        <v/>
      </c>
      <c r="T225" s="28" t="str">
        <f aca="false">IF(Calendario!$J$13="","",IFERROR(HYPERLINK("#Rubriche!C"&amp;(MATCH(Calendario!$J$13,Rubriche!$A$1:$A$1000,0)+3),VLOOKUP(Calendario!$J$13,Impostazioni!$A$25:$J$36,10,FALSE())),""))</f>
        <v/>
      </c>
      <c r="U225" s="29"/>
      <c r="V225" s="29"/>
      <c r="W225" s="28" t="str">
        <f aca="false">IF(Calendario!$K$13="","",IFERROR(HYPERLINK("#Rubriche!C"&amp;(MATCH(Calendario!$K$13,Rubriche!$A$1:$A$1000,0)+0),VLOOKUP(Calendario!$K$13,Impostazioni!$A$25:$J$36,7,FALSE())),""))</f>
        <v/>
      </c>
      <c r="X225" s="28" t="str">
        <f aca="false">IF(Calendario!$K$13="","",IFERROR(HYPERLINK("#Rubriche!C"&amp;(MATCH(Calendario!$K$13,Rubriche!$A$1:$A$1000,0)+1),VLOOKUP(Calendario!$K$13,Impostazioni!$A$25:$J$36,8,FALSE())),""))</f>
        <v/>
      </c>
      <c r="Y225" s="28" t="str">
        <f aca="false">IF(Calendario!$K$13="","",IFERROR(HYPERLINK("#Rubriche!C"&amp;(MATCH(Calendario!$K$13,Rubriche!$A$1:$A$1000,0)+2),VLOOKUP(Calendario!$K$13,Impostazioni!$A$25:$J$36,9,FALSE())),""))</f>
        <v/>
      </c>
      <c r="Z225" s="28" t="str">
        <f aca="false">IF(Calendario!$K$13="","",IFERROR(HYPERLINK("#Rubriche!C"&amp;(MATCH(Calendario!$K$13,Rubriche!$A$1:$A$1000,0)+3),VLOOKUP(Calendario!$K$13,Impostazioni!$A$25:$J$36,10,FALSE())),""))</f>
        <v/>
      </c>
      <c r="AA225" s="29"/>
      <c r="AB225" s="29"/>
    </row>
    <row r="226" customFormat="false" ht="25.5" hidden="false" customHeight="true" outlineLevel="0" collapsed="false">
      <c r="A226" s="8" t="s">
        <v>65</v>
      </c>
      <c r="B226" s="8" t="s">
        <v>83</v>
      </c>
      <c r="C226" s="8" t="s">
        <v>68</v>
      </c>
      <c r="D226" s="8" t="s">
        <v>84</v>
      </c>
      <c r="E226" s="30" t="s">
        <v>85</v>
      </c>
      <c r="F226" s="30" t="s">
        <v>86</v>
      </c>
      <c r="G226" s="30" t="s">
        <v>87</v>
      </c>
      <c r="H226" s="30" t="s">
        <v>88</v>
      </c>
      <c r="I226" s="31" t="s">
        <v>89</v>
      </c>
      <c r="J226" s="32" t="s">
        <v>90</v>
      </c>
      <c r="K226" s="30" t="s">
        <v>85</v>
      </c>
      <c r="L226" s="30" t="s">
        <v>86</v>
      </c>
      <c r="M226" s="30" t="s">
        <v>87</v>
      </c>
      <c r="N226" s="30" t="s">
        <v>88</v>
      </c>
      <c r="O226" s="31" t="s">
        <v>89</v>
      </c>
      <c r="P226" s="32" t="s">
        <v>90</v>
      </c>
      <c r="Q226" s="30" t="s">
        <v>85</v>
      </c>
      <c r="R226" s="30" t="s">
        <v>86</v>
      </c>
      <c r="S226" s="30" t="s">
        <v>87</v>
      </c>
      <c r="T226" s="30" t="s">
        <v>88</v>
      </c>
      <c r="U226" s="31" t="s">
        <v>89</v>
      </c>
      <c r="V226" s="32" t="s">
        <v>90</v>
      </c>
      <c r="W226" s="30" t="s">
        <v>85</v>
      </c>
      <c r="X226" s="30" t="s">
        <v>86</v>
      </c>
      <c r="Y226" s="30" t="s">
        <v>87</v>
      </c>
      <c r="Z226" s="30" t="s">
        <v>88</v>
      </c>
      <c r="AA226" s="31" t="s">
        <v>89</v>
      </c>
      <c r="AB226" s="32" t="s">
        <v>90</v>
      </c>
    </row>
    <row r="227" customFormat="false" ht="21" hidden="false" customHeight="true" outlineLevel="0" collapsed="false">
      <c r="A227" s="33" t="n">
        <v>1</v>
      </c>
      <c r="B227" s="34" t="str">
        <f aca="false">IFERROR(INDEX(Alunni!$C$1:$C$1000,MATCH($A227,Alunni!$A$1:$A$1000,0))&amp;"","")</f>
        <v>Rossi Mario (esempio)</v>
      </c>
      <c r="C227" s="15"/>
      <c r="D227" s="35"/>
      <c r="E227" s="36"/>
      <c r="F227" s="36"/>
      <c r="G227" s="36"/>
      <c r="H227" s="36"/>
      <c r="I227" s="39" t="str">
        <f aca="false">IF(COUNT(E227:H227)=0,"",ROUND(AVERAGE(E227:H227),0))</f>
        <v/>
      </c>
      <c r="J227" s="38" t="str">
        <f aca="false">IF(I227="","",LOOKUP(I227,Impostazioni!$E$4:$E$9,Impostazioni!$F$4:$F$9))</f>
        <v/>
      </c>
      <c r="K227" s="36"/>
      <c r="L227" s="36"/>
      <c r="M227" s="36"/>
      <c r="N227" s="36"/>
      <c r="O227" s="39" t="str">
        <f aca="false">IF(COUNT(K227:N227)=0,"",ROUND(AVERAGE(K227:N227),0))</f>
        <v/>
      </c>
      <c r="P227" s="38" t="str">
        <f aca="false">IF(O227="","",LOOKUP(O227,Impostazioni!$E$4:$E$9,Impostazioni!$F$4:$F$9))</f>
        <v/>
      </c>
      <c r="Q227" s="36"/>
      <c r="R227" s="36"/>
      <c r="S227" s="36"/>
      <c r="T227" s="36"/>
      <c r="U227" s="39" t="str">
        <f aca="false">IF(COUNT(Q227:T227)=0,"",ROUND(AVERAGE(Q227:T227),0))</f>
        <v/>
      </c>
      <c r="V227" s="38" t="str">
        <f aca="false">IF(U227="","",LOOKUP(U227,Impostazioni!$E$4:$E$9,Impostazioni!$F$4:$F$9))</f>
        <v/>
      </c>
      <c r="W227" s="36"/>
      <c r="X227" s="36"/>
      <c r="Y227" s="36"/>
      <c r="Z227" s="36"/>
      <c r="AA227" s="39" t="str">
        <f aca="false">IF(COUNT(W227:Z227)=0,"",ROUND(AVERAGE(W227:Z227),0))</f>
        <v/>
      </c>
      <c r="AB227" s="38" t="str">
        <f aca="false">IF(AA227="","",LOOKUP(AA227,Impostazioni!$E$4:$E$9,Impostazioni!$F$4:$F$9))</f>
        <v/>
      </c>
    </row>
    <row r="228" customFormat="false" ht="21" hidden="false" customHeight="true" outlineLevel="0" collapsed="false">
      <c r="A228" s="33" t="n">
        <v>2</v>
      </c>
      <c r="B228" s="34" t="str">
        <f aca="false">IFERROR(INDEX(Alunni!$C$1:$C$1000,MATCH($A228,Alunni!$A$1:$A$1000,0))&amp;"","")</f>
        <v>Bianchi Anna (esempio)</v>
      </c>
      <c r="C228" s="15"/>
      <c r="D228" s="35"/>
      <c r="E228" s="36"/>
      <c r="F228" s="36"/>
      <c r="G228" s="36"/>
      <c r="H228" s="36"/>
      <c r="I228" s="39" t="str">
        <f aca="false">IF(COUNT(E228:H228)=0,"",ROUND(AVERAGE(E228:H228),0))</f>
        <v/>
      </c>
      <c r="J228" s="38" t="str">
        <f aca="false">IF(I228="","",LOOKUP(I228,Impostazioni!$E$4:$E$9,Impostazioni!$F$4:$F$9))</f>
        <v/>
      </c>
      <c r="K228" s="36"/>
      <c r="L228" s="36"/>
      <c r="M228" s="36"/>
      <c r="N228" s="36"/>
      <c r="O228" s="39" t="str">
        <f aca="false">IF(COUNT(K228:N228)=0,"",ROUND(AVERAGE(K228:N228),0))</f>
        <v/>
      </c>
      <c r="P228" s="38" t="str">
        <f aca="false">IF(O228="","",LOOKUP(O228,Impostazioni!$E$4:$E$9,Impostazioni!$F$4:$F$9))</f>
        <v/>
      </c>
      <c r="Q228" s="36"/>
      <c r="R228" s="36"/>
      <c r="S228" s="36"/>
      <c r="T228" s="36"/>
      <c r="U228" s="39" t="str">
        <f aca="false">IF(COUNT(Q228:T228)=0,"",ROUND(AVERAGE(Q228:T228),0))</f>
        <v/>
      </c>
      <c r="V228" s="38" t="str">
        <f aca="false">IF(U228="","",LOOKUP(U228,Impostazioni!$E$4:$E$9,Impostazioni!$F$4:$F$9))</f>
        <v/>
      </c>
      <c r="W228" s="36"/>
      <c r="X228" s="36"/>
      <c r="Y228" s="36"/>
      <c r="Z228" s="36"/>
      <c r="AA228" s="39" t="str">
        <f aca="false">IF(COUNT(W228:Z228)=0,"",ROUND(AVERAGE(W228:Z228),0))</f>
        <v/>
      </c>
      <c r="AB228" s="38" t="str">
        <f aca="false">IF(AA228="","",LOOKUP(AA228,Impostazioni!$E$4:$E$9,Impostazioni!$F$4:$F$9))</f>
        <v/>
      </c>
    </row>
    <row r="229" customFormat="false" ht="21" hidden="false" customHeight="true" outlineLevel="0" collapsed="false">
      <c r="A229" s="33" t="n">
        <v>3</v>
      </c>
      <c r="B229" s="34" t="str">
        <f aca="false">IFERROR(INDEX(Alunni!$C$1:$C$1000,MATCH($A229,Alunni!$A$1:$A$1000,0))&amp;"","")</f>
        <v>Verdi Luca (esempio)</v>
      </c>
      <c r="C229" s="15"/>
      <c r="D229" s="35"/>
      <c r="E229" s="36"/>
      <c r="F229" s="36"/>
      <c r="G229" s="36"/>
      <c r="H229" s="36"/>
      <c r="I229" s="39" t="str">
        <f aca="false">IF(COUNT(E229:H229)=0,"",ROUND(AVERAGE(E229:H229),0))</f>
        <v/>
      </c>
      <c r="J229" s="38" t="str">
        <f aca="false">IF(I229="","",LOOKUP(I229,Impostazioni!$E$4:$E$9,Impostazioni!$F$4:$F$9))</f>
        <v/>
      </c>
      <c r="K229" s="36"/>
      <c r="L229" s="36"/>
      <c r="M229" s="36"/>
      <c r="N229" s="36"/>
      <c r="O229" s="39" t="str">
        <f aca="false">IF(COUNT(K229:N229)=0,"",ROUND(AVERAGE(K229:N229),0))</f>
        <v/>
      </c>
      <c r="P229" s="38" t="str">
        <f aca="false">IF(O229="","",LOOKUP(O229,Impostazioni!$E$4:$E$9,Impostazioni!$F$4:$F$9))</f>
        <v/>
      </c>
      <c r="Q229" s="36"/>
      <c r="R229" s="36"/>
      <c r="S229" s="36"/>
      <c r="T229" s="36"/>
      <c r="U229" s="39" t="str">
        <f aca="false">IF(COUNT(Q229:T229)=0,"",ROUND(AVERAGE(Q229:T229),0))</f>
        <v/>
      </c>
      <c r="V229" s="38" t="str">
        <f aca="false">IF(U229="","",LOOKUP(U229,Impostazioni!$E$4:$E$9,Impostazioni!$F$4:$F$9))</f>
        <v/>
      </c>
      <c r="W229" s="36"/>
      <c r="X229" s="36"/>
      <c r="Y229" s="36"/>
      <c r="Z229" s="36"/>
      <c r="AA229" s="39" t="str">
        <f aca="false">IF(COUNT(W229:Z229)=0,"",ROUND(AVERAGE(W229:Z229),0))</f>
        <v/>
      </c>
      <c r="AB229" s="38" t="str">
        <f aca="false">IF(AA229="","",LOOKUP(AA229,Impostazioni!$E$4:$E$9,Impostazioni!$F$4:$F$9))</f>
        <v/>
      </c>
    </row>
    <row r="230" customFormat="false" ht="21" hidden="false" customHeight="true" outlineLevel="0" collapsed="false">
      <c r="A230" s="33" t="n">
        <v>4</v>
      </c>
      <c r="B230" s="34" t="str">
        <f aca="false">IFERROR(INDEX(Alunni!$C$1:$C$1000,MATCH($A230,Alunni!$A$1:$A$1000,0))&amp;"","")</f>
        <v/>
      </c>
      <c r="C230" s="15"/>
      <c r="D230" s="35"/>
      <c r="E230" s="36"/>
      <c r="F230" s="36"/>
      <c r="G230" s="36"/>
      <c r="H230" s="36"/>
      <c r="I230" s="39" t="str">
        <f aca="false">IF(COUNT(E230:H230)=0,"",ROUND(AVERAGE(E230:H230),0))</f>
        <v/>
      </c>
      <c r="J230" s="38" t="str">
        <f aca="false">IF(I230="","",LOOKUP(I230,Impostazioni!$E$4:$E$9,Impostazioni!$F$4:$F$9))</f>
        <v/>
      </c>
      <c r="K230" s="36"/>
      <c r="L230" s="36"/>
      <c r="M230" s="36"/>
      <c r="N230" s="36"/>
      <c r="O230" s="39" t="str">
        <f aca="false">IF(COUNT(K230:N230)=0,"",ROUND(AVERAGE(K230:N230),0))</f>
        <v/>
      </c>
      <c r="P230" s="38" t="str">
        <f aca="false">IF(O230="","",LOOKUP(O230,Impostazioni!$E$4:$E$9,Impostazioni!$F$4:$F$9))</f>
        <v/>
      </c>
      <c r="Q230" s="36"/>
      <c r="R230" s="36"/>
      <c r="S230" s="36"/>
      <c r="T230" s="36"/>
      <c r="U230" s="39" t="str">
        <f aca="false">IF(COUNT(Q230:T230)=0,"",ROUND(AVERAGE(Q230:T230),0))</f>
        <v/>
      </c>
      <c r="V230" s="38" t="str">
        <f aca="false">IF(U230="","",LOOKUP(U230,Impostazioni!$E$4:$E$9,Impostazioni!$F$4:$F$9))</f>
        <v/>
      </c>
      <c r="W230" s="36"/>
      <c r="X230" s="36"/>
      <c r="Y230" s="36"/>
      <c r="Z230" s="36"/>
      <c r="AA230" s="39" t="str">
        <f aca="false">IF(COUNT(W230:Z230)=0,"",ROUND(AVERAGE(W230:Z230),0))</f>
        <v/>
      </c>
      <c r="AB230" s="38" t="str">
        <f aca="false">IF(AA230="","",LOOKUP(AA230,Impostazioni!$E$4:$E$9,Impostazioni!$F$4:$F$9))</f>
        <v/>
      </c>
    </row>
    <row r="231" customFormat="false" ht="21" hidden="false" customHeight="true" outlineLevel="0" collapsed="false">
      <c r="A231" s="33" t="n">
        <v>5</v>
      </c>
      <c r="B231" s="34" t="str">
        <f aca="false">IFERROR(INDEX(Alunni!$C$1:$C$1000,MATCH($A231,Alunni!$A$1:$A$1000,0))&amp;"","")</f>
        <v/>
      </c>
      <c r="C231" s="15"/>
      <c r="D231" s="35"/>
      <c r="E231" s="36"/>
      <c r="F231" s="36"/>
      <c r="G231" s="36"/>
      <c r="H231" s="36"/>
      <c r="I231" s="39" t="str">
        <f aca="false">IF(COUNT(E231:H231)=0,"",ROUND(AVERAGE(E231:H231),0))</f>
        <v/>
      </c>
      <c r="J231" s="38" t="str">
        <f aca="false">IF(I231="","",LOOKUP(I231,Impostazioni!$E$4:$E$9,Impostazioni!$F$4:$F$9))</f>
        <v/>
      </c>
      <c r="K231" s="36"/>
      <c r="L231" s="36"/>
      <c r="M231" s="36"/>
      <c r="N231" s="36"/>
      <c r="O231" s="39" t="str">
        <f aca="false">IF(COUNT(K231:N231)=0,"",ROUND(AVERAGE(K231:N231),0))</f>
        <v/>
      </c>
      <c r="P231" s="38" t="str">
        <f aca="false">IF(O231="","",LOOKUP(O231,Impostazioni!$E$4:$E$9,Impostazioni!$F$4:$F$9))</f>
        <v/>
      </c>
      <c r="Q231" s="36"/>
      <c r="R231" s="36"/>
      <c r="S231" s="36"/>
      <c r="T231" s="36"/>
      <c r="U231" s="39" t="str">
        <f aca="false">IF(COUNT(Q231:T231)=0,"",ROUND(AVERAGE(Q231:T231),0))</f>
        <v/>
      </c>
      <c r="V231" s="38" t="str">
        <f aca="false">IF(U231="","",LOOKUP(U231,Impostazioni!$E$4:$E$9,Impostazioni!$F$4:$F$9))</f>
        <v/>
      </c>
      <c r="W231" s="36"/>
      <c r="X231" s="36"/>
      <c r="Y231" s="36"/>
      <c r="Z231" s="36"/>
      <c r="AA231" s="39" t="str">
        <f aca="false">IF(COUNT(W231:Z231)=0,"",ROUND(AVERAGE(W231:Z231),0))</f>
        <v/>
      </c>
      <c r="AB231" s="38" t="str">
        <f aca="false">IF(AA231="","",LOOKUP(AA231,Impostazioni!$E$4:$E$9,Impostazioni!$F$4:$F$9))</f>
        <v/>
      </c>
    </row>
    <row r="232" customFormat="false" ht="21" hidden="false" customHeight="true" outlineLevel="0" collapsed="false">
      <c r="A232" s="33" t="n">
        <v>6</v>
      </c>
      <c r="B232" s="34" t="str">
        <f aca="false">IFERROR(INDEX(Alunni!$C$1:$C$1000,MATCH($A232,Alunni!$A$1:$A$1000,0))&amp;"","")</f>
        <v/>
      </c>
      <c r="C232" s="15"/>
      <c r="D232" s="35"/>
      <c r="E232" s="36"/>
      <c r="F232" s="36"/>
      <c r="G232" s="36"/>
      <c r="H232" s="36"/>
      <c r="I232" s="39" t="str">
        <f aca="false">IF(COUNT(E232:H232)=0,"",ROUND(AVERAGE(E232:H232),0))</f>
        <v/>
      </c>
      <c r="J232" s="38" t="str">
        <f aca="false">IF(I232="","",LOOKUP(I232,Impostazioni!$E$4:$E$9,Impostazioni!$F$4:$F$9))</f>
        <v/>
      </c>
      <c r="K232" s="36"/>
      <c r="L232" s="36"/>
      <c r="M232" s="36"/>
      <c r="N232" s="36"/>
      <c r="O232" s="39" t="str">
        <f aca="false">IF(COUNT(K232:N232)=0,"",ROUND(AVERAGE(K232:N232),0))</f>
        <v/>
      </c>
      <c r="P232" s="38" t="str">
        <f aca="false">IF(O232="","",LOOKUP(O232,Impostazioni!$E$4:$E$9,Impostazioni!$F$4:$F$9))</f>
        <v/>
      </c>
      <c r="Q232" s="36"/>
      <c r="R232" s="36"/>
      <c r="S232" s="36"/>
      <c r="T232" s="36"/>
      <c r="U232" s="39" t="str">
        <f aca="false">IF(COUNT(Q232:T232)=0,"",ROUND(AVERAGE(Q232:T232),0))</f>
        <v/>
      </c>
      <c r="V232" s="38" t="str">
        <f aca="false">IF(U232="","",LOOKUP(U232,Impostazioni!$E$4:$E$9,Impostazioni!$F$4:$F$9))</f>
        <v/>
      </c>
      <c r="W232" s="36"/>
      <c r="X232" s="36"/>
      <c r="Y232" s="36"/>
      <c r="Z232" s="36"/>
      <c r="AA232" s="39" t="str">
        <f aca="false">IF(COUNT(W232:Z232)=0,"",ROUND(AVERAGE(W232:Z232),0))</f>
        <v/>
      </c>
      <c r="AB232" s="38" t="str">
        <f aca="false">IF(AA232="","",LOOKUP(AA232,Impostazioni!$E$4:$E$9,Impostazioni!$F$4:$F$9))</f>
        <v/>
      </c>
    </row>
    <row r="233" customFormat="false" ht="21" hidden="false" customHeight="true" outlineLevel="0" collapsed="false">
      <c r="A233" s="33" t="n">
        <v>7</v>
      </c>
      <c r="B233" s="34" t="str">
        <f aca="false">IFERROR(INDEX(Alunni!$C$1:$C$1000,MATCH($A233,Alunni!$A$1:$A$1000,0))&amp;"","")</f>
        <v/>
      </c>
      <c r="C233" s="15"/>
      <c r="D233" s="35"/>
      <c r="E233" s="36"/>
      <c r="F233" s="36"/>
      <c r="G233" s="36"/>
      <c r="H233" s="36"/>
      <c r="I233" s="39" t="str">
        <f aca="false">IF(COUNT(E233:H233)=0,"",ROUND(AVERAGE(E233:H233),0))</f>
        <v/>
      </c>
      <c r="J233" s="38" t="str">
        <f aca="false">IF(I233="","",LOOKUP(I233,Impostazioni!$E$4:$E$9,Impostazioni!$F$4:$F$9))</f>
        <v/>
      </c>
      <c r="K233" s="36"/>
      <c r="L233" s="36"/>
      <c r="M233" s="36"/>
      <c r="N233" s="36"/>
      <c r="O233" s="39" t="str">
        <f aca="false">IF(COUNT(K233:N233)=0,"",ROUND(AVERAGE(K233:N233),0))</f>
        <v/>
      </c>
      <c r="P233" s="38" t="str">
        <f aca="false">IF(O233="","",LOOKUP(O233,Impostazioni!$E$4:$E$9,Impostazioni!$F$4:$F$9))</f>
        <v/>
      </c>
      <c r="Q233" s="36"/>
      <c r="R233" s="36"/>
      <c r="S233" s="36"/>
      <c r="T233" s="36"/>
      <c r="U233" s="39" t="str">
        <f aca="false">IF(COUNT(Q233:T233)=0,"",ROUND(AVERAGE(Q233:T233),0))</f>
        <v/>
      </c>
      <c r="V233" s="38" t="str">
        <f aca="false">IF(U233="","",LOOKUP(U233,Impostazioni!$E$4:$E$9,Impostazioni!$F$4:$F$9))</f>
        <v/>
      </c>
      <c r="W233" s="36"/>
      <c r="X233" s="36"/>
      <c r="Y233" s="36"/>
      <c r="Z233" s="36"/>
      <c r="AA233" s="39" t="str">
        <f aca="false">IF(COUNT(W233:Z233)=0,"",ROUND(AVERAGE(W233:Z233),0))</f>
        <v/>
      </c>
      <c r="AB233" s="38" t="str">
        <f aca="false">IF(AA233="","",LOOKUP(AA233,Impostazioni!$E$4:$E$9,Impostazioni!$F$4:$F$9))</f>
        <v/>
      </c>
    </row>
    <row r="234" customFormat="false" ht="21" hidden="false" customHeight="true" outlineLevel="0" collapsed="false">
      <c r="A234" s="33" t="n">
        <v>8</v>
      </c>
      <c r="B234" s="34" t="str">
        <f aca="false">IFERROR(INDEX(Alunni!$C$1:$C$1000,MATCH($A234,Alunni!$A$1:$A$1000,0))&amp;"","")</f>
        <v/>
      </c>
      <c r="C234" s="15"/>
      <c r="D234" s="35"/>
      <c r="E234" s="36"/>
      <c r="F234" s="36"/>
      <c r="G234" s="36"/>
      <c r="H234" s="36"/>
      <c r="I234" s="39" t="str">
        <f aca="false">IF(COUNT(E234:H234)=0,"",ROUND(AVERAGE(E234:H234),0))</f>
        <v/>
      </c>
      <c r="J234" s="38" t="str">
        <f aca="false">IF(I234="","",LOOKUP(I234,Impostazioni!$E$4:$E$9,Impostazioni!$F$4:$F$9))</f>
        <v/>
      </c>
      <c r="K234" s="36"/>
      <c r="L234" s="36"/>
      <c r="M234" s="36"/>
      <c r="N234" s="36"/>
      <c r="O234" s="39" t="str">
        <f aca="false">IF(COUNT(K234:N234)=0,"",ROUND(AVERAGE(K234:N234),0))</f>
        <v/>
      </c>
      <c r="P234" s="38" t="str">
        <f aca="false">IF(O234="","",LOOKUP(O234,Impostazioni!$E$4:$E$9,Impostazioni!$F$4:$F$9))</f>
        <v/>
      </c>
      <c r="Q234" s="36"/>
      <c r="R234" s="36"/>
      <c r="S234" s="36"/>
      <c r="T234" s="36"/>
      <c r="U234" s="39" t="str">
        <f aca="false">IF(COUNT(Q234:T234)=0,"",ROUND(AVERAGE(Q234:T234),0))</f>
        <v/>
      </c>
      <c r="V234" s="38" t="str">
        <f aca="false">IF(U234="","",LOOKUP(U234,Impostazioni!$E$4:$E$9,Impostazioni!$F$4:$F$9))</f>
        <v/>
      </c>
      <c r="W234" s="36"/>
      <c r="X234" s="36"/>
      <c r="Y234" s="36"/>
      <c r="Z234" s="36"/>
      <c r="AA234" s="39" t="str">
        <f aca="false">IF(COUNT(W234:Z234)=0,"",ROUND(AVERAGE(W234:Z234),0))</f>
        <v/>
      </c>
      <c r="AB234" s="38" t="str">
        <f aca="false">IF(AA234="","",LOOKUP(AA234,Impostazioni!$E$4:$E$9,Impostazioni!$F$4:$F$9))</f>
        <v/>
      </c>
    </row>
    <row r="235" customFormat="false" ht="21" hidden="false" customHeight="true" outlineLevel="0" collapsed="false">
      <c r="A235" s="33" t="n">
        <v>9</v>
      </c>
      <c r="B235" s="34" t="str">
        <f aca="false">IFERROR(INDEX(Alunni!$C$1:$C$1000,MATCH($A235,Alunni!$A$1:$A$1000,0))&amp;"","")</f>
        <v/>
      </c>
      <c r="C235" s="15"/>
      <c r="D235" s="35"/>
      <c r="E235" s="36"/>
      <c r="F235" s="36"/>
      <c r="G235" s="36"/>
      <c r="H235" s="36"/>
      <c r="I235" s="39" t="str">
        <f aca="false">IF(COUNT(E235:H235)=0,"",ROUND(AVERAGE(E235:H235),0))</f>
        <v/>
      </c>
      <c r="J235" s="38" t="str">
        <f aca="false">IF(I235="","",LOOKUP(I235,Impostazioni!$E$4:$E$9,Impostazioni!$F$4:$F$9))</f>
        <v/>
      </c>
      <c r="K235" s="36"/>
      <c r="L235" s="36"/>
      <c r="M235" s="36"/>
      <c r="N235" s="36"/>
      <c r="O235" s="39" t="str">
        <f aca="false">IF(COUNT(K235:N235)=0,"",ROUND(AVERAGE(K235:N235),0))</f>
        <v/>
      </c>
      <c r="P235" s="38" t="str">
        <f aca="false">IF(O235="","",LOOKUP(O235,Impostazioni!$E$4:$E$9,Impostazioni!$F$4:$F$9))</f>
        <v/>
      </c>
      <c r="Q235" s="36"/>
      <c r="R235" s="36"/>
      <c r="S235" s="36"/>
      <c r="T235" s="36"/>
      <c r="U235" s="39" t="str">
        <f aca="false">IF(COUNT(Q235:T235)=0,"",ROUND(AVERAGE(Q235:T235),0))</f>
        <v/>
      </c>
      <c r="V235" s="38" t="str">
        <f aca="false">IF(U235="","",LOOKUP(U235,Impostazioni!$E$4:$E$9,Impostazioni!$F$4:$F$9))</f>
        <v/>
      </c>
      <c r="W235" s="36"/>
      <c r="X235" s="36"/>
      <c r="Y235" s="36"/>
      <c r="Z235" s="36"/>
      <c r="AA235" s="39" t="str">
        <f aca="false">IF(COUNT(W235:Z235)=0,"",ROUND(AVERAGE(W235:Z235),0))</f>
        <v/>
      </c>
      <c r="AB235" s="38" t="str">
        <f aca="false">IF(AA235="","",LOOKUP(AA235,Impostazioni!$E$4:$E$9,Impostazioni!$F$4:$F$9))</f>
        <v/>
      </c>
    </row>
    <row r="236" customFormat="false" ht="21" hidden="false" customHeight="true" outlineLevel="0" collapsed="false">
      <c r="A236" s="33" t="n">
        <v>10</v>
      </c>
      <c r="B236" s="34" t="str">
        <f aca="false">IFERROR(INDEX(Alunni!$C$1:$C$1000,MATCH($A236,Alunni!$A$1:$A$1000,0))&amp;"","")</f>
        <v/>
      </c>
      <c r="C236" s="15"/>
      <c r="D236" s="35"/>
      <c r="E236" s="36"/>
      <c r="F236" s="36"/>
      <c r="G236" s="36"/>
      <c r="H236" s="36"/>
      <c r="I236" s="39" t="str">
        <f aca="false">IF(COUNT(E236:H236)=0,"",ROUND(AVERAGE(E236:H236),0))</f>
        <v/>
      </c>
      <c r="J236" s="38" t="str">
        <f aca="false">IF(I236="","",LOOKUP(I236,Impostazioni!$E$4:$E$9,Impostazioni!$F$4:$F$9))</f>
        <v/>
      </c>
      <c r="K236" s="36"/>
      <c r="L236" s="36"/>
      <c r="M236" s="36"/>
      <c r="N236" s="36"/>
      <c r="O236" s="39" t="str">
        <f aca="false">IF(COUNT(K236:N236)=0,"",ROUND(AVERAGE(K236:N236),0))</f>
        <v/>
      </c>
      <c r="P236" s="38" t="str">
        <f aca="false">IF(O236="","",LOOKUP(O236,Impostazioni!$E$4:$E$9,Impostazioni!$F$4:$F$9))</f>
        <v/>
      </c>
      <c r="Q236" s="36"/>
      <c r="R236" s="36"/>
      <c r="S236" s="36"/>
      <c r="T236" s="36"/>
      <c r="U236" s="39" t="str">
        <f aca="false">IF(COUNT(Q236:T236)=0,"",ROUND(AVERAGE(Q236:T236),0))</f>
        <v/>
      </c>
      <c r="V236" s="38" t="str">
        <f aca="false">IF(U236="","",LOOKUP(U236,Impostazioni!$E$4:$E$9,Impostazioni!$F$4:$F$9))</f>
        <v/>
      </c>
      <c r="W236" s="36"/>
      <c r="X236" s="36"/>
      <c r="Y236" s="36"/>
      <c r="Z236" s="36"/>
      <c r="AA236" s="39" t="str">
        <f aca="false">IF(COUNT(W236:Z236)=0,"",ROUND(AVERAGE(W236:Z236),0))</f>
        <v/>
      </c>
      <c r="AB236" s="38" t="str">
        <f aca="false">IF(AA236="","",LOOKUP(AA236,Impostazioni!$E$4:$E$9,Impostazioni!$F$4:$F$9))</f>
        <v/>
      </c>
    </row>
    <row r="237" customFormat="false" ht="21" hidden="false" customHeight="true" outlineLevel="0" collapsed="false">
      <c r="A237" s="33" t="n">
        <v>11</v>
      </c>
      <c r="B237" s="34" t="str">
        <f aca="false">IFERROR(INDEX(Alunni!$C$1:$C$1000,MATCH($A237,Alunni!$A$1:$A$1000,0))&amp;"","")</f>
        <v/>
      </c>
      <c r="C237" s="15"/>
      <c r="D237" s="35"/>
      <c r="E237" s="36"/>
      <c r="F237" s="36"/>
      <c r="G237" s="36"/>
      <c r="H237" s="36"/>
      <c r="I237" s="39" t="str">
        <f aca="false">IF(COUNT(E237:H237)=0,"",ROUND(AVERAGE(E237:H237),0))</f>
        <v/>
      </c>
      <c r="J237" s="38" t="str">
        <f aca="false">IF(I237="","",LOOKUP(I237,Impostazioni!$E$4:$E$9,Impostazioni!$F$4:$F$9))</f>
        <v/>
      </c>
      <c r="K237" s="36"/>
      <c r="L237" s="36"/>
      <c r="M237" s="36"/>
      <c r="N237" s="36"/>
      <c r="O237" s="39" t="str">
        <f aca="false">IF(COUNT(K237:N237)=0,"",ROUND(AVERAGE(K237:N237),0))</f>
        <v/>
      </c>
      <c r="P237" s="38" t="str">
        <f aca="false">IF(O237="","",LOOKUP(O237,Impostazioni!$E$4:$E$9,Impostazioni!$F$4:$F$9))</f>
        <v/>
      </c>
      <c r="Q237" s="36"/>
      <c r="R237" s="36"/>
      <c r="S237" s="36"/>
      <c r="T237" s="36"/>
      <c r="U237" s="39" t="str">
        <f aca="false">IF(COUNT(Q237:T237)=0,"",ROUND(AVERAGE(Q237:T237),0))</f>
        <v/>
      </c>
      <c r="V237" s="38" t="str">
        <f aca="false">IF(U237="","",LOOKUP(U237,Impostazioni!$E$4:$E$9,Impostazioni!$F$4:$F$9))</f>
        <v/>
      </c>
      <c r="W237" s="36"/>
      <c r="X237" s="36"/>
      <c r="Y237" s="36"/>
      <c r="Z237" s="36"/>
      <c r="AA237" s="39" t="str">
        <f aca="false">IF(COUNT(W237:Z237)=0,"",ROUND(AVERAGE(W237:Z237),0))</f>
        <v/>
      </c>
      <c r="AB237" s="38" t="str">
        <f aca="false">IF(AA237="","",LOOKUP(AA237,Impostazioni!$E$4:$E$9,Impostazioni!$F$4:$F$9))</f>
        <v/>
      </c>
    </row>
    <row r="238" customFormat="false" ht="21" hidden="false" customHeight="true" outlineLevel="0" collapsed="false">
      <c r="A238" s="33" t="n">
        <v>12</v>
      </c>
      <c r="B238" s="34" t="str">
        <f aca="false">IFERROR(INDEX(Alunni!$C$1:$C$1000,MATCH($A238,Alunni!$A$1:$A$1000,0))&amp;"","")</f>
        <v/>
      </c>
      <c r="C238" s="15"/>
      <c r="D238" s="35"/>
      <c r="E238" s="36"/>
      <c r="F238" s="36"/>
      <c r="G238" s="36"/>
      <c r="H238" s="36"/>
      <c r="I238" s="39" t="str">
        <f aca="false">IF(COUNT(E238:H238)=0,"",ROUND(AVERAGE(E238:H238),0))</f>
        <v/>
      </c>
      <c r="J238" s="38" t="str">
        <f aca="false">IF(I238="","",LOOKUP(I238,Impostazioni!$E$4:$E$9,Impostazioni!$F$4:$F$9))</f>
        <v/>
      </c>
      <c r="K238" s="36"/>
      <c r="L238" s="36"/>
      <c r="M238" s="36"/>
      <c r="N238" s="36"/>
      <c r="O238" s="39" t="str">
        <f aca="false">IF(COUNT(K238:N238)=0,"",ROUND(AVERAGE(K238:N238),0))</f>
        <v/>
      </c>
      <c r="P238" s="38" t="str">
        <f aca="false">IF(O238="","",LOOKUP(O238,Impostazioni!$E$4:$E$9,Impostazioni!$F$4:$F$9))</f>
        <v/>
      </c>
      <c r="Q238" s="36"/>
      <c r="R238" s="36"/>
      <c r="S238" s="36"/>
      <c r="T238" s="36"/>
      <c r="U238" s="39" t="str">
        <f aca="false">IF(COUNT(Q238:T238)=0,"",ROUND(AVERAGE(Q238:T238),0))</f>
        <v/>
      </c>
      <c r="V238" s="38" t="str">
        <f aca="false">IF(U238="","",LOOKUP(U238,Impostazioni!$E$4:$E$9,Impostazioni!$F$4:$F$9))</f>
        <v/>
      </c>
      <c r="W238" s="36"/>
      <c r="X238" s="36"/>
      <c r="Y238" s="36"/>
      <c r="Z238" s="36"/>
      <c r="AA238" s="39" t="str">
        <f aca="false">IF(COUNT(W238:Z238)=0,"",ROUND(AVERAGE(W238:Z238),0))</f>
        <v/>
      </c>
      <c r="AB238" s="38" t="str">
        <f aca="false">IF(AA238="","",LOOKUP(AA238,Impostazioni!$E$4:$E$9,Impostazioni!$F$4:$F$9))</f>
        <v/>
      </c>
    </row>
    <row r="239" customFormat="false" ht="21" hidden="false" customHeight="true" outlineLevel="0" collapsed="false">
      <c r="A239" s="33" t="n">
        <v>13</v>
      </c>
      <c r="B239" s="34" t="str">
        <f aca="false">IFERROR(INDEX(Alunni!$C$1:$C$1000,MATCH($A239,Alunni!$A$1:$A$1000,0))&amp;"","")</f>
        <v/>
      </c>
      <c r="C239" s="15"/>
      <c r="D239" s="35"/>
      <c r="E239" s="36"/>
      <c r="F239" s="36"/>
      <c r="G239" s="36"/>
      <c r="H239" s="36"/>
      <c r="I239" s="39" t="str">
        <f aca="false">IF(COUNT(E239:H239)=0,"",ROUND(AVERAGE(E239:H239),0))</f>
        <v/>
      </c>
      <c r="J239" s="38" t="str">
        <f aca="false">IF(I239="","",LOOKUP(I239,Impostazioni!$E$4:$E$9,Impostazioni!$F$4:$F$9))</f>
        <v/>
      </c>
      <c r="K239" s="36"/>
      <c r="L239" s="36"/>
      <c r="M239" s="36"/>
      <c r="N239" s="36"/>
      <c r="O239" s="39" t="str">
        <f aca="false">IF(COUNT(K239:N239)=0,"",ROUND(AVERAGE(K239:N239),0))</f>
        <v/>
      </c>
      <c r="P239" s="38" t="str">
        <f aca="false">IF(O239="","",LOOKUP(O239,Impostazioni!$E$4:$E$9,Impostazioni!$F$4:$F$9))</f>
        <v/>
      </c>
      <c r="Q239" s="36"/>
      <c r="R239" s="36"/>
      <c r="S239" s="36"/>
      <c r="T239" s="36"/>
      <c r="U239" s="39" t="str">
        <f aca="false">IF(COUNT(Q239:T239)=0,"",ROUND(AVERAGE(Q239:T239),0))</f>
        <v/>
      </c>
      <c r="V239" s="38" t="str">
        <f aca="false">IF(U239="","",LOOKUP(U239,Impostazioni!$E$4:$E$9,Impostazioni!$F$4:$F$9))</f>
        <v/>
      </c>
      <c r="W239" s="36"/>
      <c r="X239" s="36"/>
      <c r="Y239" s="36"/>
      <c r="Z239" s="36"/>
      <c r="AA239" s="39" t="str">
        <f aca="false">IF(COUNT(W239:Z239)=0,"",ROUND(AVERAGE(W239:Z239),0))</f>
        <v/>
      </c>
      <c r="AB239" s="38" t="str">
        <f aca="false">IF(AA239="","",LOOKUP(AA239,Impostazioni!$E$4:$E$9,Impostazioni!$F$4:$F$9))</f>
        <v/>
      </c>
    </row>
    <row r="240" customFormat="false" ht="21" hidden="false" customHeight="true" outlineLevel="0" collapsed="false">
      <c r="A240" s="33" t="n">
        <v>14</v>
      </c>
      <c r="B240" s="34" t="str">
        <f aca="false">IFERROR(INDEX(Alunni!$C$1:$C$1000,MATCH($A240,Alunni!$A$1:$A$1000,0))&amp;"","")</f>
        <v/>
      </c>
      <c r="C240" s="15"/>
      <c r="D240" s="35"/>
      <c r="E240" s="36"/>
      <c r="F240" s="36"/>
      <c r="G240" s="36"/>
      <c r="H240" s="36"/>
      <c r="I240" s="39" t="str">
        <f aca="false">IF(COUNT(E240:H240)=0,"",ROUND(AVERAGE(E240:H240),0))</f>
        <v/>
      </c>
      <c r="J240" s="38" t="str">
        <f aca="false">IF(I240="","",LOOKUP(I240,Impostazioni!$E$4:$E$9,Impostazioni!$F$4:$F$9))</f>
        <v/>
      </c>
      <c r="K240" s="36"/>
      <c r="L240" s="36"/>
      <c r="M240" s="36"/>
      <c r="N240" s="36"/>
      <c r="O240" s="39" t="str">
        <f aca="false">IF(COUNT(K240:N240)=0,"",ROUND(AVERAGE(K240:N240),0))</f>
        <v/>
      </c>
      <c r="P240" s="38" t="str">
        <f aca="false">IF(O240="","",LOOKUP(O240,Impostazioni!$E$4:$E$9,Impostazioni!$F$4:$F$9))</f>
        <v/>
      </c>
      <c r="Q240" s="36"/>
      <c r="R240" s="36"/>
      <c r="S240" s="36"/>
      <c r="T240" s="36"/>
      <c r="U240" s="39" t="str">
        <f aca="false">IF(COUNT(Q240:T240)=0,"",ROUND(AVERAGE(Q240:T240),0))</f>
        <v/>
      </c>
      <c r="V240" s="38" t="str">
        <f aca="false">IF(U240="","",LOOKUP(U240,Impostazioni!$E$4:$E$9,Impostazioni!$F$4:$F$9))</f>
        <v/>
      </c>
      <c r="W240" s="36"/>
      <c r="X240" s="36"/>
      <c r="Y240" s="36"/>
      <c r="Z240" s="36"/>
      <c r="AA240" s="39" t="str">
        <f aca="false">IF(COUNT(W240:Z240)=0,"",ROUND(AVERAGE(W240:Z240),0))</f>
        <v/>
      </c>
      <c r="AB240" s="38" t="str">
        <f aca="false">IF(AA240="","",LOOKUP(AA240,Impostazioni!$E$4:$E$9,Impostazioni!$F$4:$F$9))</f>
        <v/>
      </c>
    </row>
    <row r="241" customFormat="false" ht="21" hidden="false" customHeight="true" outlineLevel="0" collapsed="false">
      <c r="A241" s="33" t="n">
        <v>15</v>
      </c>
      <c r="B241" s="34" t="str">
        <f aca="false">IFERROR(INDEX(Alunni!$C$1:$C$1000,MATCH($A241,Alunni!$A$1:$A$1000,0))&amp;"","")</f>
        <v/>
      </c>
      <c r="C241" s="15"/>
      <c r="D241" s="35"/>
      <c r="E241" s="36"/>
      <c r="F241" s="36"/>
      <c r="G241" s="36"/>
      <c r="H241" s="36"/>
      <c r="I241" s="39" t="str">
        <f aca="false">IF(COUNT(E241:H241)=0,"",ROUND(AVERAGE(E241:H241),0))</f>
        <v/>
      </c>
      <c r="J241" s="38" t="str">
        <f aca="false">IF(I241="","",LOOKUP(I241,Impostazioni!$E$4:$E$9,Impostazioni!$F$4:$F$9))</f>
        <v/>
      </c>
      <c r="K241" s="36"/>
      <c r="L241" s="36"/>
      <c r="M241" s="36"/>
      <c r="N241" s="36"/>
      <c r="O241" s="39" t="str">
        <f aca="false">IF(COUNT(K241:N241)=0,"",ROUND(AVERAGE(K241:N241),0))</f>
        <v/>
      </c>
      <c r="P241" s="38" t="str">
        <f aca="false">IF(O241="","",LOOKUP(O241,Impostazioni!$E$4:$E$9,Impostazioni!$F$4:$F$9))</f>
        <v/>
      </c>
      <c r="Q241" s="36"/>
      <c r="R241" s="36"/>
      <c r="S241" s="36"/>
      <c r="T241" s="36"/>
      <c r="U241" s="39" t="str">
        <f aca="false">IF(COUNT(Q241:T241)=0,"",ROUND(AVERAGE(Q241:T241),0))</f>
        <v/>
      </c>
      <c r="V241" s="38" t="str">
        <f aca="false">IF(U241="","",LOOKUP(U241,Impostazioni!$E$4:$E$9,Impostazioni!$F$4:$F$9))</f>
        <v/>
      </c>
      <c r="W241" s="36"/>
      <c r="X241" s="36"/>
      <c r="Y241" s="36"/>
      <c r="Z241" s="36"/>
      <c r="AA241" s="39" t="str">
        <f aca="false">IF(COUNT(W241:Z241)=0,"",ROUND(AVERAGE(W241:Z241),0))</f>
        <v/>
      </c>
      <c r="AB241" s="38" t="str">
        <f aca="false">IF(AA241="","",LOOKUP(AA241,Impostazioni!$E$4:$E$9,Impostazioni!$F$4:$F$9))</f>
        <v/>
      </c>
    </row>
    <row r="242" customFormat="false" ht="21" hidden="false" customHeight="true" outlineLevel="0" collapsed="false">
      <c r="A242" s="33" t="n">
        <v>16</v>
      </c>
      <c r="B242" s="34" t="str">
        <f aca="false">IFERROR(INDEX(Alunni!$C$1:$C$1000,MATCH($A242,Alunni!$A$1:$A$1000,0))&amp;"","")</f>
        <v/>
      </c>
      <c r="C242" s="15"/>
      <c r="D242" s="35"/>
      <c r="E242" s="36"/>
      <c r="F242" s="36"/>
      <c r="G242" s="36"/>
      <c r="H242" s="36"/>
      <c r="I242" s="39" t="str">
        <f aca="false">IF(COUNT(E242:H242)=0,"",ROUND(AVERAGE(E242:H242),0))</f>
        <v/>
      </c>
      <c r="J242" s="38" t="str">
        <f aca="false">IF(I242="","",LOOKUP(I242,Impostazioni!$E$4:$E$9,Impostazioni!$F$4:$F$9))</f>
        <v/>
      </c>
      <c r="K242" s="36"/>
      <c r="L242" s="36"/>
      <c r="M242" s="36"/>
      <c r="N242" s="36"/>
      <c r="O242" s="39" t="str">
        <f aca="false">IF(COUNT(K242:N242)=0,"",ROUND(AVERAGE(K242:N242),0))</f>
        <v/>
      </c>
      <c r="P242" s="38" t="str">
        <f aca="false">IF(O242="","",LOOKUP(O242,Impostazioni!$E$4:$E$9,Impostazioni!$F$4:$F$9))</f>
        <v/>
      </c>
      <c r="Q242" s="36"/>
      <c r="R242" s="36"/>
      <c r="S242" s="36"/>
      <c r="T242" s="36"/>
      <c r="U242" s="39" t="str">
        <f aca="false">IF(COUNT(Q242:T242)=0,"",ROUND(AVERAGE(Q242:T242),0))</f>
        <v/>
      </c>
      <c r="V242" s="38" t="str">
        <f aca="false">IF(U242="","",LOOKUP(U242,Impostazioni!$E$4:$E$9,Impostazioni!$F$4:$F$9))</f>
        <v/>
      </c>
      <c r="W242" s="36"/>
      <c r="X242" s="36"/>
      <c r="Y242" s="36"/>
      <c r="Z242" s="36"/>
      <c r="AA242" s="39" t="str">
        <f aca="false">IF(COUNT(W242:Z242)=0,"",ROUND(AVERAGE(W242:Z242),0))</f>
        <v/>
      </c>
      <c r="AB242" s="38" t="str">
        <f aca="false">IF(AA242="","",LOOKUP(AA242,Impostazioni!$E$4:$E$9,Impostazioni!$F$4:$F$9))</f>
        <v/>
      </c>
    </row>
    <row r="243" customFormat="false" ht="21" hidden="false" customHeight="true" outlineLevel="0" collapsed="false">
      <c r="A243" s="33" t="n">
        <v>17</v>
      </c>
      <c r="B243" s="34" t="str">
        <f aca="false">IFERROR(INDEX(Alunni!$C$1:$C$1000,MATCH($A243,Alunni!$A$1:$A$1000,0))&amp;"","")</f>
        <v/>
      </c>
      <c r="C243" s="15"/>
      <c r="D243" s="35"/>
      <c r="E243" s="36"/>
      <c r="F243" s="36"/>
      <c r="G243" s="36"/>
      <c r="H243" s="36"/>
      <c r="I243" s="39" t="str">
        <f aca="false">IF(COUNT(E243:H243)=0,"",ROUND(AVERAGE(E243:H243),0))</f>
        <v/>
      </c>
      <c r="J243" s="38" t="str">
        <f aca="false">IF(I243="","",LOOKUP(I243,Impostazioni!$E$4:$E$9,Impostazioni!$F$4:$F$9))</f>
        <v/>
      </c>
      <c r="K243" s="36"/>
      <c r="L243" s="36"/>
      <c r="M243" s="36"/>
      <c r="N243" s="36"/>
      <c r="O243" s="39" t="str">
        <f aca="false">IF(COUNT(K243:N243)=0,"",ROUND(AVERAGE(K243:N243),0))</f>
        <v/>
      </c>
      <c r="P243" s="38" t="str">
        <f aca="false">IF(O243="","",LOOKUP(O243,Impostazioni!$E$4:$E$9,Impostazioni!$F$4:$F$9))</f>
        <v/>
      </c>
      <c r="Q243" s="36"/>
      <c r="R243" s="36"/>
      <c r="S243" s="36"/>
      <c r="T243" s="36"/>
      <c r="U243" s="39" t="str">
        <f aca="false">IF(COUNT(Q243:T243)=0,"",ROUND(AVERAGE(Q243:T243),0))</f>
        <v/>
      </c>
      <c r="V243" s="38" t="str">
        <f aca="false">IF(U243="","",LOOKUP(U243,Impostazioni!$E$4:$E$9,Impostazioni!$F$4:$F$9))</f>
        <v/>
      </c>
      <c r="W243" s="36"/>
      <c r="X243" s="36"/>
      <c r="Y243" s="36"/>
      <c r="Z243" s="36"/>
      <c r="AA243" s="39" t="str">
        <f aca="false">IF(COUNT(W243:Z243)=0,"",ROUND(AVERAGE(W243:Z243),0))</f>
        <v/>
      </c>
      <c r="AB243" s="38" t="str">
        <f aca="false">IF(AA243="","",LOOKUP(AA243,Impostazioni!$E$4:$E$9,Impostazioni!$F$4:$F$9))</f>
        <v/>
      </c>
    </row>
    <row r="244" customFormat="false" ht="21" hidden="false" customHeight="true" outlineLevel="0" collapsed="false">
      <c r="A244" s="33" t="n">
        <v>18</v>
      </c>
      <c r="B244" s="34" t="str">
        <f aca="false">IFERROR(INDEX(Alunni!$C$1:$C$1000,MATCH($A244,Alunni!$A$1:$A$1000,0))&amp;"","")</f>
        <v/>
      </c>
      <c r="C244" s="15"/>
      <c r="D244" s="35"/>
      <c r="E244" s="36"/>
      <c r="F244" s="36"/>
      <c r="G244" s="36"/>
      <c r="H244" s="36"/>
      <c r="I244" s="39" t="str">
        <f aca="false">IF(COUNT(E244:H244)=0,"",ROUND(AVERAGE(E244:H244),0))</f>
        <v/>
      </c>
      <c r="J244" s="38" t="str">
        <f aca="false">IF(I244="","",LOOKUP(I244,Impostazioni!$E$4:$E$9,Impostazioni!$F$4:$F$9))</f>
        <v/>
      </c>
      <c r="K244" s="36"/>
      <c r="L244" s="36"/>
      <c r="M244" s="36"/>
      <c r="N244" s="36"/>
      <c r="O244" s="39" t="str">
        <f aca="false">IF(COUNT(K244:N244)=0,"",ROUND(AVERAGE(K244:N244),0))</f>
        <v/>
      </c>
      <c r="P244" s="38" t="str">
        <f aca="false">IF(O244="","",LOOKUP(O244,Impostazioni!$E$4:$E$9,Impostazioni!$F$4:$F$9))</f>
        <v/>
      </c>
      <c r="Q244" s="36"/>
      <c r="R244" s="36"/>
      <c r="S244" s="36"/>
      <c r="T244" s="36"/>
      <c r="U244" s="39" t="str">
        <f aca="false">IF(COUNT(Q244:T244)=0,"",ROUND(AVERAGE(Q244:T244),0))</f>
        <v/>
      </c>
      <c r="V244" s="38" t="str">
        <f aca="false">IF(U244="","",LOOKUP(U244,Impostazioni!$E$4:$E$9,Impostazioni!$F$4:$F$9))</f>
        <v/>
      </c>
      <c r="W244" s="36"/>
      <c r="X244" s="36"/>
      <c r="Y244" s="36"/>
      <c r="Z244" s="36"/>
      <c r="AA244" s="39" t="str">
        <f aca="false">IF(COUNT(W244:Z244)=0,"",ROUND(AVERAGE(W244:Z244),0))</f>
        <v/>
      </c>
      <c r="AB244" s="38" t="str">
        <f aca="false">IF(AA244="","",LOOKUP(AA244,Impostazioni!$E$4:$E$9,Impostazioni!$F$4:$F$9))</f>
        <v/>
      </c>
    </row>
    <row r="245" customFormat="false" ht="21" hidden="false" customHeight="true" outlineLevel="0" collapsed="false">
      <c r="A245" s="33" t="n">
        <v>19</v>
      </c>
      <c r="B245" s="34" t="str">
        <f aca="false">IFERROR(INDEX(Alunni!$C$1:$C$1000,MATCH($A245,Alunni!$A$1:$A$1000,0))&amp;"","")</f>
        <v/>
      </c>
      <c r="C245" s="15"/>
      <c r="D245" s="35"/>
      <c r="E245" s="36"/>
      <c r="F245" s="36"/>
      <c r="G245" s="36"/>
      <c r="H245" s="36"/>
      <c r="I245" s="39" t="str">
        <f aca="false">IF(COUNT(E245:H245)=0,"",ROUND(AVERAGE(E245:H245),0))</f>
        <v/>
      </c>
      <c r="J245" s="38" t="str">
        <f aca="false">IF(I245="","",LOOKUP(I245,Impostazioni!$E$4:$E$9,Impostazioni!$F$4:$F$9))</f>
        <v/>
      </c>
      <c r="K245" s="36"/>
      <c r="L245" s="36"/>
      <c r="M245" s="36"/>
      <c r="N245" s="36"/>
      <c r="O245" s="39" t="str">
        <f aca="false">IF(COUNT(K245:N245)=0,"",ROUND(AVERAGE(K245:N245),0))</f>
        <v/>
      </c>
      <c r="P245" s="38" t="str">
        <f aca="false">IF(O245="","",LOOKUP(O245,Impostazioni!$E$4:$E$9,Impostazioni!$F$4:$F$9))</f>
        <v/>
      </c>
      <c r="Q245" s="36"/>
      <c r="R245" s="36"/>
      <c r="S245" s="36"/>
      <c r="T245" s="36"/>
      <c r="U245" s="39" t="str">
        <f aca="false">IF(COUNT(Q245:T245)=0,"",ROUND(AVERAGE(Q245:T245),0))</f>
        <v/>
      </c>
      <c r="V245" s="38" t="str">
        <f aca="false">IF(U245="","",LOOKUP(U245,Impostazioni!$E$4:$E$9,Impostazioni!$F$4:$F$9))</f>
        <v/>
      </c>
      <c r="W245" s="36"/>
      <c r="X245" s="36"/>
      <c r="Y245" s="36"/>
      <c r="Z245" s="36"/>
      <c r="AA245" s="39" t="str">
        <f aca="false">IF(COUNT(W245:Z245)=0,"",ROUND(AVERAGE(W245:Z245),0))</f>
        <v/>
      </c>
      <c r="AB245" s="38" t="str">
        <f aca="false">IF(AA245="","",LOOKUP(AA245,Impostazioni!$E$4:$E$9,Impostazioni!$F$4:$F$9))</f>
        <v/>
      </c>
    </row>
    <row r="246" customFormat="false" ht="21" hidden="false" customHeight="true" outlineLevel="0" collapsed="false">
      <c r="A246" s="33" t="n">
        <v>20</v>
      </c>
      <c r="B246" s="34" t="str">
        <f aca="false">IFERROR(INDEX(Alunni!$C$1:$C$1000,MATCH($A246,Alunni!$A$1:$A$1000,0))&amp;"","")</f>
        <v/>
      </c>
      <c r="C246" s="15"/>
      <c r="D246" s="35"/>
      <c r="E246" s="36"/>
      <c r="F246" s="36"/>
      <c r="G246" s="36"/>
      <c r="H246" s="36"/>
      <c r="I246" s="39" t="str">
        <f aca="false">IF(COUNT(E246:H246)=0,"",ROUND(AVERAGE(E246:H246),0))</f>
        <v/>
      </c>
      <c r="J246" s="38" t="str">
        <f aca="false">IF(I246="","",LOOKUP(I246,Impostazioni!$E$4:$E$9,Impostazioni!$F$4:$F$9))</f>
        <v/>
      </c>
      <c r="K246" s="36"/>
      <c r="L246" s="36"/>
      <c r="M246" s="36"/>
      <c r="N246" s="36"/>
      <c r="O246" s="39" t="str">
        <f aca="false">IF(COUNT(K246:N246)=0,"",ROUND(AVERAGE(K246:N246),0))</f>
        <v/>
      </c>
      <c r="P246" s="38" t="str">
        <f aca="false">IF(O246="","",LOOKUP(O246,Impostazioni!$E$4:$E$9,Impostazioni!$F$4:$F$9))</f>
        <v/>
      </c>
      <c r="Q246" s="36"/>
      <c r="R246" s="36"/>
      <c r="S246" s="36"/>
      <c r="T246" s="36"/>
      <c r="U246" s="39" t="str">
        <f aca="false">IF(COUNT(Q246:T246)=0,"",ROUND(AVERAGE(Q246:T246),0))</f>
        <v/>
      </c>
      <c r="V246" s="38" t="str">
        <f aca="false">IF(U246="","",LOOKUP(U246,Impostazioni!$E$4:$E$9,Impostazioni!$F$4:$F$9))</f>
        <v/>
      </c>
      <c r="W246" s="36"/>
      <c r="X246" s="36"/>
      <c r="Y246" s="36"/>
      <c r="Z246" s="36"/>
      <c r="AA246" s="39" t="str">
        <f aca="false">IF(COUNT(W246:Z246)=0,"",ROUND(AVERAGE(W246:Z246),0))</f>
        <v/>
      </c>
      <c r="AB246" s="38" t="str">
        <f aca="false">IF(AA246="","",LOOKUP(AA246,Impostazioni!$E$4:$E$9,Impostazioni!$F$4:$F$9))</f>
        <v/>
      </c>
    </row>
    <row r="247" customFormat="false" ht="21" hidden="false" customHeight="true" outlineLevel="0" collapsed="false">
      <c r="A247" s="33" t="n">
        <v>21</v>
      </c>
      <c r="B247" s="34" t="str">
        <f aca="false">IFERROR(INDEX(Alunni!$C$1:$C$1000,MATCH($A247,Alunni!$A$1:$A$1000,0))&amp;"","")</f>
        <v/>
      </c>
      <c r="C247" s="15"/>
      <c r="D247" s="35"/>
      <c r="E247" s="36"/>
      <c r="F247" s="36"/>
      <c r="G247" s="36"/>
      <c r="H247" s="36"/>
      <c r="I247" s="39" t="str">
        <f aca="false">IF(COUNT(E247:H247)=0,"",ROUND(AVERAGE(E247:H247),0))</f>
        <v/>
      </c>
      <c r="J247" s="38" t="str">
        <f aca="false">IF(I247="","",LOOKUP(I247,Impostazioni!$E$4:$E$9,Impostazioni!$F$4:$F$9))</f>
        <v/>
      </c>
      <c r="K247" s="36"/>
      <c r="L247" s="36"/>
      <c r="M247" s="36"/>
      <c r="N247" s="36"/>
      <c r="O247" s="39" t="str">
        <f aca="false">IF(COUNT(K247:N247)=0,"",ROUND(AVERAGE(K247:N247),0))</f>
        <v/>
      </c>
      <c r="P247" s="38" t="str">
        <f aca="false">IF(O247="","",LOOKUP(O247,Impostazioni!$E$4:$E$9,Impostazioni!$F$4:$F$9))</f>
        <v/>
      </c>
      <c r="Q247" s="36"/>
      <c r="R247" s="36"/>
      <c r="S247" s="36"/>
      <c r="T247" s="36"/>
      <c r="U247" s="39" t="str">
        <f aca="false">IF(COUNT(Q247:T247)=0,"",ROUND(AVERAGE(Q247:T247),0))</f>
        <v/>
      </c>
      <c r="V247" s="38" t="str">
        <f aca="false">IF(U247="","",LOOKUP(U247,Impostazioni!$E$4:$E$9,Impostazioni!$F$4:$F$9))</f>
        <v/>
      </c>
      <c r="W247" s="36"/>
      <c r="X247" s="36"/>
      <c r="Y247" s="36"/>
      <c r="Z247" s="36"/>
      <c r="AA247" s="39" t="str">
        <f aca="false">IF(COUNT(W247:Z247)=0,"",ROUND(AVERAGE(W247:Z247),0))</f>
        <v/>
      </c>
      <c r="AB247" s="38" t="str">
        <f aca="false">IF(AA247="","",LOOKUP(AA247,Impostazioni!$E$4:$E$9,Impostazioni!$F$4:$F$9))</f>
        <v/>
      </c>
    </row>
    <row r="248" customFormat="false" ht="21" hidden="false" customHeight="true" outlineLevel="0" collapsed="false">
      <c r="A248" s="33" t="n">
        <v>22</v>
      </c>
      <c r="B248" s="34" t="str">
        <f aca="false">IFERROR(INDEX(Alunni!$C$1:$C$1000,MATCH($A248,Alunni!$A$1:$A$1000,0))&amp;"","")</f>
        <v/>
      </c>
      <c r="C248" s="15"/>
      <c r="D248" s="35"/>
      <c r="E248" s="36"/>
      <c r="F248" s="36"/>
      <c r="G248" s="36"/>
      <c r="H248" s="36"/>
      <c r="I248" s="39" t="str">
        <f aca="false">IF(COUNT(E248:H248)=0,"",ROUND(AVERAGE(E248:H248),0))</f>
        <v/>
      </c>
      <c r="J248" s="38" t="str">
        <f aca="false">IF(I248="","",LOOKUP(I248,Impostazioni!$E$4:$E$9,Impostazioni!$F$4:$F$9))</f>
        <v/>
      </c>
      <c r="K248" s="36"/>
      <c r="L248" s="36"/>
      <c r="M248" s="36"/>
      <c r="N248" s="36"/>
      <c r="O248" s="39" t="str">
        <f aca="false">IF(COUNT(K248:N248)=0,"",ROUND(AVERAGE(K248:N248),0))</f>
        <v/>
      </c>
      <c r="P248" s="38" t="str">
        <f aca="false">IF(O248="","",LOOKUP(O248,Impostazioni!$E$4:$E$9,Impostazioni!$F$4:$F$9))</f>
        <v/>
      </c>
      <c r="Q248" s="36"/>
      <c r="R248" s="36"/>
      <c r="S248" s="36"/>
      <c r="T248" s="36"/>
      <c r="U248" s="39" t="str">
        <f aca="false">IF(COUNT(Q248:T248)=0,"",ROUND(AVERAGE(Q248:T248),0))</f>
        <v/>
      </c>
      <c r="V248" s="38" t="str">
        <f aca="false">IF(U248="","",LOOKUP(U248,Impostazioni!$E$4:$E$9,Impostazioni!$F$4:$F$9))</f>
        <v/>
      </c>
      <c r="W248" s="36"/>
      <c r="X248" s="36"/>
      <c r="Y248" s="36"/>
      <c r="Z248" s="36"/>
      <c r="AA248" s="39" t="str">
        <f aca="false">IF(COUNT(W248:Z248)=0,"",ROUND(AVERAGE(W248:Z248),0))</f>
        <v/>
      </c>
      <c r="AB248" s="38" t="str">
        <f aca="false">IF(AA248="","",LOOKUP(AA248,Impostazioni!$E$4:$E$9,Impostazioni!$F$4:$F$9))</f>
        <v/>
      </c>
    </row>
    <row r="249" customFormat="false" ht="21" hidden="false" customHeight="true" outlineLevel="0" collapsed="false">
      <c r="A249" s="33" t="n">
        <v>23</v>
      </c>
      <c r="B249" s="34" t="str">
        <f aca="false">IFERROR(INDEX(Alunni!$C$1:$C$1000,MATCH($A249,Alunni!$A$1:$A$1000,0))&amp;"","")</f>
        <v/>
      </c>
      <c r="C249" s="15"/>
      <c r="D249" s="35"/>
      <c r="E249" s="36"/>
      <c r="F249" s="36"/>
      <c r="G249" s="36"/>
      <c r="H249" s="36"/>
      <c r="I249" s="39" t="str">
        <f aca="false">IF(COUNT(E249:H249)=0,"",ROUND(AVERAGE(E249:H249),0))</f>
        <v/>
      </c>
      <c r="J249" s="38" t="str">
        <f aca="false">IF(I249="","",LOOKUP(I249,Impostazioni!$E$4:$E$9,Impostazioni!$F$4:$F$9))</f>
        <v/>
      </c>
      <c r="K249" s="36"/>
      <c r="L249" s="36"/>
      <c r="M249" s="36"/>
      <c r="N249" s="36"/>
      <c r="O249" s="39" t="str">
        <f aca="false">IF(COUNT(K249:N249)=0,"",ROUND(AVERAGE(K249:N249),0))</f>
        <v/>
      </c>
      <c r="P249" s="38" t="str">
        <f aca="false">IF(O249="","",LOOKUP(O249,Impostazioni!$E$4:$E$9,Impostazioni!$F$4:$F$9))</f>
        <v/>
      </c>
      <c r="Q249" s="36"/>
      <c r="R249" s="36"/>
      <c r="S249" s="36"/>
      <c r="T249" s="36"/>
      <c r="U249" s="39" t="str">
        <f aca="false">IF(COUNT(Q249:T249)=0,"",ROUND(AVERAGE(Q249:T249),0))</f>
        <v/>
      </c>
      <c r="V249" s="38" t="str">
        <f aca="false">IF(U249="","",LOOKUP(U249,Impostazioni!$E$4:$E$9,Impostazioni!$F$4:$F$9))</f>
        <v/>
      </c>
      <c r="W249" s="36"/>
      <c r="X249" s="36"/>
      <c r="Y249" s="36"/>
      <c r="Z249" s="36"/>
      <c r="AA249" s="39" t="str">
        <f aca="false">IF(COUNT(W249:Z249)=0,"",ROUND(AVERAGE(W249:Z249),0))</f>
        <v/>
      </c>
      <c r="AB249" s="38" t="str">
        <f aca="false">IF(AA249="","",LOOKUP(AA249,Impostazioni!$E$4:$E$9,Impostazioni!$F$4:$F$9))</f>
        <v/>
      </c>
    </row>
    <row r="250" customFormat="false" ht="21" hidden="false" customHeight="true" outlineLevel="0" collapsed="false">
      <c r="A250" s="33" t="n">
        <v>24</v>
      </c>
      <c r="B250" s="34" t="str">
        <f aca="false">IFERROR(INDEX(Alunni!$C$1:$C$1000,MATCH($A250,Alunni!$A$1:$A$1000,0))&amp;"","")</f>
        <v/>
      </c>
      <c r="C250" s="15"/>
      <c r="D250" s="35"/>
      <c r="E250" s="36"/>
      <c r="F250" s="36"/>
      <c r="G250" s="36"/>
      <c r="H250" s="36"/>
      <c r="I250" s="39" t="str">
        <f aca="false">IF(COUNT(E250:H250)=0,"",ROUND(AVERAGE(E250:H250),0))</f>
        <v/>
      </c>
      <c r="J250" s="38" t="str">
        <f aca="false">IF(I250="","",LOOKUP(I250,Impostazioni!$E$4:$E$9,Impostazioni!$F$4:$F$9))</f>
        <v/>
      </c>
      <c r="K250" s="36"/>
      <c r="L250" s="36"/>
      <c r="M250" s="36"/>
      <c r="N250" s="36"/>
      <c r="O250" s="39" t="str">
        <f aca="false">IF(COUNT(K250:N250)=0,"",ROUND(AVERAGE(K250:N250),0))</f>
        <v/>
      </c>
      <c r="P250" s="38" t="str">
        <f aca="false">IF(O250="","",LOOKUP(O250,Impostazioni!$E$4:$E$9,Impostazioni!$F$4:$F$9))</f>
        <v/>
      </c>
      <c r="Q250" s="36"/>
      <c r="R250" s="36"/>
      <c r="S250" s="36"/>
      <c r="T250" s="36"/>
      <c r="U250" s="39" t="str">
        <f aca="false">IF(COUNT(Q250:T250)=0,"",ROUND(AVERAGE(Q250:T250),0))</f>
        <v/>
      </c>
      <c r="V250" s="38" t="str">
        <f aca="false">IF(U250="","",LOOKUP(U250,Impostazioni!$E$4:$E$9,Impostazioni!$F$4:$F$9))</f>
        <v/>
      </c>
      <c r="W250" s="36"/>
      <c r="X250" s="36"/>
      <c r="Y250" s="36"/>
      <c r="Z250" s="36"/>
      <c r="AA250" s="39" t="str">
        <f aca="false">IF(COUNT(W250:Z250)=0,"",ROUND(AVERAGE(W250:Z250),0))</f>
        <v/>
      </c>
      <c r="AB250" s="38" t="str">
        <f aca="false">IF(AA250="","",LOOKUP(AA250,Impostazioni!$E$4:$E$9,Impostazioni!$F$4:$F$9))</f>
        <v/>
      </c>
    </row>
    <row r="251" customFormat="false" ht="21" hidden="false" customHeight="true" outlineLevel="0" collapsed="false">
      <c r="A251" s="33" t="n">
        <v>25</v>
      </c>
      <c r="B251" s="34" t="str">
        <f aca="false">IFERROR(INDEX(Alunni!$C$1:$C$1000,MATCH($A251,Alunni!$A$1:$A$1000,0))&amp;"","")</f>
        <v/>
      </c>
      <c r="C251" s="15"/>
      <c r="D251" s="35"/>
      <c r="E251" s="36"/>
      <c r="F251" s="36"/>
      <c r="G251" s="36"/>
      <c r="H251" s="36"/>
      <c r="I251" s="39" t="str">
        <f aca="false">IF(COUNT(E251:H251)=0,"",ROUND(AVERAGE(E251:H251),0))</f>
        <v/>
      </c>
      <c r="J251" s="38" t="str">
        <f aca="false">IF(I251="","",LOOKUP(I251,Impostazioni!$E$4:$E$9,Impostazioni!$F$4:$F$9))</f>
        <v/>
      </c>
      <c r="K251" s="36"/>
      <c r="L251" s="36"/>
      <c r="M251" s="36"/>
      <c r="N251" s="36"/>
      <c r="O251" s="39" t="str">
        <f aca="false">IF(COUNT(K251:N251)=0,"",ROUND(AVERAGE(K251:N251),0))</f>
        <v/>
      </c>
      <c r="P251" s="38" t="str">
        <f aca="false">IF(O251="","",LOOKUP(O251,Impostazioni!$E$4:$E$9,Impostazioni!$F$4:$F$9))</f>
        <v/>
      </c>
      <c r="Q251" s="36"/>
      <c r="R251" s="36"/>
      <c r="S251" s="36"/>
      <c r="T251" s="36"/>
      <c r="U251" s="39" t="str">
        <f aca="false">IF(COUNT(Q251:T251)=0,"",ROUND(AVERAGE(Q251:T251),0))</f>
        <v/>
      </c>
      <c r="V251" s="38" t="str">
        <f aca="false">IF(U251="","",LOOKUP(U251,Impostazioni!$E$4:$E$9,Impostazioni!$F$4:$F$9))</f>
        <v/>
      </c>
      <c r="W251" s="36"/>
      <c r="X251" s="36"/>
      <c r="Y251" s="36"/>
      <c r="Z251" s="36"/>
      <c r="AA251" s="39" t="str">
        <f aca="false">IF(COUNT(W251:Z251)=0,"",ROUND(AVERAGE(W251:Z251),0))</f>
        <v/>
      </c>
      <c r="AB251" s="38" t="str">
        <f aca="false">IF(AA251="","",LOOKUP(AA251,Impostazioni!$E$4:$E$9,Impostazioni!$F$4:$F$9))</f>
        <v/>
      </c>
    </row>
    <row r="252" customFormat="false" ht="21" hidden="false" customHeight="true" outlineLevel="0" collapsed="false">
      <c r="A252" s="33" t="n">
        <v>26</v>
      </c>
      <c r="B252" s="34" t="str">
        <f aca="false">IFERROR(INDEX(Alunni!$C$1:$C$1000,MATCH($A252,Alunni!$A$1:$A$1000,0))&amp;"","")</f>
        <v/>
      </c>
      <c r="C252" s="15"/>
      <c r="D252" s="35"/>
      <c r="E252" s="36"/>
      <c r="F252" s="36"/>
      <c r="G252" s="36"/>
      <c r="H252" s="36"/>
      <c r="I252" s="39" t="str">
        <f aca="false">IF(COUNT(E252:H252)=0,"",ROUND(AVERAGE(E252:H252),0))</f>
        <v/>
      </c>
      <c r="J252" s="38" t="str">
        <f aca="false">IF(I252="","",LOOKUP(I252,Impostazioni!$E$4:$E$9,Impostazioni!$F$4:$F$9))</f>
        <v/>
      </c>
      <c r="K252" s="36"/>
      <c r="L252" s="36"/>
      <c r="M252" s="36"/>
      <c r="N252" s="36"/>
      <c r="O252" s="39" t="str">
        <f aca="false">IF(COUNT(K252:N252)=0,"",ROUND(AVERAGE(K252:N252),0))</f>
        <v/>
      </c>
      <c r="P252" s="38" t="str">
        <f aca="false">IF(O252="","",LOOKUP(O252,Impostazioni!$E$4:$E$9,Impostazioni!$F$4:$F$9))</f>
        <v/>
      </c>
      <c r="Q252" s="36"/>
      <c r="R252" s="36"/>
      <c r="S252" s="36"/>
      <c r="T252" s="36"/>
      <c r="U252" s="39" t="str">
        <f aca="false">IF(COUNT(Q252:T252)=0,"",ROUND(AVERAGE(Q252:T252),0))</f>
        <v/>
      </c>
      <c r="V252" s="38" t="str">
        <f aca="false">IF(U252="","",LOOKUP(U252,Impostazioni!$E$4:$E$9,Impostazioni!$F$4:$F$9))</f>
        <v/>
      </c>
      <c r="W252" s="36"/>
      <c r="X252" s="36"/>
      <c r="Y252" s="36"/>
      <c r="Z252" s="36"/>
      <c r="AA252" s="39" t="str">
        <f aca="false">IF(COUNT(W252:Z252)=0,"",ROUND(AVERAGE(W252:Z252),0))</f>
        <v/>
      </c>
      <c r="AB252" s="38" t="str">
        <f aca="false">IF(AA252="","",LOOKUP(AA252,Impostazioni!$E$4:$E$9,Impostazioni!$F$4:$F$9))</f>
        <v/>
      </c>
    </row>
    <row r="253" customFormat="false" ht="21" hidden="false" customHeight="true" outlineLevel="0" collapsed="false">
      <c r="A253" s="33" t="n">
        <v>27</v>
      </c>
      <c r="B253" s="34" t="str">
        <f aca="false">IFERROR(INDEX(Alunni!$C$1:$C$1000,MATCH($A253,Alunni!$A$1:$A$1000,0))&amp;"","")</f>
        <v/>
      </c>
      <c r="C253" s="15"/>
      <c r="D253" s="35"/>
      <c r="E253" s="36"/>
      <c r="F253" s="36"/>
      <c r="G253" s="36"/>
      <c r="H253" s="36"/>
      <c r="I253" s="39" t="str">
        <f aca="false">IF(COUNT(E253:H253)=0,"",ROUND(AVERAGE(E253:H253),0))</f>
        <v/>
      </c>
      <c r="J253" s="38" t="str">
        <f aca="false">IF(I253="","",LOOKUP(I253,Impostazioni!$E$4:$E$9,Impostazioni!$F$4:$F$9))</f>
        <v/>
      </c>
      <c r="K253" s="36"/>
      <c r="L253" s="36"/>
      <c r="M253" s="36"/>
      <c r="N253" s="36"/>
      <c r="O253" s="39" t="str">
        <f aca="false">IF(COUNT(K253:N253)=0,"",ROUND(AVERAGE(K253:N253),0))</f>
        <v/>
      </c>
      <c r="P253" s="38" t="str">
        <f aca="false">IF(O253="","",LOOKUP(O253,Impostazioni!$E$4:$E$9,Impostazioni!$F$4:$F$9))</f>
        <v/>
      </c>
      <c r="Q253" s="36"/>
      <c r="R253" s="36"/>
      <c r="S253" s="36"/>
      <c r="T253" s="36"/>
      <c r="U253" s="39" t="str">
        <f aca="false">IF(COUNT(Q253:T253)=0,"",ROUND(AVERAGE(Q253:T253),0))</f>
        <v/>
      </c>
      <c r="V253" s="38" t="str">
        <f aca="false">IF(U253="","",LOOKUP(U253,Impostazioni!$E$4:$E$9,Impostazioni!$F$4:$F$9))</f>
        <v/>
      </c>
      <c r="W253" s="36"/>
      <c r="X253" s="36"/>
      <c r="Y253" s="36"/>
      <c r="Z253" s="36"/>
      <c r="AA253" s="39" t="str">
        <f aca="false">IF(COUNT(W253:Z253)=0,"",ROUND(AVERAGE(W253:Z253),0))</f>
        <v/>
      </c>
      <c r="AB253" s="38" t="str">
        <f aca="false">IF(AA253="","",LOOKUP(AA253,Impostazioni!$E$4:$E$9,Impostazioni!$F$4:$F$9))</f>
        <v/>
      </c>
    </row>
    <row r="254" customFormat="false" ht="21" hidden="false" customHeight="true" outlineLevel="0" collapsed="false">
      <c r="A254" s="33" t="n">
        <v>28</v>
      </c>
      <c r="B254" s="34" t="str">
        <f aca="false">IFERROR(INDEX(Alunni!$C$1:$C$1000,MATCH($A254,Alunni!$A$1:$A$1000,0))&amp;"","")</f>
        <v/>
      </c>
      <c r="C254" s="15"/>
      <c r="D254" s="35"/>
      <c r="E254" s="36"/>
      <c r="F254" s="36"/>
      <c r="G254" s="36"/>
      <c r="H254" s="36"/>
      <c r="I254" s="39" t="str">
        <f aca="false">IF(COUNT(E254:H254)=0,"",ROUND(AVERAGE(E254:H254),0))</f>
        <v/>
      </c>
      <c r="J254" s="38" t="str">
        <f aca="false">IF(I254="","",LOOKUP(I254,Impostazioni!$E$4:$E$9,Impostazioni!$F$4:$F$9))</f>
        <v/>
      </c>
      <c r="K254" s="36"/>
      <c r="L254" s="36"/>
      <c r="M254" s="36"/>
      <c r="N254" s="36"/>
      <c r="O254" s="39" t="str">
        <f aca="false">IF(COUNT(K254:N254)=0,"",ROUND(AVERAGE(K254:N254),0))</f>
        <v/>
      </c>
      <c r="P254" s="38" t="str">
        <f aca="false">IF(O254="","",LOOKUP(O254,Impostazioni!$E$4:$E$9,Impostazioni!$F$4:$F$9))</f>
        <v/>
      </c>
      <c r="Q254" s="36"/>
      <c r="R254" s="36"/>
      <c r="S254" s="36"/>
      <c r="T254" s="36"/>
      <c r="U254" s="39" t="str">
        <f aca="false">IF(COUNT(Q254:T254)=0,"",ROUND(AVERAGE(Q254:T254),0))</f>
        <v/>
      </c>
      <c r="V254" s="38" t="str">
        <f aca="false">IF(U254="","",LOOKUP(U254,Impostazioni!$E$4:$E$9,Impostazioni!$F$4:$F$9))</f>
        <v/>
      </c>
      <c r="W254" s="36"/>
      <c r="X254" s="36"/>
      <c r="Y254" s="36"/>
      <c r="Z254" s="36"/>
      <c r="AA254" s="39" t="str">
        <f aca="false">IF(COUNT(W254:Z254)=0,"",ROUND(AVERAGE(W254:Z254),0))</f>
        <v/>
      </c>
      <c r="AB254" s="38" t="str">
        <f aca="false">IF(AA254="","",LOOKUP(AA254,Impostazioni!$E$4:$E$9,Impostazioni!$F$4:$F$9))</f>
        <v/>
      </c>
    </row>
    <row r="255" customFormat="false" ht="21" hidden="false" customHeight="true" outlineLevel="0" collapsed="false">
      <c r="A255" s="33" t="n">
        <v>29</v>
      </c>
      <c r="B255" s="34" t="str">
        <f aca="false">IFERROR(INDEX(Alunni!$C$1:$C$1000,MATCH($A255,Alunni!$A$1:$A$1000,0))&amp;"","")</f>
        <v/>
      </c>
      <c r="C255" s="15"/>
      <c r="D255" s="35"/>
      <c r="E255" s="36"/>
      <c r="F255" s="36"/>
      <c r="G255" s="36"/>
      <c r="H255" s="36"/>
      <c r="I255" s="39" t="str">
        <f aca="false">IF(COUNT(E255:H255)=0,"",ROUND(AVERAGE(E255:H255),0))</f>
        <v/>
      </c>
      <c r="J255" s="38" t="str">
        <f aca="false">IF(I255="","",LOOKUP(I255,Impostazioni!$E$4:$E$9,Impostazioni!$F$4:$F$9))</f>
        <v/>
      </c>
      <c r="K255" s="36"/>
      <c r="L255" s="36"/>
      <c r="M255" s="36"/>
      <c r="N255" s="36"/>
      <c r="O255" s="39" t="str">
        <f aca="false">IF(COUNT(K255:N255)=0,"",ROUND(AVERAGE(K255:N255),0))</f>
        <v/>
      </c>
      <c r="P255" s="38" t="str">
        <f aca="false">IF(O255="","",LOOKUP(O255,Impostazioni!$E$4:$E$9,Impostazioni!$F$4:$F$9))</f>
        <v/>
      </c>
      <c r="Q255" s="36"/>
      <c r="R255" s="36"/>
      <c r="S255" s="36"/>
      <c r="T255" s="36"/>
      <c r="U255" s="39" t="str">
        <f aca="false">IF(COUNT(Q255:T255)=0,"",ROUND(AVERAGE(Q255:T255),0))</f>
        <v/>
      </c>
      <c r="V255" s="38" t="str">
        <f aca="false">IF(U255="","",LOOKUP(U255,Impostazioni!$E$4:$E$9,Impostazioni!$F$4:$F$9))</f>
        <v/>
      </c>
      <c r="W255" s="36"/>
      <c r="X255" s="36"/>
      <c r="Y255" s="36"/>
      <c r="Z255" s="36"/>
      <c r="AA255" s="39" t="str">
        <f aca="false">IF(COUNT(W255:Z255)=0,"",ROUND(AVERAGE(W255:Z255),0))</f>
        <v/>
      </c>
      <c r="AB255" s="38" t="str">
        <f aca="false">IF(AA255="","",LOOKUP(AA255,Impostazioni!$E$4:$E$9,Impostazioni!$F$4:$F$9))</f>
        <v/>
      </c>
    </row>
    <row r="256" customFormat="false" ht="21" hidden="false" customHeight="true" outlineLevel="0" collapsed="false">
      <c r="A256" s="33" t="n">
        <v>30</v>
      </c>
      <c r="B256" s="34" t="str">
        <f aca="false">IFERROR(INDEX(Alunni!$C$1:$C$1000,MATCH($A256,Alunni!$A$1:$A$1000,0))&amp;"","")</f>
        <v/>
      </c>
      <c r="C256" s="15"/>
      <c r="D256" s="35"/>
      <c r="E256" s="36"/>
      <c r="F256" s="36"/>
      <c r="G256" s="36"/>
      <c r="H256" s="36"/>
      <c r="I256" s="39" t="str">
        <f aca="false">IF(COUNT(E256:H256)=0,"",ROUND(AVERAGE(E256:H256),0))</f>
        <v/>
      </c>
      <c r="J256" s="38" t="str">
        <f aca="false">IF(I256="","",LOOKUP(I256,Impostazioni!$E$4:$E$9,Impostazioni!$F$4:$F$9))</f>
        <v/>
      </c>
      <c r="K256" s="36"/>
      <c r="L256" s="36"/>
      <c r="M256" s="36"/>
      <c r="N256" s="36"/>
      <c r="O256" s="39" t="str">
        <f aca="false">IF(COUNT(K256:N256)=0,"",ROUND(AVERAGE(K256:N256),0))</f>
        <v/>
      </c>
      <c r="P256" s="38" t="str">
        <f aca="false">IF(O256="","",LOOKUP(O256,Impostazioni!$E$4:$E$9,Impostazioni!$F$4:$F$9))</f>
        <v/>
      </c>
      <c r="Q256" s="36"/>
      <c r="R256" s="36"/>
      <c r="S256" s="36"/>
      <c r="T256" s="36"/>
      <c r="U256" s="39" t="str">
        <f aca="false">IF(COUNT(Q256:T256)=0,"",ROUND(AVERAGE(Q256:T256),0))</f>
        <v/>
      </c>
      <c r="V256" s="38" t="str">
        <f aca="false">IF(U256="","",LOOKUP(U256,Impostazioni!$E$4:$E$9,Impostazioni!$F$4:$F$9))</f>
        <v/>
      </c>
      <c r="W256" s="36"/>
      <c r="X256" s="36"/>
      <c r="Y256" s="36"/>
      <c r="Z256" s="36"/>
      <c r="AA256" s="39" t="str">
        <f aca="false">IF(COUNT(W256:Z256)=0,"",ROUND(AVERAGE(W256:Z256),0))</f>
        <v/>
      </c>
      <c r="AB256" s="38" t="str">
        <f aca="false">IF(AA256="","",LOOKUP(AA256,Impostazioni!$E$4:$E$9,Impostazioni!$F$4:$F$9))</f>
        <v/>
      </c>
    </row>
    <row r="258" customFormat="false" ht="25.5" hidden="false" customHeight="true" outlineLevel="0" collapsed="false">
      <c r="A258" s="4" t="str">
        <f aca="false">Calendario!B14&amp;"   ·   "&amp;IF(Calendario!G14="","(descrizione da Calendario)",Calendario!G14)&amp;"   ·   "&amp;IF(Calendario!E14="","data da fissare",CHOOSE(WEEKDAY(Calendario!E14,2),"lunedì","martedì","mercoledì","giovedì","venerdì","sabato","domenica")&amp;" "&amp;TEXT(DAY(Calendario!E14),"00")&amp;"/"&amp;TEXT(MONTH(Calendario!E14),"00")&amp;"/"&amp;YEAR(Calendario!E14))</f>
        <v>Q1-G08   ·   (descrizione da Calendario)   ·   data da fissare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customFormat="false" ht="15" hidden="false" customHeight="true" outlineLevel="0" collapsed="false">
      <c r="A259" s="25" t="s">
        <v>80</v>
      </c>
      <c r="B259" s="25"/>
      <c r="C259" s="25"/>
      <c r="D259" s="25"/>
      <c r="E259" s="26" t="str">
        <f aca="false">IF(Calendario!$H$14="","— libero —",Calendario!$H$14&amp;"  "&amp;IFERROR(VLOOKUP(Calendario!$H$14,Impostazioni!$A$25:$J$36,3,FALSE()),""))</f>
        <v>— libero —</v>
      </c>
      <c r="F259" s="26"/>
      <c r="G259" s="26"/>
      <c r="H259" s="26"/>
      <c r="I259" s="26"/>
      <c r="J259" s="26"/>
      <c r="K259" s="26" t="str">
        <f aca="false">IF(Calendario!$I$14="","— libero —",Calendario!$I$14&amp;"  "&amp;IFERROR(VLOOKUP(Calendario!$I$14,Impostazioni!$A$25:$J$36,3,FALSE()),""))</f>
        <v>— libero —</v>
      </c>
      <c r="L259" s="26"/>
      <c r="M259" s="26"/>
      <c r="N259" s="26"/>
      <c r="O259" s="26"/>
      <c r="P259" s="26"/>
      <c r="Q259" s="26" t="str">
        <f aca="false">IF(Calendario!$J$14="","— libero —",Calendario!$J$14&amp;"  "&amp;IFERROR(VLOOKUP(Calendario!$J$14,Impostazioni!$A$25:$J$36,3,FALSE()),""))</f>
        <v>— libero —</v>
      </c>
      <c r="R259" s="26"/>
      <c r="S259" s="26"/>
      <c r="T259" s="26"/>
      <c r="U259" s="26"/>
      <c r="V259" s="26"/>
      <c r="W259" s="26" t="str">
        <f aca="false">IF(Calendario!$K$14="","— libero —",Calendario!$K$14&amp;"  "&amp;IFERROR(VLOOKUP(Calendario!$K$14,Impostazioni!$A$25:$J$36,3,FALSE()),""))</f>
        <v>— libero —</v>
      </c>
      <c r="X259" s="26"/>
      <c r="Y259" s="26"/>
      <c r="Z259" s="26"/>
      <c r="AA259" s="26"/>
      <c r="AB259" s="26"/>
    </row>
    <row r="260" customFormat="false" ht="15" hidden="false" customHeight="true" outlineLevel="0" collapsed="false">
      <c r="A260" s="25" t="s">
        <v>81</v>
      </c>
      <c r="B260" s="25"/>
      <c r="C260" s="25"/>
      <c r="D260" s="25"/>
      <c r="E260" s="27" t="str">
        <f aca="false">IF(Calendario!$H$14="","","Ob. "&amp;IFERROR(VLOOKUP(Calendario!$H$14,Impostazioni!$A$25:$J$36,5,FALSE()),"?")&amp;" · peso "&amp;IF(Calendario!$F$14=2,Impostazioni!$B$11,Impostazioni!$B$10))</f>
        <v/>
      </c>
      <c r="F260" s="27"/>
      <c r="G260" s="27"/>
      <c r="H260" s="27"/>
      <c r="I260" s="27"/>
      <c r="J260" s="27"/>
      <c r="K260" s="27" t="str">
        <f aca="false">IF(Calendario!$I$14="","","Ob. "&amp;IFERROR(VLOOKUP(Calendario!$I$14,Impostazioni!$A$25:$J$36,5,FALSE()),"?")&amp;" · peso "&amp;IF(Calendario!$F$14=2,Impostazioni!$B$11,Impostazioni!$B$10))</f>
        <v/>
      </c>
      <c r="L260" s="27"/>
      <c r="M260" s="27"/>
      <c r="N260" s="27"/>
      <c r="O260" s="27"/>
      <c r="P260" s="27"/>
      <c r="Q260" s="27" t="str">
        <f aca="false">IF(Calendario!$J$14="","","Ob. "&amp;IFERROR(VLOOKUP(Calendario!$J$14,Impostazioni!$A$25:$J$36,5,FALSE()),"?")&amp;" · peso "&amp;IF(Calendario!$F$14=2,Impostazioni!$B$11,Impostazioni!$B$10))</f>
        <v/>
      </c>
      <c r="R260" s="27"/>
      <c r="S260" s="27"/>
      <c r="T260" s="27"/>
      <c r="U260" s="27"/>
      <c r="V260" s="27"/>
      <c r="W260" s="27" t="str">
        <f aca="false">IF(Calendario!$K$14="","","Ob. "&amp;IFERROR(VLOOKUP(Calendario!$K$14,Impostazioni!$A$25:$J$36,5,FALSE()),"?")&amp;" · peso "&amp;IF(Calendario!$F$14=2,Impostazioni!$B$11,Impostazioni!$B$10))</f>
        <v/>
      </c>
      <c r="X260" s="27"/>
      <c r="Y260" s="27"/>
      <c r="Z260" s="27"/>
      <c r="AA260" s="27"/>
      <c r="AB260" s="27"/>
    </row>
    <row r="261" customFormat="false" ht="33.75" hidden="false" customHeight="true" outlineLevel="0" collapsed="false">
      <c r="A261" s="25" t="s">
        <v>82</v>
      </c>
      <c r="B261" s="25"/>
      <c r="C261" s="25"/>
      <c r="D261" s="25"/>
      <c r="E261" s="28" t="str">
        <f aca="false">IF(Calendario!$H$14="","",IFERROR(HYPERLINK("#Rubriche!C"&amp;(MATCH(Calendario!$H$14,Rubriche!$A$1:$A$1000,0)+0),VLOOKUP(Calendario!$H$14,Impostazioni!$A$25:$J$36,7,FALSE())),""))</f>
        <v/>
      </c>
      <c r="F261" s="28" t="str">
        <f aca="false">IF(Calendario!$H$14="","",IFERROR(HYPERLINK("#Rubriche!C"&amp;(MATCH(Calendario!$H$14,Rubriche!$A$1:$A$1000,0)+1),VLOOKUP(Calendario!$H$14,Impostazioni!$A$25:$J$36,8,FALSE())),""))</f>
        <v/>
      </c>
      <c r="G261" s="28" t="str">
        <f aca="false">IF(Calendario!$H$14="","",IFERROR(HYPERLINK("#Rubriche!C"&amp;(MATCH(Calendario!$H$14,Rubriche!$A$1:$A$1000,0)+2),VLOOKUP(Calendario!$H$14,Impostazioni!$A$25:$J$36,9,FALSE())),""))</f>
        <v/>
      </c>
      <c r="H261" s="28" t="str">
        <f aca="false">IF(Calendario!$H$14="","",IFERROR(HYPERLINK("#Rubriche!C"&amp;(MATCH(Calendario!$H$14,Rubriche!$A$1:$A$1000,0)+3),VLOOKUP(Calendario!$H$14,Impostazioni!$A$25:$J$36,10,FALSE())),""))</f>
        <v/>
      </c>
      <c r="I261" s="29"/>
      <c r="J261" s="29"/>
      <c r="K261" s="28" t="str">
        <f aca="false">IF(Calendario!$I$14="","",IFERROR(HYPERLINK("#Rubriche!C"&amp;(MATCH(Calendario!$I$14,Rubriche!$A$1:$A$1000,0)+0),VLOOKUP(Calendario!$I$14,Impostazioni!$A$25:$J$36,7,FALSE())),""))</f>
        <v/>
      </c>
      <c r="L261" s="28" t="str">
        <f aca="false">IF(Calendario!$I$14="","",IFERROR(HYPERLINK("#Rubriche!C"&amp;(MATCH(Calendario!$I$14,Rubriche!$A$1:$A$1000,0)+1),VLOOKUP(Calendario!$I$14,Impostazioni!$A$25:$J$36,8,FALSE())),""))</f>
        <v/>
      </c>
      <c r="M261" s="28" t="str">
        <f aca="false">IF(Calendario!$I$14="","",IFERROR(HYPERLINK("#Rubriche!C"&amp;(MATCH(Calendario!$I$14,Rubriche!$A$1:$A$1000,0)+2),VLOOKUP(Calendario!$I$14,Impostazioni!$A$25:$J$36,9,FALSE())),""))</f>
        <v/>
      </c>
      <c r="N261" s="28" t="str">
        <f aca="false">IF(Calendario!$I$14="","",IFERROR(HYPERLINK("#Rubriche!C"&amp;(MATCH(Calendario!$I$14,Rubriche!$A$1:$A$1000,0)+3),VLOOKUP(Calendario!$I$14,Impostazioni!$A$25:$J$36,10,FALSE())),""))</f>
        <v/>
      </c>
      <c r="O261" s="29"/>
      <c r="P261" s="29"/>
      <c r="Q261" s="28" t="str">
        <f aca="false">IF(Calendario!$J$14="","",IFERROR(HYPERLINK("#Rubriche!C"&amp;(MATCH(Calendario!$J$14,Rubriche!$A$1:$A$1000,0)+0),VLOOKUP(Calendario!$J$14,Impostazioni!$A$25:$J$36,7,FALSE())),""))</f>
        <v/>
      </c>
      <c r="R261" s="28" t="str">
        <f aca="false">IF(Calendario!$J$14="","",IFERROR(HYPERLINK("#Rubriche!C"&amp;(MATCH(Calendario!$J$14,Rubriche!$A$1:$A$1000,0)+1),VLOOKUP(Calendario!$J$14,Impostazioni!$A$25:$J$36,8,FALSE())),""))</f>
        <v/>
      </c>
      <c r="S261" s="28" t="str">
        <f aca="false">IF(Calendario!$J$14="","",IFERROR(HYPERLINK("#Rubriche!C"&amp;(MATCH(Calendario!$J$14,Rubriche!$A$1:$A$1000,0)+2),VLOOKUP(Calendario!$J$14,Impostazioni!$A$25:$J$36,9,FALSE())),""))</f>
        <v/>
      </c>
      <c r="T261" s="28" t="str">
        <f aca="false">IF(Calendario!$J$14="","",IFERROR(HYPERLINK("#Rubriche!C"&amp;(MATCH(Calendario!$J$14,Rubriche!$A$1:$A$1000,0)+3),VLOOKUP(Calendario!$J$14,Impostazioni!$A$25:$J$36,10,FALSE())),""))</f>
        <v/>
      </c>
      <c r="U261" s="29"/>
      <c r="V261" s="29"/>
      <c r="W261" s="28" t="str">
        <f aca="false">IF(Calendario!$K$14="","",IFERROR(HYPERLINK("#Rubriche!C"&amp;(MATCH(Calendario!$K$14,Rubriche!$A$1:$A$1000,0)+0),VLOOKUP(Calendario!$K$14,Impostazioni!$A$25:$J$36,7,FALSE())),""))</f>
        <v/>
      </c>
      <c r="X261" s="28" t="str">
        <f aca="false">IF(Calendario!$K$14="","",IFERROR(HYPERLINK("#Rubriche!C"&amp;(MATCH(Calendario!$K$14,Rubriche!$A$1:$A$1000,0)+1),VLOOKUP(Calendario!$K$14,Impostazioni!$A$25:$J$36,8,FALSE())),""))</f>
        <v/>
      </c>
      <c r="Y261" s="28" t="str">
        <f aca="false">IF(Calendario!$K$14="","",IFERROR(HYPERLINK("#Rubriche!C"&amp;(MATCH(Calendario!$K$14,Rubriche!$A$1:$A$1000,0)+2),VLOOKUP(Calendario!$K$14,Impostazioni!$A$25:$J$36,9,FALSE())),""))</f>
        <v/>
      </c>
      <c r="Z261" s="28" t="str">
        <f aca="false">IF(Calendario!$K$14="","",IFERROR(HYPERLINK("#Rubriche!C"&amp;(MATCH(Calendario!$K$14,Rubriche!$A$1:$A$1000,0)+3),VLOOKUP(Calendario!$K$14,Impostazioni!$A$25:$J$36,10,FALSE())),""))</f>
        <v/>
      </c>
      <c r="AA261" s="29"/>
      <c r="AB261" s="29"/>
    </row>
    <row r="262" customFormat="false" ht="25.5" hidden="false" customHeight="true" outlineLevel="0" collapsed="false">
      <c r="A262" s="8" t="s">
        <v>65</v>
      </c>
      <c r="B262" s="8" t="s">
        <v>83</v>
      </c>
      <c r="C262" s="8" t="s">
        <v>68</v>
      </c>
      <c r="D262" s="8" t="s">
        <v>84</v>
      </c>
      <c r="E262" s="30" t="s">
        <v>85</v>
      </c>
      <c r="F262" s="30" t="s">
        <v>86</v>
      </c>
      <c r="G262" s="30" t="s">
        <v>87</v>
      </c>
      <c r="H262" s="30" t="s">
        <v>88</v>
      </c>
      <c r="I262" s="31" t="s">
        <v>89</v>
      </c>
      <c r="J262" s="32" t="s">
        <v>90</v>
      </c>
      <c r="K262" s="30" t="s">
        <v>85</v>
      </c>
      <c r="L262" s="30" t="s">
        <v>86</v>
      </c>
      <c r="M262" s="30" t="s">
        <v>87</v>
      </c>
      <c r="N262" s="30" t="s">
        <v>88</v>
      </c>
      <c r="O262" s="31" t="s">
        <v>89</v>
      </c>
      <c r="P262" s="32" t="s">
        <v>90</v>
      </c>
      <c r="Q262" s="30" t="s">
        <v>85</v>
      </c>
      <c r="R262" s="30" t="s">
        <v>86</v>
      </c>
      <c r="S262" s="30" t="s">
        <v>87</v>
      </c>
      <c r="T262" s="30" t="s">
        <v>88</v>
      </c>
      <c r="U262" s="31" t="s">
        <v>89</v>
      </c>
      <c r="V262" s="32" t="s">
        <v>90</v>
      </c>
      <c r="W262" s="30" t="s">
        <v>85</v>
      </c>
      <c r="X262" s="30" t="s">
        <v>86</v>
      </c>
      <c r="Y262" s="30" t="s">
        <v>87</v>
      </c>
      <c r="Z262" s="30" t="s">
        <v>88</v>
      </c>
      <c r="AA262" s="31" t="s">
        <v>89</v>
      </c>
      <c r="AB262" s="32" t="s">
        <v>90</v>
      </c>
    </row>
    <row r="263" customFormat="false" ht="21" hidden="false" customHeight="true" outlineLevel="0" collapsed="false">
      <c r="A263" s="33" t="n">
        <v>1</v>
      </c>
      <c r="B263" s="34" t="str">
        <f aca="false">IFERROR(INDEX(Alunni!$C$1:$C$1000,MATCH($A263,Alunni!$A$1:$A$1000,0))&amp;"","")</f>
        <v>Rossi Mario (esempio)</v>
      </c>
      <c r="C263" s="15"/>
      <c r="D263" s="35"/>
      <c r="E263" s="36"/>
      <c r="F263" s="36"/>
      <c r="G263" s="36"/>
      <c r="H263" s="36"/>
      <c r="I263" s="39" t="str">
        <f aca="false">IF(COUNT(E263:H263)=0,"",ROUND(AVERAGE(E263:H263),0))</f>
        <v/>
      </c>
      <c r="J263" s="38" t="str">
        <f aca="false">IF(I263="","",LOOKUP(I263,Impostazioni!$E$4:$E$9,Impostazioni!$F$4:$F$9))</f>
        <v/>
      </c>
      <c r="K263" s="36"/>
      <c r="L263" s="36"/>
      <c r="M263" s="36"/>
      <c r="N263" s="36"/>
      <c r="O263" s="39" t="str">
        <f aca="false">IF(COUNT(K263:N263)=0,"",ROUND(AVERAGE(K263:N263),0))</f>
        <v/>
      </c>
      <c r="P263" s="38" t="str">
        <f aca="false">IF(O263="","",LOOKUP(O263,Impostazioni!$E$4:$E$9,Impostazioni!$F$4:$F$9))</f>
        <v/>
      </c>
      <c r="Q263" s="36"/>
      <c r="R263" s="36"/>
      <c r="S263" s="36"/>
      <c r="T263" s="36"/>
      <c r="U263" s="39" t="str">
        <f aca="false">IF(COUNT(Q263:T263)=0,"",ROUND(AVERAGE(Q263:T263),0))</f>
        <v/>
      </c>
      <c r="V263" s="38" t="str">
        <f aca="false">IF(U263="","",LOOKUP(U263,Impostazioni!$E$4:$E$9,Impostazioni!$F$4:$F$9))</f>
        <v/>
      </c>
      <c r="W263" s="36"/>
      <c r="X263" s="36"/>
      <c r="Y263" s="36"/>
      <c r="Z263" s="36"/>
      <c r="AA263" s="39" t="str">
        <f aca="false">IF(COUNT(W263:Z263)=0,"",ROUND(AVERAGE(W263:Z263),0))</f>
        <v/>
      </c>
      <c r="AB263" s="38" t="str">
        <f aca="false">IF(AA263="","",LOOKUP(AA263,Impostazioni!$E$4:$E$9,Impostazioni!$F$4:$F$9))</f>
        <v/>
      </c>
    </row>
    <row r="264" customFormat="false" ht="21" hidden="false" customHeight="true" outlineLevel="0" collapsed="false">
      <c r="A264" s="33" t="n">
        <v>2</v>
      </c>
      <c r="B264" s="34" t="str">
        <f aca="false">IFERROR(INDEX(Alunni!$C$1:$C$1000,MATCH($A264,Alunni!$A$1:$A$1000,0))&amp;"","")</f>
        <v>Bianchi Anna (esempio)</v>
      </c>
      <c r="C264" s="15"/>
      <c r="D264" s="35"/>
      <c r="E264" s="36"/>
      <c r="F264" s="36"/>
      <c r="G264" s="36"/>
      <c r="H264" s="36"/>
      <c r="I264" s="39" t="str">
        <f aca="false">IF(COUNT(E264:H264)=0,"",ROUND(AVERAGE(E264:H264),0))</f>
        <v/>
      </c>
      <c r="J264" s="38" t="str">
        <f aca="false">IF(I264="","",LOOKUP(I264,Impostazioni!$E$4:$E$9,Impostazioni!$F$4:$F$9))</f>
        <v/>
      </c>
      <c r="K264" s="36"/>
      <c r="L264" s="36"/>
      <c r="M264" s="36"/>
      <c r="N264" s="36"/>
      <c r="O264" s="39" t="str">
        <f aca="false">IF(COUNT(K264:N264)=0,"",ROUND(AVERAGE(K264:N264),0))</f>
        <v/>
      </c>
      <c r="P264" s="38" t="str">
        <f aca="false">IF(O264="","",LOOKUP(O264,Impostazioni!$E$4:$E$9,Impostazioni!$F$4:$F$9))</f>
        <v/>
      </c>
      <c r="Q264" s="36"/>
      <c r="R264" s="36"/>
      <c r="S264" s="36"/>
      <c r="T264" s="36"/>
      <c r="U264" s="39" t="str">
        <f aca="false">IF(COUNT(Q264:T264)=0,"",ROUND(AVERAGE(Q264:T264),0))</f>
        <v/>
      </c>
      <c r="V264" s="38" t="str">
        <f aca="false">IF(U264="","",LOOKUP(U264,Impostazioni!$E$4:$E$9,Impostazioni!$F$4:$F$9))</f>
        <v/>
      </c>
      <c r="W264" s="36"/>
      <c r="X264" s="36"/>
      <c r="Y264" s="36"/>
      <c r="Z264" s="36"/>
      <c r="AA264" s="39" t="str">
        <f aca="false">IF(COUNT(W264:Z264)=0,"",ROUND(AVERAGE(W264:Z264),0))</f>
        <v/>
      </c>
      <c r="AB264" s="38" t="str">
        <f aca="false">IF(AA264="","",LOOKUP(AA264,Impostazioni!$E$4:$E$9,Impostazioni!$F$4:$F$9))</f>
        <v/>
      </c>
    </row>
    <row r="265" customFormat="false" ht="21" hidden="false" customHeight="true" outlineLevel="0" collapsed="false">
      <c r="A265" s="33" t="n">
        <v>3</v>
      </c>
      <c r="B265" s="34" t="str">
        <f aca="false">IFERROR(INDEX(Alunni!$C$1:$C$1000,MATCH($A265,Alunni!$A$1:$A$1000,0))&amp;"","")</f>
        <v>Verdi Luca (esempio)</v>
      </c>
      <c r="C265" s="15"/>
      <c r="D265" s="35"/>
      <c r="E265" s="36"/>
      <c r="F265" s="36"/>
      <c r="G265" s="36"/>
      <c r="H265" s="36"/>
      <c r="I265" s="39" t="str">
        <f aca="false">IF(COUNT(E265:H265)=0,"",ROUND(AVERAGE(E265:H265),0))</f>
        <v/>
      </c>
      <c r="J265" s="38" t="str">
        <f aca="false">IF(I265="","",LOOKUP(I265,Impostazioni!$E$4:$E$9,Impostazioni!$F$4:$F$9))</f>
        <v/>
      </c>
      <c r="K265" s="36"/>
      <c r="L265" s="36"/>
      <c r="M265" s="36"/>
      <c r="N265" s="36"/>
      <c r="O265" s="39" t="str">
        <f aca="false">IF(COUNT(K265:N265)=0,"",ROUND(AVERAGE(K265:N265),0))</f>
        <v/>
      </c>
      <c r="P265" s="38" t="str">
        <f aca="false">IF(O265="","",LOOKUP(O265,Impostazioni!$E$4:$E$9,Impostazioni!$F$4:$F$9))</f>
        <v/>
      </c>
      <c r="Q265" s="36"/>
      <c r="R265" s="36"/>
      <c r="S265" s="36"/>
      <c r="T265" s="36"/>
      <c r="U265" s="39" t="str">
        <f aca="false">IF(COUNT(Q265:T265)=0,"",ROUND(AVERAGE(Q265:T265),0))</f>
        <v/>
      </c>
      <c r="V265" s="38" t="str">
        <f aca="false">IF(U265="","",LOOKUP(U265,Impostazioni!$E$4:$E$9,Impostazioni!$F$4:$F$9))</f>
        <v/>
      </c>
      <c r="W265" s="36"/>
      <c r="X265" s="36"/>
      <c r="Y265" s="36"/>
      <c r="Z265" s="36"/>
      <c r="AA265" s="39" t="str">
        <f aca="false">IF(COUNT(W265:Z265)=0,"",ROUND(AVERAGE(W265:Z265),0))</f>
        <v/>
      </c>
      <c r="AB265" s="38" t="str">
        <f aca="false">IF(AA265="","",LOOKUP(AA265,Impostazioni!$E$4:$E$9,Impostazioni!$F$4:$F$9))</f>
        <v/>
      </c>
    </row>
    <row r="266" customFormat="false" ht="21" hidden="false" customHeight="true" outlineLevel="0" collapsed="false">
      <c r="A266" s="33" t="n">
        <v>4</v>
      </c>
      <c r="B266" s="34" t="str">
        <f aca="false">IFERROR(INDEX(Alunni!$C$1:$C$1000,MATCH($A266,Alunni!$A$1:$A$1000,0))&amp;"","")</f>
        <v/>
      </c>
      <c r="C266" s="15"/>
      <c r="D266" s="35"/>
      <c r="E266" s="36"/>
      <c r="F266" s="36"/>
      <c r="G266" s="36"/>
      <c r="H266" s="36"/>
      <c r="I266" s="39" t="str">
        <f aca="false">IF(COUNT(E266:H266)=0,"",ROUND(AVERAGE(E266:H266),0))</f>
        <v/>
      </c>
      <c r="J266" s="38" t="str">
        <f aca="false">IF(I266="","",LOOKUP(I266,Impostazioni!$E$4:$E$9,Impostazioni!$F$4:$F$9))</f>
        <v/>
      </c>
      <c r="K266" s="36"/>
      <c r="L266" s="36"/>
      <c r="M266" s="36"/>
      <c r="N266" s="36"/>
      <c r="O266" s="39" t="str">
        <f aca="false">IF(COUNT(K266:N266)=0,"",ROUND(AVERAGE(K266:N266),0))</f>
        <v/>
      </c>
      <c r="P266" s="38" t="str">
        <f aca="false">IF(O266="","",LOOKUP(O266,Impostazioni!$E$4:$E$9,Impostazioni!$F$4:$F$9))</f>
        <v/>
      </c>
      <c r="Q266" s="36"/>
      <c r="R266" s="36"/>
      <c r="S266" s="36"/>
      <c r="T266" s="36"/>
      <c r="U266" s="39" t="str">
        <f aca="false">IF(COUNT(Q266:T266)=0,"",ROUND(AVERAGE(Q266:T266),0))</f>
        <v/>
      </c>
      <c r="V266" s="38" t="str">
        <f aca="false">IF(U266="","",LOOKUP(U266,Impostazioni!$E$4:$E$9,Impostazioni!$F$4:$F$9))</f>
        <v/>
      </c>
      <c r="W266" s="36"/>
      <c r="X266" s="36"/>
      <c r="Y266" s="36"/>
      <c r="Z266" s="36"/>
      <c r="AA266" s="39" t="str">
        <f aca="false">IF(COUNT(W266:Z266)=0,"",ROUND(AVERAGE(W266:Z266),0))</f>
        <v/>
      </c>
      <c r="AB266" s="38" t="str">
        <f aca="false">IF(AA266="","",LOOKUP(AA266,Impostazioni!$E$4:$E$9,Impostazioni!$F$4:$F$9))</f>
        <v/>
      </c>
    </row>
    <row r="267" customFormat="false" ht="21" hidden="false" customHeight="true" outlineLevel="0" collapsed="false">
      <c r="A267" s="33" t="n">
        <v>5</v>
      </c>
      <c r="B267" s="34" t="str">
        <f aca="false">IFERROR(INDEX(Alunni!$C$1:$C$1000,MATCH($A267,Alunni!$A$1:$A$1000,0))&amp;"","")</f>
        <v/>
      </c>
      <c r="C267" s="15"/>
      <c r="D267" s="35"/>
      <c r="E267" s="36"/>
      <c r="F267" s="36"/>
      <c r="G267" s="36"/>
      <c r="H267" s="36"/>
      <c r="I267" s="39" t="str">
        <f aca="false">IF(COUNT(E267:H267)=0,"",ROUND(AVERAGE(E267:H267),0))</f>
        <v/>
      </c>
      <c r="J267" s="38" t="str">
        <f aca="false">IF(I267="","",LOOKUP(I267,Impostazioni!$E$4:$E$9,Impostazioni!$F$4:$F$9))</f>
        <v/>
      </c>
      <c r="K267" s="36"/>
      <c r="L267" s="36"/>
      <c r="M267" s="36"/>
      <c r="N267" s="36"/>
      <c r="O267" s="39" t="str">
        <f aca="false">IF(COUNT(K267:N267)=0,"",ROUND(AVERAGE(K267:N267),0))</f>
        <v/>
      </c>
      <c r="P267" s="38" t="str">
        <f aca="false">IF(O267="","",LOOKUP(O267,Impostazioni!$E$4:$E$9,Impostazioni!$F$4:$F$9))</f>
        <v/>
      </c>
      <c r="Q267" s="36"/>
      <c r="R267" s="36"/>
      <c r="S267" s="36"/>
      <c r="T267" s="36"/>
      <c r="U267" s="39" t="str">
        <f aca="false">IF(COUNT(Q267:T267)=0,"",ROUND(AVERAGE(Q267:T267),0))</f>
        <v/>
      </c>
      <c r="V267" s="38" t="str">
        <f aca="false">IF(U267="","",LOOKUP(U267,Impostazioni!$E$4:$E$9,Impostazioni!$F$4:$F$9))</f>
        <v/>
      </c>
      <c r="W267" s="36"/>
      <c r="X267" s="36"/>
      <c r="Y267" s="36"/>
      <c r="Z267" s="36"/>
      <c r="AA267" s="39" t="str">
        <f aca="false">IF(COUNT(W267:Z267)=0,"",ROUND(AVERAGE(W267:Z267),0))</f>
        <v/>
      </c>
      <c r="AB267" s="38" t="str">
        <f aca="false">IF(AA267="","",LOOKUP(AA267,Impostazioni!$E$4:$E$9,Impostazioni!$F$4:$F$9))</f>
        <v/>
      </c>
    </row>
    <row r="268" customFormat="false" ht="21" hidden="false" customHeight="true" outlineLevel="0" collapsed="false">
      <c r="A268" s="33" t="n">
        <v>6</v>
      </c>
      <c r="B268" s="34" t="str">
        <f aca="false">IFERROR(INDEX(Alunni!$C$1:$C$1000,MATCH($A268,Alunni!$A$1:$A$1000,0))&amp;"","")</f>
        <v/>
      </c>
      <c r="C268" s="15"/>
      <c r="D268" s="35"/>
      <c r="E268" s="36"/>
      <c r="F268" s="36"/>
      <c r="G268" s="36"/>
      <c r="H268" s="36"/>
      <c r="I268" s="39" t="str">
        <f aca="false">IF(COUNT(E268:H268)=0,"",ROUND(AVERAGE(E268:H268),0))</f>
        <v/>
      </c>
      <c r="J268" s="38" t="str">
        <f aca="false">IF(I268="","",LOOKUP(I268,Impostazioni!$E$4:$E$9,Impostazioni!$F$4:$F$9))</f>
        <v/>
      </c>
      <c r="K268" s="36"/>
      <c r="L268" s="36"/>
      <c r="M268" s="36"/>
      <c r="N268" s="36"/>
      <c r="O268" s="39" t="str">
        <f aca="false">IF(COUNT(K268:N268)=0,"",ROUND(AVERAGE(K268:N268),0))</f>
        <v/>
      </c>
      <c r="P268" s="38" t="str">
        <f aca="false">IF(O268="","",LOOKUP(O268,Impostazioni!$E$4:$E$9,Impostazioni!$F$4:$F$9))</f>
        <v/>
      </c>
      <c r="Q268" s="36"/>
      <c r="R268" s="36"/>
      <c r="S268" s="36"/>
      <c r="T268" s="36"/>
      <c r="U268" s="39" t="str">
        <f aca="false">IF(COUNT(Q268:T268)=0,"",ROUND(AVERAGE(Q268:T268),0))</f>
        <v/>
      </c>
      <c r="V268" s="38" t="str">
        <f aca="false">IF(U268="","",LOOKUP(U268,Impostazioni!$E$4:$E$9,Impostazioni!$F$4:$F$9))</f>
        <v/>
      </c>
      <c r="W268" s="36"/>
      <c r="X268" s="36"/>
      <c r="Y268" s="36"/>
      <c r="Z268" s="36"/>
      <c r="AA268" s="39" t="str">
        <f aca="false">IF(COUNT(W268:Z268)=0,"",ROUND(AVERAGE(W268:Z268),0))</f>
        <v/>
      </c>
      <c r="AB268" s="38" t="str">
        <f aca="false">IF(AA268="","",LOOKUP(AA268,Impostazioni!$E$4:$E$9,Impostazioni!$F$4:$F$9))</f>
        <v/>
      </c>
    </row>
    <row r="269" customFormat="false" ht="21" hidden="false" customHeight="true" outlineLevel="0" collapsed="false">
      <c r="A269" s="33" t="n">
        <v>7</v>
      </c>
      <c r="B269" s="34" t="str">
        <f aca="false">IFERROR(INDEX(Alunni!$C$1:$C$1000,MATCH($A269,Alunni!$A$1:$A$1000,0))&amp;"","")</f>
        <v/>
      </c>
      <c r="C269" s="15"/>
      <c r="D269" s="35"/>
      <c r="E269" s="36"/>
      <c r="F269" s="36"/>
      <c r="G269" s="36"/>
      <c r="H269" s="36"/>
      <c r="I269" s="39" t="str">
        <f aca="false">IF(COUNT(E269:H269)=0,"",ROUND(AVERAGE(E269:H269),0))</f>
        <v/>
      </c>
      <c r="J269" s="38" t="str">
        <f aca="false">IF(I269="","",LOOKUP(I269,Impostazioni!$E$4:$E$9,Impostazioni!$F$4:$F$9))</f>
        <v/>
      </c>
      <c r="K269" s="36"/>
      <c r="L269" s="36"/>
      <c r="M269" s="36"/>
      <c r="N269" s="36"/>
      <c r="O269" s="39" t="str">
        <f aca="false">IF(COUNT(K269:N269)=0,"",ROUND(AVERAGE(K269:N269),0))</f>
        <v/>
      </c>
      <c r="P269" s="38" t="str">
        <f aca="false">IF(O269="","",LOOKUP(O269,Impostazioni!$E$4:$E$9,Impostazioni!$F$4:$F$9))</f>
        <v/>
      </c>
      <c r="Q269" s="36"/>
      <c r="R269" s="36"/>
      <c r="S269" s="36"/>
      <c r="T269" s="36"/>
      <c r="U269" s="39" t="str">
        <f aca="false">IF(COUNT(Q269:T269)=0,"",ROUND(AVERAGE(Q269:T269),0))</f>
        <v/>
      </c>
      <c r="V269" s="38" t="str">
        <f aca="false">IF(U269="","",LOOKUP(U269,Impostazioni!$E$4:$E$9,Impostazioni!$F$4:$F$9))</f>
        <v/>
      </c>
      <c r="W269" s="36"/>
      <c r="X269" s="36"/>
      <c r="Y269" s="36"/>
      <c r="Z269" s="36"/>
      <c r="AA269" s="39" t="str">
        <f aca="false">IF(COUNT(W269:Z269)=0,"",ROUND(AVERAGE(W269:Z269),0))</f>
        <v/>
      </c>
      <c r="AB269" s="38" t="str">
        <f aca="false">IF(AA269="","",LOOKUP(AA269,Impostazioni!$E$4:$E$9,Impostazioni!$F$4:$F$9))</f>
        <v/>
      </c>
    </row>
    <row r="270" customFormat="false" ht="21" hidden="false" customHeight="true" outlineLevel="0" collapsed="false">
      <c r="A270" s="33" t="n">
        <v>8</v>
      </c>
      <c r="B270" s="34" t="str">
        <f aca="false">IFERROR(INDEX(Alunni!$C$1:$C$1000,MATCH($A270,Alunni!$A$1:$A$1000,0))&amp;"","")</f>
        <v/>
      </c>
      <c r="C270" s="15"/>
      <c r="D270" s="35"/>
      <c r="E270" s="36"/>
      <c r="F270" s="36"/>
      <c r="G270" s="36"/>
      <c r="H270" s="36"/>
      <c r="I270" s="39" t="str">
        <f aca="false">IF(COUNT(E270:H270)=0,"",ROUND(AVERAGE(E270:H270),0))</f>
        <v/>
      </c>
      <c r="J270" s="38" t="str">
        <f aca="false">IF(I270="","",LOOKUP(I270,Impostazioni!$E$4:$E$9,Impostazioni!$F$4:$F$9))</f>
        <v/>
      </c>
      <c r="K270" s="36"/>
      <c r="L270" s="36"/>
      <c r="M270" s="36"/>
      <c r="N270" s="36"/>
      <c r="O270" s="39" t="str">
        <f aca="false">IF(COUNT(K270:N270)=0,"",ROUND(AVERAGE(K270:N270),0))</f>
        <v/>
      </c>
      <c r="P270" s="38" t="str">
        <f aca="false">IF(O270="","",LOOKUP(O270,Impostazioni!$E$4:$E$9,Impostazioni!$F$4:$F$9))</f>
        <v/>
      </c>
      <c r="Q270" s="36"/>
      <c r="R270" s="36"/>
      <c r="S270" s="36"/>
      <c r="T270" s="36"/>
      <c r="U270" s="39" t="str">
        <f aca="false">IF(COUNT(Q270:T270)=0,"",ROUND(AVERAGE(Q270:T270),0))</f>
        <v/>
      </c>
      <c r="V270" s="38" t="str">
        <f aca="false">IF(U270="","",LOOKUP(U270,Impostazioni!$E$4:$E$9,Impostazioni!$F$4:$F$9))</f>
        <v/>
      </c>
      <c r="W270" s="36"/>
      <c r="X270" s="36"/>
      <c r="Y270" s="36"/>
      <c r="Z270" s="36"/>
      <c r="AA270" s="39" t="str">
        <f aca="false">IF(COUNT(W270:Z270)=0,"",ROUND(AVERAGE(W270:Z270),0))</f>
        <v/>
      </c>
      <c r="AB270" s="38" t="str">
        <f aca="false">IF(AA270="","",LOOKUP(AA270,Impostazioni!$E$4:$E$9,Impostazioni!$F$4:$F$9))</f>
        <v/>
      </c>
    </row>
    <row r="271" customFormat="false" ht="21" hidden="false" customHeight="true" outlineLevel="0" collapsed="false">
      <c r="A271" s="33" t="n">
        <v>9</v>
      </c>
      <c r="B271" s="34" t="str">
        <f aca="false">IFERROR(INDEX(Alunni!$C$1:$C$1000,MATCH($A271,Alunni!$A$1:$A$1000,0))&amp;"","")</f>
        <v/>
      </c>
      <c r="C271" s="15"/>
      <c r="D271" s="35"/>
      <c r="E271" s="36"/>
      <c r="F271" s="36"/>
      <c r="G271" s="36"/>
      <c r="H271" s="36"/>
      <c r="I271" s="39" t="str">
        <f aca="false">IF(COUNT(E271:H271)=0,"",ROUND(AVERAGE(E271:H271),0))</f>
        <v/>
      </c>
      <c r="J271" s="38" t="str">
        <f aca="false">IF(I271="","",LOOKUP(I271,Impostazioni!$E$4:$E$9,Impostazioni!$F$4:$F$9))</f>
        <v/>
      </c>
      <c r="K271" s="36"/>
      <c r="L271" s="36"/>
      <c r="M271" s="36"/>
      <c r="N271" s="36"/>
      <c r="O271" s="39" t="str">
        <f aca="false">IF(COUNT(K271:N271)=0,"",ROUND(AVERAGE(K271:N271),0))</f>
        <v/>
      </c>
      <c r="P271" s="38" t="str">
        <f aca="false">IF(O271="","",LOOKUP(O271,Impostazioni!$E$4:$E$9,Impostazioni!$F$4:$F$9))</f>
        <v/>
      </c>
      <c r="Q271" s="36"/>
      <c r="R271" s="36"/>
      <c r="S271" s="36"/>
      <c r="T271" s="36"/>
      <c r="U271" s="39" t="str">
        <f aca="false">IF(COUNT(Q271:T271)=0,"",ROUND(AVERAGE(Q271:T271),0))</f>
        <v/>
      </c>
      <c r="V271" s="38" t="str">
        <f aca="false">IF(U271="","",LOOKUP(U271,Impostazioni!$E$4:$E$9,Impostazioni!$F$4:$F$9))</f>
        <v/>
      </c>
      <c r="W271" s="36"/>
      <c r="X271" s="36"/>
      <c r="Y271" s="36"/>
      <c r="Z271" s="36"/>
      <c r="AA271" s="39" t="str">
        <f aca="false">IF(COUNT(W271:Z271)=0,"",ROUND(AVERAGE(W271:Z271),0))</f>
        <v/>
      </c>
      <c r="AB271" s="38" t="str">
        <f aca="false">IF(AA271="","",LOOKUP(AA271,Impostazioni!$E$4:$E$9,Impostazioni!$F$4:$F$9))</f>
        <v/>
      </c>
    </row>
    <row r="272" customFormat="false" ht="21" hidden="false" customHeight="true" outlineLevel="0" collapsed="false">
      <c r="A272" s="33" t="n">
        <v>10</v>
      </c>
      <c r="B272" s="34" t="str">
        <f aca="false">IFERROR(INDEX(Alunni!$C$1:$C$1000,MATCH($A272,Alunni!$A$1:$A$1000,0))&amp;"","")</f>
        <v/>
      </c>
      <c r="C272" s="15"/>
      <c r="D272" s="35"/>
      <c r="E272" s="36"/>
      <c r="F272" s="36"/>
      <c r="G272" s="36"/>
      <c r="H272" s="36"/>
      <c r="I272" s="39" t="str">
        <f aca="false">IF(COUNT(E272:H272)=0,"",ROUND(AVERAGE(E272:H272),0))</f>
        <v/>
      </c>
      <c r="J272" s="38" t="str">
        <f aca="false">IF(I272="","",LOOKUP(I272,Impostazioni!$E$4:$E$9,Impostazioni!$F$4:$F$9))</f>
        <v/>
      </c>
      <c r="K272" s="36"/>
      <c r="L272" s="36"/>
      <c r="M272" s="36"/>
      <c r="N272" s="36"/>
      <c r="O272" s="39" t="str">
        <f aca="false">IF(COUNT(K272:N272)=0,"",ROUND(AVERAGE(K272:N272),0))</f>
        <v/>
      </c>
      <c r="P272" s="38" t="str">
        <f aca="false">IF(O272="","",LOOKUP(O272,Impostazioni!$E$4:$E$9,Impostazioni!$F$4:$F$9))</f>
        <v/>
      </c>
      <c r="Q272" s="36"/>
      <c r="R272" s="36"/>
      <c r="S272" s="36"/>
      <c r="T272" s="36"/>
      <c r="U272" s="39" t="str">
        <f aca="false">IF(COUNT(Q272:T272)=0,"",ROUND(AVERAGE(Q272:T272),0))</f>
        <v/>
      </c>
      <c r="V272" s="38" t="str">
        <f aca="false">IF(U272="","",LOOKUP(U272,Impostazioni!$E$4:$E$9,Impostazioni!$F$4:$F$9))</f>
        <v/>
      </c>
      <c r="W272" s="36"/>
      <c r="X272" s="36"/>
      <c r="Y272" s="36"/>
      <c r="Z272" s="36"/>
      <c r="AA272" s="39" t="str">
        <f aca="false">IF(COUNT(W272:Z272)=0,"",ROUND(AVERAGE(W272:Z272),0))</f>
        <v/>
      </c>
      <c r="AB272" s="38" t="str">
        <f aca="false">IF(AA272="","",LOOKUP(AA272,Impostazioni!$E$4:$E$9,Impostazioni!$F$4:$F$9))</f>
        <v/>
      </c>
    </row>
    <row r="273" customFormat="false" ht="21" hidden="false" customHeight="true" outlineLevel="0" collapsed="false">
      <c r="A273" s="33" t="n">
        <v>11</v>
      </c>
      <c r="B273" s="34" t="str">
        <f aca="false">IFERROR(INDEX(Alunni!$C$1:$C$1000,MATCH($A273,Alunni!$A$1:$A$1000,0))&amp;"","")</f>
        <v/>
      </c>
      <c r="C273" s="15"/>
      <c r="D273" s="35"/>
      <c r="E273" s="36"/>
      <c r="F273" s="36"/>
      <c r="G273" s="36"/>
      <c r="H273" s="36"/>
      <c r="I273" s="39" t="str">
        <f aca="false">IF(COUNT(E273:H273)=0,"",ROUND(AVERAGE(E273:H273),0))</f>
        <v/>
      </c>
      <c r="J273" s="38" t="str">
        <f aca="false">IF(I273="","",LOOKUP(I273,Impostazioni!$E$4:$E$9,Impostazioni!$F$4:$F$9))</f>
        <v/>
      </c>
      <c r="K273" s="36"/>
      <c r="L273" s="36"/>
      <c r="M273" s="36"/>
      <c r="N273" s="36"/>
      <c r="O273" s="39" t="str">
        <f aca="false">IF(COUNT(K273:N273)=0,"",ROUND(AVERAGE(K273:N273),0))</f>
        <v/>
      </c>
      <c r="P273" s="38" t="str">
        <f aca="false">IF(O273="","",LOOKUP(O273,Impostazioni!$E$4:$E$9,Impostazioni!$F$4:$F$9))</f>
        <v/>
      </c>
      <c r="Q273" s="36"/>
      <c r="R273" s="36"/>
      <c r="S273" s="36"/>
      <c r="T273" s="36"/>
      <c r="U273" s="39" t="str">
        <f aca="false">IF(COUNT(Q273:T273)=0,"",ROUND(AVERAGE(Q273:T273),0))</f>
        <v/>
      </c>
      <c r="V273" s="38" t="str">
        <f aca="false">IF(U273="","",LOOKUP(U273,Impostazioni!$E$4:$E$9,Impostazioni!$F$4:$F$9))</f>
        <v/>
      </c>
      <c r="W273" s="36"/>
      <c r="X273" s="36"/>
      <c r="Y273" s="36"/>
      <c r="Z273" s="36"/>
      <c r="AA273" s="39" t="str">
        <f aca="false">IF(COUNT(W273:Z273)=0,"",ROUND(AVERAGE(W273:Z273),0))</f>
        <v/>
      </c>
      <c r="AB273" s="38" t="str">
        <f aca="false">IF(AA273="","",LOOKUP(AA273,Impostazioni!$E$4:$E$9,Impostazioni!$F$4:$F$9))</f>
        <v/>
      </c>
    </row>
    <row r="274" customFormat="false" ht="21" hidden="false" customHeight="true" outlineLevel="0" collapsed="false">
      <c r="A274" s="33" t="n">
        <v>12</v>
      </c>
      <c r="B274" s="34" t="str">
        <f aca="false">IFERROR(INDEX(Alunni!$C$1:$C$1000,MATCH($A274,Alunni!$A$1:$A$1000,0))&amp;"","")</f>
        <v/>
      </c>
      <c r="C274" s="15"/>
      <c r="D274" s="35"/>
      <c r="E274" s="36"/>
      <c r="F274" s="36"/>
      <c r="G274" s="36"/>
      <c r="H274" s="36"/>
      <c r="I274" s="39" t="str">
        <f aca="false">IF(COUNT(E274:H274)=0,"",ROUND(AVERAGE(E274:H274),0))</f>
        <v/>
      </c>
      <c r="J274" s="38" t="str">
        <f aca="false">IF(I274="","",LOOKUP(I274,Impostazioni!$E$4:$E$9,Impostazioni!$F$4:$F$9))</f>
        <v/>
      </c>
      <c r="K274" s="36"/>
      <c r="L274" s="36"/>
      <c r="M274" s="36"/>
      <c r="N274" s="36"/>
      <c r="O274" s="39" t="str">
        <f aca="false">IF(COUNT(K274:N274)=0,"",ROUND(AVERAGE(K274:N274),0))</f>
        <v/>
      </c>
      <c r="P274" s="38" t="str">
        <f aca="false">IF(O274="","",LOOKUP(O274,Impostazioni!$E$4:$E$9,Impostazioni!$F$4:$F$9))</f>
        <v/>
      </c>
      <c r="Q274" s="36"/>
      <c r="R274" s="36"/>
      <c r="S274" s="36"/>
      <c r="T274" s="36"/>
      <c r="U274" s="39" t="str">
        <f aca="false">IF(COUNT(Q274:T274)=0,"",ROUND(AVERAGE(Q274:T274),0))</f>
        <v/>
      </c>
      <c r="V274" s="38" t="str">
        <f aca="false">IF(U274="","",LOOKUP(U274,Impostazioni!$E$4:$E$9,Impostazioni!$F$4:$F$9))</f>
        <v/>
      </c>
      <c r="W274" s="36"/>
      <c r="X274" s="36"/>
      <c r="Y274" s="36"/>
      <c r="Z274" s="36"/>
      <c r="AA274" s="39" t="str">
        <f aca="false">IF(COUNT(W274:Z274)=0,"",ROUND(AVERAGE(W274:Z274),0))</f>
        <v/>
      </c>
      <c r="AB274" s="38" t="str">
        <f aca="false">IF(AA274="","",LOOKUP(AA274,Impostazioni!$E$4:$E$9,Impostazioni!$F$4:$F$9))</f>
        <v/>
      </c>
    </row>
    <row r="275" customFormat="false" ht="21" hidden="false" customHeight="true" outlineLevel="0" collapsed="false">
      <c r="A275" s="33" t="n">
        <v>13</v>
      </c>
      <c r="B275" s="34" t="str">
        <f aca="false">IFERROR(INDEX(Alunni!$C$1:$C$1000,MATCH($A275,Alunni!$A$1:$A$1000,0))&amp;"","")</f>
        <v/>
      </c>
      <c r="C275" s="15"/>
      <c r="D275" s="35"/>
      <c r="E275" s="36"/>
      <c r="F275" s="36"/>
      <c r="G275" s="36"/>
      <c r="H275" s="36"/>
      <c r="I275" s="39" t="str">
        <f aca="false">IF(COUNT(E275:H275)=0,"",ROUND(AVERAGE(E275:H275),0))</f>
        <v/>
      </c>
      <c r="J275" s="38" t="str">
        <f aca="false">IF(I275="","",LOOKUP(I275,Impostazioni!$E$4:$E$9,Impostazioni!$F$4:$F$9))</f>
        <v/>
      </c>
      <c r="K275" s="36"/>
      <c r="L275" s="36"/>
      <c r="M275" s="36"/>
      <c r="N275" s="36"/>
      <c r="O275" s="39" t="str">
        <f aca="false">IF(COUNT(K275:N275)=0,"",ROUND(AVERAGE(K275:N275),0))</f>
        <v/>
      </c>
      <c r="P275" s="38" t="str">
        <f aca="false">IF(O275="","",LOOKUP(O275,Impostazioni!$E$4:$E$9,Impostazioni!$F$4:$F$9))</f>
        <v/>
      </c>
      <c r="Q275" s="36"/>
      <c r="R275" s="36"/>
      <c r="S275" s="36"/>
      <c r="T275" s="36"/>
      <c r="U275" s="39" t="str">
        <f aca="false">IF(COUNT(Q275:T275)=0,"",ROUND(AVERAGE(Q275:T275),0))</f>
        <v/>
      </c>
      <c r="V275" s="38" t="str">
        <f aca="false">IF(U275="","",LOOKUP(U275,Impostazioni!$E$4:$E$9,Impostazioni!$F$4:$F$9))</f>
        <v/>
      </c>
      <c r="W275" s="36"/>
      <c r="X275" s="36"/>
      <c r="Y275" s="36"/>
      <c r="Z275" s="36"/>
      <c r="AA275" s="39" t="str">
        <f aca="false">IF(COUNT(W275:Z275)=0,"",ROUND(AVERAGE(W275:Z275),0))</f>
        <v/>
      </c>
      <c r="AB275" s="38" t="str">
        <f aca="false">IF(AA275="","",LOOKUP(AA275,Impostazioni!$E$4:$E$9,Impostazioni!$F$4:$F$9))</f>
        <v/>
      </c>
    </row>
    <row r="276" customFormat="false" ht="21" hidden="false" customHeight="true" outlineLevel="0" collapsed="false">
      <c r="A276" s="33" t="n">
        <v>14</v>
      </c>
      <c r="B276" s="34" t="str">
        <f aca="false">IFERROR(INDEX(Alunni!$C$1:$C$1000,MATCH($A276,Alunni!$A$1:$A$1000,0))&amp;"","")</f>
        <v/>
      </c>
      <c r="C276" s="15"/>
      <c r="D276" s="35"/>
      <c r="E276" s="36"/>
      <c r="F276" s="36"/>
      <c r="G276" s="36"/>
      <c r="H276" s="36"/>
      <c r="I276" s="39" t="str">
        <f aca="false">IF(COUNT(E276:H276)=0,"",ROUND(AVERAGE(E276:H276),0))</f>
        <v/>
      </c>
      <c r="J276" s="38" t="str">
        <f aca="false">IF(I276="","",LOOKUP(I276,Impostazioni!$E$4:$E$9,Impostazioni!$F$4:$F$9))</f>
        <v/>
      </c>
      <c r="K276" s="36"/>
      <c r="L276" s="36"/>
      <c r="M276" s="36"/>
      <c r="N276" s="36"/>
      <c r="O276" s="39" t="str">
        <f aca="false">IF(COUNT(K276:N276)=0,"",ROUND(AVERAGE(K276:N276),0))</f>
        <v/>
      </c>
      <c r="P276" s="38" t="str">
        <f aca="false">IF(O276="","",LOOKUP(O276,Impostazioni!$E$4:$E$9,Impostazioni!$F$4:$F$9))</f>
        <v/>
      </c>
      <c r="Q276" s="36"/>
      <c r="R276" s="36"/>
      <c r="S276" s="36"/>
      <c r="T276" s="36"/>
      <c r="U276" s="39" t="str">
        <f aca="false">IF(COUNT(Q276:T276)=0,"",ROUND(AVERAGE(Q276:T276),0))</f>
        <v/>
      </c>
      <c r="V276" s="38" t="str">
        <f aca="false">IF(U276="","",LOOKUP(U276,Impostazioni!$E$4:$E$9,Impostazioni!$F$4:$F$9))</f>
        <v/>
      </c>
      <c r="W276" s="36"/>
      <c r="X276" s="36"/>
      <c r="Y276" s="36"/>
      <c r="Z276" s="36"/>
      <c r="AA276" s="39" t="str">
        <f aca="false">IF(COUNT(W276:Z276)=0,"",ROUND(AVERAGE(W276:Z276),0))</f>
        <v/>
      </c>
      <c r="AB276" s="38" t="str">
        <f aca="false">IF(AA276="","",LOOKUP(AA276,Impostazioni!$E$4:$E$9,Impostazioni!$F$4:$F$9))</f>
        <v/>
      </c>
    </row>
    <row r="277" customFormat="false" ht="21" hidden="false" customHeight="true" outlineLevel="0" collapsed="false">
      <c r="A277" s="33" t="n">
        <v>15</v>
      </c>
      <c r="B277" s="34" t="str">
        <f aca="false">IFERROR(INDEX(Alunni!$C$1:$C$1000,MATCH($A277,Alunni!$A$1:$A$1000,0))&amp;"","")</f>
        <v/>
      </c>
      <c r="C277" s="15"/>
      <c r="D277" s="35"/>
      <c r="E277" s="36"/>
      <c r="F277" s="36"/>
      <c r="G277" s="36"/>
      <c r="H277" s="36"/>
      <c r="I277" s="39" t="str">
        <f aca="false">IF(COUNT(E277:H277)=0,"",ROUND(AVERAGE(E277:H277),0))</f>
        <v/>
      </c>
      <c r="J277" s="38" t="str">
        <f aca="false">IF(I277="","",LOOKUP(I277,Impostazioni!$E$4:$E$9,Impostazioni!$F$4:$F$9))</f>
        <v/>
      </c>
      <c r="K277" s="36"/>
      <c r="L277" s="36"/>
      <c r="M277" s="36"/>
      <c r="N277" s="36"/>
      <c r="O277" s="39" t="str">
        <f aca="false">IF(COUNT(K277:N277)=0,"",ROUND(AVERAGE(K277:N277),0))</f>
        <v/>
      </c>
      <c r="P277" s="38" t="str">
        <f aca="false">IF(O277="","",LOOKUP(O277,Impostazioni!$E$4:$E$9,Impostazioni!$F$4:$F$9))</f>
        <v/>
      </c>
      <c r="Q277" s="36"/>
      <c r="R277" s="36"/>
      <c r="S277" s="36"/>
      <c r="T277" s="36"/>
      <c r="U277" s="39" t="str">
        <f aca="false">IF(COUNT(Q277:T277)=0,"",ROUND(AVERAGE(Q277:T277),0))</f>
        <v/>
      </c>
      <c r="V277" s="38" t="str">
        <f aca="false">IF(U277="","",LOOKUP(U277,Impostazioni!$E$4:$E$9,Impostazioni!$F$4:$F$9))</f>
        <v/>
      </c>
      <c r="W277" s="36"/>
      <c r="X277" s="36"/>
      <c r="Y277" s="36"/>
      <c r="Z277" s="36"/>
      <c r="AA277" s="39" t="str">
        <f aca="false">IF(COUNT(W277:Z277)=0,"",ROUND(AVERAGE(W277:Z277),0))</f>
        <v/>
      </c>
      <c r="AB277" s="38" t="str">
        <f aca="false">IF(AA277="","",LOOKUP(AA277,Impostazioni!$E$4:$E$9,Impostazioni!$F$4:$F$9))</f>
        <v/>
      </c>
    </row>
    <row r="278" customFormat="false" ht="21" hidden="false" customHeight="true" outlineLevel="0" collapsed="false">
      <c r="A278" s="33" t="n">
        <v>16</v>
      </c>
      <c r="B278" s="34" t="str">
        <f aca="false">IFERROR(INDEX(Alunni!$C$1:$C$1000,MATCH($A278,Alunni!$A$1:$A$1000,0))&amp;"","")</f>
        <v/>
      </c>
      <c r="C278" s="15"/>
      <c r="D278" s="35"/>
      <c r="E278" s="36"/>
      <c r="F278" s="36"/>
      <c r="G278" s="36"/>
      <c r="H278" s="36"/>
      <c r="I278" s="39" t="str">
        <f aca="false">IF(COUNT(E278:H278)=0,"",ROUND(AVERAGE(E278:H278),0))</f>
        <v/>
      </c>
      <c r="J278" s="38" t="str">
        <f aca="false">IF(I278="","",LOOKUP(I278,Impostazioni!$E$4:$E$9,Impostazioni!$F$4:$F$9))</f>
        <v/>
      </c>
      <c r="K278" s="36"/>
      <c r="L278" s="36"/>
      <c r="M278" s="36"/>
      <c r="N278" s="36"/>
      <c r="O278" s="39" t="str">
        <f aca="false">IF(COUNT(K278:N278)=0,"",ROUND(AVERAGE(K278:N278),0))</f>
        <v/>
      </c>
      <c r="P278" s="38" t="str">
        <f aca="false">IF(O278="","",LOOKUP(O278,Impostazioni!$E$4:$E$9,Impostazioni!$F$4:$F$9))</f>
        <v/>
      </c>
      <c r="Q278" s="36"/>
      <c r="R278" s="36"/>
      <c r="S278" s="36"/>
      <c r="T278" s="36"/>
      <c r="U278" s="39" t="str">
        <f aca="false">IF(COUNT(Q278:T278)=0,"",ROUND(AVERAGE(Q278:T278),0))</f>
        <v/>
      </c>
      <c r="V278" s="38" t="str">
        <f aca="false">IF(U278="","",LOOKUP(U278,Impostazioni!$E$4:$E$9,Impostazioni!$F$4:$F$9))</f>
        <v/>
      </c>
      <c r="W278" s="36"/>
      <c r="X278" s="36"/>
      <c r="Y278" s="36"/>
      <c r="Z278" s="36"/>
      <c r="AA278" s="39" t="str">
        <f aca="false">IF(COUNT(W278:Z278)=0,"",ROUND(AVERAGE(W278:Z278),0))</f>
        <v/>
      </c>
      <c r="AB278" s="38" t="str">
        <f aca="false">IF(AA278="","",LOOKUP(AA278,Impostazioni!$E$4:$E$9,Impostazioni!$F$4:$F$9))</f>
        <v/>
      </c>
    </row>
    <row r="279" customFormat="false" ht="21" hidden="false" customHeight="true" outlineLevel="0" collapsed="false">
      <c r="A279" s="33" t="n">
        <v>17</v>
      </c>
      <c r="B279" s="34" t="str">
        <f aca="false">IFERROR(INDEX(Alunni!$C$1:$C$1000,MATCH($A279,Alunni!$A$1:$A$1000,0))&amp;"","")</f>
        <v/>
      </c>
      <c r="C279" s="15"/>
      <c r="D279" s="35"/>
      <c r="E279" s="36"/>
      <c r="F279" s="36"/>
      <c r="G279" s="36"/>
      <c r="H279" s="36"/>
      <c r="I279" s="39" t="str">
        <f aca="false">IF(COUNT(E279:H279)=0,"",ROUND(AVERAGE(E279:H279),0))</f>
        <v/>
      </c>
      <c r="J279" s="38" t="str">
        <f aca="false">IF(I279="","",LOOKUP(I279,Impostazioni!$E$4:$E$9,Impostazioni!$F$4:$F$9))</f>
        <v/>
      </c>
      <c r="K279" s="36"/>
      <c r="L279" s="36"/>
      <c r="M279" s="36"/>
      <c r="N279" s="36"/>
      <c r="O279" s="39" t="str">
        <f aca="false">IF(COUNT(K279:N279)=0,"",ROUND(AVERAGE(K279:N279),0))</f>
        <v/>
      </c>
      <c r="P279" s="38" t="str">
        <f aca="false">IF(O279="","",LOOKUP(O279,Impostazioni!$E$4:$E$9,Impostazioni!$F$4:$F$9))</f>
        <v/>
      </c>
      <c r="Q279" s="36"/>
      <c r="R279" s="36"/>
      <c r="S279" s="36"/>
      <c r="T279" s="36"/>
      <c r="U279" s="39" t="str">
        <f aca="false">IF(COUNT(Q279:T279)=0,"",ROUND(AVERAGE(Q279:T279),0))</f>
        <v/>
      </c>
      <c r="V279" s="38" t="str">
        <f aca="false">IF(U279="","",LOOKUP(U279,Impostazioni!$E$4:$E$9,Impostazioni!$F$4:$F$9))</f>
        <v/>
      </c>
      <c r="W279" s="36"/>
      <c r="X279" s="36"/>
      <c r="Y279" s="36"/>
      <c r="Z279" s="36"/>
      <c r="AA279" s="39" t="str">
        <f aca="false">IF(COUNT(W279:Z279)=0,"",ROUND(AVERAGE(W279:Z279),0))</f>
        <v/>
      </c>
      <c r="AB279" s="38" t="str">
        <f aca="false">IF(AA279="","",LOOKUP(AA279,Impostazioni!$E$4:$E$9,Impostazioni!$F$4:$F$9))</f>
        <v/>
      </c>
    </row>
    <row r="280" customFormat="false" ht="21" hidden="false" customHeight="true" outlineLevel="0" collapsed="false">
      <c r="A280" s="33" t="n">
        <v>18</v>
      </c>
      <c r="B280" s="34" t="str">
        <f aca="false">IFERROR(INDEX(Alunni!$C$1:$C$1000,MATCH($A280,Alunni!$A$1:$A$1000,0))&amp;"","")</f>
        <v/>
      </c>
      <c r="C280" s="15"/>
      <c r="D280" s="35"/>
      <c r="E280" s="36"/>
      <c r="F280" s="36"/>
      <c r="G280" s="36"/>
      <c r="H280" s="36"/>
      <c r="I280" s="39" t="str">
        <f aca="false">IF(COUNT(E280:H280)=0,"",ROUND(AVERAGE(E280:H280),0))</f>
        <v/>
      </c>
      <c r="J280" s="38" t="str">
        <f aca="false">IF(I280="","",LOOKUP(I280,Impostazioni!$E$4:$E$9,Impostazioni!$F$4:$F$9))</f>
        <v/>
      </c>
      <c r="K280" s="36"/>
      <c r="L280" s="36"/>
      <c r="M280" s="36"/>
      <c r="N280" s="36"/>
      <c r="O280" s="39" t="str">
        <f aca="false">IF(COUNT(K280:N280)=0,"",ROUND(AVERAGE(K280:N280),0))</f>
        <v/>
      </c>
      <c r="P280" s="38" t="str">
        <f aca="false">IF(O280="","",LOOKUP(O280,Impostazioni!$E$4:$E$9,Impostazioni!$F$4:$F$9))</f>
        <v/>
      </c>
      <c r="Q280" s="36"/>
      <c r="R280" s="36"/>
      <c r="S280" s="36"/>
      <c r="T280" s="36"/>
      <c r="U280" s="39" t="str">
        <f aca="false">IF(COUNT(Q280:T280)=0,"",ROUND(AVERAGE(Q280:T280),0))</f>
        <v/>
      </c>
      <c r="V280" s="38" t="str">
        <f aca="false">IF(U280="","",LOOKUP(U280,Impostazioni!$E$4:$E$9,Impostazioni!$F$4:$F$9))</f>
        <v/>
      </c>
      <c r="W280" s="36"/>
      <c r="X280" s="36"/>
      <c r="Y280" s="36"/>
      <c r="Z280" s="36"/>
      <c r="AA280" s="39" t="str">
        <f aca="false">IF(COUNT(W280:Z280)=0,"",ROUND(AVERAGE(W280:Z280),0))</f>
        <v/>
      </c>
      <c r="AB280" s="38" t="str">
        <f aca="false">IF(AA280="","",LOOKUP(AA280,Impostazioni!$E$4:$E$9,Impostazioni!$F$4:$F$9))</f>
        <v/>
      </c>
    </row>
    <row r="281" customFormat="false" ht="21" hidden="false" customHeight="true" outlineLevel="0" collapsed="false">
      <c r="A281" s="33" t="n">
        <v>19</v>
      </c>
      <c r="B281" s="34" t="str">
        <f aca="false">IFERROR(INDEX(Alunni!$C$1:$C$1000,MATCH($A281,Alunni!$A$1:$A$1000,0))&amp;"","")</f>
        <v/>
      </c>
      <c r="C281" s="15"/>
      <c r="D281" s="35"/>
      <c r="E281" s="36"/>
      <c r="F281" s="36"/>
      <c r="G281" s="36"/>
      <c r="H281" s="36"/>
      <c r="I281" s="39" t="str">
        <f aca="false">IF(COUNT(E281:H281)=0,"",ROUND(AVERAGE(E281:H281),0))</f>
        <v/>
      </c>
      <c r="J281" s="38" t="str">
        <f aca="false">IF(I281="","",LOOKUP(I281,Impostazioni!$E$4:$E$9,Impostazioni!$F$4:$F$9))</f>
        <v/>
      </c>
      <c r="K281" s="36"/>
      <c r="L281" s="36"/>
      <c r="M281" s="36"/>
      <c r="N281" s="36"/>
      <c r="O281" s="39" t="str">
        <f aca="false">IF(COUNT(K281:N281)=0,"",ROUND(AVERAGE(K281:N281),0))</f>
        <v/>
      </c>
      <c r="P281" s="38" t="str">
        <f aca="false">IF(O281="","",LOOKUP(O281,Impostazioni!$E$4:$E$9,Impostazioni!$F$4:$F$9))</f>
        <v/>
      </c>
      <c r="Q281" s="36"/>
      <c r="R281" s="36"/>
      <c r="S281" s="36"/>
      <c r="T281" s="36"/>
      <c r="U281" s="39" t="str">
        <f aca="false">IF(COUNT(Q281:T281)=0,"",ROUND(AVERAGE(Q281:T281),0))</f>
        <v/>
      </c>
      <c r="V281" s="38" t="str">
        <f aca="false">IF(U281="","",LOOKUP(U281,Impostazioni!$E$4:$E$9,Impostazioni!$F$4:$F$9))</f>
        <v/>
      </c>
      <c r="W281" s="36"/>
      <c r="X281" s="36"/>
      <c r="Y281" s="36"/>
      <c r="Z281" s="36"/>
      <c r="AA281" s="39" t="str">
        <f aca="false">IF(COUNT(W281:Z281)=0,"",ROUND(AVERAGE(W281:Z281),0))</f>
        <v/>
      </c>
      <c r="AB281" s="38" t="str">
        <f aca="false">IF(AA281="","",LOOKUP(AA281,Impostazioni!$E$4:$E$9,Impostazioni!$F$4:$F$9))</f>
        <v/>
      </c>
    </row>
    <row r="282" customFormat="false" ht="21" hidden="false" customHeight="true" outlineLevel="0" collapsed="false">
      <c r="A282" s="33" t="n">
        <v>20</v>
      </c>
      <c r="B282" s="34" t="str">
        <f aca="false">IFERROR(INDEX(Alunni!$C$1:$C$1000,MATCH($A282,Alunni!$A$1:$A$1000,0))&amp;"","")</f>
        <v/>
      </c>
      <c r="C282" s="15"/>
      <c r="D282" s="35"/>
      <c r="E282" s="36"/>
      <c r="F282" s="36"/>
      <c r="G282" s="36"/>
      <c r="H282" s="36"/>
      <c r="I282" s="39" t="str">
        <f aca="false">IF(COUNT(E282:H282)=0,"",ROUND(AVERAGE(E282:H282),0))</f>
        <v/>
      </c>
      <c r="J282" s="38" t="str">
        <f aca="false">IF(I282="","",LOOKUP(I282,Impostazioni!$E$4:$E$9,Impostazioni!$F$4:$F$9))</f>
        <v/>
      </c>
      <c r="K282" s="36"/>
      <c r="L282" s="36"/>
      <c r="M282" s="36"/>
      <c r="N282" s="36"/>
      <c r="O282" s="39" t="str">
        <f aca="false">IF(COUNT(K282:N282)=0,"",ROUND(AVERAGE(K282:N282),0))</f>
        <v/>
      </c>
      <c r="P282" s="38" t="str">
        <f aca="false">IF(O282="","",LOOKUP(O282,Impostazioni!$E$4:$E$9,Impostazioni!$F$4:$F$9))</f>
        <v/>
      </c>
      <c r="Q282" s="36"/>
      <c r="R282" s="36"/>
      <c r="S282" s="36"/>
      <c r="T282" s="36"/>
      <c r="U282" s="39" t="str">
        <f aca="false">IF(COUNT(Q282:T282)=0,"",ROUND(AVERAGE(Q282:T282),0))</f>
        <v/>
      </c>
      <c r="V282" s="38" t="str">
        <f aca="false">IF(U282="","",LOOKUP(U282,Impostazioni!$E$4:$E$9,Impostazioni!$F$4:$F$9))</f>
        <v/>
      </c>
      <c r="W282" s="36"/>
      <c r="X282" s="36"/>
      <c r="Y282" s="36"/>
      <c r="Z282" s="36"/>
      <c r="AA282" s="39" t="str">
        <f aca="false">IF(COUNT(W282:Z282)=0,"",ROUND(AVERAGE(W282:Z282),0))</f>
        <v/>
      </c>
      <c r="AB282" s="38" t="str">
        <f aca="false">IF(AA282="","",LOOKUP(AA282,Impostazioni!$E$4:$E$9,Impostazioni!$F$4:$F$9))</f>
        <v/>
      </c>
    </row>
    <row r="283" customFormat="false" ht="21" hidden="false" customHeight="true" outlineLevel="0" collapsed="false">
      <c r="A283" s="33" t="n">
        <v>21</v>
      </c>
      <c r="B283" s="34" t="str">
        <f aca="false">IFERROR(INDEX(Alunni!$C$1:$C$1000,MATCH($A283,Alunni!$A$1:$A$1000,0))&amp;"","")</f>
        <v/>
      </c>
      <c r="C283" s="15"/>
      <c r="D283" s="35"/>
      <c r="E283" s="36"/>
      <c r="F283" s="36"/>
      <c r="G283" s="36"/>
      <c r="H283" s="36"/>
      <c r="I283" s="39" t="str">
        <f aca="false">IF(COUNT(E283:H283)=0,"",ROUND(AVERAGE(E283:H283),0))</f>
        <v/>
      </c>
      <c r="J283" s="38" t="str">
        <f aca="false">IF(I283="","",LOOKUP(I283,Impostazioni!$E$4:$E$9,Impostazioni!$F$4:$F$9))</f>
        <v/>
      </c>
      <c r="K283" s="36"/>
      <c r="L283" s="36"/>
      <c r="M283" s="36"/>
      <c r="N283" s="36"/>
      <c r="O283" s="39" t="str">
        <f aca="false">IF(COUNT(K283:N283)=0,"",ROUND(AVERAGE(K283:N283),0))</f>
        <v/>
      </c>
      <c r="P283" s="38" t="str">
        <f aca="false">IF(O283="","",LOOKUP(O283,Impostazioni!$E$4:$E$9,Impostazioni!$F$4:$F$9))</f>
        <v/>
      </c>
      <c r="Q283" s="36"/>
      <c r="R283" s="36"/>
      <c r="S283" s="36"/>
      <c r="T283" s="36"/>
      <c r="U283" s="39" t="str">
        <f aca="false">IF(COUNT(Q283:T283)=0,"",ROUND(AVERAGE(Q283:T283),0))</f>
        <v/>
      </c>
      <c r="V283" s="38" t="str">
        <f aca="false">IF(U283="","",LOOKUP(U283,Impostazioni!$E$4:$E$9,Impostazioni!$F$4:$F$9))</f>
        <v/>
      </c>
      <c r="W283" s="36"/>
      <c r="X283" s="36"/>
      <c r="Y283" s="36"/>
      <c r="Z283" s="36"/>
      <c r="AA283" s="39" t="str">
        <f aca="false">IF(COUNT(W283:Z283)=0,"",ROUND(AVERAGE(W283:Z283),0))</f>
        <v/>
      </c>
      <c r="AB283" s="38" t="str">
        <f aca="false">IF(AA283="","",LOOKUP(AA283,Impostazioni!$E$4:$E$9,Impostazioni!$F$4:$F$9))</f>
        <v/>
      </c>
    </row>
    <row r="284" customFormat="false" ht="21" hidden="false" customHeight="true" outlineLevel="0" collapsed="false">
      <c r="A284" s="33" t="n">
        <v>22</v>
      </c>
      <c r="B284" s="34" t="str">
        <f aca="false">IFERROR(INDEX(Alunni!$C$1:$C$1000,MATCH($A284,Alunni!$A$1:$A$1000,0))&amp;"","")</f>
        <v/>
      </c>
      <c r="C284" s="15"/>
      <c r="D284" s="35"/>
      <c r="E284" s="36"/>
      <c r="F284" s="36"/>
      <c r="G284" s="36"/>
      <c r="H284" s="36"/>
      <c r="I284" s="39" t="str">
        <f aca="false">IF(COUNT(E284:H284)=0,"",ROUND(AVERAGE(E284:H284),0))</f>
        <v/>
      </c>
      <c r="J284" s="38" t="str">
        <f aca="false">IF(I284="","",LOOKUP(I284,Impostazioni!$E$4:$E$9,Impostazioni!$F$4:$F$9))</f>
        <v/>
      </c>
      <c r="K284" s="36"/>
      <c r="L284" s="36"/>
      <c r="M284" s="36"/>
      <c r="N284" s="36"/>
      <c r="O284" s="39" t="str">
        <f aca="false">IF(COUNT(K284:N284)=0,"",ROUND(AVERAGE(K284:N284),0))</f>
        <v/>
      </c>
      <c r="P284" s="38" t="str">
        <f aca="false">IF(O284="","",LOOKUP(O284,Impostazioni!$E$4:$E$9,Impostazioni!$F$4:$F$9))</f>
        <v/>
      </c>
      <c r="Q284" s="36"/>
      <c r="R284" s="36"/>
      <c r="S284" s="36"/>
      <c r="T284" s="36"/>
      <c r="U284" s="39" t="str">
        <f aca="false">IF(COUNT(Q284:T284)=0,"",ROUND(AVERAGE(Q284:T284),0))</f>
        <v/>
      </c>
      <c r="V284" s="38" t="str">
        <f aca="false">IF(U284="","",LOOKUP(U284,Impostazioni!$E$4:$E$9,Impostazioni!$F$4:$F$9))</f>
        <v/>
      </c>
      <c r="W284" s="36"/>
      <c r="X284" s="36"/>
      <c r="Y284" s="36"/>
      <c r="Z284" s="36"/>
      <c r="AA284" s="39" t="str">
        <f aca="false">IF(COUNT(W284:Z284)=0,"",ROUND(AVERAGE(W284:Z284),0))</f>
        <v/>
      </c>
      <c r="AB284" s="38" t="str">
        <f aca="false">IF(AA284="","",LOOKUP(AA284,Impostazioni!$E$4:$E$9,Impostazioni!$F$4:$F$9))</f>
        <v/>
      </c>
    </row>
    <row r="285" customFormat="false" ht="21" hidden="false" customHeight="true" outlineLevel="0" collapsed="false">
      <c r="A285" s="33" t="n">
        <v>23</v>
      </c>
      <c r="B285" s="34" t="str">
        <f aca="false">IFERROR(INDEX(Alunni!$C$1:$C$1000,MATCH($A285,Alunni!$A$1:$A$1000,0))&amp;"","")</f>
        <v/>
      </c>
      <c r="C285" s="15"/>
      <c r="D285" s="35"/>
      <c r="E285" s="36"/>
      <c r="F285" s="36"/>
      <c r="G285" s="36"/>
      <c r="H285" s="36"/>
      <c r="I285" s="39" t="str">
        <f aca="false">IF(COUNT(E285:H285)=0,"",ROUND(AVERAGE(E285:H285),0))</f>
        <v/>
      </c>
      <c r="J285" s="38" t="str">
        <f aca="false">IF(I285="","",LOOKUP(I285,Impostazioni!$E$4:$E$9,Impostazioni!$F$4:$F$9))</f>
        <v/>
      </c>
      <c r="K285" s="36"/>
      <c r="L285" s="36"/>
      <c r="M285" s="36"/>
      <c r="N285" s="36"/>
      <c r="O285" s="39" t="str">
        <f aca="false">IF(COUNT(K285:N285)=0,"",ROUND(AVERAGE(K285:N285),0))</f>
        <v/>
      </c>
      <c r="P285" s="38" t="str">
        <f aca="false">IF(O285="","",LOOKUP(O285,Impostazioni!$E$4:$E$9,Impostazioni!$F$4:$F$9))</f>
        <v/>
      </c>
      <c r="Q285" s="36"/>
      <c r="R285" s="36"/>
      <c r="S285" s="36"/>
      <c r="T285" s="36"/>
      <c r="U285" s="39" t="str">
        <f aca="false">IF(COUNT(Q285:T285)=0,"",ROUND(AVERAGE(Q285:T285),0))</f>
        <v/>
      </c>
      <c r="V285" s="38" t="str">
        <f aca="false">IF(U285="","",LOOKUP(U285,Impostazioni!$E$4:$E$9,Impostazioni!$F$4:$F$9))</f>
        <v/>
      </c>
      <c r="W285" s="36"/>
      <c r="X285" s="36"/>
      <c r="Y285" s="36"/>
      <c r="Z285" s="36"/>
      <c r="AA285" s="39" t="str">
        <f aca="false">IF(COUNT(W285:Z285)=0,"",ROUND(AVERAGE(W285:Z285),0))</f>
        <v/>
      </c>
      <c r="AB285" s="38" t="str">
        <f aca="false">IF(AA285="","",LOOKUP(AA285,Impostazioni!$E$4:$E$9,Impostazioni!$F$4:$F$9))</f>
        <v/>
      </c>
    </row>
    <row r="286" customFormat="false" ht="21" hidden="false" customHeight="true" outlineLevel="0" collapsed="false">
      <c r="A286" s="33" t="n">
        <v>24</v>
      </c>
      <c r="B286" s="34" t="str">
        <f aca="false">IFERROR(INDEX(Alunni!$C$1:$C$1000,MATCH($A286,Alunni!$A$1:$A$1000,0))&amp;"","")</f>
        <v/>
      </c>
      <c r="C286" s="15"/>
      <c r="D286" s="35"/>
      <c r="E286" s="36"/>
      <c r="F286" s="36"/>
      <c r="G286" s="36"/>
      <c r="H286" s="36"/>
      <c r="I286" s="39" t="str">
        <f aca="false">IF(COUNT(E286:H286)=0,"",ROUND(AVERAGE(E286:H286),0))</f>
        <v/>
      </c>
      <c r="J286" s="38" t="str">
        <f aca="false">IF(I286="","",LOOKUP(I286,Impostazioni!$E$4:$E$9,Impostazioni!$F$4:$F$9))</f>
        <v/>
      </c>
      <c r="K286" s="36"/>
      <c r="L286" s="36"/>
      <c r="M286" s="36"/>
      <c r="N286" s="36"/>
      <c r="O286" s="39" t="str">
        <f aca="false">IF(COUNT(K286:N286)=0,"",ROUND(AVERAGE(K286:N286),0))</f>
        <v/>
      </c>
      <c r="P286" s="38" t="str">
        <f aca="false">IF(O286="","",LOOKUP(O286,Impostazioni!$E$4:$E$9,Impostazioni!$F$4:$F$9))</f>
        <v/>
      </c>
      <c r="Q286" s="36"/>
      <c r="R286" s="36"/>
      <c r="S286" s="36"/>
      <c r="T286" s="36"/>
      <c r="U286" s="39" t="str">
        <f aca="false">IF(COUNT(Q286:T286)=0,"",ROUND(AVERAGE(Q286:T286),0))</f>
        <v/>
      </c>
      <c r="V286" s="38" t="str">
        <f aca="false">IF(U286="","",LOOKUP(U286,Impostazioni!$E$4:$E$9,Impostazioni!$F$4:$F$9))</f>
        <v/>
      </c>
      <c r="W286" s="36"/>
      <c r="X286" s="36"/>
      <c r="Y286" s="36"/>
      <c r="Z286" s="36"/>
      <c r="AA286" s="39" t="str">
        <f aca="false">IF(COUNT(W286:Z286)=0,"",ROUND(AVERAGE(W286:Z286),0))</f>
        <v/>
      </c>
      <c r="AB286" s="38" t="str">
        <f aca="false">IF(AA286="","",LOOKUP(AA286,Impostazioni!$E$4:$E$9,Impostazioni!$F$4:$F$9))</f>
        <v/>
      </c>
    </row>
    <row r="287" customFormat="false" ht="21" hidden="false" customHeight="true" outlineLevel="0" collapsed="false">
      <c r="A287" s="33" t="n">
        <v>25</v>
      </c>
      <c r="B287" s="34" t="str">
        <f aca="false">IFERROR(INDEX(Alunni!$C$1:$C$1000,MATCH($A287,Alunni!$A$1:$A$1000,0))&amp;"","")</f>
        <v/>
      </c>
      <c r="C287" s="15"/>
      <c r="D287" s="35"/>
      <c r="E287" s="36"/>
      <c r="F287" s="36"/>
      <c r="G287" s="36"/>
      <c r="H287" s="36"/>
      <c r="I287" s="39" t="str">
        <f aca="false">IF(COUNT(E287:H287)=0,"",ROUND(AVERAGE(E287:H287),0))</f>
        <v/>
      </c>
      <c r="J287" s="38" t="str">
        <f aca="false">IF(I287="","",LOOKUP(I287,Impostazioni!$E$4:$E$9,Impostazioni!$F$4:$F$9))</f>
        <v/>
      </c>
      <c r="K287" s="36"/>
      <c r="L287" s="36"/>
      <c r="M287" s="36"/>
      <c r="N287" s="36"/>
      <c r="O287" s="39" t="str">
        <f aca="false">IF(COUNT(K287:N287)=0,"",ROUND(AVERAGE(K287:N287),0))</f>
        <v/>
      </c>
      <c r="P287" s="38" t="str">
        <f aca="false">IF(O287="","",LOOKUP(O287,Impostazioni!$E$4:$E$9,Impostazioni!$F$4:$F$9))</f>
        <v/>
      </c>
      <c r="Q287" s="36"/>
      <c r="R287" s="36"/>
      <c r="S287" s="36"/>
      <c r="T287" s="36"/>
      <c r="U287" s="39" t="str">
        <f aca="false">IF(COUNT(Q287:T287)=0,"",ROUND(AVERAGE(Q287:T287),0))</f>
        <v/>
      </c>
      <c r="V287" s="38" t="str">
        <f aca="false">IF(U287="","",LOOKUP(U287,Impostazioni!$E$4:$E$9,Impostazioni!$F$4:$F$9))</f>
        <v/>
      </c>
      <c r="W287" s="36"/>
      <c r="X287" s="36"/>
      <c r="Y287" s="36"/>
      <c r="Z287" s="36"/>
      <c r="AA287" s="39" t="str">
        <f aca="false">IF(COUNT(W287:Z287)=0,"",ROUND(AVERAGE(W287:Z287),0))</f>
        <v/>
      </c>
      <c r="AB287" s="38" t="str">
        <f aca="false">IF(AA287="","",LOOKUP(AA287,Impostazioni!$E$4:$E$9,Impostazioni!$F$4:$F$9))</f>
        <v/>
      </c>
    </row>
    <row r="288" customFormat="false" ht="21" hidden="false" customHeight="true" outlineLevel="0" collapsed="false">
      <c r="A288" s="33" t="n">
        <v>26</v>
      </c>
      <c r="B288" s="34" t="str">
        <f aca="false">IFERROR(INDEX(Alunni!$C$1:$C$1000,MATCH($A288,Alunni!$A$1:$A$1000,0))&amp;"","")</f>
        <v/>
      </c>
      <c r="C288" s="15"/>
      <c r="D288" s="35"/>
      <c r="E288" s="36"/>
      <c r="F288" s="36"/>
      <c r="G288" s="36"/>
      <c r="H288" s="36"/>
      <c r="I288" s="39" t="str">
        <f aca="false">IF(COUNT(E288:H288)=0,"",ROUND(AVERAGE(E288:H288),0))</f>
        <v/>
      </c>
      <c r="J288" s="38" t="str">
        <f aca="false">IF(I288="","",LOOKUP(I288,Impostazioni!$E$4:$E$9,Impostazioni!$F$4:$F$9))</f>
        <v/>
      </c>
      <c r="K288" s="36"/>
      <c r="L288" s="36"/>
      <c r="M288" s="36"/>
      <c r="N288" s="36"/>
      <c r="O288" s="39" t="str">
        <f aca="false">IF(COUNT(K288:N288)=0,"",ROUND(AVERAGE(K288:N288),0))</f>
        <v/>
      </c>
      <c r="P288" s="38" t="str">
        <f aca="false">IF(O288="","",LOOKUP(O288,Impostazioni!$E$4:$E$9,Impostazioni!$F$4:$F$9))</f>
        <v/>
      </c>
      <c r="Q288" s="36"/>
      <c r="R288" s="36"/>
      <c r="S288" s="36"/>
      <c r="T288" s="36"/>
      <c r="U288" s="39" t="str">
        <f aca="false">IF(COUNT(Q288:T288)=0,"",ROUND(AVERAGE(Q288:T288),0))</f>
        <v/>
      </c>
      <c r="V288" s="38" t="str">
        <f aca="false">IF(U288="","",LOOKUP(U288,Impostazioni!$E$4:$E$9,Impostazioni!$F$4:$F$9))</f>
        <v/>
      </c>
      <c r="W288" s="36"/>
      <c r="X288" s="36"/>
      <c r="Y288" s="36"/>
      <c r="Z288" s="36"/>
      <c r="AA288" s="39" t="str">
        <f aca="false">IF(COUNT(W288:Z288)=0,"",ROUND(AVERAGE(W288:Z288),0))</f>
        <v/>
      </c>
      <c r="AB288" s="38" t="str">
        <f aca="false">IF(AA288="","",LOOKUP(AA288,Impostazioni!$E$4:$E$9,Impostazioni!$F$4:$F$9))</f>
        <v/>
      </c>
    </row>
    <row r="289" customFormat="false" ht="21" hidden="false" customHeight="true" outlineLevel="0" collapsed="false">
      <c r="A289" s="33" t="n">
        <v>27</v>
      </c>
      <c r="B289" s="34" t="str">
        <f aca="false">IFERROR(INDEX(Alunni!$C$1:$C$1000,MATCH($A289,Alunni!$A$1:$A$1000,0))&amp;"","")</f>
        <v/>
      </c>
      <c r="C289" s="15"/>
      <c r="D289" s="35"/>
      <c r="E289" s="36"/>
      <c r="F289" s="36"/>
      <c r="G289" s="36"/>
      <c r="H289" s="36"/>
      <c r="I289" s="39" t="str">
        <f aca="false">IF(COUNT(E289:H289)=0,"",ROUND(AVERAGE(E289:H289),0))</f>
        <v/>
      </c>
      <c r="J289" s="38" t="str">
        <f aca="false">IF(I289="","",LOOKUP(I289,Impostazioni!$E$4:$E$9,Impostazioni!$F$4:$F$9))</f>
        <v/>
      </c>
      <c r="K289" s="36"/>
      <c r="L289" s="36"/>
      <c r="M289" s="36"/>
      <c r="N289" s="36"/>
      <c r="O289" s="39" t="str">
        <f aca="false">IF(COUNT(K289:N289)=0,"",ROUND(AVERAGE(K289:N289),0))</f>
        <v/>
      </c>
      <c r="P289" s="38" t="str">
        <f aca="false">IF(O289="","",LOOKUP(O289,Impostazioni!$E$4:$E$9,Impostazioni!$F$4:$F$9))</f>
        <v/>
      </c>
      <c r="Q289" s="36"/>
      <c r="R289" s="36"/>
      <c r="S289" s="36"/>
      <c r="T289" s="36"/>
      <c r="U289" s="39" t="str">
        <f aca="false">IF(COUNT(Q289:T289)=0,"",ROUND(AVERAGE(Q289:T289),0))</f>
        <v/>
      </c>
      <c r="V289" s="38" t="str">
        <f aca="false">IF(U289="","",LOOKUP(U289,Impostazioni!$E$4:$E$9,Impostazioni!$F$4:$F$9))</f>
        <v/>
      </c>
      <c r="W289" s="36"/>
      <c r="X289" s="36"/>
      <c r="Y289" s="36"/>
      <c r="Z289" s="36"/>
      <c r="AA289" s="39" t="str">
        <f aca="false">IF(COUNT(W289:Z289)=0,"",ROUND(AVERAGE(W289:Z289),0))</f>
        <v/>
      </c>
      <c r="AB289" s="38" t="str">
        <f aca="false">IF(AA289="","",LOOKUP(AA289,Impostazioni!$E$4:$E$9,Impostazioni!$F$4:$F$9))</f>
        <v/>
      </c>
    </row>
    <row r="290" customFormat="false" ht="21" hidden="false" customHeight="true" outlineLevel="0" collapsed="false">
      <c r="A290" s="33" t="n">
        <v>28</v>
      </c>
      <c r="B290" s="34" t="str">
        <f aca="false">IFERROR(INDEX(Alunni!$C$1:$C$1000,MATCH($A290,Alunni!$A$1:$A$1000,0))&amp;"","")</f>
        <v/>
      </c>
      <c r="C290" s="15"/>
      <c r="D290" s="35"/>
      <c r="E290" s="36"/>
      <c r="F290" s="36"/>
      <c r="G290" s="36"/>
      <c r="H290" s="36"/>
      <c r="I290" s="39" t="str">
        <f aca="false">IF(COUNT(E290:H290)=0,"",ROUND(AVERAGE(E290:H290),0))</f>
        <v/>
      </c>
      <c r="J290" s="38" t="str">
        <f aca="false">IF(I290="","",LOOKUP(I290,Impostazioni!$E$4:$E$9,Impostazioni!$F$4:$F$9))</f>
        <v/>
      </c>
      <c r="K290" s="36"/>
      <c r="L290" s="36"/>
      <c r="M290" s="36"/>
      <c r="N290" s="36"/>
      <c r="O290" s="39" t="str">
        <f aca="false">IF(COUNT(K290:N290)=0,"",ROUND(AVERAGE(K290:N290),0))</f>
        <v/>
      </c>
      <c r="P290" s="38" t="str">
        <f aca="false">IF(O290="","",LOOKUP(O290,Impostazioni!$E$4:$E$9,Impostazioni!$F$4:$F$9))</f>
        <v/>
      </c>
      <c r="Q290" s="36"/>
      <c r="R290" s="36"/>
      <c r="S290" s="36"/>
      <c r="T290" s="36"/>
      <c r="U290" s="39" t="str">
        <f aca="false">IF(COUNT(Q290:T290)=0,"",ROUND(AVERAGE(Q290:T290),0))</f>
        <v/>
      </c>
      <c r="V290" s="38" t="str">
        <f aca="false">IF(U290="","",LOOKUP(U290,Impostazioni!$E$4:$E$9,Impostazioni!$F$4:$F$9))</f>
        <v/>
      </c>
      <c r="W290" s="36"/>
      <c r="X290" s="36"/>
      <c r="Y290" s="36"/>
      <c r="Z290" s="36"/>
      <c r="AA290" s="39" t="str">
        <f aca="false">IF(COUNT(W290:Z290)=0,"",ROUND(AVERAGE(W290:Z290),0))</f>
        <v/>
      </c>
      <c r="AB290" s="38" t="str">
        <f aca="false">IF(AA290="","",LOOKUP(AA290,Impostazioni!$E$4:$E$9,Impostazioni!$F$4:$F$9))</f>
        <v/>
      </c>
    </row>
    <row r="291" customFormat="false" ht="21" hidden="false" customHeight="true" outlineLevel="0" collapsed="false">
      <c r="A291" s="33" t="n">
        <v>29</v>
      </c>
      <c r="B291" s="34" t="str">
        <f aca="false">IFERROR(INDEX(Alunni!$C$1:$C$1000,MATCH($A291,Alunni!$A$1:$A$1000,0))&amp;"","")</f>
        <v/>
      </c>
      <c r="C291" s="15"/>
      <c r="D291" s="35"/>
      <c r="E291" s="36"/>
      <c r="F291" s="36"/>
      <c r="G291" s="36"/>
      <c r="H291" s="36"/>
      <c r="I291" s="39" t="str">
        <f aca="false">IF(COUNT(E291:H291)=0,"",ROUND(AVERAGE(E291:H291),0))</f>
        <v/>
      </c>
      <c r="J291" s="38" t="str">
        <f aca="false">IF(I291="","",LOOKUP(I291,Impostazioni!$E$4:$E$9,Impostazioni!$F$4:$F$9))</f>
        <v/>
      </c>
      <c r="K291" s="36"/>
      <c r="L291" s="36"/>
      <c r="M291" s="36"/>
      <c r="N291" s="36"/>
      <c r="O291" s="39" t="str">
        <f aca="false">IF(COUNT(K291:N291)=0,"",ROUND(AVERAGE(K291:N291),0))</f>
        <v/>
      </c>
      <c r="P291" s="38" t="str">
        <f aca="false">IF(O291="","",LOOKUP(O291,Impostazioni!$E$4:$E$9,Impostazioni!$F$4:$F$9))</f>
        <v/>
      </c>
      <c r="Q291" s="36"/>
      <c r="R291" s="36"/>
      <c r="S291" s="36"/>
      <c r="T291" s="36"/>
      <c r="U291" s="39" t="str">
        <f aca="false">IF(COUNT(Q291:T291)=0,"",ROUND(AVERAGE(Q291:T291),0))</f>
        <v/>
      </c>
      <c r="V291" s="38" t="str">
        <f aca="false">IF(U291="","",LOOKUP(U291,Impostazioni!$E$4:$E$9,Impostazioni!$F$4:$F$9))</f>
        <v/>
      </c>
      <c r="W291" s="36"/>
      <c r="X291" s="36"/>
      <c r="Y291" s="36"/>
      <c r="Z291" s="36"/>
      <c r="AA291" s="39" t="str">
        <f aca="false">IF(COUNT(W291:Z291)=0,"",ROUND(AVERAGE(W291:Z291),0))</f>
        <v/>
      </c>
      <c r="AB291" s="38" t="str">
        <f aca="false">IF(AA291="","",LOOKUP(AA291,Impostazioni!$E$4:$E$9,Impostazioni!$F$4:$F$9))</f>
        <v/>
      </c>
    </row>
    <row r="292" customFormat="false" ht="21" hidden="false" customHeight="true" outlineLevel="0" collapsed="false">
      <c r="A292" s="33" t="n">
        <v>30</v>
      </c>
      <c r="B292" s="34" t="str">
        <f aca="false">IFERROR(INDEX(Alunni!$C$1:$C$1000,MATCH($A292,Alunni!$A$1:$A$1000,0))&amp;"","")</f>
        <v/>
      </c>
      <c r="C292" s="15"/>
      <c r="D292" s="35"/>
      <c r="E292" s="36"/>
      <c r="F292" s="36"/>
      <c r="G292" s="36"/>
      <c r="H292" s="36"/>
      <c r="I292" s="39" t="str">
        <f aca="false">IF(COUNT(E292:H292)=0,"",ROUND(AVERAGE(E292:H292),0))</f>
        <v/>
      </c>
      <c r="J292" s="38" t="str">
        <f aca="false">IF(I292="","",LOOKUP(I292,Impostazioni!$E$4:$E$9,Impostazioni!$F$4:$F$9))</f>
        <v/>
      </c>
      <c r="K292" s="36"/>
      <c r="L292" s="36"/>
      <c r="M292" s="36"/>
      <c r="N292" s="36"/>
      <c r="O292" s="39" t="str">
        <f aca="false">IF(COUNT(K292:N292)=0,"",ROUND(AVERAGE(K292:N292),0))</f>
        <v/>
      </c>
      <c r="P292" s="38" t="str">
        <f aca="false">IF(O292="","",LOOKUP(O292,Impostazioni!$E$4:$E$9,Impostazioni!$F$4:$F$9))</f>
        <v/>
      </c>
      <c r="Q292" s="36"/>
      <c r="R292" s="36"/>
      <c r="S292" s="36"/>
      <c r="T292" s="36"/>
      <c r="U292" s="39" t="str">
        <f aca="false">IF(COUNT(Q292:T292)=0,"",ROUND(AVERAGE(Q292:T292),0))</f>
        <v/>
      </c>
      <c r="V292" s="38" t="str">
        <f aca="false">IF(U292="","",LOOKUP(U292,Impostazioni!$E$4:$E$9,Impostazioni!$F$4:$F$9))</f>
        <v/>
      </c>
      <c r="W292" s="36"/>
      <c r="X292" s="36"/>
      <c r="Y292" s="36"/>
      <c r="Z292" s="36"/>
      <c r="AA292" s="39" t="str">
        <f aca="false">IF(COUNT(W292:Z292)=0,"",ROUND(AVERAGE(W292:Z292),0))</f>
        <v/>
      </c>
      <c r="AB292" s="38" t="str">
        <f aca="false">IF(AA292="","",LOOKUP(AA292,Impostazioni!$E$4:$E$9,Impostazioni!$F$4:$F$9))</f>
        <v/>
      </c>
    </row>
    <row r="294" customFormat="false" ht="25.5" hidden="false" customHeight="true" outlineLevel="0" collapsed="false">
      <c r="A294" s="4" t="str">
        <f aca="false">Calendario!B15&amp;"   ·   "&amp;IF(Calendario!G15="","(descrizione da Calendario)",Calendario!G15)&amp;"   ·   "&amp;IF(Calendario!E15="","data da fissare",CHOOSE(WEEKDAY(Calendario!E15,2),"lunedì","martedì","mercoledì","giovedì","venerdì","sabato","domenica")&amp;" "&amp;TEXT(DAY(Calendario!E15),"00")&amp;"/"&amp;TEXT(MONTH(Calendario!E15),"00")&amp;"/"&amp;YEAR(Calendario!E15))</f>
        <v>Q1-G09   ·   (descrizione da Calendario)   ·   data da fissare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customFormat="false" ht="15" hidden="false" customHeight="true" outlineLevel="0" collapsed="false">
      <c r="A295" s="25" t="s">
        <v>80</v>
      </c>
      <c r="B295" s="25"/>
      <c r="C295" s="25"/>
      <c r="D295" s="25"/>
      <c r="E295" s="26" t="str">
        <f aca="false">IF(Calendario!$H$15="","— libero —",Calendario!$H$15&amp;"  "&amp;IFERROR(VLOOKUP(Calendario!$H$15,Impostazioni!$A$25:$J$36,3,FALSE()),""))</f>
        <v>— libero —</v>
      </c>
      <c r="F295" s="26"/>
      <c r="G295" s="26"/>
      <c r="H295" s="26"/>
      <c r="I295" s="26"/>
      <c r="J295" s="26"/>
      <c r="K295" s="26" t="str">
        <f aca="false">IF(Calendario!$I$15="","— libero —",Calendario!$I$15&amp;"  "&amp;IFERROR(VLOOKUP(Calendario!$I$15,Impostazioni!$A$25:$J$36,3,FALSE()),""))</f>
        <v>— libero —</v>
      </c>
      <c r="L295" s="26"/>
      <c r="M295" s="26"/>
      <c r="N295" s="26"/>
      <c r="O295" s="26"/>
      <c r="P295" s="26"/>
      <c r="Q295" s="26" t="str">
        <f aca="false">IF(Calendario!$J$15="","— libero —",Calendario!$J$15&amp;"  "&amp;IFERROR(VLOOKUP(Calendario!$J$15,Impostazioni!$A$25:$J$36,3,FALSE()),""))</f>
        <v>— libero —</v>
      </c>
      <c r="R295" s="26"/>
      <c r="S295" s="26"/>
      <c r="T295" s="26"/>
      <c r="U295" s="26"/>
      <c r="V295" s="26"/>
      <c r="W295" s="26" t="str">
        <f aca="false">IF(Calendario!$K$15="","— libero —",Calendario!$K$15&amp;"  "&amp;IFERROR(VLOOKUP(Calendario!$K$15,Impostazioni!$A$25:$J$36,3,FALSE()),""))</f>
        <v>— libero —</v>
      </c>
      <c r="X295" s="26"/>
      <c r="Y295" s="26"/>
      <c r="Z295" s="26"/>
      <c r="AA295" s="26"/>
      <c r="AB295" s="26"/>
    </row>
    <row r="296" customFormat="false" ht="15" hidden="false" customHeight="true" outlineLevel="0" collapsed="false">
      <c r="A296" s="25" t="s">
        <v>81</v>
      </c>
      <c r="B296" s="25"/>
      <c r="C296" s="25"/>
      <c r="D296" s="25"/>
      <c r="E296" s="27" t="str">
        <f aca="false">IF(Calendario!$H$15="","","Ob. "&amp;IFERROR(VLOOKUP(Calendario!$H$15,Impostazioni!$A$25:$J$36,5,FALSE()),"?")&amp;" · peso "&amp;IF(Calendario!$F$15=2,Impostazioni!$B$11,Impostazioni!$B$10))</f>
        <v/>
      </c>
      <c r="F296" s="27"/>
      <c r="G296" s="27"/>
      <c r="H296" s="27"/>
      <c r="I296" s="27"/>
      <c r="J296" s="27"/>
      <c r="K296" s="27" t="str">
        <f aca="false">IF(Calendario!$I$15="","","Ob. "&amp;IFERROR(VLOOKUP(Calendario!$I$15,Impostazioni!$A$25:$J$36,5,FALSE()),"?")&amp;" · peso "&amp;IF(Calendario!$F$15=2,Impostazioni!$B$11,Impostazioni!$B$10))</f>
        <v/>
      </c>
      <c r="L296" s="27"/>
      <c r="M296" s="27"/>
      <c r="N296" s="27"/>
      <c r="O296" s="27"/>
      <c r="P296" s="27"/>
      <c r="Q296" s="27" t="str">
        <f aca="false">IF(Calendario!$J$15="","","Ob. "&amp;IFERROR(VLOOKUP(Calendario!$J$15,Impostazioni!$A$25:$J$36,5,FALSE()),"?")&amp;" · peso "&amp;IF(Calendario!$F$15=2,Impostazioni!$B$11,Impostazioni!$B$10))</f>
        <v/>
      </c>
      <c r="R296" s="27"/>
      <c r="S296" s="27"/>
      <c r="T296" s="27"/>
      <c r="U296" s="27"/>
      <c r="V296" s="27"/>
      <c r="W296" s="27" t="str">
        <f aca="false">IF(Calendario!$K$15="","","Ob. "&amp;IFERROR(VLOOKUP(Calendario!$K$15,Impostazioni!$A$25:$J$36,5,FALSE()),"?")&amp;" · peso "&amp;IF(Calendario!$F$15=2,Impostazioni!$B$11,Impostazioni!$B$10))</f>
        <v/>
      </c>
      <c r="X296" s="27"/>
      <c r="Y296" s="27"/>
      <c r="Z296" s="27"/>
      <c r="AA296" s="27"/>
      <c r="AB296" s="27"/>
    </row>
    <row r="297" customFormat="false" ht="33.75" hidden="false" customHeight="true" outlineLevel="0" collapsed="false">
      <c r="A297" s="25" t="s">
        <v>82</v>
      </c>
      <c r="B297" s="25"/>
      <c r="C297" s="25"/>
      <c r="D297" s="25"/>
      <c r="E297" s="28" t="str">
        <f aca="false">IF(Calendario!$H$15="","",IFERROR(HYPERLINK("#Rubriche!C"&amp;(MATCH(Calendario!$H$15,Rubriche!$A$1:$A$1000,0)+0),VLOOKUP(Calendario!$H$15,Impostazioni!$A$25:$J$36,7,FALSE())),""))</f>
        <v/>
      </c>
      <c r="F297" s="28" t="str">
        <f aca="false">IF(Calendario!$H$15="","",IFERROR(HYPERLINK("#Rubriche!C"&amp;(MATCH(Calendario!$H$15,Rubriche!$A$1:$A$1000,0)+1),VLOOKUP(Calendario!$H$15,Impostazioni!$A$25:$J$36,8,FALSE())),""))</f>
        <v/>
      </c>
      <c r="G297" s="28" t="str">
        <f aca="false">IF(Calendario!$H$15="","",IFERROR(HYPERLINK("#Rubriche!C"&amp;(MATCH(Calendario!$H$15,Rubriche!$A$1:$A$1000,0)+2),VLOOKUP(Calendario!$H$15,Impostazioni!$A$25:$J$36,9,FALSE())),""))</f>
        <v/>
      </c>
      <c r="H297" s="28" t="str">
        <f aca="false">IF(Calendario!$H$15="","",IFERROR(HYPERLINK("#Rubriche!C"&amp;(MATCH(Calendario!$H$15,Rubriche!$A$1:$A$1000,0)+3),VLOOKUP(Calendario!$H$15,Impostazioni!$A$25:$J$36,10,FALSE())),""))</f>
        <v/>
      </c>
      <c r="I297" s="29"/>
      <c r="J297" s="29"/>
      <c r="K297" s="28" t="str">
        <f aca="false">IF(Calendario!$I$15="","",IFERROR(HYPERLINK("#Rubriche!C"&amp;(MATCH(Calendario!$I$15,Rubriche!$A$1:$A$1000,0)+0),VLOOKUP(Calendario!$I$15,Impostazioni!$A$25:$J$36,7,FALSE())),""))</f>
        <v/>
      </c>
      <c r="L297" s="28" t="str">
        <f aca="false">IF(Calendario!$I$15="","",IFERROR(HYPERLINK("#Rubriche!C"&amp;(MATCH(Calendario!$I$15,Rubriche!$A$1:$A$1000,0)+1),VLOOKUP(Calendario!$I$15,Impostazioni!$A$25:$J$36,8,FALSE())),""))</f>
        <v/>
      </c>
      <c r="M297" s="28" t="str">
        <f aca="false">IF(Calendario!$I$15="","",IFERROR(HYPERLINK("#Rubriche!C"&amp;(MATCH(Calendario!$I$15,Rubriche!$A$1:$A$1000,0)+2),VLOOKUP(Calendario!$I$15,Impostazioni!$A$25:$J$36,9,FALSE())),""))</f>
        <v/>
      </c>
      <c r="N297" s="28" t="str">
        <f aca="false">IF(Calendario!$I$15="","",IFERROR(HYPERLINK("#Rubriche!C"&amp;(MATCH(Calendario!$I$15,Rubriche!$A$1:$A$1000,0)+3),VLOOKUP(Calendario!$I$15,Impostazioni!$A$25:$J$36,10,FALSE())),""))</f>
        <v/>
      </c>
      <c r="O297" s="29"/>
      <c r="P297" s="29"/>
      <c r="Q297" s="28" t="str">
        <f aca="false">IF(Calendario!$J$15="","",IFERROR(HYPERLINK("#Rubriche!C"&amp;(MATCH(Calendario!$J$15,Rubriche!$A$1:$A$1000,0)+0),VLOOKUP(Calendario!$J$15,Impostazioni!$A$25:$J$36,7,FALSE())),""))</f>
        <v/>
      </c>
      <c r="R297" s="28" t="str">
        <f aca="false">IF(Calendario!$J$15="","",IFERROR(HYPERLINK("#Rubriche!C"&amp;(MATCH(Calendario!$J$15,Rubriche!$A$1:$A$1000,0)+1),VLOOKUP(Calendario!$J$15,Impostazioni!$A$25:$J$36,8,FALSE())),""))</f>
        <v/>
      </c>
      <c r="S297" s="28" t="str">
        <f aca="false">IF(Calendario!$J$15="","",IFERROR(HYPERLINK("#Rubriche!C"&amp;(MATCH(Calendario!$J$15,Rubriche!$A$1:$A$1000,0)+2),VLOOKUP(Calendario!$J$15,Impostazioni!$A$25:$J$36,9,FALSE())),""))</f>
        <v/>
      </c>
      <c r="T297" s="28" t="str">
        <f aca="false">IF(Calendario!$J$15="","",IFERROR(HYPERLINK("#Rubriche!C"&amp;(MATCH(Calendario!$J$15,Rubriche!$A$1:$A$1000,0)+3),VLOOKUP(Calendario!$J$15,Impostazioni!$A$25:$J$36,10,FALSE())),""))</f>
        <v/>
      </c>
      <c r="U297" s="29"/>
      <c r="V297" s="29"/>
      <c r="W297" s="28" t="str">
        <f aca="false">IF(Calendario!$K$15="","",IFERROR(HYPERLINK("#Rubriche!C"&amp;(MATCH(Calendario!$K$15,Rubriche!$A$1:$A$1000,0)+0),VLOOKUP(Calendario!$K$15,Impostazioni!$A$25:$J$36,7,FALSE())),""))</f>
        <v/>
      </c>
      <c r="X297" s="28" t="str">
        <f aca="false">IF(Calendario!$K$15="","",IFERROR(HYPERLINK("#Rubriche!C"&amp;(MATCH(Calendario!$K$15,Rubriche!$A$1:$A$1000,0)+1),VLOOKUP(Calendario!$K$15,Impostazioni!$A$25:$J$36,8,FALSE())),""))</f>
        <v/>
      </c>
      <c r="Y297" s="28" t="str">
        <f aca="false">IF(Calendario!$K$15="","",IFERROR(HYPERLINK("#Rubriche!C"&amp;(MATCH(Calendario!$K$15,Rubriche!$A$1:$A$1000,0)+2),VLOOKUP(Calendario!$K$15,Impostazioni!$A$25:$J$36,9,FALSE())),""))</f>
        <v/>
      </c>
      <c r="Z297" s="28" t="str">
        <f aca="false">IF(Calendario!$K$15="","",IFERROR(HYPERLINK("#Rubriche!C"&amp;(MATCH(Calendario!$K$15,Rubriche!$A$1:$A$1000,0)+3),VLOOKUP(Calendario!$K$15,Impostazioni!$A$25:$J$36,10,FALSE())),""))</f>
        <v/>
      </c>
      <c r="AA297" s="29"/>
      <c r="AB297" s="29"/>
    </row>
    <row r="298" customFormat="false" ht="25.5" hidden="false" customHeight="true" outlineLevel="0" collapsed="false">
      <c r="A298" s="8" t="s">
        <v>65</v>
      </c>
      <c r="B298" s="8" t="s">
        <v>83</v>
      </c>
      <c r="C298" s="8" t="s">
        <v>68</v>
      </c>
      <c r="D298" s="8" t="s">
        <v>84</v>
      </c>
      <c r="E298" s="30" t="s">
        <v>85</v>
      </c>
      <c r="F298" s="30" t="s">
        <v>86</v>
      </c>
      <c r="G298" s="30" t="s">
        <v>87</v>
      </c>
      <c r="H298" s="30" t="s">
        <v>88</v>
      </c>
      <c r="I298" s="31" t="s">
        <v>89</v>
      </c>
      <c r="J298" s="32" t="s">
        <v>90</v>
      </c>
      <c r="K298" s="30" t="s">
        <v>85</v>
      </c>
      <c r="L298" s="30" t="s">
        <v>86</v>
      </c>
      <c r="M298" s="30" t="s">
        <v>87</v>
      </c>
      <c r="N298" s="30" t="s">
        <v>88</v>
      </c>
      <c r="O298" s="31" t="s">
        <v>89</v>
      </c>
      <c r="P298" s="32" t="s">
        <v>90</v>
      </c>
      <c r="Q298" s="30" t="s">
        <v>85</v>
      </c>
      <c r="R298" s="30" t="s">
        <v>86</v>
      </c>
      <c r="S298" s="30" t="s">
        <v>87</v>
      </c>
      <c r="T298" s="30" t="s">
        <v>88</v>
      </c>
      <c r="U298" s="31" t="s">
        <v>89</v>
      </c>
      <c r="V298" s="32" t="s">
        <v>90</v>
      </c>
      <c r="W298" s="30" t="s">
        <v>85</v>
      </c>
      <c r="X298" s="30" t="s">
        <v>86</v>
      </c>
      <c r="Y298" s="30" t="s">
        <v>87</v>
      </c>
      <c r="Z298" s="30" t="s">
        <v>88</v>
      </c>
      <c r="AA298" s="31" t="s">
        <v>89</v>
      </c>
      <c r="AB298" s="32" t="s">
        <v>90</v>
      </c>
    </row>
    <row r="299" customFormat="false" ht="21" hidden="false" customHeight="true" outlineLevel="0" collapsed="false">
      <c r="A299" s="33" t="n">
        <v>1</v>
      </c>
      <c r="B299" s="34" t="str">
        <f aca="false">IFERROR(INDEX(Alunni!$C$1:$C$1000,MATCH($A299,Alunni!$A$1:$A$1000,0))&amp;"","")</f>
        <v>Rossi Mario (esempio)</v>
      </c>
      <c r="C299" s="15"/>
      <c r="D299" s="35"/>
      <c r="E299" s="36"/>
      <c r="F299" s="36"/>
      <c r="G299" s="36"/>
      <c r="H299" s="36"/>
      <c r="I299" s="39" t="str">
        <f aca="false">IF(COUNT(E299:H299)=0,"",ROUND(AVERAGE(E299:H299),0))</f>
        <v/>
      </c>
      <c r="J299" s="38" t="str">
        <f aca="false">IF(I299="","",LOOKUP(I299,Impostazioni!$E$4:$E$9,Impostazioni!$F$4:$F$9))</f>
        <v/>
      </c>
      <c r="K299" s="36"/>
      <c r="L299" s="36"/>
      <c r="M299" s="36"/>
      <c r="N299" s="36"/>
      <c r="O299" s="39" t="str">
        <f aca="false">IF(COUNT(K299:N299)=0,"",ROUND(AVERAGE(K299:N299),0))</f>
        <v/>
      </c>
      <c r="P299" s="38" t="str">
        <f aca="false">IF(O299="","",LOOKUP(O299,Impostazioni!$E$4:$E$9,Impostazioni!$F$4:$F$9))</f>
        <v/>
      </c>
      <c r="Q299" s="36"/>
      <c r="R299" s="36"/>
      <c r="S299" s="36"/>
      <c r="T299" s="36"/>
      <c r="U299" s="39" t="str">
        <f aca="false">IF(COUNT(Q299:T299)=0,"",ROUND(AVERAGE(Q299:T299),0))</f>
        <v/>
      </c>
      <c r="V299" s="38" t="str">
        <f aca="false">IF(U299="","",LOOKUP(U299,Impostazioni!$E$4:$E$9,Impostazioni!$F$4:$F$9))</f>
        <v/>
      </c>
      <c r="W299" s="36"/>
      <c r="X299" s="36"/>
      <c r="Y299" s="36"/>
      <c r="Z299" s="36"/>
      <c r="AA299" s="39" t="str">
        <f aca="false">IF(COUNT(W299:Z299)=0,"",ROUND(AVERAGE(W299:Z299),0))</f>
        <v/>
      </c>
      <c r="AB299" s="38" t="str">
        <f aca="false">IF(AA299="","",LOOKUP(AA299,Impostazioni!$E$4:$E$9,Impostazioni!$F$4:$F$9))</f>
        <v/>
      </c>
    </row>
    <row r="300" customFormat="false" ht="21" hidden="false" customHeight="true" outlineLevel="0" collapsed="false">
      <c r="A300" s="33" t="n">
        <v>2</v>
      </c>
      <c r="B300" s="34" t="str">
        <f aca="false">IFERROR(INDEX(Alunni!$C$1:$C$1000,MATCH($A300,Alunni!$A$1:$A$1000,0))&amp;"","")</f>
        <v>Bianchi Anna (esempio)</v>
      </c>
      <c r="C300" s="15"/>
      <c r="D300" s="35"/>
      <c r="E300" s="36"/>
      <c r="F300" s="36"/>
      <c r="G300" s="36"/>
      <c r="H300" s="36"/>
      <c r="I300" s="39" t="str">
        <f aca="false">IF(COUNT(E300:H300)=0,"",ROUND(AVERAGE(E300:H300),0))</f>
        <v/>
      </c>
      <c r="J300" s="38" t="str">
        <f aca="false">IF(I300="","",LOOKUP(I300,Impostazioni!$E$4:$E$9,Impostazioni!$F$4:$F$9))</f>
        <v/>
      </c>
      <c r="K300" s="36"/>
      <c r="L300" s="36"/>
      <c r="M300" s="36"/>
      <c r="N300" s="36"/>
      <c r="O300" s="39" t="str">
        <f aca="false">IF(COUNT(K300:N300)=0,"",ROUND(AVERAGE(K300:N300),0))</f>
        <v/>
      </c>
      <c r="P300" s="38" t="str">
        <f aca="false">IF(O300="","",LOOKUP(O300,Impostazioni!$E$4:$E$9,Impostazioni!$F$4:$F$9))</f>
        <v/>
      </c>
      <c r="Q300" s="36"/>
      <c r="R300" s="36"/>
      <c r="S300" s="36"/>
      <c r="T300" s="36"/>
      <c r="U300" s="39" t="str">
        <f aca="false">IF(COUNT(Q300:T300)=0,"",ROUND(AVERAGE(Q300:T300),0))</f>
        <v/>
      </c>
      <c r="V300" s="38" t="str">
        <f aca="false">IF(U300="","",LOOKUP(U300,Impostazioni!$E$4:$E$9,Impostazioni!$F$4:$F$9))</f>
        <v/>
      </c>
      <c r="W300" s="36"/>
      <c r="X300" s="36"/>
      <c r="Y300" s="36"/>
      <c r="Z300" s="36"/>
      <c r="AA300" s="39" t="str">
        <f aca="false">IF(COUNT(W300:Z300)=0,"",ROUND(AVERAGE(W300:Z300),0))</f>
        <v/>
      </c>
      <c r="AB300" s="38" t="str">
        <f aca="false">IF(AA300="","",LOOKUP(AA300,Impostazioni!$E$4:$E$9,Impostazioni!$F$4:$F$9))</f>
        <v/>
      </c>
    </row>
    <row r="301" customFormat="false" ht="21" hidden="false" customHeight="true" outlineLevel="0" collapsed="false">
      <c r="A301" s="33" t="n">
        <v>3</v>
      </c>
      <c r="B301" s="34" t="str">
        <f aca="false">IFERROR(INDEX(Alunni!$C$1:$C$1000,MATCH($A301,Alunni!$A$1:$A$1000,0))&amp;"","")</f>
        <v>Verdi Luca (esempio)</v>
      </c>
      <c r="C301" s="15"/>
      <c r="D301" s="35"/>
      <c r="E301" s="36"/>
      <c r="F301" s="36"/>
      <c r="G301" s="36"/>
      <c r="H301" s="36"/>
      <c r="I301" s="39" t="str">
        <f aca="false">IF(COUNT(E301:H301)=0,"",ROUND(AVERAGE(E301:H301),0))</f>
        <v/>
      </c>
      <c r="J301" s="38" t="str">
        <f aca="false">IF(I301="","",LOOKUP(I301,Impostazioni!$E$4:$E$9,Impostazioni!$F$4:$F$9))</f>
        <v/>
      </c>
      <c r="K301" s="36"/>
      <c r="L301" s="36"/>
      <c r="M301" s="36"/>
      <c r="N301" s="36"/>
      <c r="O301" s="39" t="str">
        <f aca="false">IF(COUNT(K301:N301)=0,"",ROUND(AVERAGE(K301:N301),0))</f>
        <v/>
      </c>
      <c r="P301" s="38" t="str">
        <f aca="false">IF(O301="","",LOOKUP(O301,Impostazioni!$E$4:$E$9,Impostazioni!$F$4:$F$9))</f>
        <v/>
      </c>
      <c r="Q301" s="36"/>
      <c r="R301" s="36"/>
      <c r="S301" s="36"/>
      <c r="T301" s="36"/>
      <c r="U301" s="39" t="str">
        <f aca="false">IF(COUNT(Q301:T301)=0,"",ROUND(AVERAGE(Q301:T301),0))</f>
        <v/>
      </c>
      <c r="V301" s="38" t="str">
        <f aca="false">IF(U301="","",LOOKUP(U301,Impostazioni!$E$4:$E$9,Impostazioni!$F$4:$F$9))</f>
        <v/>
      </c>
      <c r="W301" s="36"/>
      <c r="X301" s="36"/>
      <c r="Y301" s="36"/>
      <c r="Z301" s="36"/>
      <c r="AA301" s="39" t="str">
        <f aca="false">IF(COUNT(W301:Z301)=0,"",ROUND(AVERAGE(W301:Z301),0))</f>
        <v/>
      </c>
      <c r="AB301" s="38" t="str">
        <f aca="false">IF(AA301="","",LOOKUP(AA301,Impostazioni!$E$4:$E$9,Impostazioni!$F$4:$F$9))</f>
        <v/>
      </c>
    </row>
    <row r="302" customFormat="false" ht="21" hidden="false" customHeight="true" outlineLevel="0" collapsed="false">
      <c r="A302" s="33" t="n">
        <v>4</v>
      </c>
      <c r="B302" s="34" t="str">
        <f aca="false">IFERROR(INDEX(Alunni!$C$1:$C$1000,MATCH($A302,Alunni!$A$1:$A$1000,0))&amp;"","")</f>
        <v/>
      </c>
      <c r="C302" s="15"/>
      <c r="D302" s="35"/>
      <c r="E302" s="36"/>
      <c r="F302" s="36"/>
      <c r="G302" s="36"/>
      <c r="H302" s="36"/>
      <c r="I302" s="39" t="str">
        <f aca="false">IF(COUNT(E302:H302)=0,"",ROUND(AVERAGE(E302:H302),0))</f>
        <v/>
      </c>
      <c r="J302" s="38" t="str">
        <f aca="false">IF(I302="","",LOOKUP(I302,Impostazioni!$E$4:$E$9,Impostazioni!$F$4:$F$9))</f>
        <v/>
      </c>
      <c r="K302" s="36"/>
      <c r="L302" s="36"/>
      <c r="M302" s="36"/>
      <c r="N302" s="36"/>
      <c r="O302" s="39" t="str">
        <f aca="false">IF(COUNT(K302:N302)=0,"",ROUND(AVERAGE(K302:N302),0))</f>
        <v/>
      </c>
      <c r="P302" s="38" t="str">
        <f aca="false">IF(O302="","",LOOKUP(O302,Impostazioni!$E$4:$E$9,Impostazioni!$F$4:$F$9))</f>
        <v/>
      </c>
      <c r="Q302" s="36"/>
      <c r="R302" s="36"/>
      <c r="S302" s="36"/>
      <c r="T302" s="36"/>
      <c r="U302" s="39" t="str">
        <f aca="false">IF(COUNT(Q302:T302)=0,"",ROUND(AVERAGE(Q302:T302),0))</f>
        <v/>
      </c>
      <c r="V302" s="38" t="str">
        <f aca="false">IF(U302="","",LOOKUP(U302,Impostazioni!$E$4:$E$9,Impostazioni!$F$4:$F$9))</f>
        <v/>
      </c>
      <c r="W302" s="36"/>
      <c r="X302" s="36"/>
      <c r="Y302" s="36"/>
      <c r="Z302" s="36"/>
      <c r="AA302" s="39" t="str">
        <f aca="false">IF(COUNT(W302:Z302)=0,"",ROUND(AVERAGE(W302:Z302),0))</f>
        <v/>
      </c>
      <c r="AB302" s="38" t="str">
        <f aca="false">IF(AA302="","",LOOKUP(AA302,Impostazioni!$E$4:$E$9,Impostazioni!$F$4:$F$9))</f>
        <v/>
      </c>
    </row>
    <row r="303" customFormat="false" ht="21" hidden="false" customHeight="true" outlineLevel="0" collapsed="false">
      <c r="A303" s="33" t="n">
        <v>5</v>
      </c>
      <c r="B303" s="34" t="str">
        <f aca="false">IFERROR(INDEX(Alunni!$C$1:$C$1000,MATCH($A303,Alunni!$A$1:$A$1000,0))&amp;"","")</f>
        <v/>
      </c>
      <c r="C303" s="15"/>
      <c r="D303" s="35"/>
      <c r="E303" s="36"/>
      <c r="F303" s="36"/>
      <c r="G303" s="36"/>
      <c r="H303" s="36"/>
      <c r="I303" s="39" t="str">
        <f aca="false">IF(COUNT(E303:H303)=0,"",ROUND(AVERAGE(E303:H303),0))</f>
        <v/>
      </c>
      <c r="J303" s="38" t="str">
        <f aca="false">IF(I303="","",LOOKUP(I303,Impostazioni!$E$4:$E$9,Impostazioni!$F$4:$F$9))</f>
        <v/>
      </c>
      <c r="K303" s="36"/>
      <c r="L303" s="36"/>
      <c r="M303" s="36"/>
      <c r="N303" s="36"/>
      <c r="O303" s="39" t="str">
        <f aca="false">IF(COUNT(K303:N303)=0,"",ROUND(AVERAGE(K303:N303),0))</f>
        <v/>
      </c>
      <c r="P303" s="38" t="str">
        <f aca="false">IF(O303="","",LOOKUP(O303,Impostazioni!$E$4:$E$9,Impostazioni!$F$4:$F$9))</f>
        <v/>
      </c>
      <c r="Q303" s="36"/>
      <c r="R303" s="36"/>
      <c r="S303" s="36"/>
      <c r="T303" s="36"/>
      <c r="U303" s="39" t="str">
        <f aca="false">IF(COUNT(Q303:T303)=0,"",ROUND(AVERAGE(Q303:T303),0))</f>
        <v/>
      </c>
      <c r="V303" s="38" t="str">
        <f aca="false">IF(U303="","",LOOKUP(U303,Impostazioni!$E$4:$E$9,Impostazioni!$F$4:$F$9))</f>
        <v/>
      </c>
      <c r="W303" s="36"/>
      <c r="X303" s="36"/>
      <c r="Y303" s="36"/>
      <c r="Z303" s="36"/>
      <c r="AA303" s="39" t="str">
        <f aca="false">IF(COUNT(W303:Z303)=0,"",ROUND(AVERAGE(W303:Z303),0))</f>
        <v/>
      </c>
      <c r="AB303" s="38" t="str">
        <f aca="false">IF(AA303="","",LOOKUP(AA303,Impostazioni!$E$4:$E$9,Impostazioni!$F$4:$F$9))</f>
        <v/>
      </c>
    </row>
    <row r="304" customFormat="false" ht="21" hidden="false" customHeight="true" outlineLevel="0" collapsed="false">
      <c r="A304" s="33" t="n">
        <v>6</v>
      </c>
      <c r="B304" s="34" t="str">
        <f aca="false">IFERROR(INDEX(Alunni!$C$1:$C$1000,MATCH($A304,Alunni!$A$1:$A$1000,0))&amp;"","")</f>
        <v/>
      </c>
      <c r="C304" s="15"/>
      <c r="D304" s="35"/>
      <c r="E304" s="36"/>
      <c r="F304" s="36"/>
      <c r="G304" s="36"/>
      <c r="H304" s="36"/>
      <c r="I304" s="39" t="str">
        <f aca="false">IF(COUNT(E304:H304)=0,"",ROUND(AVERAGE(E304:H304),0))</f>
        <v/>
      </c>
      <c r="J304" s="38" t="str">
        <f aca="false">IF(I304="","",LOOKUP(I304,Impostazioni!$E$4:$E$9,Impostazioni!$F$4:$F$9))</f>
        <v/>
      </c>
      <c r="K304" s="36"/>
      <c r="L304" s="36"/>
      <c r="M304" s="36"/>
      <c r="N304" s="36"/>
      <c r="O304" s="39" t="str">
        <f aca="false">IF(COUNT(K304:N304)=0,"",ROUND(AVERAGE(K304:N304),0))</f>
        <v/>
      </c>
      <c r="P304" s="38" t="str">
        <f aca="false">IF(O304="","",LOOKUP(O304,Impostazioni!$E$4:$E$9,Impostazioni!$F$4:$F$9))</f>
        <v/>
      </c>
      <c r="Q304" s="36"/>
      <c r="R304" s="36"/>
      <c r="S304" s="36"/>
      <c r="T304" s="36"/>
      <c r="U304" s="39" t="str">
        <f aca="false">IF(COUNT(Q304:T304)=0,"",ROUND(AVERAGE(Q304:T304),0))</f>
        <v/>
      </c>
      <c r="V304" s="38" t="str">
        <f aca="false">IF(U304="","",LOOKUP(U304,Impostazioni!$E$4:$E$9,Impostazioni!$F$4:$F$9))</f>
        <v/>
      </c>
      <c r="W304" s="36"/>
      <c r="X304" s="36"/>
      <c r="Y304" s="36"/>
      <c r="Z304" s="36"/>
      <c r="AA304" s="39" t="str">
        <f aca="false">IF(COUNT(W304:Z304)=0,"",ROUND(AVERAGE(W304:Z304),0))</f>
        <v/>
      </c>
      <c r="AB304" s="38" t="str">
        <f aca="false">IF(AA304="","",LOOKUP(AA304,Impostazioni!$E$4:$E$9,Impostazioni!$F$4:$F$9))</f>
        <v/>
      </c>
    </row>
    <row r="305" customFormat="false" ht="21" hidden="false" customHeight="true" outlineLevel="0" collapsed="false">
      <c r="A305" s="33" t="n">
        <v>7</v>
      </c>
      <c r="B305" s="34" t="str">
        <f aca="false">IFERROR(INDEX(Alunni!$C$1:$C$1000,MATCH($A305,Alunni!$A$1:$A$1000,0))&amp;"","")</f>
        <v/>
      </c>
      <c r="C305" s="15"/>
      <c r="D305" s="35"/>
      <c r="E305" s="36"/>
      <c r="F305" s="36"/>
      <c r="G305" s="36"/>
      <c r="H305" s="36"/>
      <c r="I305" s="39" t="str">
        <f aca="false">IF(COUNT(E305:H305)=0,"",ROUND(AVERAGE(E305:H305),0))</f>
        <v/>
      </c>
      <c r="J305" s="38" t="str">
        <f aca="false">IF(I305="","",LOOKUP(I305,Impostazioni!$E$4:$E$9,Impostazioni!$F$4:$F$9))</f>
        <v/>
      </c>
      <c r="K305" s="36"/>
      <c r="L305" s="36"/>
      <c r="M305" s="36"/>
      <c r="N305" s="36"/>
      <c r="O305" s="39" t="str">
        <f aca="false">IF(COUNT(K305:N305)=0,"",ROUND(AVERAGE(K305:N305),0))</f>
        <v/>
      </c>
      <c r="P305" s="38" t="str">
        <f aca="false">IF(O305="","",LOOKUP(O305,Impostazioni!$E$4:$E$9,Impostazioni!$F$4:$F$9))</f>
        <v/>
      </c>
      <c r="Q305" s="36"/>
      <c r="R305" s="36"/>
      <c r="S305" s="36"/>
      <c r="T305" s="36"/>
      <c r="U305" s="39" t="str">
        <f aca="false">IF(COUNT(Q305:T305)=0,"",ROUND(AVERAGE(Q305:T305),0))</f>
        <v/>
      </c>
      <c r="V305" s="38" t="str">
        <f aca="false">IF(U305="","",LOOKUP(U305,Impostazioni!$E$4:$E$9,Impostazioni!$F$4:$F$9))</f>
        <v/>
      </c>
      <c r="W305" s="36"/>
      <c r="X305" s="36"/>
      <c r="Y305" s="36"/>
      <c r="Z305" s="36"/>
      <c r="AA305" s="39" t="str">
        <f aca="false">IF(COUNT(W305:Z305)=0,"",ROUND(AVERAGE(W305:Z305),0))</f>
        <v/>
      </c>
      <c r="AB305" s="38" t="str">
        <f aca="false">IF(AA305="","",LOOKUP(AA305,Impostazioni!$E$4:$E$9,Impostazioni!$F$4:$F$9))</f>
        <v/>
      </c>
    </row>
    <row r="306" customFormat="false" ht="21" hidden="false" customHeight="true" outlineLevel="0" collapsed="false">
      <c r="A306" s="33" t="n">
        <v>8</v>
      </c>
      <c r="B306" s="34" t="str">
        <f aca="false">IFERROR(INDEX(Alunni!$C$1:$C$1000,MATCH($A306,Alunni!$A$1:$A$1000,0))&amp;"","")</f>
        <v/>
      </c>
      <c r="C306" s="15"/>
      <c r="D306" s="35"/>
      <c r="E306" s="36"/>
      <c r="F306" s="36"/>
      <c r="G306" s="36"/>
      <c r="H306" s="36"/>
      <c r="I306" s="39" t="str">
        <f aca="false">IF(COUNT(E306:H306)=0,"",ROUND(AVERAGE(E306:H306),0))</f>
        <v/>
      </c>
      <c r="J306" s="38" t="str">
        <f aca="false">IF(I306="","",LOOKUP(I306,Impostazioni!$E$4:$E$9,Impostazioni!$F$4:$F$9))</f>
        <v/>
      </c>
      <c r="K306" s="36"/>
      <c r="L306" s="36"/>
      <c r="M306" s="36"/>
      <c r="N306" s="36"/>
      <c r="O306" s="39" t="str">
        <f aca="false">IF(COUNT(K306:N306)=0,"",ROUND(AVERAGE(K306:N306),0))</f>
        <v/>
      </c>
      <c r="P306" s="38" t="str">
        <f aca="false">IF(O306="","",LOOKUP(O306,Impostazioni!$E$4:$E$9,Impostazioni!$F$4:$F$9))</f>
        <v/>
      </c>
      <c r="Q306" s="36"/>
      <c r="R306" s="36"/>
      <c r="S306" s="36"/>
      <c r="T306" s="36"/>
      <c r="U306" s="39" t="str">
        <f aca="false">IF(COUNT(Q306:T306)=0,"",ROUND(AVERAGE(Q306:T306),0))</f>
        <v/>
      </c>
      <c r="V306" s="38" t="str">
        <f aca="false">IF(U306="","",LOOKUP(U306,Impostazioni!$E$4:$E$9,Impostazioni!$F$4:$F$9))</f>
        <v/>
      </c>
      <c r="W306" s="36"/>
      <c r="X306" s="36"/>
      <c r="Y306" s="36"/>
      <c r="Z306" s="36"/>
      <c r="AA306" s="39" t="str">
        <f aca="false">IF(COUNT(W306:Z306)=0,"",ROUND(AVERAGE(W306:Z306),0))</f>
        <v/>
      </c>
      <c r="AB306" s="38" t="str">
        <f aca="false">IF(AA306="","",LOOKUP(AA306,Impostazioni!$E$4:$E$9,Impostazioni!$F$4:$F$9))</f>
        <v/>
      </c>
    </row>
    <row r="307" customFormat="false" ht="21" hidden="false" customHeight="true" outlineLevel="0" collapsed="false">
      <c r="A307" s="33" t="n">
        <v>9</v>
      </c>
      <c r="B307" s="34" t="str">
        <f aca="false">IFERROR(INDEX(Alunni!$C$1:$C$1000,MATCH($A307,Alunni!$A$1:$A$1000,0))&amp;"","")</f>
        <v/>
      </c>
      <c r="C307" s="15"/>
      <c r="D307" s="35"/>
      <c r="E307" s="36"/>
      <c r="F307" s="36"/>
      <c r="G307" s="36"/>
      <c r="H307" s="36"/>
      <c r="I307" s="39" t="str">
        <f aca="false">IF(COUNT(E307:H307)=0,"",ROUND(AVERAGE(E307:H307),0))</f>
        <v/>
      </c>
      <c r="J307" s="38" t="str">
        <f aca="false">IF(I307="","",LOOKUP(I307,Impostazioni!$E$4:$E$9,Impostazioni!$F$4:$F$9))</f>
        <v/>
      </c>
      <c r="K307" s="36"/>
      <c r="L307" s="36"/>
      <c r="M307" s="36"/>
      <c r="N307" s="36"/>
      <c r="O307" s="39" t="str">
        <f aca="false">IF(COUNT(K307:N307)=0,"",ROUND(AVERAGE(K307:N307),0))</f>
        <v/>
      </c>
      <c r="P307" s="38" t="str">
        <f aca="false">IF(O307="","",LOOKUP(O307,Impostazioni!$E$4:$E$9,Impostazioni!$F$4:$F$9))</f>
        <v/>
      </c>
      <c r="Q307" s="36"/>
      <c r="R307" s="36"/>
      <c r="S307" s="36"/>
      <c r="T307" s="36"/>
      <c r="U307" s="39" t="str">
        <f aca="false">IF(COUNT(Q307:T307)=0,"",ROUND(AVERAGE(Q307:T307),0))</f>
        <v/>
      </c>
      <c r="V307" s="38" t="str">
        <f aca="false">IF(U307="","",LOOKUP(U307,Impostazioni!$E$4:$E$9,Impostazioni!$F$4:$F$9))</f>
        <v/>
      </c>
      <c r="W307" s="36"/>
      <c r="X307" s="36"/>
      <c r="Y307" s="36"/>
      <c r="Z307" s="36"/>
      <c r="AA307" s="39" t="str">
        <f aca="false">IF(COUNT(W307:Z307)=0,"",ROUND(AVERAGE(W307:Z307),0))</f>
        <v/>
      </c>
      <c r="AB307" s="38" t="str">
        <f aca="false">IF(AA307="","",LOOKUP(AA307,Impostazioni!$E$4:$E$9,Impostazioni!$F$4:$F$9))</f>
        <v/>
      </c>
    </row>
    <row r="308" customFormat="false" ht="21" hidden="false" customHeight="true" outlineLevel="0" collapsed="false">
      <c r="A308" s="33" t="n">
        <v>10</v>
      </c>
      <c r="B308" s="34" t="str">
        <f aca="false">IFERROR(INDEX(Alunni!$C$1:$C$1000,MATCH($A308,Alunni!$A$1:$A$1000,0))&amp;"","")</f>
        <v/>
      </c>
      <c r="C308" s="15"/>
      <c r="D308" s="35"/>
      <c r="E308" s="36"/>
      <c r="F308" s="36"/>
      <c r="G308" s="36"/>
      <c r="H308" s="36"/>
      <c r="I308" s="39" t="str">
        <f aca="false">IF(COUNT(E308:H308)=0,"",ROUND(AVERAGE(E308:H308),0))</f>
        <v/>
      </c>
      <c r="J308" s="38" t="str">
        <f aca="false">IF(I308="","",LOOKUP(I308,Impostazioni!$E$4:$E$9,Impostazioni!$F$4:$F$9))</f>
        <v/>
      </c>
      <c r="K308" s="36"/>
      <c r="L308" s="36"/>
      <c r="M308" s="36"/>
      <c r="N308" s="36"/>
      <c r="O308" s="39" t="str">
        <f aca="false">IF(COUNT(K308:N308)=0,"",ROUND(AVERAGE(K308:N308),0))</f>
        <v/>
      </c>
      <c r="P308" s="38" t="str">
        <f aca="false">IF(O308="","",LOOKUP(O308,Impostazioni!$E$4:$E$9,Impostazioni!$F$4:$F$9))</f>
        <v/>
      </c>
      <c r="Q308" s="36"/>
      <c r="R308" s="36"/>
      <c r="S308" s="36"/>
      <c r="T308" s="36"/>
      <c r="U308" s="39" t="str">
        <f aca="false">IF(COUNT(Q308:T308)=0,"",ROUND(AVERAGE(Q308:T308),0))</f>
        <v/>
      </c>
      <c r="V308" s="38" t="str">
        <f aca="false">IF(U308="","",LOOKUP(U308,Impostazioni!$E$4:$E$9,Impostazioni!$F$4:$F$9))</f>
        <v/>
      </c>
      <c r="W308" s="36"/>
      <c r="X308" s="36"/>
      <c r="Y308" s="36"/>
      <c r="Z308" s="36"/>
      <c r="AA308" s="39" t="str">
        <f aca="false">IF(COUNT(W308:Z308)=0,"",ROUND(AVERAGE(W308:Z308),0))</f>
        <v/>
      </c>
      <c r="AB308" s="38" t="str">
        <f aca="false">IF(AA308="","",LOOKUP(AA308,Impostazioni!$E$4:$E$9,Impostazioni!$F$4:$F$9))</f>
        <v/>
      </c>
    </row>
    <row r="309" customFormat="false" ht="21" hidden="false" customHeight="true" outlineLevel="0" collapsed="false">
      <c r="A309" s="33" t="n">
        <v>11</v>
      </c>
      <c r="B309" s="34" t="str">
        <f aca="false">IFERROR(INDEX(Alunni!$C$1:$C$1000,MATCH($A309,Alunni!$A$1:$A$1000,0))&amp;"","")</f>
        <v/>
      </c>
      <c r="C309" s="15"/>
      <c r="D309" s="35"/>
      <c r="E309" s="36"/>
      <c r="F309" s="36"/>
      <c r="G309" s="36"/>
      <c r="H309" s="36"/>
      <c r="I309" s="39" t="str">
        <f aca="false">IF(COUNT(E309:H309)=0,"",ROUND(AVERAGE(E309:H309),0))</f>
        <v/>
      </c>
      <c r="J309" s="38" t="str">
        <f aca="false">IF(I309="","",LOOKUP(I309,Impostazioni!$E$4:$E$9,Impostazioni!$F$4:$F$9))</f>
        <v/>
      </c>
      <c r="K309" s="36"/>
      <c r="L309" s="36"/>
      <c r="M309" s="36"/>
      <c r="N309" s="36"/>
      <c r="O309" s="39" t="str">
        <f aca="false">IF(COUNT(K309:N309)=0,"",ROUND(AVERAGE(K309:N309),0))</f>
        <v/>
      </c>
      <c r="P309" s="38" t="str">
        <f aca="false">IF(O309="","",LOOKUP(O309,Impostazioni!$E$4:$E$9,Impostazioni!$F$4:$F$9))</f>
        <v/>
      </c>
      <c r="Q309" s="36"/>
      <c r="R309" s="36"/>
      <c r="S309" s="36"/>
      <c r="T309" s="36"/>
      <c r="U309" s="39" t="str">
        <f aca="false">IF(COUNT(Q309:T309)=0,"",ROUND(AVERAGE(Q309:T309),0))</f>
        <v/>
      </c>
      <c r="V309" s="38" t="str">
        <f aca="false">IF(U309="","",LOOKUP(U309,Impostazioni!$E$4:$E$9,Impostazioni!$F$4:$F$9))</f>
        <v/>
      </c>
      <c r="W309" s="36"/>
      <c r="X309" s="36"/>
      <c r="Y309" s="36"/>
      <c r="Z309" s="36"/>
      <c r="AA309" s="39" t="str">
        <f aca="false">IF(COUNT(W309:Z309)=0,"",ROUND(AVERAGE(W309:Z309),0))</f>
        <v/>
      </c>
      <c r="AB309" s="38" t="str">
        <f aca="false">IF(AA309="","",LOOKUP(AA309,Impostazioni!$E$4:$E$9,Impostazioni!$F$4:$F$9))</f>
        <v/>
      </c>
    </row>
    <row r="310" customFormat="false" ht="21" hidden="false" customHeight="true" outlineLevel="0" collapsed="false">
      <c r="A310" s="33" t="n">
        <v>12</v>
      </c>
      <c r="B310" s="34" t="str">
        <f aca="false">IFERROR(INDEX(Alunni!$C$1:$C$1000,MATCH($A310,Alunni!$A$1:$A$1000,0))&amp;"","")</f>
        <v/>
      </c>
      <c r="C310" s="15"/>
      <c r="D310" s="35"/>
      <c r="E310" s="36"/>
      <c r="F310" s="36"/>
      <c r="G310" s="36"/>
      <c r="H310" s="36"/>
      <c r="I310" s="39" t="str">
        <f aca="false">IF(COUNT(E310:H310)=0,"",ROUND(AVERAGE(E310:H310),0))</f>
        <v/>
      </c>
      <c r="J310" s="38" t="str">
        <f aca="false">IF(I310="","",LOOKUP(I310,Impostazioni!$E$4:$E$9,Impostazioni!$F$4:$F$9))</f>
        <v/>
      </c>
      <c r="K310" s="36"/>
      <c r="L310" s="36"/>
      <c r="M310" s="36"/>
      <c r="N310" s="36"/>
      <c r="O310" s="39" t="str">
        <f aca="false">IF(COUNT(K310:N310)=0,"",ROUND(AVERAGE(K310:N310),0))</f>
        <v/>
      </c>
      <c r="P310" s="38" t="str">
        <f aca="false">IF(O310="","",LOOKUP(O310,Impostazioni!$E$4:$E$9,Impostazioni!$F$4:$F$9))</f>
        <v/>
      </c>
      <c r="Q310" s="36"/>
      <c r="R310" s="36"/>
      <c r="S310" s="36"/>
      <c r="T310" s="36"/>
      <c r="U310" s="39" t="str">
        <f aca="false">IF(COUNT(Q310:T310)=0,"",ROUND(AVERAGE(Q310:T310),0))</f>
        <v/>
      </c>
      <c r="V310" s="38" t="str">
        <f aca="false">IF(U310="","",LOOKUP(U310,Impostazioni!$E$4:$E$9,Impostazioni!$F$4:$F$9))</f>
        <v/>
      </c>
      <c r="W310" s="36"/>
      <c r="X310" s="36"/>
      <c r="Y310" s="36"/>
      <c r="Z310" s="36"/>
      <c r="AA310" s="39" t="str">
        <f aca="false">IF(COUNT(W310:Z310)=0,"",ROUND(AVERAGE(W310:Z310),0))</f>
        <v/>
      </c>
      <c r="AB310" s="38" t="str">
        <f aca="false">IF(AA310="","",LOOKUP(AA310,Impostazioni!$E$4:$E$9,Impostazioni!$F$4:$F$9))</f>
        <v/>
      </c>
    </row>
    <row r="311" customFormat="false" ht="21" hidden="false" customHeight="true" outlineLevel="0" collapsed="false">
      <c r="A311" s="33" t="n">
        <v>13</v>
      </c>
      <c r="B311" s="34" t="str">
        <f aca="false">IFERROR(INDEX(Alunni!$C$1:$C$1000,MATCH($A311,Alunni!$A$1:$A$1000,0))&amp;"","")</f>
        <v/>
      </c>
      <c r="C311" s="15"/>
      <c r="D311" s="35"/>
      <c r="E311" s="36"/>
      <c r="F311" s="36"/>
      <c r="G311" s="36"/>
      <c r="H311" s="36"/>
      <c r="I311" s="39" t="str">
        <f aca="false">IF(COUNT(E311:H311)=0,"",ROUND(AVERAGE(E311:H311),0))</f>
        <v/>
      </c>
      <c r="J311" s="38" t="str">
        <f aca="false">IF(I311="","",LOOKUP(I311,Impostazioni!$E$4:$E$9,Impostazioni!$F$4:$F$9))</f>
        <v/>
      </c>
      <c r="K311" s="36"/>
      <c r="L311" s="36"/>
      <c r="M311" s="36"/>
      <c r="N311" s="36"/>
      <c r="O311" s="39" t="str">
        <f aca="false">IF(COUNT(K311:N311)=0,"",ROUND(AVERAGE(K311:N311),0))</f>
        <v/>
      </c>
      <c r="P311" s="38" t="str">
        <f aca="false">IF(O311="","",LOOKUP(O311,Impostazioni!$E$4:$E$9,Impostazioni!$F$4:$F$9))</f>
        <v/>
      </c>
      <c r="Q311" s="36"/>
      <c r="R311" s="36"/>
      <c r="S311" s="36"/>
      <c r="T311" s="36"/>
      <c r="U311" s="39" t="str">
        <f aca="false">IF(COUNT(Q311:T311)=0,"",ROUND(AVERAGE(Q311:T311),0))</f>
        <v/>
      </c>
      <c r="V311" s="38" t="str">
        <f aca="false">IF(U311="","",LOOKUP(U311,Impostazioni!$E$4:$E$9,Impostazioni!$F$4:$F$9))</f>
        <v/>
      </c>
      <c r="W311" s="36"/>
      <c r="X311" s="36"/>
      <c r="Y311" s="36"/>
      <c r="Z311" s="36"/>
      <c r="AA311" s="39" t="str">
        <f aca="false">IF(COUNT(W311:Z311)=0,"",ROUND(AVERAGE(W311:Z311),0))</f>
        <v/>
      </c>
      <c r="AB311" s="38" t="str">
        <f aca="false">IF(AA311="","",LOOKUP(AA311,Impostazioni!$E$4:$E$9,Impostazioni!$F$4:$F$9))</f>
        <v/>
      </c>
    </row>
    <row r="312" customFormat="false" ht="21" hidden="false" customHeight="true" outlineLevel="0" collapsed="false">
      <c r="A312" s="33" t="n">
        <v>14</v>
      </c>
      <c r="B312" s="34" t="str">
        <f aca="false">IFERROR(INDEX(Alunni!$C$1:$C$1000,MATCH($A312,Alunni!$A$1:$A$1000,0))&amp;"","")</f>
        <v/>
      </c>
      <c r="C312" s="15"/>
      <c r="D312" s="35"/>
      <c r="E312" s="36"/>
      <c r="F312" s="36"/>
      <c r="G312" s="36"/>
      <c r="H312" s="36"/>
      <c r="I312" s="39" t="str">
        <f aca="false">IF(COUNT(E312:H312)=0,"",ROUND(AVERAGE(E312:H312),0))</f>
        <v/>
      </c>
      <c r="J312" s="38" t="str">
        <f aca="false">IF(I312="","",LOOKUP(I312,Impostazioni!$E$4:$E$9,Impostazioni!$F$4:$F$9))</f>
        <v/>
      </c>
      <c r="K312" s="36"/>
      <c r="L312" s="36"/>
      <c r="M312" s="36"/>
      <c r="N312" s="36"/>
      <c r="O312" s="39" t="str">
        <f aca="false">IF(COUNT(K312:N312)=0,"",ROUND(AVERAGE(K312:N312),0))</f>
        <v/>
      </c>
      <c r="P312" s="38" t="str">
        <f aca="false">IF(O312="","",LOOKUP(O312,Impostazioni!$E$4:$E$9,Impostazioni!$F$4:$F$9))</f>
        <v/>
      </c>
      <c r="Q312" s="36"/>
      <c r="R312" s="36"/>
      <c r="S312" s="36"/>
      <c r="T312" s="36"/>
      <c r="U312" s="39" t="str">
        <f aca="false">IF(COUNT(Q312:T312)=0,"",ROUND(AVERAGE(Q312:T312),0))</f>
        <v/>
      </c>
      <c r="V312" s="38" t="str">
        <f aca="false">IF(U312="","",LOOKUP(U312,Impostazioni!$E$4:$E$9,Impostazioni!$F$4:$F$9))</f>
        <v/>
      </c>
      <c r="W312" s="36"/>
      <c r="X312" s="36"/>
      <c r="Y312" s="36"/>
      <c r="Z312" s="36"/>
      <c r="AA312" s="39" t="str">
        <f aca="false">IF(COUNT(W312:Z312)=0,"",ROUND(AVERAGE(W312:Z312),0))</f>
        <v/>
      </c>
      <c r="AB312" s="38" t="str">
        <f aca="false">IF(AA312="","",LOOKUP(AA312,Impostazioni!$E$4:$E$9,Impostazioni!$F$4:$F$9))</f>
        <v/>
      </c>
    </row>
    <row r="313" customFormat="false" ht="21" hidden="false" customHeight="true" outlineLevel="0" collapsed="false">
      <c r="A313" s="33" t="n">
        <v>15</v>
      </c>
      <c r="B313" s="34" t="str">
        <f aca="false">IFERROR(INDEX(Alunni!$C$1:$C$1000,MATCH($A313,Alunni!$A$1:$A$1000,0))&amp;"","")</f>
        <v/>
      </c>
      <c r="C313" s="15"/>
      <c r="D313" s="35"/>
      <c r="E313" s="36"/>
      <c r="F313" s="36"/>
      <c r="G313" s="36"/>
      <c r="H313" s="36"/>
      <c r="I313" s="39" t="str">
        <f aca="false">IF(COUNT(E313:H313)=0,"",ROUND(AVERAGE(E313:H313),0))</f>
        <v/>
      </c>
      <c r="J313" s="38" t="str">
        <f aca="false">IF(I313="","",LOOKUP(I313,Impostazioni!$E$4:$E$9,Impostazioni!$F$4:$F$9))</f>
        <v/>
      </c>
      <c r="K313" s="36"/>
      <c r="L313" s="36"/>
      <c r="M313" s="36"/>
      <c r="N313" s="36"/>
      <c r="O313" s="39" t="str">
        <f aca="false">IF(COUNT(K313:N313)=0,"",ROUND(AVERAGE(K313:N313),0))</f>
        <v/>
      </c>
      <c r="P313" s="38" t="str">
        <f aca="false">IF(O313="","",LOOKUP(O313,Impostazioni!$E$4:$E$9,Impostazioni!$F$4:$F$9))</f>
        <v/>
      </c>
      <c r="Q313" s="36"/>
      <c r="R313" s="36"/>
      <c r="S313" s="36"/>
      <c r="T313" s="36"/>
      <c r="U313" s="39" t="str">
        <f aca="false">IF(COUNT(Q313:T313)=0,"",ROUND(AVERAGE(Q313:T313),0))</f>
        <v/>
      </c>
      <c r="V313" s="38" t="str">
        <f aca="false">IF(U313="","",LOOKUP(U313,Impostazioni!$E$4:$E$9,Impostazioni!$F$4:$F$9))</f>
        <v/>
      </c>
      <c r="W313" s="36"/>
      <c r="X313" s="36"/>
      <c r="Y313" s="36"/>
      <c r="Z313" s="36"/>
      <c r="AA313" s="39" t="str">
        <f aca="false">IF(COUNT(W313:Z313)=0,"",ROUND(AVERAGE(W313:Z313),0))</f>
        <v/>
      </c>
      <c r="AB313" s="38" t="str">
        <f aca="false">IF(AA313="","",LOOKUP(AA313,Impostazioni!$E$4:$E$9,Impostazioni!$F$4:$F$9))</f>
        <v/>
      </c>
    </row>
    <row r="314" customFormat="false" ht="21" hidden="false" customHeight="true" outlineLevel="0" collapsed="false">
      <c r="A314" s="33" t="n">
        <v>16</v>
      </c>
      <c r="B314" s="34" t="str">
        <f aca="false">IFERROR(INDEX(Alunni!$C$1:$C$1000,MATCH($A314,Alunni!$A$1:$A$1000,0))&amp;"","")</f>
        <v/>
      </c>
      <c r="C314" s="15"/>
      <c r="D314" s="35"/>
      <c r="E314" s="36"/>
      <c r="F314" s="36"/>
      <c r="G314" s="36"/>
      <c r="H314" s="36"/>
      <c r="I314" s="39" t="str">
        <f aca="false">IF(COUNT(E314:H314)=0,"",ROUND(AVERAGE(E314:H314),0))</f>
        <v/>
      </c>
      <c r="J314" s="38" t="str">
        <f aca="false">IF(I314="","",LOOKUP(I314,Impostazioni!$E$4:$E$9,Impostazioni!$F$4:$F$9))</f>
        <v/>
      </c>
      <c r="K314" s="36"/>
      <c r="L314" s="36"/>
      <c r="M314" s="36"/>
      <c r="N314" s="36"/>
      <c r="O314" s="39" t="str">
        <f aca="false">IF(COUNT(K314:N314)=0,"",ROUND(AVERAGE(K314:N314),0))</f>
        <v/>
      </c>
      <c r="P314" s="38" t="str">
        <f aca="false">IF(O314="","",LOOKUP(O314,Impostazioni!$E$4:$E$9,Impostazioni!$F$4:$F$9))</f>
        <v/>
      </c>
      <c r="Q314" s="36"/>
      <c r="R314" s="36"/>
      <c r="S314" s="36"/>
      <c r="T314" s="36"/>
      <c r="U314" s="39" t="str">
        <f aca="false">IF(COUNT(Q314:T314)=0,"",ROUND(AVERAGE(Q314:T314),0))</f>
        <v/>
      </c>
      <c r="V314" s="38" t="str">
        <f aca="false">IF(U314="","",LOOKUP(U314,Impostazioni!$E$4:$E$9,Impostazioni!$F$4:$F$9))</f>
        <v/>
      </c>
      <c r="W314" s="36"/>
      <c r="X314" s="36"/>
      <c r="Y314" s="36"/>
      <c r="Z314" s="36"/>
      <c r="AA314" s="39" t="str">
        <f aca="false">IF(COUNT(W314:Z314)=0,"",ROUND(AVERAGE(W314:Z314),0))</f>
        <v/>
      </c>
      <c r="AB314" s="38" t="str">
        <f aca="false">IF(AA314="","",LOOKUP(AA314,Impostazioni!$E$4:$E$9,Impostazioni!$F$4:$F$9))</f>
        <v/>
      </c>
    </row>
    <row r="315" customFormat="false" ht="21" hidden="false" customHeight="true" outlineLevel="0" collapsed="false">
      <c r="A315" s="33" t="n">
        <v>17</v>
      </c>
      <c r="B315" s="34" t="str">
        <f aca="false">IFERROR(INDEX(Alunni!$C$1:$C$1000,MATCH($A315,Alunni!$A$1:$A$1000,0))&amp;"","")</f>
        <v/>
      </c>
      <c r="C315" s="15"/>
      <c r="D315" s="35"/>
      <c r="E315" s="36"/>
      <c r="F315" s="36"/>
      <c r="G315" s="36"/>
      <c r="H315" s="36"/>
      <c r="I315" s="39" t="str">
        <f aca="false">IF(COUNT(E315:H315)=0,"",ROUND(AVERAGE(E315:H315),0))</f>
        <v/>
      </c>
      <c r="J315" s="38" t="str">
        <f aca="false">IF(I315="","",LOOKUP(I315,Impostazioni!$E$4:$E$9,Impostazioni!$F$4:$F$9))</f>
        <v/>
      </c>
      <c r="K315" s="36"/>
      <c r="L315" s="36"/>
      <c r="M315" s="36"/>
      <c r="N315" s="36"/>
      <c r="O315" s="39" t="str">
        <f aca="false">IF(COUNT(K315:N315)=0,"",ROUND(AVERAGE(K315:N315),0))</f>
        <v/>
      </c>
      <c r="P315" s="38" t="str">
        <f aca="false">IF(O315="","",LOOKUP(O315,Impostazioni!$E$4:$E$9,Impostazioni!$F$4:$F$9))</f>
        <v/>
      </c>
      <c r="Q315" s="36"/>
      <c r="R315" s="36"/>
      <c r="S315" s="36"/>
      <c r="T315" s="36"/>
      <c r="U315" s="39" t="str">
        <f aca="false">IF(COUNT(Q315:T315)=0,"",ROUND(AVERAGE(Q315:T315),0))</f>
        <v/>
      </c>
      <c r="V315" s="38" t="str">
        <f aca="false">IF(U315="","",LOOKUP(U315,Impostazioni!$E$4:$E$9,Impostazioni!$F$4:$F$9))</f>
        <v/>
      </c>
      <c r="W315" s="36"/>
      <c r="X315" s="36"/>
      <c r="Y315" s="36"/>
      <c r="Z315" s="36"/>
      <c r="AA315" s="39" t="str">
        <f aca="false">IF(COUNT(W315:Z315)=0,"",ROUND(AVERAGE(W315:Z315),0))</f>
        <v/>
      </c>
      <c r="AB315" s="38" t="str">
        <f aca="false">IF(AA315="","",LOOKUP(AA315,Impostazioni!$E$4:$E$9,Impostazioni!$F$4:$F$9))</f>
        <v/>
      </c>
    </row>
    <row r="316" customFormat="false" ht="21" hidden="false" customHeight="true" outlineLevel="0" collapsed="false">
      <c r="A316" s="33" t="n">
        <v>18</v>
      </c>
      <c r="B316" s="34" t="str">
        <f aca="false">IFERROR(INDEX(Alunni!$C$1:$C$1000,MATCH($A316,Alunni!$A$1:$A$1000,0))&amp;"","")</f>
        <v/>
      </c>
      <c r="C316" s="15"/>
      <c r="D316" s="35"/>
      <c r="E316" s="36"/>
      <c r="F316" s="36"/>
      <c r="G316" s="36"/>
      <c r="H316" s="36"/>
      <c r="I316" s="39" t="str">
        <f aca="false">IF(COUNT(E316:H316)=0,"",ROUND(AVERAGE(E316:H316),0))</f>
        <v/>
      </c>
      <c r="J316" s="38" t="str">
        <f aca="false">IF(I316="","",LOOKUP(I316,Impostazioni!$E$4:$E$9,Impostazioni!$F$4:$F$9))</f>
        <v/>
      </c>
      <c r="K316" s="36"/>
      <c r="L316" s="36"/>
      <c r="M316" s="36"/>
      <c r="N316" s="36"/>
      <c r="O316" s="39" t="str">
        <f aca="false">IF(COUNT(K316:N316)=0,"",ROUND(AVERAGE(K316:N316),0))</f>
        <v/>
      </c>
      <c r="P316" s="38" t="str">
        <f aca="false">IF(O316="","",LOOKUP(O316,Impostazioni!$E$4:$E$9,Impostazioni!$F$4:$F$9))</f>
        <v/>
      </c>
      <c r="Q316" s="36"/>
      <c r="R316" s="36"/>
      <c r="S316" s="36"/>
      <c r="T316" s="36"/>
      <c r="U316" s="39" t="str">
        <f aca="false">IF(COUNT(Q316:T316)=0,"",ROUND(AVERAGE(Q316:T316),0))</f>
        <v/>
      </c>
      <c r="V316" s="38" t="str">
        <f aca="false">IF(U316="","",LOOKUP(U316,Impostazioni!$E$4:$E$9,Impostazioni!$F$4:$F$9))</f>
        <v/>
      </c>
      <c r="W316" s="36"/>
      <c r="X316" s="36"/>
      <c r="Y316" s="36"/>
      <c r="Z316" s="36"/>
      <c r="AA316" s="39" t="str">
        <f aca="false">IF(COUNT(W316:Z316)=0,"",ROUND(AVERAGE(W316:Z316),0))</f>
        <v/>
      </c>
      <c r="AB316" s="38" t="str">
        <f aca="false">IF(AA316="","",LOOKUP(AA316,Impostazioni!$E$4:$E$9,Impostazioni!$F$4:$F$9))</f>
        <v/>
      </c>
    </row>
    <row r="317" customFormat="false" ht="21" hidden="false" customHeight="true" outlineLevel="0" collapsed="false">
      <c r="A317" s="33" t="n">
        <v>19</v>
      </c>
      <c r="B317" s="34" t="str">
        <f aca="false">IFERROR(INDEX(Alunni!$C$1:$C$1000,MATCH($A317,Alunni!$A$1:$A$1000,0))&amp;"","")</f>
        <v/>
      </c>
      <c r="C317" s="15"/>
      <c r="D317" s="35"/>
      <c r="E317" s="36"/>
      <c r="F317" s="36"/>
      <c r="G317" s="36"/>
      <c r="H317" s="36"/>
      <c r="I317" s="39" t="str">
        <f aca="false">IF(COUNT(E317:H317)=0,"",ROUND(AVERAGE(E317:H317),0))</f>
        <v/>
      </c>
      <c r="J317" s="38" t="str">
        <f aca="false">IF(I317="","",LOOKUP(I317,Impostazioni!$E$4:$E$9,Impostazioni!$F$4:$F$9))</f>
        <v/>
      </c>
      <c r="K317" s="36"/>
      <c r="L317" s="36"/>
      <c r="M317" s="36"/>
      <c r="N317" s="36"/>
      <c r="O317" s="39" t="str">
        <f aca="false">IF(COUNT(K317:N317)=0,"",ROUND(AVERAGE(K317:N317),0))</f>
        <v/>
      </c>
      <c r="P317" s="38" t="str">
        <f aca="false">IF(O317="","",LOOKUP(O317,Impostazioni!$E$4:$E$9,Impostazioni!$F$4:$F$9))</f>
        <v/>
      </c>
      <c r="Q317" s="36"/>
      <c r="R317" s="36"/>
      <c r="S317" s="36"/>
      <c r="T317" s="36"/>
      <c r="U317" s="39" t="str">
        <f aca="false">IF(COUNT(Q317:T317)=0,"",ROUND(AVERAGE(Q317:T317),0))</f>
        <v/>
      </c>
      <c r="V317" s="38" t="str">
        <f aca="false">IF(U317="","",LOOKUP(U317,Impostazioni!$E$4:$E$9,Impostazioni!$F$4:$F$9))</f>
        <v/>
      </c>
      <c r="W317" s="36"/>
      <c r="X317" s="36"/>
      <c r="Y317" s="36"/>
      <c r="Z317" s="36"/>
      <c r="AA317" s="39" t="str">
        <f aca="false">IF(COUNT(W317:Z317)=0,"",ROUND(AVERAGE(W317:Z317),0))</f>
        <v/>
      </c>
      <c r="AB317" s="38" t="str">
        <f aca="false">IF(AA317="","",LOOKUP(AA317,Impostazioni!$E$4:$E$9,Impostazioni!$F$4:$F$9))</f>
        <v/>
      </c>
    </row>
    <row r="318" customFormat="false" ht="21" hidden="false" customHeight="true" outlineLevel="0" collapsed="false">
      <c r="A318" s="33" t="n">
        <v>20</v>
      </c>
      <c r="B318" s="34" t="str">
        <f aca="false">IFERROR(INDEX(Alunni!$C$1:$C$1000,MATCH($A318,Alunni!$A$1:$A$1000,0))&amp;"","")</f>
        <v/>
      </c>
      <c r="C318" s="15"/>
      <c r="D318" s="35"/>
      <c r="E318" s="36"/>
      <c r="F318" s="36"/>
      <c r="G318" s="36"/>
      <c r="H318" s="36"/>
      <c r="I318" s="39" t="str">
        <f aca="false">IF(COUNT(E318:H318)=0,"",ROUND(AVERAGE(E318:H318),0))</f>
        <v/>
      </c>
      <c r="J318" s="38" t="str">
        <f aca="false">IF(I318="","",LOOKUP(I318,Impostazioni!$E$4:$E$9,Impostazioni!$F$4:$F$9))</f>
        <v/>
      </c>
      <c r="K318" s="36"/>
      <c r="L318" s="36"/>
      <c r="M318" s="36"/>
      <c r="N318" s="36"/>
      <c r="O318" s="39" t="str">
        <f aca="false">IF(COUNT(K318:N318)=0,"",ROUND(AVERAGE(K318:N318),0))</f>
        <v/>
      </c>
      <c r="P318" s="38" t="str">
        <f aca="false">IF(O318="","",LOOKUP(O318,Impostazioni!$E$4:$E$9,Impostazioni!$F$4:$F$9))</f>
        <v/>
      </c>
      <c r="Q318" s="36"/>
      <c r="R318" s="36"/>
      <c r="S318" s="36"/>
      <c r="T318" s="36"/>
      <c r="U318" s="39" t="str">
        <f aca="false">IF(COUNT(Q318:T318)=0,"",ROUND(AVERAGE(Q318:T318),0))</f>
        <v/>
      </c>
      <c r="V318" s="38" t="str">
        <f aca="false">IF(U318="","",LOOKUP(U318,Impostazioni!$E$4:$E$9,Impostazioni!$F$4:$F$9))</f>
        <v/>
      </c>
      <c r="W318" s="36"/>
      <c r="X318" s="36"/>
      <c r="Y318" s="36"/>
      <c r="Z318" s="36"/>
      <c r="AA318" s="39" t="str">
        <f aca="false">IF(COUNT(W318:Z318)=0,"",ROUND(AVERAGE(W318:Z318),0))</f>
        <v/>
      </c>
      <c r="AB318" s="38" t="str">
        <f aca="false">IF(AA318="","",LOOKUP(AA318,Impostazioni!$E$4:$E$9,Impostazioni!$F$4:$F$9))</f>
        <v/>
      </c>
    </row>
    <row r="319" customFormat="false" ht="21" hidden="false" customHeight="true" outlineLevel="0" collapsed="false">
      <c r="A319" s="33" t="n">
        <v>21</v>
      </c>
      <c r="B319" s="34" t="str">
        <f aca="false">IFERROR(INDEX(Alunni!$C$1:$C$1000,MATCH($A319,Alunni!$A$1:$A$1000,0))&amp;"","")</f>
        <v/>
      </c>
      <c r="C319" s="15"/>
      <c r="D319" s="35"/>
      <c r="E319" s="36"/>
      <c r="F319" s="36"/>
      <c r="G319" s="36"/>
      <c r="H319" s="36"/>
      <c r="I319" s="39" t="str">
        <f aca="false">IF(COUNT(E319:H319)=0,"",ROUND(AVERAGE(E319:H319),0))</f>
        <v/>
      </c>
      <c r="J319" s="38" t="str">
        <f aca="false">IF(I319="","",LOOKUP(I319,Impostazioni!$E$4:$E$9,Impostazioni!$F$4:$F$9))</f>
        <v/>
      </c>
      <c r="K319" s="36"/>
      <c r="L319" s="36"/>
      <c r="M319" s="36"/>
      <c r="N319" s="36"/>
      <c r="O319" s="39" t="str">
        <f aca="false">IF(COUNT(K319:N319)=0,"",ROUND(AVERAGE(K319:N319),0))</f>
        <v/>
      </c>
      <c r="P319" s="38" t="str">
        <f aca="false">IF(O319="","",LOOKUP(O319,Impostazioni!$E$4:$E$9,Impostazioni!$F$4:$F$9))</f>
        <v/>
      </c>
      <c r="Q319" s="36"/>
      <c r="R319" s="36"/>
      <c r="S319" s="36"/>
      <c r="T319" s="36"/>
      <c r="U319" s="39" t="str">
        <f aca="false">IF(COUNT(Q319:T319)=0,"",ROUND(AVERAGE(Q319:T319),0))</f>
        <v/>
      </c>
      <c r="V319" s="38" t="str">
        <f aca="false">IF(U319="","",LOOKUP(U319,Impostazioni!$E$4:$E$9,Impostazioni!$F$4:$F$9))</f>
        <v/>
      </c>
      <c r="W319" s="36"/>
      <c r="X319" s="36"/>
      <c r="Y319" s="36"/>
      <c r="Z319" s="36"/>
      <c r="AA319" s="39" t="str">
        <f aca="false">IF(COUNT(W319:Z319)=0,"",ROUND(AVERAGE(W319:Z319),0))</f>
        <v/>
      </c>
      <c r="AB319" s="38" t="str">
        <f aca="false">IF(AA319="","",LOOKUP(AA319,Impostazioni!$E$4:$E$9,Impostazioni!$F$4:$F$9))</f>
        <v/>
      </c>
    </row>
    <row r="320" customFormat="false" ht="21" hidden="false" customHeight="true" outlineLevel="0" collapsed="false">
      <c r="A320" s="33" t="n">
        <v>22</v>
      </c>
      <c r="B320" s="34" t="str">
        <f aca="false">IFERROR(INDEX(Alunni!$C$1:$C$1000,MATCH($A320,Alunni!$A$1:$A$1000,0))&amp;"","")</f>
        <v/>
      </c>
      <c r="C320" s="15"/>
      <c r="D320" s="35"/>
      <c r="E320" s="36"/>
      <c r="F320" s="36"/>
      <c r="G320" s="36"/>
      <c r="H320" s="36"/>
      <c r="I320" s="39" t="str">
        <f aca="false">IF(COUNT(E320:H320)=0,"",ROUND(AVERAGE(E320:H320),0))</f>
        <v/>
      </c>
      <c r="J320" s="38" t="str">
        <f aca="false">IF(I320="","",LOOKUP(I320,Impostazioni!$E$4:$E$9,Impostazioni!$F$4:$F$9))</f>
        <v/>
      </c>
      <c r="K320" s="36"/>
      <c r="L320" s="36"/>
      <c r="M320" s="36"/>
      <c r="N320" s="36"/>
      <c r="O320" s="39" t="str">
        <f aca="false">IF(COUNT(K320:N320)=0,"",ROUND(AVERAGE(K320:N320),0))</f>
        <v/>
      </c>
      <c r="P320" s="38" t="str">
        <f aca="false">IF(O320="","",LOOKUP(O320,Impostazioni!$E$4:$E$9,Impostazioni!$F$4:$F$9))</f>
        <v/>
      </c>
      <c r="Q320" s="36"/>
      <c r="R320" s="36"/>
      <c r="S320" s="36"/>
      <c r="T320" s="36"/>
      <c r="U320" s="39" t="str">
        <f aca="false">IF(COUNT(Q320:T320)=0,"",ROUND(AVERAGE(Q320:T320),0))</f>
        <v/>
      </c>
      <c r="V320" s="38" t="str">
        <f aca="false">IF(U320="","",LOOKUP(U320,Impostazioni!$E$4:$E$9,Impostazioni!$F$4:$F$9))</f>
        <v/>
      </c>
      <c r="W320" s="36"/>
      <c r="X320" s="36"/>
      <c r="Y320" s="36"/>
      <c r="Z320" s="36"/>
      <c r="AA320" s="39" t="str">
        <f aca="false">IF(COUNT(W320:Z320)=0,"",ROUND(AVERAGE(W320:Z320),0))</f>
        <v/>
      </c>
      <c r="AB320" s="38" t="str">
        <f aca="false">IF(AA320="","",LOOKUP(AA320,Impostazioni!$E$4:$E$9,Impostazioni!$F$4:$F$9))</f>
        <v/>
      </c>
    </row>
    <row r="321" customFormat="false" ht="21" hidden="false" customHeight="true" outlineLevel="0" collapsed="false">
      <c r="A321" s="33" t="n">
        <v>23</v>
      </c>
      <c r="B321" s="34" t="str">
        <f aca="false">IFERROR(INDEX(Alunni!$C$1:$C$1000,MATCH($A321,Alunni!$A$1:$A$1000,0))&amp;"","")</f>
        <v/>
      </c>
      <c r="C321" s="15"/>
      <c r="D321" s="35"/>
      <c r="E321" s="36"/>
      <c r="F321" s="36"/>
      <c r="G321" s="36"/>
      <c r="H321" s="36"/>
      <c r="I321" s="39" t="str">
        <f aca="false">IF(COUNT(E321:H321)=0,"",ROUND(AVERAGE(E321:H321),0))</f>
        <v/>
      </c>
      <c r="J321" s="38" t="str">
        <f aca="false">IF(I321="","",LOOKUP(I321,Impostazioni!$E$4:$E$9,Impostazioni!$F$4:$F$9))</f>
        <v/>
      </c>
      <c r="K321" s="36"/>
      <c r="L321" s="36"/>
      <c r="M321" s="36"/>
      <c r="N321" s="36"/>
      <c r="O321" s="39" t="str">
        <f aca="false">IF(COUNT(K321:N321)=0,"",ROUND(AVERAGE(K321:N321),0))</f>
        <v/>
      </c>
      <c r="P321" s="38" t="str">
        <f aca="false">IF(O321="","",LOOKUP(O321,Impostazioni!$E$4:$E$9,Impostazioni!$F$4:$F$9))</f>
        <v/>
      </c>
      <c r="Q321" s="36"/>
      <c r="R321" s="36"/>
      <c r="S321" s="36"/>
      <c r="T321" s="36"/>
      <c r="U321" s="39" t="str">
        <f aca="false">IF(COUNT(Q321:T321)=0,"",ROUND(AVERAGE(Q321:T321),0))</f>
        <v/>
      </c>
      <c r="V321" s="38" t="str">
        <f aca="false">IF(U321="","",LOOKUP(U321,Impostazioni!$E$4:$E$9,Impostazioni!$F$4:$F$9))</f>
        <v/>
      </c>
      <c r="W321" s="36"/>
      <c r="X321" s="36"/>
      <c r="Y321" s="36"/>
      <c r="Z321" s="36"/>
      <c r="AA321" s="39" t="str">
        <f aca="false">IF(COUNT(W321:Z321)=0,"",ROUND(AVERAGE(W321:Z321),0))</f>
        <v/>
      </c>
      <c r="AB321" s="38" t="str">
        <f aca="false">IF(AA321="","",LOOKUP(AA321,Impostazioni!$E$4:$E$9,Impostazioni!$F$4:$F$9))</f>
        <v/>
      </c>
    </row>
    <row r="322" customFormat="false" ht="21" hidden="false" customHeight="true" outlineLevel="0" collapsed="false">
      <c r="A322" s="33" t="n">
        <v>24</v>
      </c>
      <c r="B322" s="34" t="str">
        <f aca="false">IFERROR(INDEX(Alunni!$C$1:$C$1000,MATCH($A322,Alunni!$A$1:$A$1000,0))&amp;"","")</f>
        <v/>
      </c>
      <c r="C322" s="15"/>
      <c r="D322" s="35"/>
      <c r="E322" s="36"/>
      <c r="F322" s="36"/>
      <c r="G322" s="36"/>
      <c r="H322" s="36"/>
      <c r="I322" s="39" t="str">
        <f aca="false">IF(COUNT(E322:H322)=0,"",ROUND(AVERAGE(E322:H322),0))</f>
        <v/>
      </c>
      <c r="J322" s="38" t="str">
        <f aca="false">IF(I322="","",LOOKUP(I322,Impostazioni!$E$4:$E$9,Impostazioni!$F$4:$F$9))</f>
        <v/>
      </c>
      <c r="K322" s="36"/>
      <c r="L322" s="36"/>
      <c r="M322" s="36"/>
      <c r="N322" s="36"/>
      <c r="O322" s="39" t="str">
        <f aca="false">IF(COUNT(K322:N322)=0,"",ROUND(AVERAGE(K322:N322),0))</f>
        <v/>
      </c>
      <c r="P322" s="38" t="str">
        <f aca="false">IF(O322="","",LOOKUP(O322,Impostazioni!$E$4:$E$9,Impostazioni!$F$4:$F$9))</f>
        <v/>
      </c>
      <c r="Q322" s="36"/>
      <c r="R322" s="36"/>
      <c r="S322" s="36"/>
      <c r="T322" s="36"/>
      <c r="U322" s="39" t="str">
        <f aca="false">IF(COUNT(Q322:T322)=0,"",ROUND(AVERAGE(Q322:T322),0))</f>
        <v/>
      </c>
      <c r="V322" s="38" t="str">
        <f aca="false">IF(U322="","",LOOKUP(U322,Impostazioni!$E$4:$E$9,Impostazioni!$F$4:$F$9))</f>
        <v/>
      </c>
      <c r="W322" s="36"/>
      <c r="X322" s="36"/>
      <c r="Y322" s="36"/>
      <c r="Z322" s="36"/>
      <c r="AA322" s="39" t="str">
        <f aca="false">IF(COUNT(W322:Z322)=0,"",ROUND(AVERAGE(W322:Z322),0))</f>
        <v/>
      </c>
      <c r="AB322" s="38" t="str">
        <f aca="false">IF(AA322="","",LOOKUP(AA322,Impostazioni!$E$4:$E$9,Impostazioni!$F$4:$F$9))</f>
        <v/>
      </c>
    </row>
    <row r="323" customFormat="false" ht="21" hidden="false" customHeight="true" outlineLevel="0" collapsed="false">
      <c r="A323" s="33" t="n">
        <v>25</v>
      </c>
      <c r="B323" s="34" t="str">
        <f aca="false">IFERROR(INDEX(Alunni!$C$1:$C$1000,MATCH($A323,Alunni!$A$1:$A$1000,0))&amp;"","")</f>
        <v/>
      </c>
      <c r="C323" s="15"/>
      <c r="D323" s="35"/>
      <c r="E323" s="36"/>
      <c r="F323" s="36"/>
      <c r="G323" s="36"/>
      <c r="H323" s="36"/>
      <c r="I323" s="39" t="str">
        <f aca="false">IF(COUNT(E323:H323)=0,"",ROUND(AVERAGE(E323:H323),0))</f>
        <v/>
      </c>
      <c r="J323" s="38" t="str">
        <f aca="false">IF(I323="","",LOOKUP(I323,Impostazioni!$E$4:$E$9,Impostazioni!$F$4:$F$9))</f>
        <v/>
      </c>
      <c r="K323" s="36"/>
      <c r="L323" s="36"/>
      <c r="M323" s="36"/>
      <c r="N323" s="36"/>
      <c r="O323" s="39" t="str">
        <f aca="false">IF(COUNT(K323:N323)=0,"",ROUND(AVERAGE(K323:N323),0))</f>
        <v/>
      </c>
      <c r="P323" s="38" t="str">
        <f aca="false">IF(O323="","",LOOKUP(O323,Impostazioni!$E$4:$E$9,Impostazioni!$F$4:$F$9))</f>
        <v/>
      </c>
      <c r="Q323" s="36"/>
      <c r="R323" s="36"/>
      <c r="S323" s="36"/>
      <c r="T323" s="36"/>
      <c r="U323" s="39" t="str">
        <f aca="false">IF(COUNT(Q323:T323)=0,"",ROUND(AVERAGE(Q323:T323),0))</f>
        <v/>
      </c>
      <c r="V323" s="38" t="str">
        <f aca="false">IF(U323="","",LOOKUP(U323,Impostazioni!$E$4:$E$9,Impostazioni!$F$4:$F$9))</f>
        <v/>
      </c>
      <c r="W323" s="36"/>
      <c r="X323" s="36"/>
      <c r="Y323" s="36"/>
      <c r="Z323" s="36"/>
      <c r="AA323" s="39" t="str">
        <f aca="false">IF(COUNT(W323:Z323)=0,"",ROUND(AVERAGE(W323:Z323),0))</f>
        <v/>
      </c>
      <c r="AB323" s="38" t="str">
        <f aca="false">IF(AA323="","",LOOKUP(AA323,Impostazioni!$E$4:$E$9,Impostazioni!$F$4:$F$9))</f>
        <v/>
      </c>
    </row>
    <row r="324" customFormat="false" ht="21" hidden="false" customHeight="true" outlineLevel="0" collapsed="false">
      <c r="A324" s="33" t="n">
        <v>26</v>
      </c>
      <c r="B324" s="34" t="str">
        <f aca="false">IFERROR(INDEX(Alunni!$C$1:$C$1000,MATCH($A324,Alunni!$A$1:$A$1000,0))&amp;"","")</f>
        <v/>
      </c>
      <c r="C324" s="15"/>
      <c r="D324" s="35"/>
      <c r="E324" s="36"/>
      <c r="F324" s="36"/>
      <c r="G324" s="36"/>
      <c r="H324" s="36"/>
      <c r="I324" s="39" t="str">
        <f aca="false">IF(COUNT(E324:H324)=0,"",ROUND(AVERAGE(E324:H324),0))</f>
        <v/>
      </c>
      <c r="J324" s="38" t="str">
        <f aca="false">IF(I324="","",LOOKUP(I324,Impostazioni!$E$4:$E$9,Impostazioni!$F$4:$F$9))</f>
        <v/>
      </c>
      <c r="K324" s="36"/>
      <c r="L324" s="36"/>
      <c r="M324" s="36"/>
      <c r="N324" s="36"/>
      <c r="O324" s="39" t="str">
        <f aca="false">IF(COUNT(K324:N324)=0,"",ROUND(AVERAGE(K324:N324),0))</f>
        <v/>
      </c>
      <c r="P324" s="38" t="str">
        <f aca="false">IF(O324="","",LOOKUP(O324,Impostazioni!$E$4:$E$9,Impostazioni!$F$4:$F$9))</f>
        <v/>
      </c>
      <c r="Q324" s="36"/>
      <c r="R324" s="36"/>
      <c r="S324" s="36"/>
      <c r="T324" s="36"/>
      <c r="U324" s="39" t="str">
        <f aca="false">IF(COUNT(Q324:T324)=0,"",ROUND(AVERAGE(Q324:T324),0))</f>
        <v/>
      </c>
      <c r="V324" s="38" t="str">
        <f aca="false">IF(U324="","",LOOKUP(U324,Impostazioni!$E$4:$E$9,Impostazioni!$F$4:$F$9))</f>
        <v/>
      </c>
      <c r="W324" s="36"/>
      <c r="X324" s="36"/>
      <c r="Y324" s="36"/>
      <c r="Z324" s="36"/>
      <c r="AA324" s="39" t="str">
        <f aca="false">IF(COUNT(W324:Z324)=0,"",ROUND(AVERAGE(W324:Z324),0))</f>
        <v/>
      </c>
      <c r="AB324" s="38" t="str">
        <f aca="false">IF(AA324="","",LOOKUP(AA324,Impostazioni!$E$4:$E$9,Impostazioni!$F$4:$F$9))</f>
        <v/>
      </c>
    </row>
    <row r="325" customFormat="false" ht="21" hidden="false" customHeight="true" outlineLevel="0" collapsed="false">
      <c r="A325" s="33" t="n">
        <v>27</v>
      </c>
      <c r="B325" s="34" t="str">
        <f aca="false">IFERROR(INDEX(Alunni!$C$1:$C$1000,MATCH($A325,Alunni!$A$1:$A$1000,0))&amp;"","")</f>
        <v/>
      </c>
      <c r="C325" s="15"/>
      <c r="D325" s="35"/>
      <c r="E325" s="36"/>
      <c r="F325" s="36"/>
      <c r="G325" s="36"/>
      <c r="H325" s="36"/>
      <c r="I325" s="39" t="str">
        <f aca="false">IF(COUNT(E325:H325)=0,"",ROUND(AVERAGE(E325:H325),0))</f>
        <v/>
      </c>
      <c r="J325" s="38" t="str">
        <f aca="false">IF(I325="","",LOOKUP(I325,Impostazioni!$E$4:$E$9,Impostazioni!$F$4:$F$9))</f>
        <v/>
      </c>
      <c r="K325" s="36"/>
      <c r="L325" s="36"/>
      <c r="M325" s="36"/>
      <c r="N325" s="36"/>
      <c r="O325" s="39" t="str">
        <f aca="false">IF(COUNT(K325:N325)=0,"",ROUND(AVERAGE(K325:N325),0))</f>
        <v/>
      </c>
      <c r="P325" s="38" t="str">
        <f aca="false">IF(O325="","",LOOKUP(O325,Impostazioni!$E$4:$E$9,Impostazioni!$F$4:$F$9))</f>
        <v/>
      </c>
      <c r="Q325" s="36"/>
      <c r="R325" s="36"/>
      <c r="S325" s="36"/>
      <c r="T325" s="36"/>
      <c r="U325" s="39" t="str">
        <f aca="false">IF(COUNT(Q325:T325)=0,"",ROUND(AVERAGE(Q325:T325),0))</f>
        <v/>
      </c>
      <c r="V325" s="38" t="str">
        <f aca="false">IF(U325="","",LOOKUP(U325,Impostazioni!$E$4:$E$9,Impostazioni!$F$4:$F$9))</f>
        <v/>
      </c>
      <c r="W325" s="36"/>
      <c r="X325" s="36"/>
      <c r="Y325" s="36"/>
      <c r="Z325" s="36"/>
      <c r="AA325" s="39" t="str">
        <f aca="false">IF(COUNT(W325:Z325)=0,"",ROUND(AVERAGE(W325:Z325),0))</f>
        <v/>
      </c>
      <c r="AB325" s="38" t="str">
        <f aca="false">IF(AA325="","",LOOKUP(AA325,Impostazioni!$E$4:$E$9,Impostazioni!$F$4:$F$9))</f>
        <v/>
      </c>
    </row>
    <row r="326" customFormat="false" ht="21" hidden="false" customHeight="true" outlineLevel="0" collapsed="false">
      <c r="A326" s="33" t="n">
        <v>28</v>
      </c>
      <c r="B326" s="34" t="str">
        <f aca="false">IFERROR(INDEX(Alunni!$C$1:$C$1000,MATCH($A326,Alunni!$A$1:$A$1000,0))&amp;"","")</f>
        <v/>
      </c>
      <c r="C326" s="15"/>
      <c r="D326" s="35"/>
      <c r="E326" s="36"/>
      <c r="F326" s="36"/>
      <c r="G326" s="36"/>
      <c r="H326" s="36"/>
      <c r="I326" s="39" t="str">
        <f aca="false">IF(COUNT(E326:H326)=0,"",ROUND(AVERAGE(E326:H326),0))</f>
        <v/>
      </c>
      <c r="J326" s="38" t="str">
        <f aca="false">IF(I326="","",LOOKUP(I326,Impostazioni!$E$4:$E$9,Impostazioni!$F$4:$F$9))</f>
        <v/>
      </c>
      <c r="K326" s="36"/>
      <c r="L326" s="36"/>
      <c r="M326" s="36"/>
      <c r="N326" s="36"/>
      <c r="O326" s="39" t="str">
        <f aca="false">IF(COUNT(K326:N326)=0,"",ROUND(AVERAGE(K326:N326),0))</f>
        <v/>
      </c>
      <c r="P326" s="38" t="str">
        <f aca="false">IF(O326="","",LOOKUP(O326,Impostazioni!$E$4:$E$9,Impostazioni!$F$4:$F$9))</f>
        <v/>
      </c>
      <c r="Q326" s="36"/>
      <c r="R326" s="36"/>
      <c r="S326" s="36"/>
      <c r="T326" s="36"/>
      <c r="U326" s="39" t="str">
        <f aca="false">IF(COUNT(Q326:T326)=0,"",ROUND(AVERAGE(Q326:T326),0))</f>
        <v/>
      </c>
      <c r="V326" s="38" t="str">
        <f aca="false">IF(U326="","",LOOKUP(U326,Impostazioni!$E$4:$E$9,Impostazioni!$F$4:$F$9))</f>
        <v/>
      </c>
      <c r="W326" s="36"/>
      <c r="X326" s="36"/>
      <c r="Y326" s="36"/>
      <c r="Z326" s="36"/>
      <c r="AA326" s="39" t="str">
        <f aca="false">IF(COUNT(W326:Z326)=0,"",ROUND(AVERAGE(W326:Z326),0))</f>
        <v/>
      </c>
      <c r="AB326" s="38" t="str">
        <f aca="false">IF(AA326="","",LOOKUP(AA326,Impostazioni!$E$4:$E$9,Impostazioni!$F$4:$F$9))</f>
        <v/>
      </c>
    </row>
    <row r="327" customFormat="false" ht="21" hidden="false" customHeight="true" outlineLevel="0" collapsed="false">
      <c r="A327" s="33" t="n">
        <v>29</v>
      </c>
      <c r="B327" s="34" t="str">
        <f aca="false">IFERROR(INDEX(Alunni!$C$1:$C$1000,MATCH($A327,Alunni!$A$1:$A$1000,0))&amp;"","")</f>
        <v/>
      </c>
      <c r="C327" s="15"/>
      <c r="D327" s="35"/>
      <c r="E327" s="36"/>
      <c r="F327" s="36"/>
      <c r="G327" s="36"/>
      <c r="H327" s="36"/>
      <c r="I327" s="39" t="str">
        <f aca="false">IF(COUNT(E327:H327)=0,"",ROUND(AVERAGE(E327:H327),0))</f>
        <v/>
      </c>
      <c r="J327" s="38" t="str">
        <f aca="false">IF(I327="","",LOOKUP(I327,Impostazioni!$E$4:$E$9,Impostazioni!$F$4:$F$9))</f>
        <v/>
      </c>
      <c r="K327" s="36"/>
      <c r="L327" s="36"/>
      <c r="M327" s="36"/>
      <c r="N327" s="36"/>
      <c r="O327" s="39" t="str">
        <f aca="false">IF(COUNT(K327:N327)=0,"",ROUND(AVERAGE(K327:N327),0))</f>
        <v/>
      </c>
      <c r="P327" s="38" t="str">
        <f aca="false">IF(O327="","",LOOKUP(O327,Impostazioni!$E$4:$E$9,Impostazioni!$F$4:$F$9))</f>
        <v/>
      </c>
      <c r="Q327" s="36"/>
      <c r="R327" s="36"/>
      <c r="S327" s="36"/>
      <c r="T327" s="36"/>
      <c r="U327" s="39" t="str">
        <f aca="false">IF(COUNT(Q327:T327)=0,"",ROUND(AVERAGE(Q327:T327),0))</f>
        <v/>
      </c>
      <c r="V327" s="38" t="str">
        <f aca="false">IF(U327="","",LOOKUP(U327,Impostazioni!$E$4:$E$9,Impostazioni!$F$4:$F$9))</f>
        <v/>
      </c>
      <c r="W327" s="36"/>
      <c r="X327" s="36"/>
      <c r="Y327" s="36"/>
      <c r="Z327" s="36"/>
      <c r="AA327" s="39" t="str">
        <f aca="false">IF(COUNT(W327:Z327)=0,"",ROUND(AVERAGE(W327:Z327),0))</f>
        <v/>
      </c>
      <c r="AB327" s="38" t="str">
        <f aca="false">IF(AA327="","",LOOKUP(AA327,Impostazioni!$E$4:$E$9,Impostazioni!$F$4:$F$9))</f>
        <v/>
      </c>
    </row>
    <row r="328" customFormat="false" ht="21" hidden="false" customHeight="true" outlineLevel="0" collapsed="false">
      <c r="A328" s="33" t="n">
        <v>30</v>
      </c>
      <c r="B328" s="34" t="str">
        <f aca="false">IFERROR(INDEX(Alunni!$C$1:$C$1000,MATCH($A328,Alunni!$A$1:$A$1000,0))&amp;"","")</f>
        <v/>
      </c>
      <c r="C328" s="15"/>
      <c r="D328" s="35"/>
      <c r="E328" s="36"/>
      <c r="F328" s="36"/>
      <c r="G328" s="36"/>
      <c r="H328" s="36"/>
      <c r="I328" s="39" t="str">
        <f aca="false">IF(COUNT(E328:H328)=0,"",ROUND(AVERAGE(E328:H328),0))</f>
        <v/>
      </c>
      <c r="J328" s="38" t="str">
        <f aca="false">IF(I328="","",LOOKUP(I328,Impostazioni!$E$4:$E$9,Impostazioni!$F$4:$F$9))</f>
        <v/>
      </c>
      <c r="K328" s="36"/>
      <c r="L328" s="36"/>
      <c r="M328" s="36"/>
      <c r="N328" s="36"/>
      <c r="O328" s="39" t="str">
        <f aca="false">IF(COUNT(K328:N328)=0,"",ROUND(AVERAGE(K328:N328),0))</f>
        <v/>
      </c>
      <c r="P328" s="38" t="str">
        <f aca="false">IF(O328="","",LOOKUP(O328,Impostazioni!$E$4:$E$9,Impostazioni!$F$4:$F$9))</f>
        <v/>
      </c>
      <c r="Q328" s="36"/>
      <c r="R328" s="36"/>
      <c r="S328" s="36"/>
      <c r="T328" s="36"/>
      <c r="U328" s="39" t="str">
        <f aca="false">IF(COUNT(Q328:T328)=0,"",ROUND(AVERAGE(Q328:T328),0))</f>
        <v/>
      </c>
      <c r="V328" s="38" t="str">
        <f aca="false">IF(U328="","",LOOKUP(U328,Impostazioni!$E$4:$E$9,Impostazioni!$F$4:$F$9))</f>
        <v/>
      </c>
      <c r="W328" s="36"/>
      <c r="X328" s="36"/>
      <c r="Y328" s="36"/>
      <c r="Z328" s="36"/>
      <c r="AA328" s="39" t="str">
        <f aca="false">IF(COUNT(W328:Z328)=0,"",ROUND(AVERAGE(W328:Z328),0))</f>
        <v/>
      </c>
      <c r="AB328" s="38" t="str">
        <f aca="false">IF(AA328="","",LOOKUP(AA328,Impostazioni!$E$4:$E$9,Impostazioni!$F$4:$F$9))</f>
        <v/>
      </c>
    </row>
    <row r="330" customFormat="false" ht="25.5" hidden="false" customHeight="true" outlineLevel="0" collapsed="false">
      <c r="A330" s="4" t="str">
        <f aca="false">Calendario!B16&amp;"   ·   "&amp;IF(Calendario!G16="","(descrizione da Calendario)",Calendario!G16)&amp;"   ·   "&amp;IF(Calendario!E16="","data da fissare",CHOOSE(WEEKDAY(Calendario!E16,2),"lunedì","martedì","mercoledì","giovedì","venerdì","sabato","domenica")&amp;" "&amp;TEXT(DAY(Calendario!E16),"00")&amp;"/"&amp;TEXT(MONTH(Calendario!E16),"00")&amp;"/"&amp;YEAR(Calendario!E16))</f>
        <v>Q1-G10   ·   (descrizione da Calendario)   ·   data da fissare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customFormat="false" ht="15" hidden="false" customHeight="true" outlineLevel="0" collapsed="false">
      <c r="A331" s="25" t="s">
        <v>80</v>
      </c>
      <c r="B331" s="25"/>
      <c r="C331" s="25"/>
      <c r="D331" s="25"/>
      <c r="E331" s="26" t="str">
        <f aca="false">IF(Calendario!$H$16="","— libero —",Calendario!$H$16&amp;"  "&amp;IFERROR(VLOOKUP(Calendario!$H$16,Impostazioni!$A$25:$J$36,3,FALSE()),""))</f>
        <v>— libero —</v>
      </c>
      <c r="F331" s="26"/>
      <c r="G331" s="26"/>
      <c r="H331" s="26"/>
      <c r="I331" s="26"/>
      <c r="J331" s="26"/>
      <c r="K331" s="26" t="str">
        <f aca="false">IF(Calendario!$I$16="","— libero —",Calendario!$I$16&amp;"  "&amp;IFERROR(VLOOKUP(Calendario!$I$16,Impostazioni!$A$25:$J$36,3,FALSE()),""))</f>
        <v>— libero —</v>
      </c>
      <c r="L331" s="26"/>
      <c r="M331" s="26"/>
      <c r="N331" s="26"/>
      <c r="O331" s="26"/>
      <c r="P331" s="26"/>
      <c r="Q331" s="26" t="str">
        <f aca="false">IF(Calendario!$J$16="","— libero —",Calendario!$J$16&amp;"  "&amp;IFERROR(VLOOKUP(Calendario!$J$16,Impostazioni!$A$25:$J$36,3,FALSE()),""))</f>
        <v>— libero —</v>
      </c>
      <c r="R331" s="26"/>
      <c r="S331" s="26"/>
      <c r="T331" s="26"/>
      <c r="U331" s="26"/>
      <c r="V331" s="26"/>
      <c r="W331" s="26" t="str">
        <f aca="false">IF(Calendario!$K$16="","— libero —",Calendario!$K$16&amp;"  "&amp;IFERROR(VLOOKUP(Calendario!$K$16,Impostazioni!$A$25:$J$36,3,FALSE()),""))</f>
        <v>— libero —</v>
      </c>
      <c r="X331" s="26"/>
      <c r="Y331" s="26"/>
      <c r="Z331" s="26"/>
      <c r="AA331" s="26"/>
      <c r="AB331" s="26"/>
    </row>
    <row r="332" customFormat="false" ht="15" hidden="false" customHeight="true" outlineLevel="0" collapsed="false">
      <c r="A332" s="25" t="s">
        <v>81</v>
      </c>
      <c r="B332" s="25"/>
      <c r="C332" s="25"/>
      <c r="D332" s="25"/>
      <c r="E332" s="27" t="str">
        <f aca="false">IF(Calendario!$H$16="","","Ob. "&amp;IFERROR(VLOOKUP(Calendario!$H$16,Impostazioni!$A$25:$J$36,5,FALSE()),"?")&amp;" · peso "&amp;IF(Calendario!$F$16=2,Impostazioni!$B$11,Impostazioni!$B$10))</f>
        <v/>
      </c>
      <c r="F332" s="27"/>
      <c r="G332" s="27"/>
      <c r="H332" s="27"/>
      <c r="I332" s="27"/>
      <c r="J332" s="27"/>
      <c r="K332" s="27" t="str">
        <f aca="false">IF(Calendario!$I$16="","","Ob. "&amp;IFERROR(VLOOKUP(Calendario!$I$16,Impostazioni!$A$25:$J$36,5,FALSE()),"?")&amp;" · peso "&amp;IF(Calendario!$F$16=2,Impostazioni!$B$11,Impostazioni!$B$10))</f>
        <v/>
      </c>
      <c r="L332" s="27"/>
      <c r="M332" s="27"/>
      <c r="N332" s="27"/>
      <c r="O332" s="27"/>
      <c r="P332" s="27"/>
      <c r="Q332" s="27" t="str">
        <f aca="false">IF(Calendario!$J$16="","","Ob. "&amp;IFERROR(VLOOKUP(Calendario!$J$16,Impostazioni!$A$25:$J$36,5,FALSE()),"?")&amp;" · peso "&amp;IF(Calendario!$F$16=2,Impostazioni!$B$11,Impostazioni!$B$10))</f>
        <v/>
      </c>
      <c r="R332" s="27"/>
      <c r="S332" s="27"/>
      <c r="T332" s="27"/>
      <c r="U332" s="27"/>
      <c r="V332" s="27"/>
      <c r="W332" s="27" t="str">
        <f aca="false">IF(Calendario!$K$16="","","Ob. "&amp;IFERROR(VLOOKUP(Calendario!$K$16,Impostazioni!$A$25:$J$36,5,FALSE()),"?")&amp;" · peso "&amp;IF(Calendario!$F$16=2,Impostazioni!$B$11,Impostazioni!$B$10))</f>
        <v/>
      </c>
      <c r="X332" s="27"/>
      <c r="Y332" s="27"/>
      <c r="Z332" s="27"/>
      <c r="AA332" s="27"/>
      <c r="AB332" s="27"/>
    </row>
    <row r="333" customFormat="false" ht="33.75" hidden="false" customHeight="true" outlineLevel="0" collapsed="false">
      <c r="A333" s="25" t="s">
        <v>82</v>
      </c>
      <c r="B333" s="25"/>
      <c r="C333" s="25"/>
      <c r="D333" s="25"/>
      <c r="E333" s="28" t="str">
        <f aca="false">IF(Calendario!$H$16="","",IFERROR(HYPERLINK("#Rubriche!C"&amp;(MATCH(Calendario!$H$16,Rubriche!$A$1:$A$1000,0)+0),VLOOKUP(Calendario!$H$16,Impostazioni!$A$25:$J$36,7,FALSE())),""))</f>
        <v/>
      </c>
      <c r="F333" s="28" t="str">
        <f aca="false">IF(Calendario!$H$16="","",IFERROR(HYPERLINK("#Rubriche!C"&amp;(MATCH(Calendario!$H$16,Rubriche!$A$1:$A$1000,0)+1),VLOOKUP(Calendario!$H$16,Impostazioni!$A$25:$J$36,8,FALSE())),""))</f>
        <v/>
      </c>
      <c r="G333" s="28" t="str">
        <f aca="false">IF(Calendario!$H$16="","",IFERROR(HYPERLINK("#Rubriche!C"&amp;(MATCH(Calendario!$H$16,Rubriche!$A$1:$A$1000,0)+2),VLOOKUP(Calendario!$H$16,Impostazioni!$A$25:$J$36,9,FALSE())),""))</f>
        <v/>
      </c>
      <c r="H333" s="28" t="str">
        <f aca="false">IF(Calendario!$H$16="","",IFERROR(HYPERLINK("#Rubriche!C"&amp;(MATCH(Calendario!$H$16,Rubriche!$A$1:$A$1000,0)+3),VLOOKUP(Calendario!$H$16,Impostazioni!$A$25:$J$36,10,FALSE())),""))</f>
        <v/>
      </c>
      <c r="I333" s="29"/>
      <c r="J333" s="29"/>
      <c r="K333" s="28" t="str">
        <f aca="false">IF(Calendario!$I$16="","",IFERROR(HYPERLINK("#Rubriche!C"&amp;(MATCH(Calendario!$I$16,Rubriche!$A$1:$A$1000,0)+0),VLOOKUP(Calendario!$I$16,Impostazioni!$A$25:$J$36,7,FALSE())),""))</f>
        <v/>
      </c>
      <c r="L333" s="28" t="str">
        <f aca="false">IF(Calendario!$I$16="","",IFERROR(HYPERLINK("#Rubriche!C"&amp;(MATCH(Calendario!$I$16,Rubriche!$A$1:$A$1000,0)+1),VLOOKUP(Calendario!$I$16,Impostazioni!$A$25:$J$36,8,FALSE())),""))</f>
        <v/>
      </c>
      <c r="M333" s="28" t="str">
        <f aca="false">IF(Calendario!$I$16="","",IFERROR(HYPERLINK("#Rubriche!C"&amp;(MATCH(Calendario!$I$16,Rubriche!$A$1:$A$1000,0)+2),VLOOKUP(Calendario!$I$16,Impostazioni!$A$25:$J$36,9,FALSE())),""))</f>
        <v/>
      </c>
      <c r="N333" s="28" t="str">
        <f aca="false">IF(Calendario!$I$16="","",IFERROR(HYPERLINK("#Rubriche!C"&amp;(MATCH(Calendario!$I$16,Rubriche!$A$1:$A$1000,0)+3),VLOOKUP(Calendario!$I$16,Impostazioni!$A$25:$J$36,10,FALSE())),""))</f>
        <v/>
      </c>
      <c r="O333" s="29"/>
      <c r="P333" s="29"/>
      <c r="Q333" s="28" t="str">
        <f aca="false">IF(Calendario!$J$16="","",IFERROR(HYPERLINK("#Rubriche!C"&amp;(MATCH(Calendario!$J$16,Rubriche!$A$1:$A$1000,0)+0),VLOOKUP(Calendario!$J$16,Impostazioni!$A$25:$J$36,7,FALSE())),""))</f>
        <v/>
      </c>
      <c r="R333" s="28" t="str">
        <f aca="false">IF(Calendario!$J$16="","",IFERROR(HYPERLINK("#Rubriche!C"&amp;(MATCH(Calendario!$J$16,Rubriche!$A$1:$A$1000,0)+1),VLOOKUP(Calendario!$J$16,Impostazioni!$A$25:$J$36,8,FALSE())),""))</f>
        <v/>
      </c>
      <c r="S333" s="28" t="str">
        <f aca="false">IF(Calendario!$J$16="","",IFERROR(HYPERLINK("#Rubriche!C"&amp;(MATCH(Calendario!$J$16,Rubriche!$A$1:$A$1000,0)+2),VLOOKUP(Calendario!$J$16,Impostazioni!$A$25:$J$36,9,FALSE())),""))</f>
        <v/>
      </c>
      <c r="T333" s="28" t="str">
        <f aca="false">IF(Calendario!$J$16="","",IFERROR(HYPERLINK("#Rubriche!C"&amp;(MATCH(Calendario!$J$16,Rubriche!$A$1:$A$1000,0)+3),VLOOKUP(Calendario!$J$16,Impostazioni!$A$25:$J$36,10,FALSE())),""))</f>
        <v/>
      </c>
      <c r="U333" s="29"/>
      <c r="V333" s="29"/>
      <c r="W333" s="28" t="str">
        <f aca="false">IF(Calendario!$K$16="","",IFERROR(HYPERLINK("#Rubriche!C"&amp;(MATCH(Calendario!$K$16,Rubriche!$A$1:$A$1000,0)+0),VLOOKUP(Calendario!$K$16,Impostazioni!$A$25:$J$36,7,FALSE())),""))</f>
        <v/>
      </c>
      <c r="X333" s="28" t="str">
        <f aca="false">IF(Calendario!$K$16="","",IFERROR(HYPERLINK("#Rubriche!C"&amp;(MATCH(Calendario!$K$16,Rubriche!$A$1:$A$1000,0)+1),VLOOKUP(Calendario!$K$16,Impostazioni!$A$25:$J$36,8,FALSE())),""))</f>
        <v/>
      </c>
      <c r="Y333" s="28" t="str">
        <f aca="false">IF(Calendario!$K$16="","",IFERROR(HYPERLINK("#Rubriche!C"&amp;(MATCH(Calendario!$K$16,Rubriche!$A$1:$A$1000,0)+2),VLOOKUP(Calendario!$K$16,Impostazioni!$A$25:$J$36,9,FALSE())),""))</f>
        <v/>
      </c>
      <c r="Z333" s="28" t="str">
        <f aca="false">IF(Calendario!$K$16="","",IFERROR(HYPERLINK("#Rubriche!C"&amp;(MATCH(Calendario!$K$16,Rubriche!$A$1:$A$1000,0)+3),VLOOKUP(Calendario!$K$16,Impostazioni!$A$25:$J$36,10,FALSE())),""))</f>
        <v/>
      </c>
      <c r="AA333" s="29"/>
      <c r="AB333" s="29"/>
    </row>
    <row r="334" customFormat="false" ht="25.5" hidden="false" customHeight="true" outlineLevel="0" collapsed="false">
      <c r="A334" s="8" t="s">
        <v>65</v>
      </c>
      <c r="B334" s="8" t="s">
        <v>83</v>
      </c>
      <c r="C334" s="8" t="s">
        <v>68</v>
      </c>
      <c r="D334" s="8" t="s">
        <v>84</v>
      </c>
      <c r="E334" s="30" t="s">
        <v>85</v>
      </c>
      <c r="F334" s="30" t="s">
        <v>86</v>
      </c>
      <c r="G334" s="30" t="s">
        <v>87</v>
      </c>
      <c r="H334" s="30" t="s">
        <v>88</v>
      </c>
      <c r="I334" s="31" t="s">
        <v>89</v>
      </c>
      <c r="J334" s="32" t="s">
        <v>90</v>
      </c>
      <c r="K334" s="30" t="s">
        <v>85</v>
      </c>
      <c r="L334" s="30" t="s">
        <v>86</v>
      </c>
      <c r="M334" s="30" t="s">
        <v>87</v>
      </c>
      <c r="N334" s="30" t="s">
        <v>88</v>
      </c>
      <c r="O334" s="31" t="s">
        <v>89</v>
      </c>
      <c r="P334" s="32" t="s">
        <v>90</v>
      </c>
      <c r="Q334" s="30" t="s">
        <v>85</v>
      </c>
      <c r="R334" s="30" t="s">
        <v>86</v>
      </c>
      <c r="S334" s="30" t="s">
        <v>87</v>
      </c>
      <c r="T334" s="30" t="s">
        <v>88</v>
      </c>
      <c r="U334" s="31" t="s">
        <v>89</v>
      </c>
      <c r="V334" s="32" t="s">
        <v>90</v>
      </c>
      <c r="W334" s="30" t="s">
        <v>85</v>
      </c>
      <c r="X334" s="30" t="s">
        <v>86</v>
      </c>
      <c r="Y334" s="30" t="s">
        <v>87</v>
      </c>
      <c r="Z334" s="30" t="s">
        <v>88</v>
      </c>
      <c r="AA334" s="31" t="s">
        <v>89</v>
      </c>
      <c r="AB334" s="32" t="s">
        <v>90</v>
      </c>
    </row>
    <row r="335" customFormat="false" ht="21" hidden="false" customHeight="true" outlineLevel="0" collapsed="false">
      <c r="A335" s="33" t="n">
        <v>1</v>
      </c>
      <c r="B335" s="34" t="str">
        <f aca="false">IFERROR(INDEX(Alunni!$C$1:$C$1000,MATCH($A335,Alunni!$A$1:$A$1000,0))&amp;"","")</f>
        <v>Rossi Mario (esempio)</v>
      </c>
      <c r="C335" s="15"/>
      <c r="D335" s="35"/>
      <c r="E335" s="36"/>
      <c r="F335" s="36"/>
      <c r="G335" s="36"/>
      <c r="H335" s="36"/>
      <c r="I335" s="39" t="str">
        <f aca="false">IF(COUNT(E335:H335)=0,"",ROUND(AVERAGE(E335:H335),0))</f>
        <v/>
      </c>
      <c r="J335" s="38" t="str">
        <f aca="false">IF(I335="","",LOOKUP(I335,Impostazioni!$E$4:$E$9,Impostazioni!$F$4:$F$9))</f>
        <v/>
      </c>
      <c r="K335" s="36"/>
      <c r="L335" s="36"/>
      <c r="M335" s="36"/>
      <c r="N335" s="36"/>
      <c r="O335" s="39" t="str">
        <f aca="false">IF(COUNT(K335:N335)=0,"",ROUND(AVERAGE(K335:N335),0))</f>
        <v/>
      </c>
      <c r="P335" s="38" t="str">
        <f aca="false">IF(O335="","",LOOKUP(O335,Impostazioni!$E$4:$E$9,Impostazioni!$F$4:$F$9))</f>
        <v/>
      </c>
      <c r="Q335" s="36"/>
      <c r="R335" s="36"/>
      <c r="S335" s="36"/>
      <c r="T335" s="36"/>
      <c r="U335" s="39" t="str">
        <f aca="false">IF(COUNT(Q335:T335)=0,"",ROUND(AVERAGE(Q335:T335),0))</f>
        <v/>
      </c>
      <c r="V335" s="38" t="str">
        <f aca="false">IF(U335="","",LOOKUP(U335,Impostazioni!$E$4:$E$9,Impostazioni!$F$4:$F$9))</f>
        <v/>
      </c>
      <c r="W335" s="36"/>
      <c r="X335" s="36"/>
      <c r="Y335" s="36"/>
      <c r="Z335" s="36"/>
      <c r="AA335" s="39" t="str">
        <f aca="false">IF(COUNT(W335:Z335)=0,"",ROUND(AVERAGE(W335:Z335),0))</f>
        <v/>
      </c>
      <c r="AB335" s="38" t="str">
        <f aca="false">IF(AA335="","",LOOKUP(AA335,Impostazioni!$E$4:$E$9,Impostazioni!$F$4:$F$9))</f>
        <v/>
      </c>
    </row>
    <row r="336" customFormat="false" ht="21" hidden="false" customHeight="true" outlineLevel="0" collapsed="false">
      <c r="A336" s="33" t="n">
        <v>2</v>
      </c>
      <c r="B336" s="34" t="str">
        <f aca="false">IFERROR(INDEX(Alunni!$C$1:$C$1000,MATCH($A336,Alunni!$A$1:$A$1000,0))&amp;"","")</f>
        <v>Bianchi Anna (esempio)</v>
      </c>
      <c r="C336" s="15"/>
      <c r="D336" s="35"/>
      <c r="E336" s="36"/>
      <c r="F336" s="36"/>
      <c r="G336" s="36"/>
      <c r="H336" s="36"/>
      <c r="I336" s="39" t="str">
        <f aca="false">IF(COUNT(E336:H336)=0,"",ROUND(AVERAGE(E336:H336),0))</f>
        <v/>
      </c>
      <c r="J336" s="38" t="str">
        <f aca="false">IF(I336="","",LOOKUP(I336,Impostazioni!$E$4:$E$9,Impostazioni!$F$4:$F$9))</f>
        <v/>
      </c>
      <c r="K336" s="36"/>
      <c r="L336" s="36"/>
      <c r="M336" s="36"/>
      <c r="N336" s="36"/>
      <c r="O336" s="39" t="str">
        <f aca="false">IF(COUNT(K336:N336)=0,"",ROUND(AVERAGE(K336:N336),0))</f>
        <v/>
      </c>
      <c r="P336" s="38" t="str">
        <f aca="false">IF(O336="","",LOOKUP(O336,Impostazioni!$E$4:$E$9,Impostazioni!$F$4:$F$9))</f>
        <v/>
      </c>
      <c r="Q336" s="36"/>
      <c r="R336" s="36"/>
      <c r="S336" s="36"/>
      <c r="T336" s="36"/>
      <c r="U336" s="39" t="str">
        <f aca="false">IF(COUNT(Q336:T336)=0,"",ROUND(AVERAGE(Q336:T336),0))</f>
        <v/>
      </c>
      <c r="V336" s="38" t="str">
        <f aca="false">IF(U336="","",LOOKUP(U336,Impostazioni!$E$4:$E$9,Impostazioni!$F$4:$F$9))</f>
        <v/>
      </c>
      <c r="W336" s="36"/>
      <c r="X336" s="36"/>
      <c r="Y336" s="36"/>
      <c r="Z336" s="36"/>
      <c r="AA336" s="39" t="str">
        <f aca="false">IF(COUNT(W336:Z336)=0,"",ROUND(AVERAGE(W336:Z336),0))</f>
        <v/>
      </c>
      <c r="AB336" s="38" t="str">
        <f aca="false">IF(AA336="","",LOOKUP(AA336,Impostazioni!$E$4:$E$9,Impostazioni!$F$4:$F$9))</f>
        <v/>
      </c>
    </row>
    <row r="337" customFormat="false" ht="21" hidden="false" customHeight="true" outlineLevel="0" collapsed="false">
      <c r="A337" s="33" t="n">
        <v>3</v>
      </c>
      <c r="B337" s="34" t="str">
        <f aca="false">IFERROR(INDEX(Alunni!$C$1:$C$1000,MATCH($A337,Alunni!$A$1:$A$1000,0))&amp;"","")</f>
        <v>Verdi Luca (esempio)</v>
      </c>
      <c r="C337" s="15"/>
      <c r="D337" s="35"/>
      <c r="E337" s="36"/>
      <c r="F337" s="36"/>
      <c r="G337" s="36"/>
      <c r="H337" s="36"/>
      <c r="I337" s="39" t="str">
        <f aca="false">IF(COUNT(E337:H337)=0,"",ROUND(AVERAGE(E337:H337),0))</f>
        <v/>
      </c>
      <c r="J337" s="38" t="str">
        <f aca="false">IF(I337="","",LOOKUP(I337,Impostazioni!$E$4:$E$9,Impostazioni!$F$4:$F$9))</f>
        <v/>
      </c>
      <c r="K337" s="36"/>
      <c r="L337" s="36"/>
      <c r="M337" s="36"/>
      <c r="N337" s="36"/>
      <c r="O337" s="39" t="str">
        <f aca="false">IF(COUNT(K337:N337)=0,"",ROUND(AVERAGE(K337:N337),0))</f>
        <v/>
      </c>
      <c r="P337" s="38" t="str">
        <f aca="false">IF(O337="","",LOOKUP(O337,Impostazioni!$E$4:$E$9,Impostazioni!$F$4:$F$9))</f>
        <v/>
      </c>
      <c r="Q337" s="36"/>
      <c r="R337" s="36"/>
      <c r="S337" s="36"/>
      <c r="T337" s="36"/>
      <c r="U337" s="39" t="str">
        <f aca="false">IF(COUNT(Q337:T337)=0,"",ROUND(AVERAGE(Q337:T337),0))</f>
        <v/>
      </c>
      <c r="V337" s="38" t="str">
        <f aca="false">IF(U337="","",LOOKUP(U337,Impostazioni!$E$4:$E$9,Impostazioni!$F$4:$F$9))</f>
        <v/>
      </c>
      <c r="W337" s="36"/>
      <c r="X337" s="36"/>
      <c r="Y337" s="36"/>
      <c r="Z337" s="36"/>
      <c r="AA337" s="39" t="str">
        <f aca="false">IF(COUNT(W337:Z337)=0,"",ROUND(AVERAGE(W337:Z337),0))</f>
        <v/>
      </c>
      <c r="AB337" s="38" t="str">
        <f aca="false">IF(AA337="","",LOOKUP(AA337,Impostazioni!$E$4:$E$9,Impostazioni!$F$4:$F$9))</f>
        <v/>
      </c>
    </row>
    <row r="338" customFormat="false" ht="21" hidden="false" customHeight="true" outlineLevel="0" collapsed="false">
      <c r="A338" s="33" t="n">
        <v>4</v>
      </c>
      <c r="B338" s="34" t="str">
        <f aca="false">IFERROR(INDEX(Alunni!$C$1:$C$1000,MATCH($A338,Alunni!$A$1:$A$1000,0))&amp;"","")</f>
        <v/>
      </c>
      <c r="C338" s="15"/>
      <c r="D338" s="35"/>
      <c r="E338" s="36"/>
      <c r="F338" s="36"/>
      <c r="G338" s="36"/>
      <c r="H338" s="36"/>
      <c r="I338" s="39" t="str">
        <f aca="false">IF(COUNT(E338:H338)=0,"",ROUND(AVERAGE(E338:H338),0))</f>
        <v/>
      </c>
      <c r="J338" s="38" t="str">
        <f aca="false">IF(I338="","",LOOKUP(I338,Impostazioni!$E$4:$E$9,Impostazioni!$F$4:$F$9))</f>
        <v/>
      </c>
      <c r="K338" s="36"/>
      <c r="L338" s="36"/>
      <c r="M338" s="36"/>
      <c r="N338" s="36"/>
      <c r="O338" s="39" t="str">
        <f aca="false">IF(COUNT(K338:N338)=0,"",ROUND(AVERAGE(K338:N338),0))</f>
        <v/>
      </c>
      <c r="P338" s="38" t="str">
        <f aca="false">IF(O338="","",LOOKUP(O338,Impostazioni!$E$4:$E$9,Impostazioni!$F$4:$F$9))</f>
        <v/>
      </c>
      <c r="Q338" s="36"/>
      <c r="R338" s="36"/>
      <c r="S338" s="36"/>
      <c r="T338" s="36"/>
      <c r="U338" s="39" t="str">
        <f aca="false">IF(COUNT(Q338:T338)=0,"",ROUND(AVERAGE(Q338:T338),0))</f>
        <v/>
      </c>
      <c r="V338" s="38" t="str">
        <f aca="false">IF(U338="","",LOOKUP(U338,Impostazioni!$E$4:$E$9,Impostazioni!$F$4:$F$9))</f>
        <v/>
      </c>
      <c r="W338" s="36"/>
      <c r="X338" s="36"/>
      <c r="Y338" s="36"/>
      <c r="Z338" s="36"/>
      <c r="AA338" s="39" t="str">
        <f aca="false">IF(COUNT(W338:Z338)=0,"",ROUND(AVERAGE(W338:Z338),0))</f>
        <v/>
      </c>
      <c r="AB338" s="38" t="str">
        <f aca="false">IF(AA338="","",LOOKUP(AA338,Impostazioni!$E$4:$E$9,Impostazioni!$F$4:$F$9))</f>
        <v/>
      </c>
    </row>
    <row r="339" customFormat="false" ht="21" hidden="false" customHeight="true" outlineLevel="0" collapsed="false">
      <c r="A339" s="33" t="n">
        <v>5</v>
      </c>
      <c r="B339" s="34" t="str">
        <f aca="false">IFERROR(INDEX(Alunni!$C$1:$C$1000,MATCH($A339,Alunni!$A$1:$A$1000,0))&amp;"","")</f>
        <v/>
      </c>
      <c r="C339" s="15"/>
      <c r="D339" s="35"/>
      <c r="E339" s="36"/>
      <c r="F339" s="36"/>
      <c r="G339" s="36"/>
      <c r="H339" s="36"/>
      <c r="I339" s="39" t="str">
        <f aca="false">IF(COUNT(E339:H339)=0,"",ROUND(AVERAGE(E339:H339),0))</f>
        <v/>
      </c>
      <c r="J339" s="38" t="str">
        <f aca="false">IF(I339="","",LOOKUP(I339,Impostazioni!$E$4:$E$9,Impostazioni!$F$4:$F$9))</f>
        <v/>
      </c>
      <c r="K339" s="36"/>
      <c r="L339" s="36"/>
      <c r="M339" s="36"/>
      <c r="N339" s="36"/>
      <c r="O339" s="39" t="str">
        <f aca="false">IF(COUNT(K339:N339)=0,"",ROUND(AVERAGE(K339:N339),0))</f>
        <v/>
      </c>
      <c r="P339" s="38" t="str">
        <f aca="false">IF(O339="","",LOOKUP(O339,Impostazioni!$E$4:$E$9,Impostazioni!$F$4:$F$9))</f>
        <v/>
      </c>
      <c r="Q339" s="36"/>
      <c r="R339" s="36"/>
      <c r="S339" s="36"/>
      <c r="T339" s="36"/>
      <c r="U339" s="39" t="str">
        <f aca="false">IF(COUNT(Q339:T339)=0,"",ROUND(AVERAGE(Q339:T339),0))</f>
        <v/>
      </c>
      <c r="V339" s="38" t="str">
        <f aca="false">IF(U339="","",LOOKUP(U339,Impostazioni!$E$4:$E$9,Impostazioni!$F$4:$F$9))</f>
        <v/>
      </c>
      <c r="W339" s="36"/>
      <c r="X339" s="36"/>
      <c r="Y339" s="36"/>
      <c r="Z339" s="36"/>
      <c r="AA339" s="39" t="str">
        <f aca="false">IF(COUNT(W339:Z339)=0,"",ROUND(AVERAGE(W339:Z339),0))</f>
        <v/>
      </c>
      <c r="AB339" s="38" t="str">
        <f aca="false">IF(AA339="","",LOOKUP(AA339,Impostazioni!$E$4:$E$9,Impostazioni!$F$4:$F$9))</f>
        <v/>
      </c>
    </row>
    <row r="340" customFormat="false" ht="21" hidden="false" customHeight="true" outlineLevel="0" collapsed="false">
      <c r="A340" s="33" t="n">
        <v>6</v>
      </c>
      <c r="B340" s="34" t="str">
        <f aca="false">IFERROR(INDEX(Alunni!$C$1:$C$1000,MATCH($A340,Alunni!$A$1:$A$1000,0))&amp;"","")</f>
        <v/>
      </c>
      <c r="C340" s="15"/>
      <c r="D340" s="35"/>
      <c r="E340" s="36"/>
      <c r="F340" s="36"/>
      <c r="G340" s="36"/>
      <c r="H340" s="36"/>
      <c r="I340" s="39" t="str">
        <f aca="false">IF(COUNT(E340:H340)=0,"",ROUND(AVERAGE(E340:H340),0))</f>
        <v/>
      </c>
      <c r="J340" s="38" t="str">
        <f aca="false">IF(I340="","",LOOKUP(I340,Impostazioni!$E$4:$E$9,Impostazioni!$F$4:$F$9))</f>
        <v/>
      </c>
      <c r="K340" s="36"/>
      <c r="L340" s="36"/>
      <c r="M340" s="36"/>
      <c r="N340" s="36"/>
      <c r="O340" s="39" t="str">
        <f aca="false">IF(COUNT(K340:N340)=0,"",ROUND(AVERAGE(K340:N340),0))</f>
        <v/>
      </c>
      <c r="P340" s="38" t="str">
        <f aca="false">IF(O340="","",LOOKUP(O340,Impostazioni!$E$4:$E$9,Impostazioni!$F$4:$F$9))</f>
        <v/>
      </c>
      <c r="Q340" s="36"/>
      <c r="R340" s="36"/>
      <c r="S340" s="36"/>
      <c r="T340" s="36"/>
      <c r="U340" s="39" t="str">
        <f aca="false">IF(COUNT(Q340:T340)=0,"",ROUND(AVERAGE(Q340:T340),0))</f>
        <v/>
      </c>
      <c r="V340" s="38" t="str">
        <f aca="false">IF(U340="","",LOOKUP(U340,Impostazioni!$E$4:$E$9,Impostazioni!$F$4:$F$9))</f>
        <v/>
      </c>
      <c r="W340" s="36"/>
      <c r="X340" s="36"/>
      <c r="Y340" s="36"/>
      <c r="Z340" s="36"/>
      <c r="AA340" s="39" t="str">
        <f aca="false">IF(COUNT(W340:Z340)=0,"",ROUND(AVERAGE(W340:Z340),0))</f>
        <v/>
      </c>
      <c r="AB340" s="38" t="str">
        <f aca="false">IF(AA340="","",LOOKUP(AA340,Impostazioni!$E$4:$E$9,Impostazioni!$F$4:$F$9))</f>
        <v/>
      </c>
    </row>
    <row r="341" customFormat="false" ht="21" hidden="false" customHeight="true" outlineLevel="0" collapsed="false">
      <c r="A341" s="33" t="n">
        <v>7</v>
      </c>
      <c r="B341" s="34" t="str">
        <f aca="false">IFERROR(INDEX(Alunni!$C$1:$C$1000,MATCH($A341,Alunni!$A$1:$A$1000,0))&amp;"","")</f>
        <v/>
      </c>
      <c r="C341" s="15"/>
      <c r="D341" s="35"/>
      <c r="E341" s="36"/>
      <c r="F341" s="36"/>
      <c r="G341" s="36"/>
      <c r="H341" s="36"/>
      <c r="I341" s="39" t="str">
        <f aca="false">IF(COUNT(E341:H341)=0,"",ROUND(AVERAGE(E341:H341),0))</f>
        <v/>
      </c>
      <c r="J341" s="38" t="str">
        <f aca="false">IF(I341="","",LOOKUP(I341,Impostazioni!$E$4:$E$9,Impostazioni!$F$4:$F$9))</f>
        <v/>
      </c>
      <c r="K341" s="36"/>
      <c r="L341" s="36"/>
      <c r="M341" s="36"/>
      <c r="N341" s="36"/>
      <c r="O341" s="39" t="str">
        <f aca="false">IF(COUNT(K341:N341)=0,"",ROUND(AVERAGE(K341:N341),0))</f>
        <v/>
      </c>
      <c r="P341" s="38" t="str">
        <f aca="false">IF(O341="","",LOOKUP(O341,Impostazioni!$E$4:$E$9,Impostazioni!$F$4:$F$9))</f>
        <v/>
      </c>
      <c r="Q341" s="36"/>
      <c r="R341" s="36"/>
      <c r="S341" s="36"/>
      <c r="T341" s="36"/>
      <c r="U341" s="39" t="str">
        <f aca="false">IF(COUNT(Q341:T341)=0,"",ROUND(AVERAGE(Q341:T341),0))</f>
        <v/>
      </c>
      <c r="V341" s="38" t="str">
        <f aca="false">IF(U341="","",LOOKUP(U341,Impostazioni!$E$4:$E$9,Impostazioni!$F$4:$F$9))</f>
        <v/>
      </c>
      <c r="W341" s="36"/>
      <c r="X341" s="36"/>
      <c r="Y341" s="36"/>
      <c r="Z341" s="36"/>
      <c r="AA341" s="39" t="str">
        <f aca="false">IF(COUNT(W341:Z341)=0,"",ROUND(AVERAGE(W341:Z341),0))</f>
        <v/>
      </c>
      <c r="AB341" s="38" t="str">
        <f aca="false">IF(AA341="","",LOOKUP(AA341,Impostazioni!$E$4:$E$9,Impostazioni!$F$4:$F$9))</f>
        <v/>
      </c>
    </row>
    <row r="342" customFormat="false" ht="21" hidden="false" customHeight="true" outlineLevel="0" collapsed="false">
      <c r="A342" s="33" t="n">
        <v>8</v>
      </c>
      <c r="B342" s="34" t="str">
        <f aca="false">IFERROR(INDEX(Alunni!$C$1:$C$1000,MATCH($A342,Alunni!$A$1:$A$1000,0))&amp;"","")</f>
        <v/>
      </c>
      <c r="C342" s="15"/>
      <c r="D342" s="35"/>
      <c r="E342" s="36"/>
      <c r="F342" s="36"/>
      <c r="G342" s="36"/>
      <c r="H342" s="36"/>
      <c r="I342" s="39" t="str">
        <f aca="false">IF(COUNT(E342:H342)=0,"",ROUND(AVERAGE(E342:H342),0))</f>
        <v/>
      </c>
      <c r="J342" s="38" t="str">
        <f aca="false">IF(I342="","",LOOKUP(I342,Impostazioni!$E$4:$E$9,Impostazioni!$F$4:$F$9))</f>
        <v/>
      </c>
      <c r="K342" s="36"/>
      <c r="L342" s="36"/>
      <c r="M342" s="36"/>
      <c r="N342" s="36"/>
      <c r="O342" s="39" t="str">
        <f aca="false">IF(COUNT(K342:N342)=0,"",ROUND(AVERAGE(K342:N342),0))</f>
        <v/>
      </c>
      <c r="P342" s="38" t="str">
        <f aca="false">IF(O342="","",LOOKUP(O342,Impostazioni!$E$4:$E$9,Impostazioni!$F$4:$F$9))</f>
        <v/>
      </c>
      <c r="Q342" s="36"/>
      <c r="R342" s="36"/>
      <c r="S342" s="36"/>
      <c r="T342" s="36"/>
      <c r="U342" s="39" t="str">
        <f aca="false">IF(COUNT(Q342:T342)=0,"",ROUND(AVERAGE(Q342:T342),0))</f>
        <v/>
      </c>
      <c r="V342" s="38" t="str">
        <f aca="false">IF(U342="","",LOOKUP(U342,Impostazioni!$E$4:$E$9,Impostazioni!$F$4:$F$9))</f>
        <v/>
      </c>
      <c r="W342" s="36"/>
      <c r="X342" s="36"/>
      <c r="Y342" s="36"/>
      <c r="Z342" s="36"/>
      <c r="AA342" s="39" t="str">
        <f aca="false">IF(COUNT(W342:Z342)=0,"",ROUND(AVERAGE(W342:Z342),0))</f>
        <v/>
      </c>
      <c r="AB342" s="38" t="str">
        <f aca="false">IF(AA342="","",LOOKUP(AA342,Impostazioni!$E$4:$E$9,Impostazioni!$F$4:$F$9))</f>
        <v/>
      </c>
    </row>
    <row r="343" customFormat="false" ht="21" hidden="false" customHeight="true" outlineLevel="0" collapsed="false">
      <c r="A343" s="33" t="n">
        <v>9</v>
      </c>
      <c r="B343" s="34" t="str">
        <f aca="false">IFERROR(INDEX(Alunni!$C$1:$C$1000,MATCH($A343,Alunni!$A$1:$A$1000,0))&amp;"","")</f>
        <v/>
      </c>
      <c r="C343" s="15"/>
      <c r="D343" s="35"/>
      <c r="E343" s="36"/>
      <c r="F343" s="36"/>
      <c r="G343" s="36"/>
      <c r="H343" s="36"/>
      <c r="I343" s="39" t="str">
        <f aca="false">IF(COUNT(E343:H343)=0,"",ROUND(AVERAGE(E343:H343),0))</f>
        <v/>
      </c>
      <c r="J343" s="38" t="str">
        <f aca="false">IF(I343="","",LOOKUP(I343,Impostazioni!$E$4:$E$9,Impostazioni!$F$4:$F$9))</f>
        <v/>
      </c>
      <c r="K343" s="36"/>
      <c r="L343" s="36"/>
      <c r="M343" s="36"/>
      <c r="N343" s="36"/>
      <c r="O343" s="39" t="str">
        <f aca="false">IF(COUNT(K343:N343)=0,"",ROUND(AVERAGE(K343:N343),0))</f>
        <v/>
      </c>
      <c r="P343" s="38" t="str">
        <f aca="false">IF(O343="","",LOOKUP(O343,Impostazioni!$E$4:$E$9,Impostazioni!$F$4:$F$9))</f>
        <v/>
      </c>
      <c r="Q343" s="36"/>
      <c r="R343" s="36"/>
      <c r="S343" s="36"/>
      <c r="T343" s="36"/>
      <c r="U343" s="39" t="str">
        <f aca="false">IF(COUNT(Q343:T343)=0,"",ROUND(AVERAGE(Q343:T343),0))</f>
        <v/>
      </c>
      <c r="V343" s="38" t="str">
        <f aca="false">IF(U343="","",LOOKUP(U343,Impostazioni!$E$4:$E$9,Impostazioni!$F$4:$F$9))</f>
        <v/>
      </c>
      <c r="W343" s="36"/>
      <c r="X343" s="36"/>
      <c r="Y343" s="36"/>
      <c r="Z343" s="36"/>
      <c r="AA343" s="39" t="str">
        <f aca="false">IF(COUNT(W343:Z343)=0,"",ROUND(AVERAGE(W343:Z343),0))</f>
        <v/>
      </c>
      <c r="AB343" s="38" t="str">
        <f aca="false">IF(AA343="","",LOOKUP(AA343,Impostazioni!$E$4:$E$9,Impostazioni!$F$4:$F$9))</f>
        <v/>
      </c>
    </row>
    <row r="344" customFormat="false" ht="21" hidden="false" customHeight="true" outlineLevel="0" collapsed="false">
      <c r="A344" s="33" t="n">
        <v>10</v>
      </c>
      <c r="B344" s="34" t="str">
        <f aca="false">IFERROR(INDEX(Alunni!$C$1:$C$1000,MATCH($A344,Alunni!$A$1:$A$1000,0))&amp;"","")</f>
        <v/>
      </c>
      <c r="C344" s="15"/>
      <c r="D344" s="35"/>
      <c r="E344" s="36"/>
      <c r="F344" s="36"/>
      <c r="G344" s="36"/>
      <c r="H344" s="36"/>
      <c r="I344" s="39" t="str">
        <f aca="false">IF(COUNT(E344:H344)=0,"",ROUND(AVERAGE(E344:H344),0))</f>
        <v/>
      </c>
      <c r="J344" s="38" t="str">
        <f aca="false">IF(I344="","",LOOKUP(I344,Impostazioni!$E$4:$E$9,Impostazioni!$F$4:$F$9))</f>
        <v/>
      </c>
      <c r="K344" s="36"/>
      <c r="L344" s="36"/>
      <c r="M344" s="36"/>
      <c r="N344" s="36"/>
      <c r="O344" s="39" t="str">
        <f aca="false">IF(COUNT(K344:N344)=0,"",ROUND(AVERAGE(K344:N344),0))</f>
        <v/>
      </c>
      <c r="P344" s="38" t="str">
        <f aca="false">IF(O344="","",LOOKUP(O344,Impostazioni!$E$4:$E$9,Impostazioni!$F$4:$F$9))</f>
        <v/>
      </c>
      <c r="Q344" s="36"/>
      <c r="R344" s="36"/>
      <c r="S344" s="36"/>
      <c r="T344" s="36"/>
      <c r="U344" s="39" t="str">
        <f aca="false">IF(COUNT(Q344:T344)=0,"",ROUND(AVERAGE(Q344:T344),0))</f>
        <v/>
      </c>
      <c r="V344" s="38" t="str">
        <f aca="false">IF(U344="","",LOOKUP(U344,Impostazioni!$E$4:$E$9,Impostazioni!$F$4:$F$9))</f>
        <v/>
      </c>
      <c r="W344" s="36"/>
      <c r="X344" s="36"/>
      <c r="Y344" s="36"/>
      <c r="Z344" s="36"/>
      <c r="AA344" s="39" t="str">
        <f aca="false">IF(COUNT(W344:Z344)=0,"",ROUND(AVERAGE(W344:Z344),0))</f>
        <v/>
      </c>
      <c r="AB344" s="38" t="str">
        <f aca="false">IF(AA344="","",LOOKUP(AA344,Impostazioni!$E$4:$E$9,Impostazioni!$F$4:$F$9))</f>
        <v/>
      </c>
    </row>
    <row r="345" customFormat="false" ht="21" hidden="false" customHeight="true" outlineLevel="0" collapsed="false">
      <c r="A345" s="33" t="n">
        <v>11</v>
      </c>
      <c r="B345" s="34" t="str">
        <f aca="false">IFERROR(INDEX(Alunni!$C$1:$C$1000,MATCH($A345,Alunni!$A$1:$A$1000,0))&amp;"","")</f>
        <v/>
      </c>
      <c r="C345" s="15"/>
      <c r="D345" s="35"/>
      <c r="E345" s="36"/>
      <c r="F345" s="36"/>
      <c r="G345" s="36"/>
      <c r="H345" s="36"/>
      <c r="I345" s="39" t="str">
        <f aca="false">IF(COUNT(E345:H345)=0,"",ROUND(AVERAGE(E345:H345),0))</f>
        <v/>
      </c>
      <c r="J345" s="38" t="str">
        <f aca="false">IF(I345="","",LOOKUP(I345,Impostazioni!$E$4:$E$9,Impostazioni!$F$4:$F$9))</f>
        <v/>
      </c>
      <c r="K345" s="36"/>
      <c r="L345" s="36"/>
      <c r="M345" s="36"/>
      <c r="N345" s="36"/>
      <c r="O345" s="39" t="str">
        <f aca="false">IF(COUNT(K345:N345)=0,"",ROUND(AVERAGE(K345:N345),0))</f>
        <v/>
      </c>
      <c r="P345" s="38" t="str">
        <f aca="false">IF(O345="","",LOOKUP(O345,Impostazioni!$E$4:$E$9,Impostazioni!$F$4:$F$9))</f>
        <v/>
      </c>
      <c r="Q345" s="36"/>
      <c r="R345" s="36"/>
      <c r="S345" s="36"/>
      <c r="T345" s="36"/>
      <c r="U345" s="39" t="str">
        <f aca="false">IF(COUNT(Q345:T345)=0,"",ROUND(AVERAGE(Q345:T345),0))</f>
        <v/>
      </c>
      <c r="V345" s="38" t="str">
        <f aca="false">IF(U345="","",LOOKUP(U345,Impostazioni!$E$4:$E$9,Impostazioni!$F$4:$F$9))</f>
        <v/>
      </c>
      <c r="W345" s="36"/>
      <c r="X345" s="36"/>
      <c r="Y345" s="36"/>
      <c r="Z345" s="36"/>
      <c r="AA345" s="39" t="str">
        <f aca="false">IF(COUNT(W345:Z345)=0,"",ROUND(AVERAGE(W345:Z345),0))</f>
        <v/>
      </c>
      <c r="AB345" s="38" t="str">
        <f aca="false">IF(AA345="","",LOOKUP(AA345,Impostazioni!$E$4:$E$9,Impostazioni!$F$4:$F$9))</f>
        <v/>
      </c>
    </row>
    <row r="346" customFormat="false" ht="21" hidden="false" customHeight="true" outlineLevel="0" collapsed="false">
      <c r="A346" s="33" t="n">
        <v>12</v>
      </c>
      <c r="B346" s="34" t="str">
        <f aca="false">IFERROR(INDEX(Alunni!$C$1:$C$1000,MATCH($A346,Alunni!$A$1:$A$1000,0))&amp;"","")</f>
        <v/>
      </c>
      <c r="C346" s="15"/>
      <c r="D346" s="35"/>
      <c r="E346" s="36"/>
      <c r="F346" s="36"/>
      <c r="G346" s="36"/>
      <c r="H346" s="36"/>
      <c r="I346" s="39" t="str">
        <f aca="false">IF(COUNT(E346:H346)=0,"",ROUND(AVERAGE(E346:H346),0))</f>
        <v/>
      </c>
      <c r="J346" s="38" t="str">
        <f aca="false">IF(I346="","",LOOKUP(I346,Impostazioni!$E$4:$E$9,Impostazioni!$F$4:$F$9))</f>
        <v/>
      </c>
      <c r="K346" s="36"/>
      <c r="L346" s="36"/>
      <c r="M346" s="36"/>
      <c r="N346" s="36"/>
      <c r="O346" s="39" t="str">
        <f aca="false">IF(COUNT(K346:N346)=0,"",ROUND(AVERAGE(K346:N346),0))</f>
        <v/>
      </c>
      <c r="P346" s="38" t="str">
        <f aca="false">IF(O346="","",LOOKUP(O346,Impostazioni!$E$4:$E$9,Impostazioni!$F$4:$F$9))</f>
        <v/>
      </c>
      <c r="Q346" s="36"/>
      <c r="R346" s="36"/>
      <c r="S346" s="36"/>
      <c r="T346" s="36"/>
      <c r="U346" s="39" t="str">
        <f aca="false">IF(COUNT(Q346:T346)=0,"",ROUND(AVERAGE(Q346:T346),0))</f>
        <v/>
      </c>
      <c r="V346" s="38" t="str">
        <f aca="false">IF(U346="","",LOOKUP(U346,Impostazioni!$E$4:$E$9,Impostazioni!$F$4:$F$9))</f>
        <v/>
      </c>
      <c r="W346" s="36"/>
      <c r="X346" s="36"/>
      <c r="Y346" s="36"/>
      <c r="Z346" s="36"/>
      <c r="AA346" s="39" t="str">
        <f aca="false">IF(COUNT(W346:Z346)=0,"",ROUND(AVERAGE(W346:Z346),0))</f>
        <v/>
      </c>
      <c r="AB346" s="38" t="str">
        <f aca="false">IF(AA346="","",LOOKUP(AA346,Impostazioni!$E$4:$E$9,Impostazioni!$F$4:$F$9))</f>
        <v/>
      </c>
    </row>
    <row r="347" customFormat="false" ht="21" hidden="false" customHeight="true" outlineLevel="0" collapsed="false">
      <c r="A347" s="33" t="n">
        <v>13</v>
      </c>
      <c r="B347" s="34" t="str">
        <f aca="false">IFERROR(INDEX(Alunni!$C$1:$C$1000,MATCH($A347,Alunni!$A$1:$A$1000,0))&amp;"","")</f>
        <v/>
      </c>
      <c r="C347" s="15"/>
      <c r="D347" s="35"/>
      <c r="E347" s="36"/>
      <c r="F347" s="36"/>
      <c r="G347" s="36"/>
      <c r="H347" s="36"/>
      <c r="I347" s="39" t="str">
        <f aca="false">IF(COUNT(E347:H347)=0,"",ROUND(AVERAGE(E347:H347),0))</f>
        <v/>
      </c>
      <c r="J347" s="38" t="str">
        <f aca="false">IF(I347="","",LOOKUP(I347,Impostazioni!$E$4:$E$9,Impostazioni!$F$4:$F$9))</f>
        <v/>
      </c>
      <c r="K347" s="36"/>
      <c r="L347" s="36"/>
      <c r="M347" s="36"/>
      <c r="N347" s="36"/>
      <c r="O347" s="39" t="str">
        <f aca="false">IF(COUNT(K347:N347)=0,"",ROUND(AVERAGE(K347:N347),0))</f>
        <v/>
      </c>
      <c r="P347" s="38" t="str">
        <f aca="false">IF(O347="","",LOOKUP(O347,Impostazioni!$E$4:$E$9,Impostazioni!$F$4:$F$9))</f>
        <v/>
      </c>
      <c r="Q347" s="36"/>
      <c r="R347" s="36"/>
      <c r="S347" s="36"/>
      <c r="T347" s="36"/>
      <c r="U347" s="39" t="str">
        <f aca="false">IF(COUNT(Q347:T347)=0,"",ROUND(AVERAGE(Q347:T347),0))</f>
        <v/>
      </c>
      <c r="V347" s="38" t="str">
        <f aca="false">IF(U347="","",LOOKUP(U347,Impostazioni!$E$4:$E$9,Impostazioni!$F$4:$F$9))</f>
        <v/>
      </c>
      <c r="W347" s="36"/>
      <c r="X347" s="36"/>
      <c r="Y347" s="36"/>
      <c r="Z347" s="36"/>
      <c r="AA347" s="39" t="str">
        <f aca="false">IF(COUNT(W347:Z347)=0,"",ROUND(AVERAGE(W347:Z347),0))</f>
        <v/>
      </c>
      <c r="AB347" s="38" t="str">
        <f aca="false">IF(AA347="","",LOOKUP(AA347,Impostazioni!$E$4:$E$9,Impostazioni!$F$4:$F$9))</f>
        <v/>
      </c>
    </row>
    <row r="348" customFormat="false" ht="21" hidden="false" customHeight="true" outlineLevel="0" collapsed="false">
      <c r="A348" s="33" t="n">
        <v>14</v>
      </c>
      <c r="B348" s="34" t="str">
        <f aca="false">IFERROR(INDEX(Alunni!$C$1:$C$1000,MATCH($A348,Alunni!$A$1:$A$1000,0))&amp;"","")</f>
        <v/>
      </c>
      <c r="C348" s="15"/>
      <c r="D348" s="35"/>
      <c r="E348" s="36"/>
      <c r="F348" s="36"/>
      <c r="G348" s="36"/>
      <c r="H348" s="36"/>
      <c r="I348" s="39" t="str">
        <f aca="false">IF(COUNT(E348:H348)=0,"",ROUND(AVERAGE(E348:H348),0))</f>
        <v/>
      </c>
      <c r="J348" s="38" t="str">
        <f aca="false">IF(I348="","",LOOKUP(I348,Impostazioni!$E$4:$E$9,Impostazioni!$F$4:$F$9))</f>
        <v/>
      </c>
      <c r="K348" s="36"/>
      <c r="L348" s="36"/>
      <c r="M348" s="36"/>
      <c r="N348" s="36"/>
      <c r="O348" s="39" t="str">
        <f aca="false">IF(COUNT(K348:N348)=0,"",ROUND(AVERAGE(K348:N348),0))</f>
        <v/>
      </c>
      <c r="P348" s="38" t="str">
        <f aca="false">IF(O348="","",LOOKUP(O348,Impostazioni!$E$4:$E$9,Impostazioni!$F$4:$F$9))</f>
        <v/>
      </c>
      <c r="Q348" s="36"/>
      <c r="R348" s="36"/>
      <c r="S348" s="36"/>
      <c r="T348" s="36"/>
      <c r="U348" s="39" t="str">
        <f aca="false">IF(COUNT(Q348:T348)=0,"",ROUND(AVERAGE(Q348:T348),0))</f>
        <v/>
      </c>
      <c r="V348" s="38" t="str">
        <f aca="false">IF(U348="","",LOOKUP(U348,Impostazioni!$E$4:$E$9,Impostazioni!$F$4:$F$9))</f>
        <v/>
      </c>
      <c r="W348" s="36"/>
      <c r="X348" s="36"/>
      <c r="Y348" s="36"/>
      <c r="Z348" s="36"/>
      <c r="AA348" s="39" t="str">
        <f aca="false">IF(COUNT(W348:Z348)=0,"",ROUND(AVERAGE(W348:Z348),0))</f>
        <v/>
      </c>
      <c r="AB348" s="38" t="str">
        <f aca="false">IF(AA348="","",LOOKUP(AA348,Impostazioni!$E$4:$E$9,Impostazioni!$F$4:$F$9))</f>
        <v/>
      </c>
    </row>
    <row r="349" customFormat="false" ht="21" hidden="false" customHeight="true" outlineLevel="0" collapsed="false">
      <c r="A349" s="33" t="n">
        <v>15</v>
      </c>
      <c r="B349" s="34" t="str">
        <f aca="false">IFERROR(INDEX(Alunni!$C$1:$C$1000,MATCH($A349,Alunni!$A$1:$A$1000,0))&amp;"","")</f>
        <v/>
      </c>
      <c r="C349" s="15"/>
      <c r="D349" s="35"/>
      <c r="E349" s="36"/>
      <c r="F349" s="36"/>
      <c r="G349" s="36"/>
      <c r="H349" s="36"/>
      <c r="I349" s="39" t="str">
        <f aca="false">IF(COUNT(E349:H349)=0,"",ROUND(AVERAGE(E349:H349),0))</f>
        <v/>
      </c>
      <c r="J349" s="38" t="str">
        <f aca="false">IF(I349="","",LOOKUP(I349,Impostazioni!$E$4:$E$9,Impostazioni!$F$4:$F$9))</f>
        <v/>
      </c>
      <c r="K349" s="36"/>
      <c r="L349" s="36"/>
      <c r="M349" s="36"/>
      <c r="N349" s="36"/>
      <c r="O349" s="39" t="str">
        <f aca="false">IF(COUNT(K349:N349)=0,"",ROUND(AVERAGE(K349:N349),0))</f>
        <v/>
      </c>
      <c r="P349" s="38" t="str">
        <f aca="false">IF(O349="","",LOOKUP(O349,Impostazioni!$E$4:$E$9,Impostazioni!$F$4:$F$9))</f>
        <v/>
      </c>
      <c r="Q349" s="36"/>
      <c r="R349" s="36"/>
      <c r="S349" s="36"/>
      <c r="T349" s="36"/>
      <c r="U349" s="39" t="str">
        <f aca="false">IF(COUNT(Q349:T349)=0,"",ROUND(AVERAGE(Q349:T349),0))</f>
        <v/>
      </c>
      <c r="V349" s="38" t="str">
        <f aca="false">IF(U349="","",LOOKUP(U349,Impostazioni!$E$4:$E$9,Impostazioni!$F$4:$F$9))</f>
        <v/>
      </c>
      <c r="W349" s="36"/>
      <c r="X349" s="36"/>
      <c r="Y349" s="36"/>
      <c r="Z349" s="36"/>
      <c r="AA349" s="39" t="str">
        <f aca="false">IF(COUNT(W349:Z349)=0,"",ROUND(AVERAGE(W349:Z349),0))</f>
        <v/>
      </c>
      <c r="AB349" s="38" t="str">
        <f aca="false">IF(AA349="","",LOOKUP(AA349,Impostazioni!$E$4:$E$9,Impostazioni!$F$4:$F$9))</f>
        <v/>
      </c>
    </row>
    <row r="350" customFormat="false" ht="21" hidden="false" customHeight="true" outlineLevel="0" collapsed="false">
      <c r="A350" s="33" t="n">
        <v>16</v>
      </c>
      <c r="B350" s="34" t="str">
        <f aca="false">IFERROR(INDEX(Alunni!$C$1:$C$1000,MATCH($A350,Alunni!$A$1:$A$1000,0))&amp;"","")</f>
        <v/>
      </c>
      <c r="C350" s="15"/>
      <c r="D350" s="35"/>
      <c r="E350" s="36"/>
      <c r="F350" s="36"/>
      <c r="G350" s="36"/>
      <c r="H350" s="36"/>
      <c r="I350" s="39" t="str">
        <f aca="false">IF(COUNT(E350:H350)=0,"",ROUND(AVERAGE(E350:H350),0))</f>
        <v/>
      </c>
      <c r="J350" s="38" t="str">
        <f aca="false">IF(I350="","",LOOKUP(I350,Impostazioni!$E$4:$E$9,Impostazioni!$F$4:$F$9))</f>
        <v/>
      </c>
      <c r="K350" s="36"/>
      <c r="L350" s="36"/>
      <c r="M350" s="36"/>
      <c r="N350" s="36"/>
      <c r="O350" s="39" t="str">
        <f aca="false">IF(COUNT(K350:N350)=0,"",ROUND(AVERAGE(K350:N350),0))</f>
        <v/>
      </c>
      <c r="P350" s="38" t="str">
        <f aca="false">IF(O350="","",LOOKUP(O350,Impostazioni!$E$4:$E$9,Impostazioni!$F$4:$F$9))</f>
        <v/>
      </c>
      <c r="Q350" s="36"/>
      <c r="R350" s="36"/>
      <c r="S350" s="36"/>
      <c r="T350" s="36"/>
      <c r="U350" s="39" t="str">
        <f aca="false">IF(COUNT(Q350:T350)=0,"",ROUND(AVERAGE(Q350:T350),0))</f>
        <v/>
      </c>
      <c r="V350" s="38" t="str">
        <f aca="false">IF(U350="","",LOOKUP(U350,Impostazioni!$E$4:$E$9,Impostazioni!$F$4:$F$9))</f>
        <v/>
      </c>
      <c r="W350" s="36"/>
      <c r="X350" s="36"/>
      <c r="Y350" s="36"/>
      <c r="Z350" s="36"/>
      <c r="AA350" s="39" t="str">
        <f aca="false">IF(COUNT(W350:Z350)=0,"",ROUND(AVERAGE(W350:Z350),0))</f>
        <v/>
      </c>
      <c r="AB350" s="38" t="str">
        <f aca="false">IF(AA350="","",LOOKUP(AA350,Impostazioni!$E$4:$E$9,Impostazioni!$F$4:$F$9))</f>
        <v/>
      </c>
    </row>
    <row r="351" customFormat="false" ht="21" hidden="false" customHeight="true" outlineLevel="0" collapsed="false">
      <c r="A351" s="33" t="n">
        <v>17</v>
      </c>
      <c r="B351" s="34" t="str">
        <f aca="false">IFERROR(INDEX(Alunni!$C$1:$C$1000,MATCH($A351,Alunni!$A$1:$A$1000,0))&amp;"","")</f>
        <v/>
      </c>
      <c r="C351" s="15"/>
      <c r="D351" s="35"/>
      <c r="E351" s="36"/>
      <c r="F351" s="36"/>
      <c r="G351" s="36"/>
      <c r="H351" s="36"/>
      <c r="I351" s="39" t="str">
        <f aca="false">IF(COUNT(E351:H351)=0,"",ROUND(AVERAGE(E351:H351),0))</f>
        <v/>
      </c>
      <c r="J351" s="38" t="str">
        <f aca="false">IF(I351="","",LOOKUP(I351,Impostazioni!$E$4:$E$9,Impostazioni!$F$4:$F$9))</f>
        <v/>
      </c>
      <c r="K351" s="36"/>
      <c r="L351" s="36"/>
      <c r="M351" s="36"/>
      <c r="N351" s="36"/>
      <c r="O351" s="39" t="str">
        <f aca="false">IF(COUNT(K351:N351)=0,"",ROUND(AVERAGE(K351:N351),0))</f>
        <v/>
      </c>
      <c r="P351" s="38" t="str">
        <f aca="false">IF(O351="","",LOOKUP(O351,Impostazioni!$E$4:$E$9,Impostazioni!$F$4:$F$9))</f>
        <v/>
      </c>
      <c r="Q351" s="36"/>
      <c r="R351" s="36"/>
      <c r="S351" s="36"/>
      <c r="T351" s="36"/>
      <c r="U351" s="39" t="str">
        <f aca="false">IF(COUNT(Q351:T351)=0,"",ROUND(AVERAGE(Q351:T351),0))</f>
        <v/>
      </c>
      <c r="V351" s="38" t="str">
        <f aca="false">IF(U351="","",LOOKUP(U351,Impostazioni!$E$4:$E$9,Impostazioni!$F$4:$F$9))</f>
        <v/>
      </c>
      <c r="W351" s="36"/>
      <c r="X351" s="36"/>
      <c r="Y351" s="36"/>
      <c r="Z351" s="36"/>
      <c r="AA351" s="39" t="str">
        <f aca="false">IF(COUNT(W351:Z351)=0,"",ROUND(AVERAGE(W351:Z351),0))</f>
        <v/>
      </c>
      <c r="AB351" s="38" t="str">
        <f aca="false">IF(AA351="","",LOOKUP(AA351,Impostazioni!$E$4:$E$9,Impostazioni!$F$4:$F$9))</f>
        <v/>
      </c>
    </row>
    <row r="352" customFormat="false" ht="21" hidden="false" customHeight="true" outlineLevel="0" collapsed="false">
      <c r="A352" s="33" t="n">
        <v>18</v>
      </c>
      <c r="B352" s="34" t="str">
        <f aca="false">IFERROR(INDEX(Alunni!$C$1:$C$1000,MATCH($A352,Alunni!$A$1:$A$1000,0))&amp;"","")</f>
        <v/>
      </c>
      <c r="C352" s="15"/>
      <c r="D352" s="35"/>
      <c r="E352" s="36"/>
      <c r="F352" s="36"/>
      <c r="G352" s="36"/>
      <c r="H352" s="36"/>
      <c r="I352" s="39" t="str">
        <f aca="false">IF(COUNT(E352:H352)=0,"",ROUND(AVERAGE(E352:H352),0))</f>
        <v/>
      </c>
      <c r="J352" s="38" t="str">
        <f aca="false">IF(I352="","",LOOKUP(I352,Impostazioni!$E$4:$E$9,Impostazioni!$F$4:$F$9))</f>
        <v/>
      </c>
      <c r="K352" s="36"/>
      <c r="L352" s="36"/>
      <c r="M352" s="36"/>
      <c r="N352" s="36"/>
      <c r="O352" s="39" t="str">
        <f aca="false">IF(COUNT(K352:N352)=0,"",ROUND(AVERAGE(K352:N352),0))</f>
        <v/>
      </c>
      <c r="P352" s="38" t="str">
        <f aca="false">IF(O352="","",LOOKUP(O352,Impostazioni!$E$4:$E$9,Impostazioni!$F$4:$F$9))</f>
        <v/>
      </c>
      <c r="Q352" s="36"/>
      <c r="R352" s="36"/>
      <c r="S352" s="36"/>
      <c r="T352" s="36"/>
      <c r="U352" s="39" t="str">
        <f aca="false">IF(COUNT(Q352:T352)=0,"",ROUND(AVERAGE(Q352:T352),0))</f>
        <v/>
      </c>
      <c r="V352" s="38" t="str">
        <f aca="false">IF(U352="","",LOOKUP(U352,Impostazioni!$E$4:$E$9,Impostazioni!$F$4:$F$9))</f>
        <v/>
      </c>
      <c r="W352" s="36"/>
      <c r="X352" s="36"/>
      <c r="Y352" s="36"/>
      <c r="Z352" s="36"/>
      <c r="AA352" s="39" t="str">
        <f aca="false">IF(COUNT(W352:Z352)=0,"",ROUND(AVERAGE(W352:Z352),0))</f>
        <v/>
      </c>
      <c r="AB352" s="38" t="str">
        <f aca="false">IF(AA352="","",LOOKUP(AA352,Impostazioni!$E$4:$E$9,Impostazioni!$F$4:$F$9))</f>
        <v/>
      </c>
    </row>
    <row r="353" customFormat="false" ht="21" hidden="false" customHeight="true" outlineLevel="0" collapsed="false">
      <c r="A353" s="33" t="n">
        <v>19</v>
      </c>
      <c r="B353" s="34" t="str">
        <f aca="false">IFERROR(INDEX(Alunni!$C$1:$C$1000,MATCH($A353,Alunni!$A$1:$A$1000,0))&amp;"","")</f>
        <v/>
      </c>
      <c r="C353" s="15"/>
      <c r="D353" s="35"/>
      <c r="E353" s="36"/>
      <c r="F353" s="36"/>
      <c r="G353" s="36"/>
      <c r="H353" s="36"/>
      <c r="I353" s="39" t="str">
        <f aca="false">IF(COUNT(E353:H353)=0,"",ROUND(AVERAGE(E353:H353),0))</f>
        <v/>
      </c>
      <c r="J353" s="38" t="str">
        <f aca="false">IF(I353="","",LOOKUP(I353,Impostazioni!$E$4:$E$9,Impostazioni!$F$4:$F$9))</f>
        <v/>
      </c>
      <c r="K353" s="36"/>
      <c r="L353" s="36"/>
      <c r="M353" s="36"/>
      <c r="N353" s="36"/>
      <c r="O353" s="39" t="str">
        <f aca="false">IF(COUNT(K353:N353)=0,"",ROUND(AVERAGE(K353:N353),0))</f>
        <v/>
      </c>
      <c r="P353" s="38" t="str">
        <f aca="false">IF(O353="","",LOOKUP(O353,Impostazioni!$E$4:$E$9,Impostazioni!$F$4:$F$9))</f>
        <v/>
      </c>
      <c r="Q353" s="36"/>
      <c r="R353" s="36"/>
      <c r="S353" s="36"/>
      <c r="T353" s="36"/>
      <c r="U353" s="39" t="str">
        <f aca="false">IF(COUNT(Q353:T353)=0,"",ROUND(AVERAGE(Q353:T353),0))</f>
        <v/>
      </c>
      <c r="V353" s="38" t="str">
        <f aca="false">IF(U353="","",LOOKUP(U353,Impostazioni!$E$4:$E$9,Impostazioni!$F$4:$F$9))</f>
        <v/>
      </c>
      <c r="W353" s="36"/>
      <c r="X353" s="36"/>
      <c r="Y353" s="36"/>
      <c r="Z353" s="36"/>
      <c r="AA353" s="39" t="str">
        <f aca="false">IF(COUNT(W353:Z353)=0,"",ROUND(AVERAGE(W353:Z353),0))</f>
        <v/>
      </c>
      <c r="AB353" s="38" t="str">
        <f aca="false">IF(AA353="","",LOOKUP(AA353,Impostazioni!$E$4:$E$9,Impostazioni!$F$4:$F$9))</f>
        <v/>
      </c>
    </row>
    <row r="354" customFormat="false" ht="21" hidden="false" customHeight="true" outlineLevel="0" collapsed="false">
      <c r="A354" s="33" t="n">
        <v>20</v>
      </c>
      <c r="B354" s="34" t="str">
        <f aca="false">IFERROR(INDEX(Alunni!$C$1:$C$1000,MATCH($A354,Alunni!$A$1:$A$1000,0))&amp;"","")</f>
        <v/>
      </c>
      <c r="C354" s="15"/>
      <c r="D354" s="35"/>
      <c r="E354" s="36"/>
      <c r="F354" s="36"/>
      <c r="G354" s="36"/>
      <c r="H354" s="36"/>
      <c r="I354" s="39" t="str">
        <f aca="false">IF(COUNT(E354:H354)=0,"",ROUND(AVERAGE(E354:H354),0))</f>
        <v/>
      </c>
      <c r="J354" s="38" t="str">
        <f aca="false">IF(I354="","",LOOKUP(I354,Impostazioni!$E$4:$E$9,Impostazioni!$F$4:$F$9))</f>
        <v/>
      </c>
      <c r="K354" s="36"/>
      <c r="L354" s="36"/>
      <c r="M354" s="36"/>
      <c r="N354" s="36"/>
      <c r="O354" s="39" t="str">
        <f aca="false">IF(COUNT(K354:N354)=0,"",ROUND(AVERAGE(K354:N354),0))</f>
        <v/>
      </c>
      <c r="P354" s="38" t="str">
        <f aca="false">IF(O354="","",LOOKUP(O354,Impostazioni!$E$4:$E$9,Impostazioni!$F$4:$F$9))</f>
        <v/>
      </c>
      <c r="Q354" s="36"/>
      <c r="R354" s="36"/>
      <c r="S354" s="36"/>
      <c r="T354" s="36"/>
      <c r="U354" s="39" t="str">
        <f aca="false">IF(COUNT(Q354:T354)=0,"",ROUND(AVERAGE(Q354:T354),0))</f>
        <v/>
      </c>
      <c r="V354" s="38" t="str">
        <f aca="false">IF(U354="","",LOOKUP(U354,Impostazioni!$E$4:$E$9,Impostazioni!$F$4:$F$9))</f>
        <v/>
      </c>
      <c r="W354" s="36"/>
      <c r="X354" s="36"/>
      <c r="Y354" s="36"/>
      <c r="Z354" s="36"/>
      <c r="AA354" s="39" t="str">
        <f aca="false">IF(COUNT(W354:Z354)=0,"",ROUND(AVERAGE(W354:Z354),0))</f>
        <v/>
      </c>
      <c r="AB354" s="38" t="str">
        <f aca="false">IF(AA354="","",LOOKUP(AA354,Impostazioni!$E$4:$E$9,Impostazioni!$F$4:$F$9))</f>
        <v/>
      </c>
    </row>
    <row r="355" customFormat="false" ht="21" hidden="false" customHeight="true" outlineLevel="0" collapsed="false">
      <c r="A355" s="33" t="n">
        <v>21</v>
      </c>
      <c r="B355" s="34" t="str">
        <f aca="false">IFERROR(INDEX(Alunni!$C$1:$C$1000,MATCH($A355,Alunni!$A$1:$A$1000,0))&amp;"","")</f>
        <v/>
      </c>
      <c r="C355" s="15"/>
      <c r="D355" s="35"/>
      <c r="E355" s="36"/>
      <c r="F355" s="36"/>
      <c r="G355" s="36"/>
      <c r="H355" s="36"/>
      <c r="I355" s="39" t="str">
        <f aca="false">IF(COUNT(E355:H355)=0,"",ROUND(AVERAGE(E355:H355),0))</f>
        <v/>
      </c>
      <c r="J355" s="38" t="str">
        <f aca="false">IF(I355="","",LOOKUP(I355,Impostazioni!$E$4:$E$9,Impostazioni!$F$4:$F$9))</f>
        <v/>
      </c>
      <c r="K355" s="36"/>
      <c r="L355" s="36"/>
      <c r="M355" s="36"/>
      <c r="N355" s="36"/>
      <c r="O355" s="39" t="str">
        <f aca="false">IF(COUNT(K355:N355)=0,"",ROUND(AVERAGE(K355:N355),0))</f>
        <v/>
      </c>
      <c r="P355" s="38" t="str">
        <f aca="false">IF(O355="","",LOOKUP(O355,Impostazioni!$E$4:$E$9,Impostazioni!$F$4:$F$9))</f>
        <v/>
      </c>
      <c r="Q355" s="36"/>
      <c r="R355" s="36"/>
      <c r="S355" s="36"/>
      <c r="T355" s="36"/>
      <c r="U355" s="39" t="str">
        <f aca="false">IF(COUNT(Q355:T355)=0,"",ROUND(AVERAGE(Q355:T355),0))</f>
        <v/>
      </c>
      <c r="V355" s="38" t="str">
        <f aca="false">IF(U355="","",LOOKUP(U355,Impostazioni!$E$4:$E$9,Impostazioni!$F$4:$F$9))</f>
        <v/>
      </c>
      <c r="W355" s="36"/>
      <c r="X355" s="36"/>
      <c r="Y355" s="36"/>
      <c r="Z355" s="36"/>
      <c r="AA355" s="39" t="str">
        <f aca="false">IF(COUNT(W355:Z355)=0,"",ROUND(AVERAGE(W355:Z355),0))</f>
        <v/>
      </c>
      <c r="AB355" s="38" t="str">
        <f aca="false">IF(AA355="","",LOOKUP(AA355,Impostazioni!$E$4:$E$9,Impostazioni!$F$4:$F$9))</f>
        <v/>
      </c>
    </row>
    <row r="356" customFormat="false" ht="21" hidden="false" customHeight="true" outlineLevel="0" collapsed="false">
      <c r="A356" s="33" t="n">
        <v>22</v>
      </c>
      <c r="B356" s="34" t="str">
        <f aca="false">IFERROR(INDEX(Alunni!$C$1:$C$1000,MATCH($A356,Alunni!$A$1:$A$1000,0))&amp;"","")</f>
        <v/>
      </c>
      <c r="C356" s="15"/>
      <c r="D356" s="35"/>
      <c r="E356" s="36"/>
      <c r="F356" s="36"/>
      <c r="G356" s="36"/>
      <c r="H356" s="36"/>
      <c r="I356" s="39" t="str">
        <f aca="false">IF(COUNT(E356:H356)=0,"",ROUND(AVERAGE(E356:H356),0))</f>
        <v/>
      </c>
      <c r="J356" s="38" t="str">
        <f aca="false">IF(I356="","",LOOKUP(I356,Impostazioni!$E$4:$E$9,Impostazioni!$F$4:$F$9))</f>
        <v/>
      </c>
      <c r="K356" s="36"/>
      <c r="L356" s="36"/>
      <c r="M356" s="36"/>
      <c r="N356" s="36"/>
      <c r="O356" s="39" t="str">
        <f aca="false">IF(COUNT(K356:N356)=0,"",ROUND(AVERAGE(K356:N356),0))</f>
        <v/>
      </c>
      <c r="P356" s="38" t="str">
        <f aca="false">IF(O356="","",LOOKUP(O356,Impostazioni!$E$4:$E$9,Impostazioni!$F$4:$F$9))</f>
        <v/>
      </c>
      <c r="Q356" s="36"/>
      <c r="R356" s="36"/>
      <c r="S356" s="36"/>
      <c r="T356" s="36"/>
      <c r="U356" s="39" t="str">
        <f aca="false">IF(COUNT(Q356:T356)=0,"",ROUND(AVERAGE(Q356:T356),0))</f>
        <v/>
      </c>
      <c r="V356" s="38" t="str">
        <f aca="false">IF(U356="","",LOOKUP(U356,Impostazioni!$E$4:$E$9,Impostazioni!$F$4:$F$9))</f>
        <v/>
      </c>
      <c r="W356" s="36"/>
      <c r="X356" s="36"/>
      <c r="Y356" s="36"/>
      <c r="Z356" s="36"/>
      <c r="AA356" s="39" t="str">
        <f aca="false">IF(COUNT(W356:Z356)=0,"",ROUND(AVERAGE(W356:Z356),0))</f>
        <v/>
      </c>
      <c r="AB356" s="38" t="str">
        <f aca="false">IF(AA356="","",LOOKUP(AA356,Impostazioni!$E$4:$E$9,Impostazioni!$F$4:$F$9))</f>
        <v/>
      </c>
    </row>
    <row r="357" customFormat="false" ht="21" hidden="false" customHeight="true" outlineLevel="0" collapsed="false">
      <c r="A357" s="33" t="n">
        <v>23</v>
      </c>
      <c r="B357" s="34" t="str">
        <f aca="false">IFERROR(INDEX(Alunni!$C$1:$C$1000,MATCH($A357,Alunni!$A$1:$A$1000,0))&amp;"","")</f>
        <v/>
      </c>
      <c r="C357" s="15"/>
      <c r="D357" s="35"/>
      <c r="E357" s="36"/>
      <c r="F357" s="36"/>
      <c r="G357" s="36"/>
      <c r="H357" s="36"/>
      <c r="I357" s="39" t="str">
        <f aca="false">IF(COUNT(E357:H357)=0,"",ROUND(AVERAGE(E357:H357),0))</f>
        <v/>
      </c>
      <c r="J357" s="38" t="str">
        <f aca="false">IF(I357="","",LOOKUP(I357,Impostazioni!$E$4:$E$9,Impostazioni!$F$4:$F$9))</f>
        <v/>
      </c>
      <c r="K357" s="36"/>
      <c r="L357" s="36"/>
      <c r="M357" s="36"/>
      <c r="N357" s="36"/>
      <c r="O357" s="39" t="str">
        <f aca="false">IF(COUNT(K357:N357)=0,"",ROUND(AVERAGE(K357:N357),0))</f>
        <v/>
      </c>
      <c r="P357" s="38" t="str">
        <f aca="false">IF(O357="","",LOOKUP(O357,Impostazioni!$E$4:$E$9,Impostazioni!$F$4:$F$9))</f>
        <v/>
      </c>
      <c r="Q357" s="36"/>
      <c r="R357" s="36"/>
      <c r="S357" s="36"/>
      <c r="T357" s="36"/>
      <c r="U357" s="39" t="str">
        <f aca="false">IF(COUNT(Q357:T357)=0,"",ROUND(AVERAGE(Q357:T357),0))</f>
        <v/>
      </c>
      <c r="V357" s="38" t="str">
        <f aca="false">IF(U357="","",LOOKUP(U357,Impostazioni!$E$4:$E$9,Impostazioni!$F$4:$F$9))</f>
        <v/>
      </c>
      <c r="W357" s="36"/>
      <c r="X357" s="36"/>
      <c r="Y357" s="36"/>
      <c r="Z357" s="36"/>
      <c r="AA357" s="39" t="str">
        <f aca="false">IF(COUNT(W357:Z357)=0,"",ROUND(AVERAGE(W357:Z357),0))</f>
        <v/>
      </c>
      <c r="AB357" s="38" t="str">
        <f aca="false">IF(AA357="","",LOOKUP(AA357,Impostazioni!$E$4:$E$9,Impostazioni!$F$4:$F$9))</f>
        <v/>
      </c>
    </row>
    <row r="358" customFormat="false" ht="21" hidden="false" customHeight="true" outlineLevel="0" collapsed="false">
      <c r="A358" s="33" t="n">
        <v>24</v>
      </c>
      <c r="B358" s="34" t="str">
        <f aca="false">IFERROR(INDEX(Alunni!$C$1:$C$1000,MATCH($A358,Alunni!$A$1:$A$1000,0))&amp;"","")</f>
        <v/>
      </c>
      <c r="C358" s="15"/>
      <c r="D358" s="35"/>
      <c r="E358" s="36"/>
      <c r="F358" s="36"/>
      <c r="G358" s="36"/>
      <c r="H358" s="36"/>
      <c r="I358" s="39" t="str">
        <f aca="false">IF(COUNT(E358:H358)=0,"",ROUND(AVERAGE(E358:H358),0))</f>
        <v/>
      </c>
      <c r="J358" s="38" t="str">
        <f aca="false">IF(I358="","",LOOKUP(I358,Impostazioni!$E$4:$E$9,Impostazioni!$F$4:$F$9))</f>
        <v/>
      </c>
      <c r="K358" s="36"/>
      <c r="L358" s="36"/>
      <c r="M358" s="36"/>
      <c r="N358" s="36"/>
      <c r="O358" s="39" t="str">
        <f aca="false">IF(COUNT(K358:N358)=0,"",ROUND(AVERAGE(K358:N358),0))</f>
        <v/>
      </c>
      <c r="P358" s="38" t="str">
        <f aca="false">IF(O358="","",LOOKUP(O358,Impostazioni!$E$4:$E$9,Impostazioni!$F$4:$F$9))</f>
        <v/>
      </c>
      <c r="Q358" s="36"/>
      <c r="R358" s="36"/>
      <c r="S358" s="36"/>
      <c r="T358" s="36"/>
      <c r="U358" s="39" t="str">
        <f aca="false">IF(COUNT(Q358:T358)=0,"",ROUND(AVERAGE(Q358:T358),0))</f>
        <v/>
      </c>
      <c r="V358" s="38" t="str">
        <f aca="false">IF(U358="","",LOOKUP(U358,Impostazioni!$E$4:$E$9,Impostazioni!$F$4:$F$9))</f>
        <v/>
      </c>
      <c r="W358" s="36"/>
      <c r="X358" s="36"/>
      <c r="Y358" s="36"/>
      <c r="Z358" s="36"/>
      <c r="AA358" s="39" t="str">
        <f aca="false">IF(COUNT(W358:Z358)=0,"",ROUND(AVERAGE(W358:Z358),0))</f>
        <v/>
      </c>
      <c r="AB358" s="38" t="str">
        <f aca="false">IF(AA358="","",LOOKUP(AA358,Impostazioni!$E$4:$E$9,Impostazioni!$F$4:$F$9))</f>
        <v/>
      </c>
    </row>
    <row r="359" customFormat="false" ht="21" hidden="false" customHeight="true" outlineLevel="0" collapsed="false">
      <c r="A359" s="33" t="n">
        <v>25</v>
      </c>
      <c r="B359" s="34" t="str">
        <f aca="false">IFERROR(INDEX(Alunni!$C$1:$C$1000,MATCH($A359,Alunni!$A$1:$A$1000,0))&amp;"","")</f>
        <v/>
      </c>
      <c r="C359" s="15"/>
      <c r="D359" s="35"/>
      <c r="E359" s="36"/>
      <c r="F359" s="36"/>
      <c r="G359" s="36"/>
      <c r="H359" s="36"/>
      <c r="I359" s="39" t="str">
        <f aca="false">IF(COUNT(E359:H359)=0,"",ROUND(AVERAGE(E359:H359),0))</f>
        <v/>
      </c>
      <c r="J359" s="38" t="str">
        <f aca="false">IF(I359="","",LOOKUP(I359,Impostazioni!$E$4:$E$9,Impostazioni!$F$4:$F$9))</f>
        <v/>
      </c>
      <c r="K359" s="36"/>
      <c r="L359" s="36"/>
      <c r="M359" s="36"/>
      <c r="N359" s="36"/>
      <c r="O359" s="39" t="str">
        <f aca="false">IF(COUNT(K359:N359)=0,"",ROUND(AVERAGE(K359:N359),0))</f>
        <v/>
      </c>
      <c r="P359" s="38" t="str">
        <f aca="false">IF(O359="","",LOOKUP(O359,Impostazioni!$E$4:$E$9,Impostazioni!$F$4:$F$9))</f>
        <v/>
      </c>
      <c r="Q359" s="36"/>
      <c r="R359" s="36"/>
      <c r="S359" s="36"/>
      <c r="T359" s="36"/>
      <c r="U359" s="39" t="str">
        <f aca="false">IF(COUNT(Q359:T359)=0,"",ROUND(AVERAGE(Q359:T359),0))</f>
        <v/>
      </c>
      <c r="V359" s="38" t="str">
        <f aca="false">IF(U359="","",LOOKUP(U359,Impostazioni!$E$4:$E$9,Impostazioni!$F$4:$F$9))</f>
        <v/>
      </c>
      <c r="W359" s="36"/>
      <c r="X359" s="36"/>
      <c r="Y359" s="36"/>
      <c r="Z359" s="36"/>
      <c r="AA359" s="39" t="str">
        <f aca="false">IF(COUNT(W359:Z359)=0,"",ROUND(AVERAGE(W359:Z359),0))</f>
        <v/>
      </c>
      <c r="AB359" s="38" t="str">
        <f aca="false">IF(AA359="","",LOOKUP(AA359,Impostazioni!$E$4:$E$9,Impostazioni!$F$4:$F$9))</f>
        <v/>
      </c>
    </row>
    <row r="360" customFormat="false" ht="21" hidden="false" customHeight="true" outlineLevel="0" collapsed="false">
      <c r="A360" s="33" t="n">
        <v>26</v>
      </c>
      <c r="B360" s="34" t="str">
        <f aca="false">IFERROR(INDEX(Alunni!$C$1:$C$1000,MATCH($A360,Alunni!$A$1:$A$1000,0))&amp;"","")</f>
        <v/>
      </c>
      <c r="C360" s="15"/>
      <c r="D360" s="35"/>
      <c r="E360" s="36"/>
      <c r="F360" s="36"/>
      <c r="G360" s="36"/>
      <c r="H360" s="36"/>
      <c r="I360" s="39" t="str">
        <f aca="false">IF(COUNT(E360:H360)=0,"",ROUND(AVERAGE(E360:H360),0))</f>
        <v/>
      </c>
      <c r="J360" s="38" t="str">
        <f aca="false">IF(I360="","",LOOKUP(I360,Impostazioni!$E$4:$E$9,Impostazioni!$F$4:$F$9))</f>
        <v/>
      </c>
      <c r="K360" s="36"/>
      <c r="L360" s="36"/>
      <c r="M360" s="36"/>
      <c r="N360" s="36"/>
      <c r="O360" s="39" t="str">
        <f aca="false">IF(COUNT(K360:N360)=0,"",ROUND(AVERAGE(K360:N360),0))</f>
        <v/>
      </c>
      <c r="P360" s="38" t="str">
        <f aca="false">IF(O360="","",LOOKUP(O360,Impostazioni!$E$4:$E$9,Impostazioni!$F$4:$F$9))</f>
        <v/>
      </c>
      <c r="Q360" s="36"/>
      <c r="R360" s="36"/>
      <c r="S360" s="36"/>
      <c r="T360" s="36"/>
      <c r="U360" s="39" t="str">
        <f aca="false">IF(COUNT(Q360:T360)=0,"",ROUND(AVERAGE(Q360:T360),0))</f>
        <v/>
      </c>
      <c r="V360" s="38" t="str">
        <f aca="false">IF(U360="","",LOOKUP(U360,Impostazioni!$E$4:$E$9,Impostazioni!$F$4:$F$9))</f>
        <v/>
      </c>
      <c r="W360" s="36"/>
      <c r="X360" s="36"/>
      <c r="Y360" s="36"/>
      <c r="Z360" s="36"/>
      <c r="AA360" s="39" t="str">
        <f aca="false">IF(COUNT(W360:Z360)=0,"",ROUND(AVERAGE(W360:Z360),0))</f>
        <v/>
      </c>
      <c r="AB360" s="38" t="str">
        <f aca="false">IF(AA360="","",LOOKUP(AA360,Impostazioni!$E$4:$E$9,Impostazioni!$F$4:$F$9))</f>
        <v/>
      </c>
    </row>
    <row r="361" customFormat="false" ht="21" hidden="false" customHeight="true" outlineLevel="0" collapsed="false">
      <c r="A361" s="33" t="n">
        <v>27</v>
      </c>
      <c r="B361" s="34" t="str">
        <f aca="false">IFERROR(INDEX(Alunni!$C$1:$C$1000,MATCH($A361,Alunni!$A$1:$A$1000,0))&amp;"","")</f>
        <v/>
      </c>
      <c r="C361" s="15"/>
      <c r="D361" s="35"/>
      <c r="E361" s="36"/>
      <c r="F361" s="36"/>
      <c r="G361" s="36"/>
      <c r="H361" s="36"/>
      <c r="I361" s="39" t="str">
        <f aca="false">IF(COUNT(E361:H361)=0,"",ROUND(AVERAGE(E361:H361),0))</f>
        <v/>
      </c>
      <c r="J361" s="38" t="str">
        <f aca="false">IF(I361="","",LOOKUP(I361,Impostazioni!$E$4:$E$9,Impostazioni!$F$4:$F$9))</f>
        <v/>
      </c>
      <c r="K361" s="36"/>
      <c r="L361" s="36"/>
      <c r="M361" s="36"/>
      <c r="N361" s="36"/>
      <c r="O361" s="39" t="str">
        <f aca="false">IF(COUNT(K361:N361)=0,"",ROUND(AVERAGE(K361:N361),0))</f>
        <v/>
      </c>
      <c r="P361" s="38" t="str">
        <f aca="false">IF(O361="","",LOOKUP(O361,Impostazioni!$E$4:$E$9,Impostazioni!$F$4:$F$9))</f>
        <v/>
      </c>
      <c r="Q361" s="36"/>
      <c r="R361" s="36"/>
      <c r="S361" s="36"/>
      <c r="T361" s="36"/>
      <c r="U361" s="39" t="str">
        <f aca="false">IF(COUNT(Q361:T361)=0,"",ROUND(AVERAGE(Q361:T361),0))</f>
        <v/>
      </c>
      <c r="V361" s="38" t="str">
        <f aca="false">IF(U361="","",LOOKUP(U361,Impostazioni!$E$4:$E$9,Impostazioni!$F$4:$F$9))</f>
        <v/>
      </c>
      <c r="W361" s="36"/>
      <c r="X361" s="36"/>
      <c r="Y361" s="36"/>
      <c r="Z361" s="36"/>
      <c r="AA361" s="39" t="str">
        <f aca="false">IF(COUNT(W361:Z361)=0,"",ROUND(AVERAGE(W361:Z361),0))</f>
        <v/>
      </c>
      <c r="AB361" s="38" t="str">
        <f aca="false">IF(AA361="","",LOOKUP(AA361,Impostazioni!$E$4:$E$9,Impostazioni!$F$4:$F$9))</f>
        <v/>
      </c>
    </row>
    <row r="362" customFormat="false" ht="21" hidden="false" customHeight="true" outlineLevel="0" collapsed="false">
      <c r="A362" s="33" t="n">
        <v>28</v>
      </c>
      <c r="B362" s="34" t="str">
        <f aca="false">IFERROR(INDEX(Alunni!$C$1:$C$1000,MATCH($A362,Alunni!$A$1:$A$1000,0))&amp;"","")</f>
        <v/>
      </c>
      <c r="C362" s="15"/>
      <c r="D362" s="35"/>
      <c r="E362" s="36"/>
      <c r="F362" s="36"/>
      <c r="G362" s="36"/>
      <c r="H362" s="36"/>
      <c r="I362" s="39" t="str">
        <f aca="false">IF(COUNT(E362:H362)=0,"",ROUND(AVERAGE(E362:H362),0))</f>
        <v/>
      </c>
      <c r="J362" s="38" t="str">
        <f aca="false">IF(I362="","",LOOKUP(I362,Impostazioni!$E$4:$E$9,Impostazioni!$F$4:$F$9))</f>
        <v/>
      </c>
      <c r="K362" s="36"/>
      <c r="L362" s="36"/>
      <c r="M362" s="36"/>
      <c r="N362" s="36"/>
      <c r="O362" s="39" t="str">
        <f aca="false">IF(COUNT(K362:N362)=0,"",ROUND(AVERAGE(K362:N362),0))</f>
        <v/>
      </c>
      <c r="P362" s="38" t="str">
        <f aca="false">IF(O362="","",LOOKUP(O362,Impostazioni!$E$4:$E$9,Impostazioni!$F$4:$F$9))</f>
        <v/>
      </c>
      <c r="Q362" s="36"/>
      <c r="R362" s="36"/>
      <c r="S362" s="36"/>
      <c r="T362" s="36"/>
      <c r="U362" s="39" t="str">
        <f aca="false">IF(COUNT(Q362:T362)=0,"",ROUND(AVERAGE(Q362:T362),0))</f>
        <v/>
      </c>
      <c r="V362" s="38" t="str">
        <f aca="false">IF(U362="","",LOOKUP(U362,Impostazioni!$E$4:$E$9,Impostazioni!$F$4:$F$9))</f>
        <v/>
      </c>
      <c r="W362" s="36"/>
      <c r="X362" s="36"/>
      <c r="Y362" s="36"/>
      <c r="Z362" s="36"/>
      <c r="AA362" s="39" t="str">
        <f aca="false">IF(COUNT(W362:Z362)=0,"",ROUND(AVERAGE(W362:Z362),0))</f>
        <v/>
      </c>
      <c r="AB362" s="38" t="str">
        <f aca="false">IF(AA362="","",LOOKUP(AA362,Impostazioni!$E$4:$E$9,Impostazioni!$F$4:$F$9))</f>
        <v/>
      </c>
    </row>
    <row r="363" customFormat="false" ht="21" hidden="false" customHeight="true" outlineLevel="0" collapsed="false">
      <c r="A363" s="33" t="n">
        <v>29</v>
      </c>
      <c r="B363" s="34" t="str">
        <f aca="false">IFERROR(INDEX(Alunni!$C$1:$C$1000,MATCH($A363,Alunni!$A$1:$A$1000,0))&amp;"","")</f>
        <v/>
      </c>
      <c r="C363" s="15"/>
      <c r="D363" s="35"/>
      <c r="E363" s="36"/>
      <c r="F363" s="36"/>
      <c r="G363" s="36"/>
      <c r="H363" s="36"/>
      <c r="I363" s="39" t="str">
        <f aca="false">IF(COUNT(E363:H363)=0,"",ROUND(AVERAGE(E363:H363),0))</f>
        <v/>
      </c>
      <c r="J363" s="38" t="str">
        <f aca="false">IF(I363="","",LOOKUP(I363,Impostazioni!$E$4:$E$9,Impostazioni!$F$4:$F$9))</f>
        <v/>
      </c>
      <c r="K363" s="36"/>
      <c r="L363" s="36"/>
      <c r="M363" s="36"/>
      <c r="N363" s="36"/>
      <c r="O363" s="39" t="str">
        <f aca="false">IF(COUNT(K363:N363)=0,"",ROUND(AVERAGE(K363:N363),0))</f>
        <v/>
      </c>
      <c r="P363" s="38" t="str">
        <f aca="false">IF(O363="","",LOOKUP(O363,Impostazioni!$E$4:$E$9,Impostazioni!$F$4:$F$9))</f>
        <v/>
      </c>
      <c r="Q363" s="36"/>
      <c r="R363" s="36"/>
      <c r="S363" s="36"/>
      <c r="T363" s="36"/>
      <c r="U363" s="39" t="str">
        <f aca="false">IF(COUNT(Q363:T363)=0,"",ROUND(AVERAGE(Q363:T363),0))</f>
        <v/>
      </c>
      <c r="V363" s="38" t="str">
        <f aca="false">IF(U363="","",LOOKUP(U363,Impostazioni!$E$4:$E$9,Impostazioni!$F$4:$F$9))</f>
        <v/>
      </c>
      <c r="W363" s="36"/>
      <c r="X363" s="36"/>
      <c r="Y363" s="36"/>
      <c r="Z363" s="36"/>
      <c r="AA363" s="39" t="str">
        <f aca="false">IF(COUNT(W363:Z363)=0,"",ROUND(AVERAGE(W363:Z363),0))</f>
        <v/>
      </c>
      <c r="AB363" s="38" t="str">
        <f aca="false">IF(AA363="","",LOOKUP(AA363,Impostazioni!$E$4:$E$9,Impostazioni!$F$4:$F$9))</f>
        <v/>
      </c>
    </row>
    <row r="364" customFormat="false" ht="21" hidden="false" customHeight="true" outlineLevel="0" collapsed="false">
      <c r="A364" s="33" t="n">
        <v>30</v>
      </c>
      <c r="B364" s="34" t="str">
        <f aca="false">IFERROR(INDEX(Alunni!$C$1:$C$1000,MATCH($A364,Alunni!$A$1:$A$1000,0))&amp;"","")</f>
        <v/>
      </c>
      <c r="C364" s="15"/>
      <c r="D364" s="35"/>
      <c r="E364" s="36"/>
      <c r="F364" s="36"/>
      <c r="G364" s="36"/>
      <c r="H364" s="36"/>
      <c r="I364" s="39" t="str">
        <f aca="false">IF(COUNT(E364:H364)=0,"",ROUND(AVERAGE(E364:H364),0))</f>
        <v/>
      </c>
      <c r="J364" s="38" t="str">
        <f aca="false">IF(I364="","",LOOKUP(I364,Impostazioni!$E$4:$E$9,Impostazioni!$F$4:$F$9))</f>
        <v/>
      </c>
      <c r="K364" s="36"/>
      <c r="L364" s="36"/>
      <c r="M364" s="36"/>
      <c r="N364" s="36"/>
      <c r="O364" s="39" t="str">
        <f aca="false">IF(COUNT(K364:N364)=0,"",ROUND(AVERAGE(K364:N364),0))</f>
        <v/>
      </c>
      <c r="P364" s="38" t="str">
        <f aca="false">IF(O364="","",LOOKUP(O364,Impostazioni!$E$4:$E$9,Impostazioni!$F$4:$F$9))</f>
        <v/>
      </c>
      <c r="Q364" s="36"/>
      <c r="R364" s="36"/>
      <c r="S364" s="36"/>
      <c r="T364" s="36"/>
      <c r="U364" s="39" t="str">
        <f aca="false">IF(COUNT(Q364:T364)=0,"",ROUND(AVERAGE(Q364:T364),0))</f>
        <v/>
      </c>
      <c r="V364" s="38" t="str">
        <f aca="false">IF(U364="","",LOOKUP(U364,Impostazioni!$E$4:$E$9,Impostazioni!$F$4:$F$9))</f>
        <v/>
      </c>
      <c r="W364" s="36"/>
      <c r="X364" s="36"/>
      <c r="Y364" s="36"/>
      <c r="Z364" s="36"/>
      <c r="AA364" s="39" t="str">
        <f aca="false">IF(COUNT(W364:Z364)=0,"",ROUND(AVERAGE(W364:Z364),0))</f>
        <v/>
      </c>
      <c r="AB364" s="38" t="str">
        <f aca="false">IF(AA364="","",LOOKUP(AA364,Impostazioni!$E$4:$E$9,Impostazioni!$F$4:$F$9))</f>
        <v/>
      </c>
    </row>
    <row r="366" customFormat="false" ht="25.5" hidden="false" customHeight="true" outlineLevel="0" collapsed="false">
      <c r="A366" s="40" t="str">
        <f aca="false">Calendario!B17&amp;"   ·   "&amp;IF(Calendario!G17="","(descrizione da Calendario)",Calendario!G17)&amp;"   ·   "&amp;IF(Calendario!E17="","data da fissare",CHOOSE(WEEKDAY(Calendario!E17,2),"lunedì","martedì","mercoledì","giovedì","venerdì","sabato","domenica")&amp;" "&amp;TEXT(DAY(Calendario!E17),"00")&amp;"/"&amp;TEXT(MONTH(Calendario!E17),"00")&amp;"/"&amp;YEAR(Calendario!E17))</f>
        <v>Q2-G01   ·   (descrizione da Calendario)   ·   data da fissare</v>
      </c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</row>
    <row r="367" customFormat="false" ht="15" hidden="false" customHeight="true" outlineLevel="0" collapsed="false">
      <c r="A367" s="25" t="s">
        <v>80</v>
      </c>
      <c r="B367" s="25"/>
      <c r="C367" s="25"/>
      <c r="D367" s="25"/>
      <c r="E367" s="26" t="str">
        <f aca="false">IF(Calendario!$H$17="","— libero —",Calendario!$H$17&amp;"  "&amp;IFERROR(VLOOKUP(Calendario!$H$17,Impostazioni!$A$25:$J$36,3,FALSE()),""))</f>
        <v>— libero —</v>
      </c>
      <c r="F367" s="26"/>
      <c r="G367" s="26"/>
      <c r="H367" s="26"/>
      <c r="I367" s="26"/>
      <c r="J367" s="26"/>
      <c r="K367" s="26" t="str">
        <f aca="false">IF(Calendario!$I$17="","— libero —",Calendario!$I$17&amp;"  "&amp;IFERROR(VLOOKUP(Calendario!$I$17,Impostazioni!$A$25:$J$36,3,FALSE()),""))</f>
        <v>— libero —</v>
      </c>
      <c r="L367" s="26"/>
      <c r="M367" s="26"/>
      <c r="N367" s="26"/>
      <c r="O367" s="26"/>
      <c r="P367" s="26"/>
      <c r="Q367" s="26" t="str">
        <f aca="false">IF(Calendario!$J$17="","— libero —",Calendario!$J$17&amp;"  "&amp;IFERROR(VLOOKUP(Calendario!$J$17,Impostazioni!$A$25:$J$36,3,FALSE()),""))</f>
        <v>— libero —</v>
      </c>
      <c r="R367" s="26"/>
      <c r="S367" s="26"/>
      <c r="T367" s="26"/>
      <c r="U367" s="26"/>
      <c r="V367" s="26"/>
      <c r="W367" s="26" t="str">
        <f aca="false">IF(Calendario!$K$17="","— libero —",Calendario!$K$17&amp;"  "&amp;IFERROR(VLOOKUP(Calendario!$K$17,Impostazioni!$A$25:$J$36,3,FALSE()),""))</f>
        <v>— libero —</v>
      </c>
      <c r="X367" s="26"/>
      <c r="Y367" s="26"/>
      <c r="Z367" s="26"/>
      <c r="AA367" s="26"/>
      <c r="AB367" s="26"/>
    </row>
    <row r="368" customFormat="false" ht="15" hidden="false" customHeight="true" outlineLevel="0" collapsed="false">
      <c r="A368" s="25" t="s">
        <v>81</v>
      </c>
      <c r="B368" s="25"/>
      <c r="C368" s="25"/>
      <c r="D368" s="25"/>
      <c r="E368" s="27" t="str">
        <f aca="false">IF(Calendario!$H$17="","","Ob. "&amp;IFERROR(VLOOKUP(Calendario!$H$17,Impostazioni!$A$25:$J$36,6,FALSE()),"?")&amp;" · peso "&amp;IF(Calendario!$F$17=2,Impostazioni!$B$11,Impostazioni!$B$10))</f>
        <v/>
      </c>
      <c r="F368" s="27"/>
      <c r="G368" s="27"/>
      <c r="H368" s="27"/>
      <c r="I368" s="27"/>
      <c r="J368" s="27"/>
      <c r="K368" s="27" t="str">
        <f aca="false">IF(Calendario!$I$17="","","Ob. "&amp;IFERROR(VLOOKUP(Calendario!$I$17,Impostazioni!$A$25:$J$36,6,FALSE()),"?")&amp;" · peso "&amp;IF(Calendario!$F$17=2,Impostazioni!$B$11,Impostazioni!$B$10))</f>
        <v/>
      </c>
      <c r="L368" s="27"/>
      <c r="M368" s="27"/>
      <c r="N368" s="27"/>
      <c r="O368" s="27"/>
      <c r="P368" s="27"/>
      <c r="Q368" s="27" t="str">
        <f aca="false">IF(Calendario!$J$17="","","Ob. "&amp;IFERROR(VLOOKUP(Calendario!$J$17,Impostazioni!$A$25:$J$36,6,FALSE()),"?")&amp;" · peso "&amp;IF(Calendario!$F$17=2,Impostazioni!$B$11,Impostazioni!$B$10))</f>
        <v/>
      </c>
      <c r="R368" s="27"/>
      <c r="S368" s="27"/>
      <c r="T368" s="27"/>
      <c r="U368" s="27"/>
      <c r="V368" s="27"/>
      <c r="W368" s="27" t="str">
        <f aca="false">IF(Calendario!$K$17="","","Ob. "&amp;IFERROR(VLOOKUP(Calendario!$K$17,Impostazioni!$A$25:$J$36,6,FALSE()),"?")&amp;" · peso "&amp;IF(Calendario!$F$17=2,Impostazioni!$B$11,Impostazioni!$B$10))</f>
        <v/>
      </c>
      <c r="X368" s="27"/>
      <c r="Y368" s="27"/>
      <c r="Z368" s="27"/>
      <c r="AA368" s="27"/>
      <c r="AB368" s="27"/>
    </row>
    <row r="369" customFormat="false" ht="33.75" hidden="false" customHeight="true" outlineLevel="0" collapsed="false">
      <c r="A369" s="25" t="s">
        <v>82</v>
      </c>
      <c r="B369" s="25"/>
      <c r="C369" s="25"/>
      <c r="D369" s="25"/>
      <c r="E369" s="28" t="str">
        <f aca="false">IF(Calendario!$H$17="","",IFERROR(HYPERLINK("#Rubriche!C"&amp;(MATCH(Calendario!$H$17,Rubriche!$A$1:$A$1000,0)+0),VLOOKUP(Calendario!$H$17,Impostazioni!$A$25:$J$36,7,FALSE())),""))</f>
        <v/>
      </c>
      <c r="F369" s="28" t="str">
        <f aca="false">IF(Calendario!$H$17="","",IFERROR(HYPERLINK("#Rubriche!C"&amp;(MATCH(Calendario!$H$17,Rubriche!$A$1:$A$1000,0)+1),VLOOKUP(Calendario!$H$17,Impostazioni!$A$25:$J$36,8,FALSE())),""))</f>
        <v/>
      </c>
      <c r="G369" s="28" t="str">
        <f aca="false">IF(Calendario!$H$17="","",IFERROR(HYPERLINK("#Rubriche!C"&amp;(MATCH(Calendario!$H$17,Rubriche!$A$1:$A$1000,0)+2),VLOOKUP(Calendario!$H$17,Impostazioni!$A$25:$J$36,9,FALSE())),""))</f>
        <v/>
      </c>
      <c r="H369" s="28" t="str">
        <f aca="false">IF(Calendario!$H$17="","",IFERROR(HYPERLINK("#Rubriche!C"&amp;(MATCH(Calendario!$H$17,Rubriche!$A$1:$A$1000,0)+3),VLOOKUP(Calendario!$H$17,Impostazioni!$A$25:$J$36,10,FALSE())),""))</f>
        <v/>
      </c>
      <c r="I369" s="29"/>
      <c r="J369" s="29"/>
      <c r="K369" s="28" t="str">
        <f aca="false">IF(Calendario!$I$17="","",IFERROR(HYPERLINK("#Rubriche!C"&amp;(MATCH(Calendario!$I$17,Rubriche!$A$1:$A$1000,0)+0),VLOOKUP(Calendario!$I$17,Impostazioni!$A$25:$J$36,7,FALSE())),""))</f>
        <v/>
      </c>
      <c r="L369" s="28" t="str">
        <f aca="false">IF(Calendario!$I$17="","",IFERROR(HYPERLINK("#Rubriche!C"&amp;(MATCH(Calendario!$I$17,Rubriche!$A$1:$A$1000,0)+1),VLOOKUP(Calendario!$I$17,Impostazioni!$A$25:$J$36,8,FALSE())),""))</f>
        <v/>
      </c>
      <c r="M369" s="28" t="str">
        <f aca="false">IF(Calendario!$I$17="","",IFERROR(HYPERLINK("#Rubriche!C"&amp;(MATCH(Calendario!$I$17,Rubriche!$A$1:$A$1000,0)+2),VLOOKUP(Calendario!$I$17,Impostazioni!$A$25:$J$36,9,FALSE())),""))</f>
        <v/>
      </c>
      <c r="N369" s="28" t="str">
        <f aca="false">IF(Calendario!$I$17="","",IFERROR(HYPERLINK("#Rubriche!C"&amp;(MATCH(Calendario!$I$17,Rubriche!$A$1:$A$1000,0)+3),VLOOKUP(Calendario!$I$17,Impostazioni!$A$25:$J$36,10,FALSE())),""))</f>
        <v/>
      </c>
      <c r="O369" s="29"/>
      <c r="P369" s="29"/>
      <c r="Q369" s="28" t="str">
        <f aca="false">IF(Calendario!$J$17="","",IFERROR(HYPERLINK("#Rubriche!C"&amp;(MATCH(Calendario!$J$17,Rubriche!$A$1:$A$1000,0)+0),VLOOKUP(Calendario!$J$17,Impostazioni!$A$25:$J$36,7,FALSE())),""))</f>
        <v/>
      </c>
      <c r="R369" s="28" t="str">
        <f aca="false">IF(Calendario!$J$17="","",IFERROR(HYPERLINK("#Rubriche!C"&amp;(MATCH(Calendario!$J$17,Rubriche!$A$1:$A$1000,0)+1),VLOOKUP(Calendario!$J$17,Impostazioni!$A$25:$J$36,8,FALSE())),""))</f>
        <v/>
      </c>
      <c r="S369" s="28" t="str">
        <f aca="false">IF(Calendario!$J$17="","",IFERROR(HYPERLINK("#Rubriche!C"&amp;(MATCH(Calendario!$J$17,Rubriche!$A$1:$A$1000,0)+2),VLOOKUP(Calendario!$J$17,Impostazioni!$A$25:$J$36,9,FALSE())),""))</f>
        <v/>
      </c>
      <c r="T369" s="28" t="str">
        <f aca="false">IF(Calendario!$J$17="","",IFERROR(HYPERLINK("#Rubriche!C"&amp;(MATCH(Calendario!$J$17,Rubriche!$A$1:$A$1000,0)+3),VLOOKUP(Calendario!$J$17,Impostazioni!$A$25:$J$36,10,FALSE())),""))</f>
        <v/>
      </c>
      <c r="U369" s="29"/>
      <c r="V369" s="29"/>
      <c r="W369" s="28" t="str">
        <f aca="false">IF(Calendario!$K$17="","",IFERROR(HYPERLINK("#Rubriche!C"&amp;(MATCH(Calendario!$K$17,Rubriche!$A$1:$A$1000,0)+0),VLOOKUP(Calendario!$K$17,Impostazioni!$A$25:$J$36,7,FALSE())),""))</f>
        <v/>
      </c>
      <c r="X369" s="28" t="str">
        <f aca="false">IF(Calendario!$K$17="","",IFERROR(HYPERLINK("#Rubriche!C"&amp;(MATCH(Calendario!$K$17,Rubriche!$A$1:$A$1000,0)+1),VLOOKUP(Calendario!$K$17,Impostazioni!$A$25:$J$36,8,FALSE())),""))</f>
        <v/>
      </c>
      <c r="Y369" s="28" t="str">
        <f aca="false">IF(Calendario!$K$17="","",IFERROR(HYPERLINK("#Rubriche!C"&amp;(MATCH(Calendario!$K$17,Rubriche!$A$1:$A$1000,0)+2),VLOOKUP(Calendario!$K$17,Impostazioni!$A$25:$J$36,9,FALSE())),""))</f>
        <v/>
      </c>
      <c r="Z369" s="28" t="str">
        <f aca="false">IF(Calendario!$K$17="","",IFERROR(HYPERLINK("#Rubriche!C"&amp;(MATCH(Calendario!$K$17,Rubriche!$A$1:$A$1000,0)+3),VLOOKUP(Calendario!$K$17,Impostazioni!$A$25:$J$36,10,FALSE())),""))</f>
        <v/>
      </c>
      <c r="AA369" s="29"/>
      <c r="AB369" s="29"/>
    </row>
    <row r="370" customFormat="false" ht="25.5" hidden="false" customHeight="true" outlineLevel="0" collapsed="false">
      <c r="A370" s="8" t="s">
        <v>65</v>
      </c>
      <c r="B370" s="8" t="s">
        <v>83</v>
      </c>
      <c r="C370" s="8" t="s">
        <v>68</v>
      </c>
      <c r="D370" s="8" t="s">
        <v>84</v>
      </c>
      <c r="E370" s="30" t="s">
        <v>85</v>
      </c>
      <c r="F370" s="30" t="s">
        <v>86</v>
      </c>
      <c r="G370" s="30" t="s">
        <v>87</v>
      </c>
      <c r="H370" s="30" t="s">
        <v>88</v>
      </c>
      <c r="I370" s="31" t="s">
        <v>89</v>
      </c>
      <c r="J370" s="32" t="s">
        <v>90</v>
      </c>
      <c r="K370" s="30" t="s">
        <v>85</v>
      </c>
      <c r="L370" s="30" t="s">
        <v>86</v>
      </c>
      <c r="M370" s="30" t="s">
        <v>87</v>
      </c>
      <c r="N370" s="30" t="s">
        <v>88</v>
      </c>
      <c r="O370" s="31" t="s">
        <v>89</v>
      </c>
      <c r="P370" s="32" t="s">
        <v>90</v>
      </c>
      <c r="Q370" s="30" t="s">
        <v>85</v>
      </c>
      <c r="R370" s="30" t="s">
        <v>86</v>
      </c>
      <c r="S370" s="30" t="s">
        <v>87</v>
      </c>
      <c r="T370" s="30" t="s">
        <v>88</v>
      </c>
      <c r="U370" s="31" t="s">
        <v>89</v>
      </c>
      <c r="V370" s="32" t="s">
        <v>90</v>
      </c>
      <c r="W370" s="30" t="s">
        <v>85</v>
      </c>
      <c r="X370" s="30" t="s">
        <v>86</v>
      </c>
      <c r="Y370" s="30" t="s">
        <v>87</v>
      </c>
      <c r="Z370" s="30" t="s">
        <v>88</v>
      </c>
      <c r="AA370" s="31" t="s">
        <v>89</v>
      </c>
      <c r="AB370" s="32" t="s">
        <v>90</v>
      </c>
    </row>
    <row r="371" customFormat="false" ht="21" hidden="false" customHeight="true" outlineLevel="0" collapsed="false">
      <c r="A371" s="33" t="n">
        <v>1</v>
      </c>
      <c r="B371" s="34" t="str">
        <f aca="false">IFERROR(INDEX(Alunni!$C$1:$C$1000,MATCH($A371,Alunni!$A$1:$A$1000,0))&amp;"","")</f>
        <v>Rossi Mario (esempio)</v>
      </c>
      <c r="C371" s="15"/>
      <c r="D371" s="35"/>
      <c r="E371" s="36"/>
      <c r="F371" s="36"/>
      <c r="G371" s="36"/>
      <c r="H371" s="36"/>
      <c r="I371" s="39" t="str">
        <f aca="false">IF(COUNT(E371:H371)=0,"",ROUND(AVERAGE(E371:H371),0))</f>
        <v/>
      </c>
      <c r="J371" s="38" t="str">
        <f aca="false">IF(I371="","",LOOKUP(I371,Impostazioni!$E$4:$E$9,Impostazioni!$F$4:$F$9))</f>
        <v/>
      </c>
      <c r="K371" s="36"/>
      <c r="L371" s="36"/>
      <c r="M371" s="36"/>
      <c r="N371" s="36"/>
      <c r="O371" s="39" t="str">
        <f aca="false">IF(COUNT(K371:N371)=0,"",ROUND(AVERAGE(K371:N371),0))</f>
        <v/>
      </c>
      <c r="P371" s="38" t="str">
        <f aca="false">IF(O371="","",LOOKUP(O371,Impostazioni!$E$4:$E$9,Impostazioni!$F$4:$F$9))</f>
        <v/>
      </c>
      <c r="Q371" s="36"/>
      <c r="R371" s="36"/>
      <c r="S371" s="36"/>
      <c r="T371" s="36"/>
      <c r="U371" s="39" t="str">
        <f aca="false">IF(COUNT(Q371:T371)=0,"",ROUND(AVERAGE(Q371:T371),0))</f>
        <v/>
      </c>
      <c r="V371" s="38" t="str">
        <f aca="false">IF(U371="","",LOOKUP(U371,Impostazioni!$E$4:$E$9,Impostazioni!$F$4:$F$9))</f>
        <v/>
      </c>
      <c r="W371" s="36"/>
      <c r="X371" s="36"/>
      <c r="Y371" s="36"/>
      <c r="Z371" s="36"/>
      <c r="AA371" s="39" t="str">
        <f aca="false">IF(COUNT(W371:Z371)=0,"",ROUND(AVERAGE(W371:Z371),0))</f>
        <v/>
      </c>
      <c r="AB371" s="38" t="str">
        <f aca="false">IF(AA371="","",LOOKUP(AA371,Impostazioni!$E$4:$E$9,Impostazioni!$F$4:$F$9))</f>
        <v/>
      </c>
    </row>
    <row r="372" customFormat="false" ht="21" hidden="false" customHeight="true" outlineLevel="0" collapsed="false">
      <c r="A372" s="33" t="n">
        <v>2</v>
      </c>
      <c r="B372" s="34" t="str">
        <f aca="false">IFERROR(INDEX(Alunni!$C$1:$C$1000,MATCH($A372,Alunni!$A$1:$A$1000,0))&amp;"","")</f>
        <v>Bianchi Anna (esempio)</v>
      </c>
      <c r="C372" s="15"/>
      <c r="D372" s="35"/>
      <c r="E372" s="36"/>
      <c r="F372" s="36"/>
      <c r="G372" s="36"/>
      <c r="H372" s="36"/>
      <c r="I372" s="39" t="str">
        <f aca="false">IF(COUNT(E372:H372)=0,"",ROUND(AVERAGE(E372:H372),0))</f>
        <v/>
      </c>
      <c r="J372" s="38" t="str">
        <f aca="false">IF(I372="","",LOOKUP(I372,Impostazioni!$E$4:$E$9,Impostazioni!$F$4:$F$9))</f>
        <v/>
      </c>
      <c r="K372" s="36"/>
      <c r="L372" s="36"/>
      <c r="M372" s="36"/>
      <c r="N372" s="36"/>
      <c r="O372" s="39" t="str">
        <f aca="false">IF(COUNT(K372:N372)=0,"",ROUND(AVERAGE(K372:N372),0))</f>
        <v/>
      </c>
      <c r="P372" s="38" t="str">
        <f aca="false">IF(O372="","",LOOKUP(O372,Impostazioni!$E$4:$E$9,Impostazioni!$F$4:$F$9))</f>
        <v/>
      </c>
      <c r="Q372" s="36"/>
      <c r="R372" s="36"/>
      <c r="S372" s="36"/>
      <c r="T372" s="36"/>
      <c r="U372" s="39" t="str">
        <f aca="false">IF(COUNT(Q372:T372)=0,"",ROUND(AVERAGE(Q372:T372),0))</f>
        <v/>
      </c>
      <c r="V372" s="38" t="str">
        <f aca="false">IF(U372="","",LOOKUP(U372,Impostazioni!$E$4:$E$9,Impostazioni!$F$4:$F$9))</f>
        <v/>
      </c>
      <c r="W372" s="36"/>
      <c r="X372" s="36"/>
      <c r="Y372" s="36"/>
      <c r="Z372" s="36"/>
      <c r="AA372" s="39" t="str">
        <f aca="false">IF(COUNT(W372:Z372)=0,"",ROUND(AVERAGE(W372:Z372),0))</f>
        <v/>
      </c>
      <c r="AB372" s="38" t="str">
        <f aca="false">IF(AA372="","",LOOKUP(AA372,Impostazioni!$E$4:$E$9,Impostazioni!$F$4:$F$9))</f>
        <v/>
      </c>
    </row>
    <row r="373" customFormat="false" ht="21" hidden="false" customHeight="true" outlineLevel="0" collapsed="false">
      <c r="A373" s="33" t="n">
        <v>3</v>
      </c>
      <c r="B373" s="34" t="str">
        <f aca="false">IFERROR(INDEX(Alunni!$C$1:$C$1000,MATCH($A373,Alunni!$A$1:$A$1000,0))&amp;"","")</f>
        <v>Verdi Luca (esempio)</v>
      </c>
      <c r="C373" s="15"/>
      <c r="D373" s="35"/>
      <c r="E373" s="36"/>
      <c r="F373" s="36"/>
      <c r="G373" s="36"/>
      <c r="H373" s="36"/>
      <c r="I373" s="39" t="str">
        <f aca="false">IF(COUNT(E373:H373)=0,"",ROUND(AVERAGE(E373:H373),0))</f>
        <v/>
      </c>
      <c r="J373" s="38" t="str">
        <f aca="false">IF(I373="","",LOOKUP(I373,Impostazioni!$E$4:$E$9,Impostazioni!$F$4:$F$9))</f>
        <v/>
      </c>
      <c r="K373" s="36"/>
      <c r="L373" s="36"/>
      <c r="M373" s="36"/>
      <c r="N373" s="36"/>
      <c r="O373" s="39" t="str">
        <f aca="false">IF(COUNT(K373:N373)=0,"",ROUND(AVERAGE(K373:N373),0))</f>
        <v/>
      </c>
      <c r="P373" s="38" t="str">
        <f aca="false">IF(O373="","",LOOKUP(O373,Impostazioni!$E$4:$E$9,Impostazioni!$F$4:$F$9))</f>
        <v/>
      </c>
      <c r="Q373" s="36"/>
      <c r="R373" s="36"/>
      <c r="S373" s="36"/>
      <c r="T373" s="36"/>
      <c r="U373" s="39" t="str">
        <f aca="false">IF(COUNT(Q373:T373)=0,"",ROUND(AVERAGE(Q373:T373),0))</f>
        <v/>
      </c>
      <c r="V373" s="38" t="str">
        <f aca="false">IF(U373="","",LOOKUP(U373,Impostazioni!$E$4:$E$9,Impostazioni!$F$4:$F$9))</f>
        <v/>
      </c>
      <c r="W373" s="36"/>
      <c r="X373" s="36"/>
      <c r="Y373" s="36"/>
      <c r="Z373" s="36"/>
      <c r="AA373" s="39" t="str">
        <f aca="false">IF(COUNT(W373:Z373)=0,"",ROUND(AVERAGE(W373:Z373),0))</f>
        <v/>
      </c>
      <c r="AB373" s="38" t="str">
        <f aca="false">IF(AA373="","",LOOKUP(AA373,Impostazioni!$E$4:$E$9,Impostazioni!$F$4:$F$9))</f>
        <v/>
      </c>
    </row>
    <row r="374" customFormat="false" ht="21" hidden="false" customHeight="true" outlineLevel="0" collapsed="false">
      <c r="A374" s="33" t="n">
        <v>4</v>
      </c>
      <c r="B374" s="34" t="str">
        <f aca="false">IFERROR(INDEX(Alunni!$C$1:$C$1000,MATCH($A374,Alunni!$A$1:$A$1000,0))&amp;"","")</f>
        <v/>
      </c>
      <c r="C374" s="15"/>
      <c r="D374" s="35"/>
      <c r="E374" s="36"/>
      <c r="F374" s="36"/>
      <c r="G374" s="36"/>
      <c r="H374" s="36"/>
      <c r="I374" s="39" t="str">
        <f aca="false">IF(COUNT(E374:H374)=0,"",ROUND(AVERAGE(E374:H374),0))</f>
        <v/>
      </c>
      <c r="J374" s="38" t="str">
        <f aca="false">IF(I374="","",LOOKUP(I374,Impostazioni!$E$4:$E$9,Impostazioni!$F$4:$F$9))</f>
        <v/>
      </c>
      <c r="K374" s="36"/>
      <c r="L374" s="36"/>
      <c r="M374" s="36"/>
      <c r="N374" s="36"/>
      <c r="O374" s="39" t="str">
        <f aca="false">IF(COUNT(K374:N374)=0,"",ROUND(AVERAGE(K374:N374),0))</f>
        <v/>
      </c>
      <c r="P374" s="38" t="str">
        <f aca="false">IF(O374="","",LOOKUP(O374,Impostazioni!$E$4:$E$9,Impostazioni!$F$4:$F$9))</f>
        <v/>
      </c>
      <c r="Q374" s="36"/>
      <c r="R374" s="36"/>
      <c r="S374" s="36"/>
      <c r="T374" s="36"/>
      <c r="U374" s="39" t="str">
        <f aca="false">IF(COUNT(Q374:T374)=0,"",ROUND(AVERAGE(Q374:T374),0))</f>
        <v/>
      </c>
      <c r="V374" s="38" t="str">
        <f aca="false">IF(U374="","",LOOKUP(U374,Impostazioni!$E$4:$E$9,Impostazioni!$F$4:$F$9))</f>
        <v/>
      </c>
      <c r="W374" s="36"/>
      <c r="X374" s="36"/>
      <c r="Y374" s="36"/>
      <c r="Z374" s="36"/>
      <c r="AA374" s="39" t="str">
        <f aca="false">IF(COUNT(W374:Z374)=0,"",ROUND(AVERAGE(W374:Z374),0))</f>
        <v/>
      </c>
      <c r="AB374" s="38" t="str">
        <f aca="false">IF(AA374="","",LOOKUP(AA374,Impostazioni!$E$4:$E$9,Impostazioni!$F$4:$F$9))</f>
        <v/>
      </c>
    </row>
    <row r="375" customFormat="false" ht="21" hidden="false" customHeight="true" outlineLevel="0" collapsed="false">
      <c r="A375" s="33" t="n">
        <v>5</v>
      </c>
      <c r="B375" s="34" t="str">
        <f aca="false">IFERROR(INDEX(Alunni!$C$1:$C$1000,MATCH($A375,Alunni!$A$1:$A$1000,0))&amp;"","")</f>
        <v/>
      </c>
      <c r="C375" s="15"/>
      <c r="D375" s="35"/>
      <c r="E375" s="36"/>
      <c r="F375" s="36"/>
      <c r="G375" s="36"/>
      <c r="H375" s="36"/>
      <c r="I375" s="39" t="str">
        <f aca="false">IF(COUNT(E375:H375)=0,"",ROUND(AVERAGE(E375:H375),0))</f>
        <v/>
      </c>
      <c r="J375" s="38" t="str">
        <f aca="false">IF(I375="","",LOOKUP(I375,Impostazioni!$E$4:$E$9,Impostazioni!$F$4:$F$9))</f>
        <v/>
      </c>
      <c r="K375" s="36"/>
      <c r="L375" s="36"/>
      <c r="M375" s="36"/>
      <c r="N375" s="36"/>
      <c r="O375" s="39" t="str">
        <f aca="false">IF(COUNT(K375:N375)=0,"",ROUND(AVERAGE(K375:N375),0))</f>
        <v/>
      </c>
      <c r="P375" s="38" t="str">
        <f aca="false">IF(O375="","",LOOKUP(O375,Impostazioni!$E$4:$E$9,Impostazioni!$F$4:$F$9))</f>
        <v/>
      </c>
      <c r="Q375" s="36"/>
      <c r="R375" s="36"/>
      <c r="S375" s="36"/>
      <c r="T375" s="36"/>
      <c r="U375" s="39" t="str">
        <f aca="false">IF(COUNT(Q375:T375)=0,"",ROUND(AVERAGE(Q375:T375),0))</f>
        <v/>
      </c>
      <c r="V375" s="38" t="str">
        <f aca="false">IF(U375="","",LOOKUP(U375,Impostazioni!$E$4:$E$9,Impostazioni!$F$4:$F$9))</f>
        <v/>
      </c>
      <c r="W375" s="36"/>
      <c r="X375" s="36"/>
      <c r="Y375" s="36"/>
      <c r="Z375" s="36"/>
      <c r="AA375" s="39" t="str">
        <f aca="false">IF(COUNT(W375:Z375)=0,"",ROUND(AVERAGE(W375:Z375),0))</f>
        <v/>
      </c>
      <c r="AB375" s="38" t="str">
        <f aca="false">IF(AA375="","",LOOKUP(AA375,Impostazioni!$E$4:$E$9,Impostazioni!$F$4:$F$9))</f>
        <v/>
      </c>
    </row>
    <row r="376" customFormat="false" ht="21" hidden="false" customHeight="true" outlineLevel="0" collapsed="false">
      <c r="A376" s="33" t="n">
        <v>6</v>
      </c>
      <c r="B376" s="34" t="str">
        <f aca="false">IFERROR(INDEX(Alunni!$C$1:$C$1000,MATCH($A376,Alunni!$A$1:$A$1000,0))&amp;"","")</f>
        <v/>
      </c>
      <c r="C376" s="15"/>
      <c r="D376" s="35"/>
      <c r="E376" s="36"/>
      <c r="F376" s="36"/>
      <c r="G376" s="36"/>
      <c r="H376" s="36"/>
      <c r="I376" s="39" t="str">
        <f aca="false">IF(COUNT(E376:H376)=0,"",ROUND(AVERAGE(E376:H376),0))</f>
        <v/>
      </c>
      <c r="J376" s="38" t="str">
        <f aca="false">IF(I376="","",LOOKUP(I376,Impostazioni!$E$4:$E$9,Impostazioni!$F$4:$F$9))</f>
        <v/>
      </c>
      <c r="K376" s="36"/>
      <c r="L376" s="36"/>
      <c r="M376" s="36"/>
      <c r="N376" s="36"/>
      <c r="O376" s="39" t="str">
        <f aca="false">IF(COUNT(K376:N376)=0,"",ROUND(AVERAGE(K376:N376),0))</f>
        <v/>
      </c>
      <c r="P376" s="38" t="str">
        <f aca="false">IF(O376="","",LOOKUP(O376,Impostazioni!$E$4:$E$9,Impostazioni!$F$4:$F$9))</f>
        <v/>
      </c>
      <c r="Q376" s="36"/>
      <c r="R376" s="36"/>
      <c r="S376" s="36"/>
      <c r="T376" s="36"/>
      <c r="U376" s="39" t="str">
        <f aca="false">IF(COUNT(Q376:T376)=0,"",ROUND(AVERAGE(Q376:T376),0))</f>
        <v/>
      </c>
      <c r="V376" s="38" t="str">
        <f aca="false">IF(U376="","",LOOKUP(U376,Impostazioni!$E$4:$E$9,Impostazioni!$F$4:$F$9))</f>
        <v/>
      </c>
      <c r="W376" s="36"/>
      <c r="X376" s="36"/>
      <c r="Y376" s="36"/>
      <c r="Z376" s="36"/>
      <c r="AA376" s="39" t="str">
        <f aca="false">IF(COUNT(W376:Z376)=0,"",ROUND(AVERAGE(W376:Z376),0))</f>
        <v/>
      </c>
      <c r="AB376" s="38" t="str">
        <f aca="false">IF(AA376="","",LOOKUP(AA376,Impostazioni!$E$4:$E$9,Impostazioni!$F$4:$F$9))</f>
        <v/>
      </c>
    </row>
    <row r="377" customFormat="false" ht="21" hidden="false" customHeight="true" outlineLevel="0" collapsed="false">
      <c r="A377" s="33" t="n">
        <v>7</v>
      </c>
      <c r="B377" s="34" t="str">
        <f aca="false">IFERROR(INDEX(Alunni!$C$1:$C$1000,MATCH($A377,Alunni!$A$1:$A$1000,0))&amp;"","")</f>
        <v/>
      </c>
      <c r="C377" s="15"/>
      <c r="D377" s="35"/>
      <c r="E377" s="36"/>
      <c r="F377" s="36"/>
      <c r="G377" s="36"/>
      <c r="H377" s="36"/>
      <c r="I377" s="39" t="str">
        <f aca="false">IF(COUNT(E377:H377)=0,"",ROUND(AVERAGE(E377:H377),0))</f>
        <v/>
      </c>
      <c r="J377" s="38" t="str">
        <f aca="false">IF(I377="","",LOOKUP(I377,Impostazioni!$E$4:$E$9,Impostazioni!$F$4:$F$9))</f>
        <v/>
      </c>
      <c r="K377" s="36"/>
      <c r="L377" s="36"/>
      <c r="M377" s="36"/>
      <c r="N377" s="36"/>
      <c r="O377" s="39" t="str">
        <f aca="false">IF(COUNT(K377:N377)=0,"",ROUND(AVERAGE(K377:N377),0))</f>
        <v/>
      </c>
      <c r="P377" s="38" t="str">
        <f aca="false">IF(O377="","",LOOKUP(O377,Impostazioni!$E$4:$E$9,Impostazioni!$F$4:$F$9))</f>
        <v/>
      </c>
      <c r="Q377" s="36"/>
      <c r="R377" s="36"/>
      <c r="S377" s="36"/>
      <c r="T377" s="36"/>
      <c r="U377" s="39" t="str">
        <f aca="false">IF(COUNT(Q377:T377)=0,"",ROUND(AVERAGE(Q377:T377),0))</f>
        <v/>
      </c>
      <c r="V377" s="38" t="str">
        <f aca="false">IF(U377="","",LOOKUP(U377,Impostazioni!$E$4:$E$9,Impostazioni!$F$4:$F$9))</f>
        <v/>
      </c>
      <c r="W377" s="36"/>
      <c r="X377" s="36"/>
      <c r="Y377" s="36"/>
      <c r="Z377" s="36"/>
      <c r="AA377" s="39" t="str">
        <f aca="false">IF(COUNT(W377:Z377)=0,"",ROUND(AVERAGE(W377:Z377),0))</f>
        <v/>
      </c>
      <c r="AB377" s="38" t="str">
        <f aca="false">IF(AA377="","",LOOKUP(AA377,Impostazioni!$E$4:$E$9,Impostazioni!$F$4:$F$9))</f>
        <v/>
      </c>
    </row>
    <row r="378" customFormat="false" ht="21" hidden="false" customHeight="true" outlineLevel="0" collapsed="false">
      <c r="A378" s="33" t="n">
        <v>8</v>
      </c>
      <c r="B378" s="34" t="str">
        <f aca="false">IFERROR(INDEX(Alunni!$C$1:$C$1000,MATCH($A378,Alunni!$A$1:$A$1000,0))&amp;"","")</f>
        <v/>
      </c>
      <c r="C378" s="15"/>
      <c r="D378" s="35"/>
      <c r="E378" s="36"/>
      <c r="F378" s="36"/>
      <c r="G378" s="36"/>
      <c r="H378" s="36"/>
      <c r="I378" s="39" t="str">
        <f aca="false">IF(COUNT(E378:H378)=0,"",ROUND(AVERAGE(E378:H378),0))</f>
        <v/>
      </c>
      <c r="J378" s="38" t="str">
        <f aca="false">IF(I378="","",LOOKUP(I378,Impostazioni!$E$4:$E$9,Impostazioni!$F$4:$F$9))</f>
        <v/>
      </c>
      <c r="K378" s="36"/>
      <c r="L378" s="36"/>
      <c r="M378" s="36"/>
      <c r="N378" s="36"/>
      <c r="O378" s="39" t="str">
        <f aca="false">IF(COUNT(K378:N378)=0,"",ROUND(AVERAGE(K378:N378),0))</f>
        <v/>
      </c>
      <c r="P378" s="38" t="str">
        <f aca="false">IF(O378="","",LOOKUP(O378,Impostazioni!$E$4:$E$9,Impostazioni!$F$4:$F$9))</f>
        <v/>
      </c>
      <c r="Q378" s="36"/>
      <c r="R378" s="36"/>
      <c r="S378" s="36"/>
      <c r="T378" s="36"/>
      <c r="U378" s="39" t="str">
        <f aca="false">IF(COUNT(Q378:T378)=0,"",ROUND(AVERAGE(Q378:T378),0))</f>
        <v/>
      </c>
      <c r="V378" s="38" t="str">
        <f aca="false">IF(U378="","",LOOKUP(U378,Impostazioni!$E$4:$E$9,Impostazioni!$F$4:$F$9))</f>
        <v/>
      </c>
      <c r="W378" s="36"/>
      <c r="X378" s="36"/>
      <c r="Y378" s="36"/>
      <c r="Z378" s="36"/>
      <c r="AA378" s="39" t="str">
        <f aca="false">IF(COUNT(W378:Z378)=0,"",ROUND(AVERAGE(W378:Z378),0))</f>
        <v/>
      </c>
      <c r="AB378" s="38" t="str">
        <f aca="false">IF(AA378="","",LOOKUP(AA378,Impostazioni!$E$4:$E$9,Impostazioni!$F$4:$F$9))</f>
        <v/>
      </c>
    </row>
    <row r="379" customFormat="false" ht="21" hidden="false" customHeight="true" outlineLevel="0" collapsed="false">
      <c r="A379" s="33" t="n">
        <v>9</v>
      </c>
      <c r="B379" s="34" t="str">
        <f aca="false">IFERROR(INDEX(Alunni!$C$1:$C$1000,MATCH($A379,Alunni!$A$1:$A$1000,0))&amp;"","")</f>
        <v/>
      </c>
      <c r="C379" s="15"/>
      <c r="D379" s="35"/>
      <c r="E379" s="36"/>
      <c r="F379" s="36"/>
      <c r="G379" s="36"/>
      <c r="H379" s="36"/>
      <c r="I379" s="39" t="str">
        <f aca="false">IF(COUNT(E379:H379)=0,"",ROUND(AVERAGE(E379:H379),0))</f>
        <v/>
      </c>
      <c r="J379" s="38" t="str">
        <f aca="false">IF(I379="","",LOOKUP(I379,Impostazioni!$E$4:$E$9,Impostazioni!$F$4:$F$9))</f>
        <v/>
      </c>
      <c r="K379" s="36"/>
      <c r="L379" s="36"/>
      <c r="M379" s="36"/>
      <c r="N379" s="36"/>
      <c r="O379" s="39" t="str">
        <f aca="false">IF(COUNT(K379:N379)=0,"",ROUND(AVERAGE(K379:N379),0))</f>
        <v/>
      </c>
      <c r="P379" s="38" t="str">
        <f aca="false">IF(O379="","",LOOKUP(O379,Impostazioni!$E$4:$E$9,Impostazioni!$F$4:$F$9))</f>
        <v/>
      </c>
      <c r="Q379" s="36"/>
      <c r="R379" s="36"/>
      <c r="S379" s="36"/>
      <c r="T379" s="36"/>
      <c r="U379" s="39" t="str">
        <f aca="false">IF(COUNT(Q379:T379)=0,"",ROUND(AVERAGE(Q379:T379),0))</f>
        <v/>
      </c>
      <c r="V379" s="38" t="str">
        <f aca="false">IF(U379="","",LOOKUP(U379,Impostazioni!$E$4:$E$9,Impostazioni!$F$4:$F$9))</f>
        <v/>
      </c>
      <c r="W379" s="36"/>
      <c r="X379" s="36"/>
      <c r="Y379" s="36"/>
      <c r="Z379" s="36"/>
      <c r="AA379" s="39" t="str">
        <f aca="false">IF(COUNT(W379:Z379)=0,"",ROUND(AVERAGE(W379:Z379),0))</f>
        <v/>
      </c>
      <c r="AB379" s="38" t="str">
        <f aca="false">IF(AA379="","",LOOKUP(AA379,Impostazioni!$E$4:$E$9,Impostazioni!$F$4:$F$9))</f>
        <v/>
      </c>
    </row>
    <row r="380" customFormat="false" ht="21" hidden="false" customHeight="true" outlineLevel="0" collapsed="false">
      <c r="A380" s="33" t="n">
        <v>10</v>
      </c>
      <c r="B380" s="34" t="str">
        <f aca="false">IFERROR(INDEX(Alunni!$C$1:$C$1000,MATCH($A380,Alunni!$A$1:$A$1000,0))&amp;"","")</f>
        <v/>
      </c>
      <c r="C380" s="15"/>
      <c r="D380" s="35"/>
      <c r="E380" s="36"/>
      <c r="F380" s="36"/>
      <c r="G380" s="36"/>
      <c r="H380" s="36"/>
      <c r="I380" s="39" t="str">
        <f aca="false">IF(COUNT(E380:H380)=0,"",ROUND(AVERAGE(E380:H380),0))</f>
        <v/>
      </c>
      <c r="J380" s="38" t="str">
        <f aca="false">IF(I380="","",LOOKUP(I380,Impostazioni!$E$4:$E$9,Impostazioni!$F$4:$F$9))</f>
        <v/>
      </c>
      <c r="K380" s="36"/>
      <c r="L380" s="36"/>
      <c r="M380" s="36"/>
      <c r="N380" s="36"/>
      <c r="O380" s="39" t="str">
        <f aca="false">IF(COUNT(K380:N380)=0,"",ROUND(AVERAGE(K380:N380),0))</f>
        <v/>
      </c>
      <c r="P380" s="38" t="str">
        <f aca="false">IF(O380="","",LOOKUP(O380,Impostazioni!$E$4:$E$9,Impostazioni!$F$4:$F$9))</f>
        <v/>
      </c>
      <c r="Q380" s="36"/>
      <c r="R380" s="36"/>
      <c r="S380" s="36"/>
      <c r="T380" s="36"/>
      <c r="U380" s="39" t="str">
        <f aca="false">IF(COUNT(Q380:T380)=0,"",ROUND(AVERAGE(Q380:T380),0))</f>
        <v/>
      </c>
      <c r="V380" s="38" t="str">
        <f aca="false">IF(U380="","",LOOKUP(U380,Impostazioni!$E$4:$E$9,Impostazioni!$F$4:$F$9))</f>
        <v/>
      </c>
      <c r="W380" s="36"/>
      <c r="X380" s="36"/>
      <c r="Y380" s="36"/>
      <c r="Z380" s="36"/>
      <c r="AA380" s="39" t="str">
        <f aca="false">IF(COUNT(W380:Z380)=0,"",ROUND(AVERAGE(W380:Z380),0))</f>
        <v/>
      </c>
      <c r="AB380" s="38" t="str">
        <f aca="false">IF(AA380="","",LOOKUP(AA380,Impostazioni!$E$4:$E$9,Impostazioni!$F$4:$F$9))</f>
        <v/>
      </c>
    </row>
    <row r="381" customFormat="false" ht="21" hidden="false" customHeight="true" outlineLevel="0" collapsed="false">
      <c r="A381" s="33" t="n">
        <v>11</v>
      </c>
      <c r="B381" s="34" t="str">
        <f aca="false">IFERROR(INDEX(Alunni!$C$1:$C$1000,MATCH($A381,Alunni!$A$1:$A$1000,0))&amp;"","")</f>
        <v/>
      </c>
      <c r="C381" s="15"/>
      <c r="D381" s="35"/>
      <c r="E381" s="36"/>
      <c r="F381" s="36"/>
      <c r="G381" s="36"/>
      <c r="H381" s="36"/>
      <c r="I381" s="39" t="str">
        <f aca="false">IF(COUNT(E381:H381)=0,"",ROUND(AVERAGE(E381:H381),0))</f>
        <v/>
      </c>
      <c r="J381" s="38" t="str">
        <f aca="false">IF(I381="","",LOOKUP(I381,Impostazioni!$E$4:$E$9,Impostazioni!$F$4:$F$9))</f>
        <v/>
      </c>
      <c r="K381" s="36"/>
      <c r="L381" s="36"/>
      <c r="M381" s="36"/>
      <c r="N381" s="36"/>
      <c r="O381" s="39" t="str">
        <f aca="false">IF(COUNT(K381:N381)=0,"",ROUND(AVERAGE(K381:N381),0))</f>
        <v/>
      </c>
      <c r="P381" s="38" t="str">
        <f aca="false">IF(O381="","",LOOKUP(O381,Impostazioni!$E$4:$E$9,Impostazioni!$F$4:$F$9))</f>
        <v/>
      </c>
      <c r="Q381" s="36"/>
      <c r="R381" s="36"/>
      <c r="S381" s="36"/>
      <c r="T381" s="36"/>
      <c r="U381" s="39" t="str">
        <f aca="false">IF(COUNT(Q381:T381)=0,"",ROUND(AVERAGE(Q381:T381),0))</f>
        <v/>
      </c>
      <c r="V381" s="38" t="str">
        <f aca="false">IF(U381="","",LOOKUP(U381,Impostazioni!$E$4:$E$9,Impostazioni!$F$4:$F$9))</f>
        <v/>
      </c>
      <c r="W381" s="36"/>
      <c r="X381" s="36"/>
      <c r="Y381" s="36"/>
      <c r="Z381" s="36"/>
      <c r="AA381" s="39" t="str">
        <f aca="false">IF(COUNT(W381:Z381)=0,"",ROUND(AVERAGE(W381:Z381),0))</f>
        <v/>
      </c>
      <c r="AB381" s="38" t="str">
        <f aca="false">IF(AA381="","",LOOKUP(AA381,Impostazioni!$E$4:$E$9,Impostazioni!$F$4:$F$9))</f>
        <v/>
      </c>
    </row>
    <row r="382" customFormat="false" ht="21" hidden="false" customHeight="true" outlineLevel="0" collapsed="false">
      <c r="A382" s="33" t="n">
        <v>12</v>
      </c>
      <c r="B382" s="34" t="str">
        <f aca="false">IFERROR(INDEX(Alunni!$C$1:$C$1000,MATCH($A382,Alunni!$A$1:$A$1000,0))&amp;"","")</f>
        <v/>
      </c>
      <c r="C382" s="15"/>
      <c r="D382" s="35"/>
      <c r="E382" s="36"/>
      <c r="F382" s="36"/>
      <c r="G382" s="36"/>
      <c r="H382" s="36"/>
      <c r="I382" s="39" t="str">
        <f aca="false">IF(COUNT(E382:H382)=0,"",ROUND(AVERAGE(E382:H382),0))</f>
        <v/>
      </c>
      <c r="J382" s="38" t="str">
        <f aca="false">IF(I382="","",LOOKUP(I382,Impostazioni!$E$4:$E$9,Impostazioni!$F$4:$F$9))</f>
        <v/>
      </c>
      <c r="K382" s="36"/>
      <c r="L382" s="36"/>
      <c r="M382" s="36"/>
      <c r="N382" s="36"/>
      <c r="O382" s="39" t="str">
        <f aca="false">IF(COUNT(K382:N382)=0,"",ROUND(AVERAGE(K382:N382),0))</f>
        <v/>
      </c>
      <c r="P382" s="38" t="str">
        <f aca="false">IF(O382="","",LOOKUP(O382,Impostazioni!$E$4:$E$9,Impostazioni!$F$4:$F$9))</f>
        <v/>
      </c>
      <c r="Q382" s="36"/>
      <c r="R382" s="36"/>
      <c r="S382" s="36"/>
      <c r="T382" s="36"/>
      <c r="U382" s="39" t="str">
        <f aca="false">IF(COUNT(Q382:T382)=0,"",ROUND(AVERAGE(Q382:T382),0))</f>
        <v/>
      </c>
      <c r="V382" s="38" t="str">
        <f aca="false">IF(U382="","",LOOKUP(U382,Impostazioni!$E$4:$E$9,Impostazioni!$F$4:$F$9))</f>
        <v/>
      </c>
      <c r="W382" s="36"/>
      <c r="X382" s="36"/>
      <c r="Y382" s="36"/>
      <c r="Z382" s="36"/>
      <c r="AA382" s="39" t="str">
        <f aca="false">IF(COUNT(W382:Z382)=0,"",ROUND(AVERAGE(W382:Z382),0))</f>
        <v/>
      </c>
      <c r="AB382" s="38" t="str">
        <f aca="false">IF(AA382="","",LOOKUP(AA382,Impostazioni!$E$4:$E$9,Impostazioni!$F$4:$F$9))</f>
        <v/>
      </c>
    </row>
    <row r="383" customFormat="false" ht="21" hidden="false" customHeight="true" outlineLevel="0" collapsed="false">
      <c r="A383" s="33" t="n">
        <v>13</v>
      </c>
      <c r="B383" s="34" t="str">
        <f aca="false">IFERROR(INDEX(Alunni!$C$1:$C$1000,MATCH($A383,Alunni!$A$1:$A$1000,0))&amp;"","")</f>
        <v/>
      </c>
      <c r="C383" s="15"/>
      <c r="D383" s="35"/>
      <c r="E383" s="36"/>
      <c r="F383" s="36"/>
      <c r="G383" s="36"/>
      <c r="H383" s="36"/>
      <c r="I383" s="39" t="str">
        <f aca="false">IF(COUNT(E383:H383)=0,"",ROUND(AVERAGE(E383:H383),0))</f>
        <v/>
      </c>
      <c r="J383" s="38" t="str">
        <f aca="false">IF(I383="","",LOOKUP(I383,Impostazioni!$E$4:$E$9,Impostazioni!$F$4:$F$9))</f>
        <v/>
      </c>
      <c r="K383" s="36"/>
      <c r="L383" s="36"/>
      <c r="M383" s="36"/>
      <c r="N383" s="36"/>
      <c r="O383" s="39" t="str">
        <f aca="false">IF(COUNT(K383:N383)=0,"",ROUND(AVERAGE(K383:N383),0))</f>
        <v/>
      </c>
      <c r="P383" s="38" t="str">
        <f aca="false">IF(O383="","",LOOKUP(O383,Impostazioni!$E$4:$E$9,Impostazioni!$F$4:$F$9))</f>
        <v/>
      </c>
      <c r="Q383" s="36"/>
      <c r="R383" s="36"/>
      <c r="S383" s="36"/>
      <c r="T383" s="36"/>
      <c r="U383" s="39" t="str">
        <f aca="false">IF(COUNT(Q383:T383)=0,"",ROUND(AVERAGE(Q383:T383),0))</f>
        <v/>
      </c>
      <c r="V383" s="38" t="str">
        <f aca="false">IF(U383="","",LOOKUP(U383,Impostazioni!$E$4:$E$9,Impostazioni!$F$4:$F$9))</f>
        <v/>
      </c>
      <c r="W383" s="36"/>
      <c r="X383" s="36"/>
      <c r="Y383" s="36"/>
      <c r="Z383" s="36"/>
      <c r="AA383" s="39" t="str">
        <f aca="false">IF(COUNT(W383:Z383)=0,"",ROUND(AVERAGE(W383:Z383),0))</f>
        <v/>
      </c>
      <c r="AB383" s="38" t="str">
        <f aca="false">IF(AA383="","",LOOKUP(AA383,Impostazioni!$E$4:$E$9,Impostazioni!$F$4:$F$9))</f>
        <v/>
      </c>
    </row>
    <row r="384" customFormat="false" ht="21" hidden="false" customHeight="true" outlineLevel="0" collapsed="false">
      <c r="A384" s="33" t="n">
        <v>14</v>
      </c>
      <c r="B384" s="34" t="str">
        <f aca="false">IFERROR(INDEX(Alunni!$C$1:$C$1000,MATCH($A384,Alunni!$A$1:$A$1000,0))&amp;"","")</f>
        <v/>
      </c>
      <c r="C384" s="15"/>
      <c r="D384" s="35"/>
      <c r="E384" s="36"/>
      <c r="F384" s="36"/>
      <c r="G384" s="36"/>
      <c r="H384" s="36"/>
      <c r="I384" s="39" t="str">
        <f aca="false">IF(COUNT(E384:H384)=0,"",ROUND(AVERAGE(E384:H384),0))</f>
        <v/>
      </c>
      <c r="J384" s="38" t="str">
        <f aca="false">IF(I384="","",LOOKUP(I384,Impostazioni!$E$4:$E$9,Impostazioni!$F$4:$F$9))</f>
        <v/>
      </c>
      <c r="K384" s="36"/>
      <c r="L384" s="36"/>
      <c r="M384" s="36"/>
      <c r="N384" s="36"/>
      <c r="O384" s="39" t="str">
        <f aca="false">IF(COUNT(K384:N384)=0,"",ROUND(AVERAGE(K384:N384),0))</f>
        <v/>
      </c>
      <c r="P384" s="38" t="str">
        <f aca="false">IF(O384="","",LOOKUP(O384,Impostazioni!$E$4:$E$9,Impostazioni!$F$4:$F$9))</f>
        <v/>
      </c>
      <c r="Q384" s="36"/>
      <c r="R384" s="36"/>
      <c r="S384" s="36"/>
      <c r="T384" s="36"/>
      <c r="U384" s="39" t="str">
        <f aca="false">IF(COUNT(Q384:T384)=0,"",ROUND(AVERAGE(Q384:T384),0))</f>
        <v/>
      </c>
      <c r="V384" s="38" t="str">
        <f aca="false">IF(U384="","",LOOKUP(U384,Impostazioni!$E$4:$E$9,Impostazioni!$F$4:$F$9))</f>
        <v/>
      </c>
      <c r="W384" s="36"/>
      <c r="X384" s="36"/>
      <c r="Y384" s="36"/>
      <c r="Z384" s="36"/>
      <c r="AA384" s="39" t="str">
        <f aca="false">IF(COUNT(W384:Z384)=0,"",ROUND(AVERAGE(W384:Z384),0))</f>
        <v/>
      </c>
      <c r="AB384" s="38" t="str">
        <f aca="false">IF(AA384="","",LOOKUP(AA384,Impostazioni!$E$4:$E$9,Impostazioni!$F$4:$F$9))</f>
        <v/>
      </c>
    </row>
    <row r="385" customFormat="false" ht="21" hidden="false" customHeight="true" outlineLevel="0" collapsed="false">
      <c r="A385" s="33" t="n">
        <v>15</v>
      </c>
      <c r="B385" s="34" t="str">
        <f aca="false">IFERROR(INDEX(Alunni!$C$1:$C$1000,MATCH($A385,Alunni!$A$1:$A$1000,0))&amp;"","")</f>
        <v/>
      </c>
      <c r="C385" s="15"/>
      <c r="D385" s="35"/>
      <c r="E385" s="36"/>
      <c r="F385" s="36"/>
      <c r="G385" s="36"/>
      <c r="H385" s="36"/>
      <c r="I385" s="39" t="str">
        <f aca="false">IF(COUNT(E385:H385)=0,"",ROUND(AVERAGE(E385:H385),0))</f>
        <v/>
      </c>
      <c r="J385" s="38" t="str">
        <f aca="false">IF(I385="","",LOOKUP(I385,Impostazioni!$E$4:$E$9,Impostazioni!$F$4:$F$9))</f>
        <v/>
      </c>
      <c r="K385" s="36"/>
      <c r="L385" s="36"/>
      <c r="M385" s="36"/>
      <c r="N385" s="36"/>
      <c r="O385" s="39" t="str">
        <f aca="false">IF(COUNT(K385:N385)=0,"",ROUND(AVERAGE(K385:N385),0))</f>
        <v/>
      </c>
      <c r="P385" s="38" t="str">
        <f aca="false">IF(O385="","",LOOKUP(O385,Impostazioni!$E$4:$E$9,Impostazioni!$F$4:$F$9))</f>
        <v/>
      </c>
      <c r="Q385" s="36"/>
      <c r="R385" s="36"/>
      <c r="S385" s="36"/>
      <c r="T385" s="36"/>
      <c r="U385" s="39" t="str">
        <f aca="false">IF(COUNT(Q385:T385)=0,"",ROUND(AVERAGE(Q385:T385),0))</f>
        <v/>
      </c>
      <c r="V385" s="38" t="str">
        <f aca="false">IF(U385="","",LOOKUP(U385,Impostazioni!$E$4:$E$9,Impostazioni!$F$4:$F$9))</f>
        <v/>
      </c>
      <c r="W385" s="36"/>
      <c r="X385" s="36"/>
      <c r="Y385" s="36"/>
      <c r="Z385" s="36"/>
      <c r="AA385" s="39" t="str">
        <f aca="false">IF(COUNT(W385:Z385)=0,"",ROUND(AVERAGE(W385:Z385),0))</f>
        <v/>
      </c>
      <c r="AB385" s="38" t="str">
        <f aca="false">IF(AA385="","",LOOKUP(AA385,Impostazioni!$E$4:$E$9,Impostazioni!$F$4:$F$9))</f>
        <v/>
      </c>
    </row>
    <row r="386" customFormat="false" ht="21" hidden="false" customHeight="true" outlineLevel="0" collapsed="false">
      <c r="A386" s="33" t="n">
        <v>16</v>
      </c>
      <c r="B386" s="34" t="str">
        <f aca="false">IFERROR(INDEX(Alunni!$C$1:$C$1000,MATCH($A386,Alunni!$A$1:$A$1000,0))&amp;"","")</f>
        <v/>
      </c>
      <c r="C386" s="15"/>
      <c r="D386" s="35"/>
      <c r="E386" s="36"/>
      <c r="F386" s="36"/>
      <c r="G386" s="36"/>
      <c r="H386" s="36"/>
      <c r="I386" s="39" t="str">
        <f aca="false">IF(COUNT(E386:H386)=0,"",ROUND(AVERAGE(E386:H386),0))</f>
        <v/>
      </c>
      <c r="J386" s="38" t="str">
        <f aca="false">IF(I386="","",LOOKUP(I386,Impostazioni!$E$4:$E$9,Impostazioni!$F$4:$F$9))</f>
        <v/>
      </c>
      <c r="K386" s="36"/>
      <c r="L386" s="36"/>
      <c r="M386" s="36"/>
      <c r="N386" s="36"/>
      <c r="O386" s="39" t="str">
        <f aca="false">IF(COUNT(K386:N386)=0,"",ROUND(AVERAGE(K386:N386),0))</f>
        <v/>
      </c>
      <c r="P386" s="38" t="str">
        <f aca="false">IF(O386="","",LOOKUP(O386,Impostazioni!$E$4:$E$9,Impostazioni!$F$4:$F$9))</f>
        <v/>
      </c>
      <c r="Q386" s="36"/>
      <c r="R386" s="36"/>
      <c r="S386" s="36"/>
      <c r="T386" s="36"/>
      <c r="U386" s="39" t="str">
        <f aca="false">IF(COUNT(Q386:T386)=0,"",ROUND(AVERAGE(Q386:T386),0))</f>
        <v/>
      </c>
      <c r="V386" s="38" t="str">
        <f aca="false">IF(U386="","",LOOKUP(U386,Impostazioni!$E$4:$E$9,Impostazioni!$F$4:$F$9))</f>
        <v/>
      </c>
      <c r="W386" s="36"/>
      <c r="X386" s="36"/>
      <c r="Y386" s="36"/>
      <c r="Z386" s="36"/>
      <c r="AA386" s="39" t="str">
        <f aca="false">IF(COUNT(W386:Z386)=0,"",ROUND(AVERAGE(W386:Z386),0))</f>
        <v/>
      </c>
      <c r="AB386" s="38" t="str">
        <f aca="false">IF(AA386="","",LOOKUP(AA386,Impostazioni!$E$4:$E$9,Impostazioni!$F$4:$F$9))</f>
        <v/>
      </c>
    </row>
    <row r="387" customFormat="false" ht="21" hidden="false" customHeight="true" outlineLevel="0" collapsed="false">
      <c r="A387" s="33" t="n">
        <v>17</v>
      </c>
      <c r="B387" s="34" t="str">
        <f aca="false">IFERROR(INDEX(Alunni!$C$1:$C$1000,MATCH($A387,Alunni!$A$1:$A$1000,0))&amp;"","")</f>
        <v/>
      </c>
      <c r="C387" s="15"/>
      <c r="D387" s="35"/>
      <c r="E387" s="36"/>
      <c r="F387" s="36"/>
      <c r="G387" s="36"/>
      <c r="H387" s="36"/>
      <c r="I387" s="39" t="str">
        <f aca="false">IF(COUNT(E387:H387)=0,"",ROUND(AVERAGE(E387:H387),0))</f>
        <v/>
      </c>
      <c r="J387" s="38" t="str">
        <f aca="false">IF(I387="","",LOOKUP(I387,Impostazioni!$E$4:$E$9,Impostazioni!$F$4:$F$9))</f>
        <v/>
      </c>
      <c r="K387" s="36"/>
      <c r="L387" s="36"/>
      <c r="M387" s="36"/>
      <c r="N387" s="36"/>
      <c r="O387" s="39" t="str">
        <f aca="false">IF(COUNT(K387:N387)=0,"",ROUND(AVERAGE(K387:N387),0))</f>
        <v/>
      </c>
      <c r="P387" s="38" t="str">
        <f aca="false">IF(O387="","",LOOKUP(O387,Impostazioni!$E$4:$E$9,Impostazioni!$F$4:$F$9))</f>
        <v/>
      </c>
      <c r="Q387" s="36"/>
      <c r="R387" s="36"/>
      <c r="S387" s="36"/>
      <c r="T387" s="36"/>
      <c r="U387" s="39" t="str">
        <f aca="false">IF(COUNT(Q387:T387)=0,"",ROUND(AVERAGE(Q387:T387),0))</f>
        <v/>
      </c>
      <c r="V387" s="38" t="str">
        <f aca="false">IF(U387="","",LOOKUP(U387,Impostazioni!$E$4:$E$9,Impostazioni!$F$4:$F$9))</f>
        <v/>
      </c>
      <c r="W387" s="36"/>
      <c r="X387" s="36"/>
      <c r="Y387" s="36"/>
      <c r="Z387" s="36"/>
      <c r="AA387" s="39" t="str">
        <f aca="false">IF(COUNT(W387:Z387)=0,"",ROUND(AVERAGE(W387:Z387),0))</f>
        <v/>
      </c>
      <c r="AB387" s="38" t="str">
        <f aca="false">IF(AA387="","",LOOKUP(AA387,Impostazioni!$E$4:$E$9,Impostazioni!$F$4:$F$9))</f>
        <v/>
      </c>
    </row>
    <row r="388" customFormat="false" ht="21" hidden="false" customHeight="true" outlineLevel="0" collapsed="false">
      <c r="A388" s="33" t="n">
        <v>18</v>
      </c>
      <c r="B388" s="34" t="str">
        <f aca="false">IFERROR(INDEX(Alunni!$C$1:$C$1000,MATCH($A388,Alunni!$A$1:$A$1000,0))&amp;"","")</f>
        <v/>
      </c>
      <c r="C388" s="15"/>
      <c r="D388" s="35"/>
      <c r="E388" s="36"/>
      <c r="F388" s="36"/>
      <c r="G388" s="36"/>
      <c r="H388" s="36"/>
      <c r="I388" s="39" t="str">
        <f aca="false">IF(COUNT(E388:H388)=0,"",ROUND(AVERAGE(E388:H388),0))</f>
        <v/>
      </c>
      <c r="J388" s="38" t="str">
        <f aca="false">IF(I388="","",LOOKUP(I388,Impostazioni!$E$4:$E$9,Impostazioni!$F$4:$F$9))</f>
        <v/>
      </c>
      <c r="K388" s="36"/>
      <c r="L388" s="36"/>
      <c r="M388" s="36"/>
      <c r="N388" s="36"/>
      <c r="O388" s="39" t="str">
        <f aca="false">IF(COUNT(K388:N388)=0,"",ROUND(AVERAGE(K388:N388),0))</f>
        <v/>
      </c>
      <c r="P388" s="38" t="str">
        <f aca="false">IF(O388="","",LOOKUP(O388,Impostazioni!$E$4:$E$9,Impostazioni!$F$4:$F$9))</f>
        <v/>
      </c>
      <c r="Q388" s="36"/>
      <c r="R388" s="36"/>
      <c r="S388" s="36"/>
      <c r="T388" s="36"/>
      <c r="U388" s="39" t="str">
        <f aca="false">IF(COUNT(Q388:T388)=0,"",ROUND(AVERAGE(Q388:T388),0))</f>
        <v/>
      </c>
      <c r="V388" s="38" t="str">
        <f aca="false">IF(U388="","",LOOKUP(U388,Impostazioni!$E$4:$E$9,Impostazioni!$F$4:$F$9))</f>
        <v/>
      </c>
      <c r="W388" s="36"/>
      <c r="X388" s="36"/>
      <c r="Y388" s="36"/>
      <c r="Z388" s="36"/>
      <c r="AA388" s="39" t="str">
        <f aca="false">IF(COUNT(W388:Z388)=0,"",ROUND(AVERAGE(W388:Z388),0))</f>
        <v/>
      </c>
      <c r="AB388" s="38" t="str">
        <f aca="false">IF(AA388="","",LOOKUP(AA388,Impostazioni!$E$4:$E$9,Impostazioni!$F$4:$F$9))</f>
        <v/>
      </c>
    </row>
    <row r="389" customFormat="false" ht="21" hidden="false" customHeight="true" outlineLevel="0" collapsed="false">
      <c r="A389" s="33" t="n">
        <v>19</v>
      </c>
      <c r="B389" s="34" t="str">
        <f aca="false">IFERROR(INDEX(Alunni!$C$1:$C$1000,MATCH($A389,Alunni!$A$1:$A$1000,0))&amp;"","")</f>
        <v/>
      </c>
      <c r="C389" s="15"/>
      <c r="D389" s="35"/>
      <c r="E389" s="36"/>
      <c r="F389" s="36"/>
      <c r="G389" s="36"/>
      <c r="H389" s="36"/>
      <c r="I389" s="39" t="str">
        <f aca="false">IF(COUNT(E389:H389)=0,"",ROUND(AVERAGE(E389:H389),0))</f>
        <v/>
      </c>
      <c r="J389" s="38" t="str">
        <f aca="false">IF(I389="","",LOOKUP(I389,Impostazioni!$E$4:$E$9,Impostazioni!$F$4:$F$9))</f>
        <v/>
      </c>
      <c r="K389" s="36"/>
      <c r="L389" s="36"/>
      <c r="M389" s="36"/>
      <c r="N389" s="36"/>
      <c r="O389" s="39" t="str">
        <f aca="false">IF(COUNT(K389:N389)=0,"",ROUND(AVERAGE(K389:N389),0))</f>
        <v/>
      </c>
      <c r="P389" s="38" t="str">
        <f aca="false">IF(O389="","",LOOKUP(O389,Impostazioni!$E$4:$E$9,Impostazioni!$F$4:$F$9))</f>
        <v/>
      </c>
      <c r="Q389" s="36"/>
      <c r="R389" s="36"/>
      <c r="S389" s="36"/>
      <c r="T389" s="36"/>
      <c r="U389" s="39" t="str">
        <f aca="false">IF(COUNT(Q389:T389)=0,"",ROUND(AVERAGE(Q389:T389),0))</f>
        <v/>
      </c>
      <c r="V389" s="38" t="str">
        <f aca="false">IF(U389="","",LOOKUP(U389,Impostazioni!$E$4:$E$9,Impostazioni!$F$4:$F$9))</f>
        <v/>
      </c>
      <c r="W389" s="36"/>
      <c r="X389" s="36"/>
      <c r="Y389" s="36"/>
      <c r="Z389" s="36"/>
      <c r="AA389" s="39" t="str">
        <f aca="false">IF(COUNT(W389:Z389)=0,"",ROUND(AVERAGE(W389:Z389),0))</f>
        <v/>
      </c>
      <c r="AB389" s="38" t="str">
        <f aca="false">IF(AA389="","",LOOKUP(AA389,Impostazioni!$E$4:$E$9,Impostazioni!$F$4:$F$9))</f>
        <v/>
      </c>
    </row>
    <row r="390" customFormat="false" ht="21" hidden="false" customHeight="true" outlineLevel="0" collapsed="false">
      <c r="A390" s="33" t="n">
        <v>20</v>
      </c>
      <c r="B390" s="34" t="str">
        <f aca="false">IFERROR(INDEX(Alunni!$C$1:$C$1000,MATCH($A390,Alunni!$A$1:$A$1000,0))&amp;"","")</f>
        <v/>
      </c>
      <c r="C390" s="15"/>
      <c r="D390" s="35"/>
      <c r="E390" s="36"/>
      <c r="F390" s="36"/>
      <c r="G390" s="36"/>
      <c r="H390" s="36"/>
      <c r="I390" s="39" t="str">
        <f aca="false">IF(COUNT(E390:H390)=0,"",ROUND(AVERAGE(E390:H390),0))</f>
        <v/>
      </c>
      <c r="J390" s="38" t="str">
        <f aca="false">IF(I390="","",LOOKUP(I390,Impostazioni!$E$4:$E$9,Impostazioni!$F$4:$F$9))</f>
        <v/>
      </c>
      <c r="K390" s="36"/>
      <c r="L390" s="36"/>
      <c r="M390" s="36"/>
      <c r="N390" s="36"/>
      <c r="O390" s="39" t="str">
        <f aca="false">IF(COUNT(K390:N390)=0,"",ROUND(AVERAGE(K390:N390),0))</f>
        <v/>
      </c>
      <c r="P390" s="38" t="str">
        <f aca="false">IF(O390="","",LOOKUP(O390,Impostazioni!$E$4:$E$9,Impostazioni!$F$4:$F$9))</f>
        <v/>
      </c>
      <c r="Q390" s="36"/>
      <c r="R390" s="36"/>
      <c r="S390" s="36"/>
      <c r="T390" s="36"/>
      <c r="U390" s="39" t="str">
        <f aca="false">IF(COUNT(Q390:T390)=0,"",ROUND(AVERAGE(Q390:T390),0))</f>
        <v/>
      </c>
      <c r="V390" s="38" t="str">
        <f aca="false">IF(U390="","",LOOKUP(U390,Impostazioni!$E$4:$E$9,Impostazioni!$F$4:$F$9))</f>
        <v/>
      </c>
      <c r="W390" s="36"/>
      <c r="X390" s="36"/>
      <c r="Y390" s="36"/>
      <c r="Z390" s="36"/>
      <c r="AA390" s="39" t="str">
        <f aca="false">IF(COUNT(W390:Z390)=0,"",ROUND(AVERAGE(W390:Z390),0))</f>
        <v/>
      </c>
      <c r="AB390" s="38" t="str">
        <f aca="false">IF(AA390="","",LOOKUP(AA390,Impostazioni!$E$4:$E$9,Impostazioni!$F$4:$F$9))</f>
        <v/>
      </c>
    </row>
    <row r="391" customFormat="false" ht="21" hidden="false" customHeight="true" outlineLevel="0" collapsed="false">
      <c r="A391" s="33" t="n">
        <v>21</v>
      </c>
      <c r="B391" s="34" t="str">
        <f aca="false">IFERROR(INDEX(Alunni!$C$1:$C$1000,MATCH($A391,Alunni!$A$1:$A$1000,0))&amp;"","")</f>
        <v/>
      </c>
      <c r="C391" s="15"/>
      <c r="D391" s="35"/>
      <c r="E391" s="36"/>
      <c r="F391" s="36"/>
      <c r="G391" s="36"/>
      <c r="H391" s="36"/>
      <c r="I391" s="39" t="str">
        <f aca="false">IF(COUNT(E391:H391)=0,"",ROUND(AVERAGE(E391:H391),0))</f>
        <v/>
      </c>
      <c r="J391" s="38" t="str">
        <f aca="false">IF(I391="","",LOOKUP(I391,Impostazioni!$E$4:$E$9,Impostazioni!$F$4:$F$9))</f>
        <v/>
      </c>
      <c r="K391" s="36"/>
      <c r="L391" s="36"/>
      <c r="M391" s="36"/>
      <c r="N391" s="36"/>
      <c r="O391" s="39" t="str">
        <f aca="false">IF(COUNT(K391:N391)=0,"",ROUND(AVERAGE(K391:N391),0))</f>
        <v/>
      </c>
      <c r="P391" s="38" t="str">
        <f aca="false">IF(O391="","",LOOKUP(O391,Impostazioni!$E$4:$E$9,Impostazioni!$F$4:$F$9))</f>
        <v/>
      </c>
      <c r="Q391" s="36"/>
      <c r="R391" s="36"/>
      <c r="S391" s="36"/>
      <c r="T391" s="36"/>
      <c r="U391" s="39" t="str">
        <f aca="false">IF(COUNT(Q391:T391)=0,"",ROUND(AVERAGE(Q391:T391),0))</f>
        <v/>
      </c>
      <c r="V391" s="38" t="str">
        <f aca="false">IF(U391="","",LOOKUP(U391,Impostazioni!$E$4:$E$9,Impostazioni!$F$4:$F$9))</f>
        <v/>
      </c>
      <c r="W391" s="36"/>
      <c r="X391" s="36"/>
      <c r="Y391" s="36"/>
      <c r="Z391" s="36"/>
      <c r="AA391" s="39" t="str">
        <f aca="false">IF(COUNT(W391:Z391)=0,"",ROUND(AVERAGE(W391:Z391),0))</f>
        <v/>
      </c>
      <c r="AB391" s="38" t="str">
        <f aca="false">IF(AA391="","",LOOKUP(AA391,Impostazioni!$E$4:$E$9,Impostazioni!$F$4:$F$9))</f>
        <v/>
      </c>
    </row>
    <row r="392" customFormat="false" ht="21" hidden="false" customHeight="true" outlineLevel="0" collapsed="false">
      <c r="A392" s="33" t="n">
        <v>22</v>
      </c>
      <c r="B392" s="34" t="str">
        <f aca="false">IFERROR(INDEX(Alunni!$C$1:$C$1000,MATCH($A392,Alunni!$A$1:$A$1000,0))&amp;"","")</f>
        <v/>
      </c>
      <c r="C392" s="15"/>
      <c r="D392" s="35"/>
      <c r="E392" s="36"/>
      <c r="F392" s="36"/>
      <c r="G392" s="36"/>
      <c r="H392" s="36"/>
      <c r="I392" s="39" t="str">
        <f aca="false">IF(COUNT(E392:H392)=0,"",ROUND(AVERAGE(E392:H392),0))</f>
        <v/>
      </c>
      <c r="J392" s="38" t="str">
        <f aca="false">IF(I392="","",LOOKUP(I392,Impostazioni!$E$4:$E$9,Impostazioni!$F$4:$F$9))</f>
        <v/>
      </c>
      <c r="K392" s="36"/>
      <c r="L392" s="36"/>
      <c r="M392" s="36"/>
      <c r="N392" s="36"/>
      <c r="O392" s="39" t="str">
        <f aca="false">IF(COUNT(K392:N392)=0,"",ROUND(AVERAGE(K392:N392),0))</f>
        <v/>
      </c>
      <c r="P392" s="38" t="str">
        <f aca="false">IF(O392="","",LOOKUP(O392,Impostazioni!$E$4:$E$9,Impostazioni!$F$4:$F$9))</f>
        <v/>
      </c>
      <c r="Q392" s="36"/>
      <c r="R392" s="36"/>
      <c r="S392" s="36"/>
      <c r="T392" s="36"/>
      <c r="U392" s="39" t="str">
        <f aca="false">IF(COUNT(Q392:T392)=0,"",ROUND(AVERAGE(Q392:T392),0))</f>
        <v/>
      </c>
      <c r="V392" s="38" t="str">
        <f aca="false">IF(U392="","",LOOKUP(U392,Impostazioni!$E$4:$E$9,Impostazioni!$F$4:$F$9))</f>
        <v/>
      </c>
      <c r="W392" s="36"/>
      <c r="X392" s="36"/>
      <c r="Y392" s="36"/>
      <c r="Z392" s="36"/>
      <c r="AA392" s="39" t="str">
        <f aca="false">IF(COUNT(W392:Z392)=0,"",ROUND(AVERAGE(W392:Z392),0))</f>
        <v/>
      </c>
      <c r="AB392" s="38" t="str">
        <f aca="false">IF(AA392="","",LOOKUP(AA392,Impostazioni!$E$4:$E$9,Impostazioni!$F$4:$F$9))</f>
        <v/>
      </c>
    </row>
    <row r="393" customFormat="false" ht="21" hidden="false" customHeight="true" outlineLevel="0" collapsed="false">
      <c r="A393" s="33" t="n">
        <v>23</v>
      </c>
      <c r="B393" s="34" t="str">
        <f aca="false">IFERROR(INDEX(Alunni!$C$1:$C$1000,MATCH($A393,Alunni!$A$1:$A$1000,0))&amp;"","")</f>
        <v/>
      </c>
      <c r="C393" s="15"/>
      <c r="D393" s="35"/>
      <c r="E393" s="36"/>
      <c r="F393" s="36"/>
      <c r="G393" s="36"/>
      <c r="H393" s="36"/>
      <c r="I393" s="39" t="str">
        <f aca="false">IF(COUNT(E393:H393)=0,"",ROUND(AVERAGE(E393:H393),0))</f>
        <v/>
      </c>
      <c r="J393" s="38" t="str">
        <f aca="false">IF(I393="","",LOOKUP(I393,Impostazioni!$E$4:$E$9,Impostazioni!$F$4:$F$9))</f>
        <v/>
      </c>
      <c r="K393" s="36"/>
      <c r="L393" s="36"/>
      <c r="M393" s="36"/>
      <c r="N393" s="36"/>
      <c r="O393" s="39" t="str">
        <f aca="false">IF(COUNT(K393:N393)=0,"",ROUND(AVERAGE(K393:N393),0))</f>
        <v/>
      </c>
      <c r="P393" s="38" t="str">
        <f aca="false">IF(O393="","",LOOKUP(O393,Impostazioni!$E$4:$E$9,Impostazioni!$F$4:$F$9))</f>
        <v/>
      </c>
      <c r="Q393" s="36"/>
      <c r="R393" s="36"/>
      <c r="S393" s="36"/>
      <c r="T393" s="36"/>
      <c r="U393" s="39" t="str">
        <f aca="false">IF(COUNT(Q393:T393)=0,"",ROUND(AVERAGE(Q393:T393),0))</f>
        <v/>
      </c>
      <c r="V393" s="38" t="str">
        <f aca="false">IF(U393="","",LOOKUP(U393,Impostazioni!$E$4:$E$9,Impostazioni!$F$4:$F$9))</f>
        <v/>
      </c>
      <c r="W393" s="36"/>
      <c r="X393" s="36"/>
      <c r="Y393" s="36"/>
      <c r="Z393" s="36"/>
      <c r="AA393" s="39" t="str">
        <f aca="false">IF(COUNT(W393:Z393)=0,"",ROUND(AVERAGE(W393:Z393),0))</f>
        <v/>
      </c>
      <c r="AB393" s="38" t="str">
        <f aca="false">IF(AA393="","",LOOKUP(AA393,Impostazioni!$E$4:$E$9,Impostazioni!$F$4:$F$9))</f>
        <v/>
      </c>
    </row>
    <row r="394" customFormat="false" ht="21" hidden="false" customHeight="true" outlineLevel="0" collapsed="false">
      <c r="A394" s="33" t="n">
        <v>24</v>
      </c>
      <c r="B394" s="34" t="str">
        <f aca="false">IFERROR(INDEX(Alunni!$C$1:$C$1000,MATCH($A394,Alunni!$A$1:$A$1000,0))&amp;"","")</f>
        <v/>
      </c>
      <c r="C394" s="15"/>
      <c r="D394" s="35"/>
      <c r="E394" s="36"/>
      <c r="F394" s="36"/>
      <c r="G394" s="36"/>
      <c r="H394" s="36"/>
      <c r="I394" s="39" t="str">
        <f aca="false">IF(COUNT(E394:H394)=0,"",ROUND(AVERAGE(E394:H394),0))</f>
        <v/>
      </c>
      <c r="J394" s="38" t="str">
        <f aca="false">IF(I394="","",LOOKUP(I394,Impostazioni!$E$4:$E$9,Impostazioni!$F$4:$F$9))</f>
        <v/>
      </c>
      <c r="K394" s="36"/>
      <c r="L394" s="36"/>
      <c r="M394" s="36"/>
      <c r="N394" s="36"/>
      <c r="O394" s="39" t="str">
        <f aca="false">IF(COUNT(K394:N394)=0,"",ROUND(AVERAGE(K394:N394),0))</f>
        <v/>
      </c>
      <c r="P394" s="38" t="str">
        <f aca="false">IF(O394="","",LOOKUP(O394,Impostazioni!$E$4:$E$9,Impostazioni!$F$4:$F$9))</f>
        <v/>
      </c>
      <c r="Q394" s="36"/>
      <c r="R394" s="36"/>
      <c r="S394" s="36"/>
      <c r="T394" s="36"/>
      <c r="U394" s="39" t="str">
        <f aca="false">IF(COUNT(Q394:T394)=0,"",ROUND(AVERAGE(Q394:T394),0))</f>
        <v/>
      </c>
      <c r="V394" s="38" t="str">
        <f aca="false">IF(U394="","",LOOKUP(U394,Impostazioni!$E$4:$E$9,Impostazioni!$F$4:$F$9))</f>
        <v/>
      </c>
      <c r="W394" s="36"/>
      <c r="X394" s="36"/>
      <c r="Y394" s="36"/>
      <c r="Z394" s="36"/>
      <c r="AA394" s="39" t="str">
        <f aca="false">IF(COUNT(W394:Z394)=0,"",ROUND(AVERAGE(W394:Z394),0))</f>
        <v/>
      </c>
      <c r="AB394" s="38" t="str">
        <f aca="false">IF(AA394="","",LOOKUP(AA394,Impostazioni!$E$4:$E$9,Impostazioni!$F$4:$F$9))</f>
        <v/>
      </c>
    </row>
    <row r="395" customFormat="false" ht="21" hidden="false" customHeight="true" outlineLevel="0" collapsed="false">
      <c r="A395" s="33" t="n">
        <v>25</v>
      </c>
      <c r="B395" s="34" t="str">
        <f aca="false">IFERROR(INDEX(Alunni!$C$1:$C$1000,MATCH($A395,Alunni!$A$1:$A$1000,0))&amp;"","")</f>
        <v/>
      </c>
      <c r="C395" s="15"/>
      <c r="D395" s="35"/>
      <c r="E395" s="36"/>
      <c r="F395" s="36"/>
      <c r="G395" s="36"/>
      <c r="H395" s="36"/>
      <c r="I395" s="39" t="str">
        <f aca="false">IF(COUNT(E395:H395)=0,"",ROUND(AVERAGE(E395:H395),0))</f>
        <v/>
      </c>
      <c r="J395" s="38" t="str">
        <f aca="false">IF(I395="","",LOOKUP(I395,Impostazioni!$E$4:$E$9,Impostazioni!$F$4:$F$9))</f>
        <v/>
      </c>
      <c r="K395" s="36"/>
      <c r="L395" s="36"/>
      <c r="M395" s="36"/>
      <c r="N395" s="36"/>
      <c r="O395" s="39" t="str">
        <f aca="false">IF(COUNT(K395:N395)=0,"",ROUND(AVERAGE(K395:N395),0))</f>
        <v/>
      </c>
      <c r="P395" s="38" t="str">
        <f aca="false">IF(O395="","",LOOKUP(O395,Impostazioni!$E$4:$E$9,Impostazioni!$F$4:$F$9))</f>
        <v/>
      </c>
      <c r="Q395" s="36"/>
      <c r="R395" s="36"/>
      <c r="S395" s="36"/>
      <c r="T395" s="36"/>
      <c r="U395" s="39" t="str">
        <f aca="false">IF(COUNT(Q395:T395)=0,"",ROUND(AVERAGE(Q395:T395),0))</f>
        <v/>
      </c>
      <c r="V395" s="38" t="str">
        <f aca="false">IF(U395="","",LOOKUP(U395,Impostazioni!$E$4:$E$9,Impostazioni!$F$4:$F$9))</f>
        <v/>
      </c>
      <c r="W395" s="36"/>
      <c r="X395" s="36"/>
      <c r="Y395" s="36"/>
      <c r="Z395" s="36"/>
      <c r="AA395" s="39" t="str">
        <f aca="false">IF(COUNT(W395:Z395)=0,"",ROUND(AVERAGE(W395:Z395),0))</f>
        <v/>
      </c>
      <c r="AB395" s="38" t="str">
        <f aca="false">IF(AA395="","",LOOKUP(AA395,Impostazioni!$E$4:$E$9,Impostazioni!$F$4:$F$9))</f>
        <v/>
      </c>
    </row>
    <row r="396" customFormat="false" ht="21" hidden="false" customHeight="true" outlineLevel="0" collapsed="false">
      <c r="A396" s="33" t="n">
        <v>26</v>
      </c>
      <c r="B396" s="34" t="str">
        <f aca="false">IFERROR(INDEX(Alunni!$C$1:$C$1000,MATCH($A396,Alunni!$A$1:$A$1000,0))&amp;"","")</f>
        <v/>
      </c>
      <c r="C396" s="15"/>
      <c r="D396" s="35"/>
      <c r="E396" s="36"/>
      <c r="F396" s="36"/>
      <c r="G396" s="36"/>
      <c r="H396" s="36"/>
      <c r="I396" s="39" t="str">
        <f aca="false">IF(COUNT(E396:H396)=0,"",ROUND(AVERAGE(E396:H396),0))</f>
        <v/>
      </c>
      <c r="J396" s="38" t="str">
        <f aca="false">IF(I396="","",LOOKUP(I396,Impostazioni!$E$4:$E$9,Impostazioni!$F$4:$F$9))</f>
        <v/>
      </c>
      <c r="K396" s="36"/>
      <c r="L396" s="36"/>
      <c r="M396" s="36"/>
      <c r="N396" s="36"/>
      <c r="O396" s="39" t="str">
        <f aca="false">IF(COUNT(K396:N396)=0,"",ROUND(AVERAGE(K396:N396),0))</f>
        <v/>
      </c>
      <c r="P396" s="38" t="str">
        <f aca="false">IF(O396="","",LOOKUP(O396,Impostazioni!$E$4:$E$9,Impostazioni!$F$4:$F$9))</f>
        <v/>
      </c>
      <c r="Q396" s="36"/>
      <c r="R396" s="36"/>
      <c r="S396" s="36"/>
      <c r="T396" s="36"/>
      <c r="U396" s="39" t="str">
        <f aca="false">IF(COUNT(Q396:T396)=0,"",ROUND(AVERAGE(Q396:T396),0))</f>
        <v/>
      </c>
      <c r="V396" s="38" t="str">
        <f aca="false">IF(U396="","",LOOKUP(U396,Impostazioni!$E$4:$E$9,Impostazioni!$F$4:$F$9))</f>
        <v/>
      </c>
      <c r="W396" s="36"/>
      <c r="X396" s="36"/>
      <c r="Y396" s="36"/>
      <c r="Z396" s="36"/>
      <c r="AA396" s="39" t="str">
        <f aca="false">IF(COUNT(W396:Z396)=0,"",ROUND(AVERAGE(W396:Z396),0))</f>
        <v/>
      </c>
      <c r="AB396" s="38" t="str">
        <f aca="false">IF(AA396="","",LOOKUP(AA396,Impostazioni!$E$4:$E$9,Impostazioni!$F$4:$F$9))</f>
        <v/>
      </c>
    </row>
    <row r="397" customFormat="false" ht="21" hidden="false" customHeight="true" outlineLevel="0" collapsed="false">
      <c r="A397" s="33" t="n">
        <v>27</v>
      </c>
      <c r="B397" s="34" t="str">
        <f aca="false">IFERROR(INDEX(Alunni!$C$1:$C$1000,MATCH($A397,Alunni!$A$1:$A$1000,0))&amp;"","")</f>
        <v/>
      </c>
      <c r="C397" s="15"/>
      <c r="D397" s="35"/>
      <c r="E397" s="36"/>
      <c r="F397" s="36"/>
      <c r="G397" s="36"/>
      <c r="H397" s="36"/>
      <c r="I397" s="39" t="str">
        <f aca="false">IF(COUNT(E397:H397)=0,"",ROUND(AVERAGE(E397:H397),0))</f>
        <v/>
      </c>
      <c r="J397" s="38" t="str">
        <f aca="false">IF(I397="","",LOOKUP(I397,Impostazioni!$E$4:$E$9,Impostazioni!$F$4:$F$9))</f>
        <v/>
      </c>
      <c r="K397" s="36"/>
      <c r="L397" s="36"/>
      <c r="M397" s="36"/>
      <c r="N397" s="36"/>
      <c r="O397" s="39" t="str">
        <f aca="false">IF(COUNT(K397:N397)=0,"",ROUND(AVERAGE(K397:N397),0))</f>
        <v/>
      </c>
      <c r="P397" s="38" t="str">
        <f aca="false">IF(O397="","",LOOKUP(O397,Impostazioni!$E$4:$E$9,Impostazioni!$F$4:$F$9))</f>
        <v/>
      </c>
      <c r="Q397" s="36"/>
      <c r="R397" s="36"/>
      <c r="S397" s="36"/>
      <c r="T397" s="36"/>
      <c r="U397" s="39" t="str">
        <f aca="false">IF(COUNT(Q397:T397)=0,"",ROUND(AVERAGE(Q397:T397),0))</f>
        <v/>
      </c>
      <c r="V397" s="38" t="str">
        <f aca="false">IF(U397="","",LOOKUP(U397,Impostazioni!$E$4:$E$9,Impostazioni!$F$4:$F$9))</f>
        <v/>
      </c>
      <c r="W397" s="36"/>
      <c r="X397" s="36"/>
      <c r="Y397" s="36"/>
      <c r="Z397" s="36"/>
      <c r="AA397" s="39" t="str">
        <f aca="false">IF(COUNT(W397:Z397)=0,"",ROUND(AVERAGE(W397:Z397),0))</f>
        <v/>
      </c>
      <c r="AB397" s="38" t="str">
        <f aca="false">IF(AA397="","",LOOKUP(AA397,Impostazioni!$E$4:$E$9,Impostazioni!$F$4:$F$9))</f>
        <v/>
      </c>
    </row>
    <row r="398" customFormat="false" ht="21" hidden="false" customHeight="true" outlineLevel="0" collapsed="false">
      <c r="A398" s="33" t="n">
        <v>28</v>
      </c>
      <c r="B398" s="34" t="str">
        <f aca="false">IFERROR(INDEX(Alunni!$C$1:$C$1000,MATCH($A398,Alunni!$A$1:$A$1000,0))&amp;"","")</f>
        <v/>
      </c>
      <c r="C398" s="15"/>
      <c r="D398" s="35"/>
      <c r="E398" s="36"/>
      <c r="F398" s="36"/>
      <c r="G398" s="36"/>
      <c r="H398" s="36"/>
      <c r="I398" s="39" t="str">
        <f aca="false">IF(COUNT(E398:H398)=0,"",ROUND(AVERAGE(E398:H398),0))</f>
        <v/>
      </c>
      <c r="J398" s="38" t="str">
        <f aca="false">IF(I398="","",LOOKUP(I398,Impostazioni!$E$4:$E$9,Impostazioni!$F$4:$F$9))</f>
        <v/>
      </c>
      <c r="K398" s="36"/>
      <c r="L398" s="36"/>
      <c r="M398" s="36"/>
      <c r="N398" s="36"/>
      <c r="O398" s="39" t="str">
        <f aca="false">IF(COUNT(K398:N398)=0,"",ROUND(AVERAGE(K398:N398),0))</f>
        <v/>
      </c>
      <c r="P398" s="38" t="str">
        <f aca="false">IF(O398="","",LOOKUP(O398,Impostazioni!$E$4:$E$9,Impostazioni!$F$4:$F$9))</f>
        <v/>
      </c>
      <c r="Q398" s="36"/>
      <c r="R398" s="36"/>
      <c r="S398" s="36"/>
      <c r="T398" s="36"/>
      <c r="U398" s="39" t="str">
        <f aca="false">IF(COUNT(Q398:T398)=0,"",ROUND(AVERAGE(Q398:T398),0))</f>
        <v/>
      </c>
      <c r="V398" s="38" t="str">
        <f aca="false">IF(U398="","",LOOKUP(U398,Impostazioni!$E$4:$E$9,Impostazioni!$F$4:$F$9))</f>
        <v/>
      </c>
      <c r="W398" s="36"/>
      <c r="X398" s="36"/>
      <c r="Y398" s="36"/>
      <c r="Z398" s="36"/>
      <c r="AA398" s="39" t="str">
        <f aca="false">IF(COUNT(W398:Z398)=0,"",ROUND(AVERAGE(W398:Z398),0))</f>
        <v/>
      </c>
      <c r="AB398" s="38" t="str">
        <f aca="false">IF(AA398="","",LOOKUP(AA398,Impostazioni!$E$4:$E$9,Impostazioni!$F$4:$F$9))</f>
        <v/>
      </c>
    </row>
    <row r="399" customFormat="false" ht="21" hidden="false" customHeight="true" outlineLevel="0" collapsed="false">
      <c r="A399" s="33" t="n">
        <v>29</v>
      </c>
      <c r="B399" s="34" t="str">
        <f aca="false">IFERROR(INDEX(Alunni!$C$1:$C$1000,MATCH($A399,Alunni!$A$1:$A$1000,0))&amp;"","")</f>
        <v/>
      </c>
      <c r="C399" s="15"/>
      <c r="D399" s="35"/>
      <c r="E399" s="36"/>
      <c r="F399" s="36"/>
      <c r="G399" s="36"/>
      <c r="H399" s="36"/>
      <c r="I399" s="39" t="str">
        <f aca="false">IF(COUNT(E399:H399)=0,"",ROUND(AVERAGE(E399:H399),0))</f>
        <v/>
      </c>
      <c r="J399" s="38" t="str">
        <f aca="false">IF(I399="","",LOOKUP(I399,Impostazioni!$E$4:$E$9,Impostazioni!$F$4:$F$9))</f>
        <v/>
      </c>
      <c r="K399" s="36"/>
      <c r="L399" s="36"/>
      <c r="M399" s="36"/>
      <c r="N399" s="36"/>
      <c r="O399" s="39" t="str">
        <f aca="false">IF(COUNT(K399:N399)=0,"",ROUND(AVERAGE(K399:N399),0))</f>
        <v/>
      </c>
      <c r="P399" s="38" t="str">
        <f aca="false">IF(O399="","",LOOKUP(O399,Impostazioni!$E$4:$E$9,Impostazioni!$F$4:$F$9))</f>
        <v/>
      </c>
      <c r="Q399" s="36"/>
      <c r="R399" s="36"/>
      <c r="S399" s="36"/>
      <c r="T399" s="36"/>
      <c r="U399" s="39" t="str">
        <f aca="false">IF(COUNT(Q399:T399)=0,"",ROUND(AVERAGE(Q399:T399),0))</f>
        <v/>
      </c>
      <c r="V399" s="38" t="str">
        <f aca="false">IF(U399="","",LOOKUP(U399,Impostazioni!$E$4:$E$9,Impostazioni!$F$4:$F$9))</f>
        <v/>
      </c>
      <c r="W399" s="36"/>
      <c r="X399" s="36"/>
      <c r="Y399" s="36"/>
      <c r="Z399" s="36"/>
      <c r="AA399" s="39" t="str">
        <f aca="false">IF(COUNT(W399:Z399)=0,"",ROUND(AVERAGE(W399:Z399),0))</f>
        <v/>
      </c>
      <c r="AB399" s="38" t="str">
        <f aca="false">IF(AA399="","",LOOKUP(AA399,Impostazioni!$E$4:$E$9,Impostazioni!$F$4:$F$9))</f>
        <v/>
      </c>
    </row>
    <row r="400" customFormat="false" ht="21" hidden="false" customHeight="true" outlineLevel="0" collapsed="false">
      <c r="A400" s="33" t="n">
        <v>30</v>
      </c>
      <c r="B400" s="34" t="str">
        <f aca="false">IFERROR(INDEX(Alunni!$C$1:$C$1000,MATCH($A400,Alunni!$A$1:$A$1000,0))&amp;"","")</f>
        <v/>
      </c>
      <c r="C400" s="15"/>
      <c r="D400" s="35"/>
      <c r="E400" s="36"/>
      <c r="F400" s="36"/>
      <c r="G400" s="36"/>
      <c r="H400" s="36"/>
      <c r="I400" s="39" t="str">
        <f aca="false">IF(COUNT(E400:H400)=0,"",ROUND(AVERAGE(E400:H400),0))</f>
        <v/>
      </c>
      <c r="J400" s="38" t="str">
        <f aca="false">IF(I400="","",LOOKUP(I400,Impostazioni!$E$4:$E$9,Impostazioni!$F$4:$F$9))</f>
        <v/>
      </c>
      <c r="K400" s="36"/>
      <c r="L400" s="36"/>
      <c r="M400" s="36"/>
      <c r="N400" s="36"/>
      <c r="O400" s="39" t="str">
        <f aca="false">IF(COUNT(K400:N400)=0,"",ROUND(AVERAGE(K400:N400),0))</f>
        <v/>
      </c>
      <c r="P400" s="38" t="str">
        <f aca="false">IF(O400="","",LOOKUP(O400,Impostazioni!$E$4:$E$9,Impostazioni!$F$4:$F$9))</f>
        <v/>
      </c>
      <c r="Q400" s="36"/>
      <c r="R400" s="36"/>
      <c r="S400" s="36"/>
      <c r="T400" s="36"/>
      <c r="U400" s="39" t="str">
        <f aca="false">IF(COUNT(Q400:T400)=0,"",ROUND(AVERAGE(Q400:T400),0))</f>
        <v/>
      </c>
      <c r="V400" s="38" t="str">
        <f aca="false">IF(U400="","",LOOKUP(U400,Impostazioni!$E$4:$E$9,Impostazioni!$F$4:$F$9))</f>
        <v/>
      </c>
      <c r="W400" s="36"/>
      <c r="X400" s="36"/>
      <c r="Y400" s="36"/>
      <c r="Z400" s="36"/>
      <c r="AA400" s="39" t="str">
        <f aca="false">IF(COUNT(W400:Z400)=0,"",ROUND(AVERAGE(W400:Z400),0))</f>
        <v/>
      </c>
      <c r="AB400" s="38" t="str">
        <f aca="false">IF(AA400="","",LOOKUP(AA400,Impostazioni!$E$4:$E$9,Impostazioni!$F$4:$F$9))</f>
        <v/>
      </c>
    </row>
    <row r="402" customFormat="false" ht="25.5" hidden="false" customHeight="true" outlineLevel="0" collapsed="false">
      <c r="A402" s="40" t="str">
        <f aca="false">Calendario!B18&amp;"   ·   "&amp;IF(Calendario!G18="","(descrizione da Calendario)",Calendario!G18)&amp;"   ·   "&amp;IF(Calendario!E18="","data da fissare",CHOOSE(WEEKDAY(Calendario!E18,2),"lunedì","martedì","mercoledì","giovedì","venerdì","sabato","domenica")&amp;" "&amp;TEXT(DAY(Calendario!E18),"00")&amp;"/"&amp;TEXT(MONTH(Calendario!E18),"00")&amp;"/"&amp;YEAR(Calendario!E18))</f>
        <v>Q2-G02   ·   (descrizione da Calendario)   ·   data da fissare</v>
      </c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</row>
    <row r="403" customFormat="false" ht="15" hidden="false" customHeight="true" outlineLevel="0" collapsed="false">
      <c r="A403" s="25" t="s">
        <v>80</v>
      </c>
      <c r="B403" s="25"/>
      <c r="C403" s="25"/>
      <c r="D403" s="25"/>
      <c r="E403" s="26" t="str">
        <f aca="false">IF(Calendario!$H$18="","— libero —",Calendario!$H$18&amp;"  "&amp;IFERROR(VLOOKUP(Calendario!$H$18,Impostazioni!$A$25:$J$36,3,FALSE()),""))</f>
        <v>— libero —</v>
      </c>
      <c r="F403" s="26"/>
      <c r="G403" s="26"/>
      <c r="H403" s="26"/>
      <c r="I403" s="26"/>
      <c r="J403" s="26"/>
      <c r="K403" s="26" t="str">
        <f aca="false">IF(Calendario!$I$18="","— libero —",Calendario!$I$18&amp;"  "&amp;IFERROR(VLOOKUP(Calendario!$I$18,Impostazioni!$A$25:$J$36,3,FALSE()),""))</f>
        <v>— libero —</v>
      </c>
      <c r="L403" s="26"/>
      <c r="M403" s="26"/>
      <c r="N403" s="26"/>
      <c r="O403" s="26"/>
      <c r="P403" s="26"/>
      <c r="Q403" s="26" t="str">
        <f aca="false">IF(Calendario!$J$18="","— libero —",Calendario!$J$18&amp;"  "&amp;IFERROR(VLOOKUP(Calendario!$J$18,Impostazioni!$A$25:$J$36,3,FALSE()),""))</f>
        <v>— libero —</v>
      </c>
      <c r="R403" s="26"/>
      <c r="S403" s="26"/>
      <c r="T403" s="26"/>
      <c r="U403" s="26"/>
      <c r="V403" s="26"/>
      <c r="W403" s="26" t="str">
        <f aca="false">IF(Calendario!$K$18="","— libero —",Calendario!$K$18&amp;"  "&amp;IFERROR(VLOOKUP(Calendario!$K$18,Impostazioni!$A$25:$J$36,3,FALSE()),""))</f>
        <v>— libero —</v>
      </c>
      <c r="X403" s="26"/>
      <c r="Y403" s="26"/>
      <c r="Z403" s="26"/>
      <c r="AA403" s="26"/>
      <c r="AB403" s="26"/>
    </row>
    <row r="404" customFormat="false" ht="15" hidden="false" customHeight="true" outlineLevel="0" collapsed="false">
      <c r="A404" s="25" t="s">
        <v>81</v>
      </c>
      <c r="B404" s="25"/>
      <c r="C404" s="25"/>
      <c r="D404" s="25"/>
      <c r="E404" s="27" t="str">
        <f aca="false">IF(Calendario!$H$18="","","Ob. "&amp;IFERROR(VLOOKUP(Calendario!$H$18,Impostazioni!$A$25:$J$36,6,FALSE()),"?")&amp;" · peso "&amp;IF(Calendario!$F$18=2,Impostazioni!$B$11,Impostazioni!$B$10))</f>
        <v/>
      </c>
      <c r="F404" s="27"/>
      <c r="G404" s="27"/>
      <c r="H404" s="27"/>
      <c r="I404" s="27"/>
      <c r="J404" s="27"/>
      <c r="K404" s="27" t="str">
        <f aca="false">IF(Calendario!$I$18="","","Ob. "&amp;IFERROR(VLOOKUP(Calendario!$I$18,Impostazioni!$A$25:$J$36,6,FALSE()),"?")&amp;" · peso "&amp;IF(Calendario!$F$18=2,Impostazioni!$B$11,Impostazioni!$B$10))</f>
        <v/>
      </c>
      <c r="L404" s="27"/>
      <c r="M404" s="27"/>
      <c r="N404" s="27"/>
      <c r="O404" s="27"/>
      <c r="P404" s="27"/>
      <c r="Q404" s="27" t="str">
        <f aca="false">IF(Calendario!$J$18="","","Ob. "&amp;IFERROR(VLOOKUP(Calendario!$J$18,Impostazioni!$A$25:$J$36,6,FALSE()),"?")&amp;" · peso "&amp;IF(Calendario!$F$18=2,Impostazioni!$B$11,Impostazioni!$B$10))</f>
        <v/>
      </c>
      <c r="R404" s="27"/>
      <c r="S404" s="27"/>
      <c r="T404" s="27"/>
      <c r="U404" s="27"/>
      <c r="V404" s="27"/>
      <c r="W404" s="27" t="str">
        <f aca="false">IF(Calendario!$K$18="","","Ob. "&amp;IFERROR(VLOOKUP(Calendario!$K$18,Impostazioni!$A$25:$J$36,6,FALSE()),"?")&amp;" · peso "&amp;IF(Calendario!$F$18=2,Impostazioni!$B$11,Impostazioni!$B$10))</f>
        <v/>
      </c>
      <c r="X404" s="27"/>
      <c r="Y404" s="27"/>
      <c r="Z404" s="27"/>
      <c r="AA404" s="27"/>
      <c r="AB404" s="27"/>
    </row>
    <row r="405" customFormat="false" ht="33.75" hidden="false" customHeight="true" outlineLevel="0" collapsed="false">
      <c r="A405" s="25" t="s">
        <v>82</v>
      </c>
      <c r="B405" s="25"/>
      <c r="C405" s="25"/>
      <c r="D405" s="25"/>
      <c r="E405" s="28" t="str">
        <f aca="false">IF(Calendario!$H$18="","",IFERROR(HYPERLINK("#Rubriche!C"&amp;(MATCH(Calendario!$H$18,Rubriche!$A$1:$A$1000,0)+0),VLOOKUP(Calendario!$H$18,Impostazioni!$A$25:$J$36,7,FALSE())),""))</f>
        <v/>
      </c>
      <c r="F405" s="28" t="str">
        <f aca="false">IF(Calendario!$H$18="","",IFERROR(HYPERLINK("#Rubriche!C"&amp;(MATCH(Calendario!$H$18,Rubriche!$A$1:$A$1000,0)+1),VLOOKUP(Calendario!$H$18,Impostazioni!$A$25:$J$36,8,FALSE())),""))</f>
        <v/>
      </c>
      <c r="G405" s="28" t="str">
        <f aca="false">IF(Calendario!$H$18="","",IFERROR(HYPERLINK("#Rubriche!C"&amp;(MATCH(Calendario!$H$18,Rubriche!$A$1:$A$1000,0)+2),VLOOKUP(Calendario!$H$18,Impostazioni!$A$25:$J$36,9,FALSE())),""))</f>
        <v/>
      </c>
      <c r="H405" s="28" t="str">
        <f aca="false">IF(Calendario!$H$18="","",IFERROR(HYPERLINK("#Rubriche!C"&amp;(MATCH(Calendario!$H$18,Rubriche!$A$1:$A$1000,0)+3),VLOOKUP(Calendario!$H$18,Impostazioni!$A$25:$J$36,10,FALSE())),""))</f>
        <v/>
      </c>
      <c r="I405" s="29"/>
      <c r="J405" s="29"/>
      <c r="K405" s="28" t="str">
        <f aca="false">IF(Calendario!$I$18="","",IFERROR(HYPERLINK("#Rubriche!C"&amp;(MATCH(Calendario!$I$18,Rubriche!$A$1:$A$1000,0)+0),VLOOKUP(Calendario!$I$18,Impostazioni!$A$25:$J$36,7,FALSE())),""))</f>
        <v/>
      </c>
      <c r="L405" s="28" t="str">
        <f aca="false">IF(Calendario!$I$18="","",IFERROR(HYPERLINK("#Rubriche!C"&amp;(MATCH(Calendario!$I$18,Rubriche!$A$1:$A$1000,0)+1),VLOOKUP(Calendario!$I$18,Impostazioni!$A$25:$J$36,8,FALSE())),""))</f>
        <v/>
      </c>
      <c r="M405" s="28" t="str">
        <f aca="false">IF(Calendario!$I$18="","",IFERROR(HYPERLINK("#Rubriche!C"&amp;(MATCH(Calendario!$I$18,Rubriche!$A$1:$A$1000,0)+2),VLOOKUP(Calendario!$I$18,Impostazioni!$A$25:$J$36,9,FALSE())),""))</f>
        <v/>
      </c>
      <c r="N405" s="28" t="str">
        <f aca="false">IF(Calendario!$I$18="","",IFERROR(HYPERLINK("#Rubriche!C"&amp;(MATCH(Calendario!$I$18,Rubriche!$A$1:$A$1000,0)+3),VLOOKUP(Calendario!$I$18,Impostazioni!$A$25:$J$36,10,FALSE())),""))</f>
        <v/>
      </c>
      <c r="O405" s="29"/>
      <c r="P405" s="29"/>
      <c r="Q405" s="28" t="str">
        <f aca="false">IF(Calendario!$J$18="","",IFERROR(HYPERLINK("#Rubriche!C"&amp;(MATCH(Calendario!$J$18,Rubriche!$A$1:$A$1000,0)+0),VLOOKUP(Calendario!$J$18,Impostazioni!$A$25:$J$36,7,FALSE())),""))</f>
        <v/>
      </c>
      <c r="R405" s="28" t="str">
        <f aca="false">IF(Calendario!$J$18="","",IFERROR(HYPERLINK("#Rubriche!C"&amp;(MATCH(Calendario!$J$18,Rubriche!$A$1:$A$1000,0)+1),VLOOKUP(Calendario!$J$18,Impostazioni!$A$25:$J$36,8,FALSE())),""))</f>
        <v/>
      </c>
      <c r="S405" s="28" t="str">
        <f aca="false">IF(Calendario!$J$18="","",IFERROR(HYPERLINK("#Rubriche!C"&amp;(MATCH(Calendario!$J$18,Rubriche!$A$1:$A$1000,0)+2),VLOOKUP(Calendario!$J$18,Impostazioni!$A$25:$J$36,9,FALSE())),""))</f>
        <v/>
      </c>
      <c r="T405" s="28" t="str">
        <f aca="false">IF(Calendario!$J$18="","",IFERROR(HYPERLINK("#Rubriche!C"&amp;(MATCH(Calendario!$J$18,Rubriche!$A$1:$A$1000,0)+3),VLOOKUP(Calendario!$J$18,Impostazioni!$A$25:$J$36,10,FALSE())),""))</f>
        <v/>
      </c>
      <c r="U405" s="29"/>
      <c r="V405" s="29"/>
      <c r="W405" s="28" t="str">
        <f aca="false">IF(Calendario!$K$18="","",IFERROR(HYPERLINK("#Rubriche!C"&amp;(MATCH(Calendario!$K$18,Rubriche!$A$1:$A$1000,0)+0),VLOOKUP(Calendario!$K$18,Impostazioni!$A$25:$J$36,7,FALSE())),""))</f>
        <v/>
      </c>
      <c r="X405" s="28" t="str">
        <f aca="false">IF(Calendario!$K$18="","",IFERROR(HYPERLINK("#Rubriche!C"&amp;(MATCH(Calendario!$K$18,Rubriche!$A$1:$A$1000,0)+1),VLOOKUP(Calendario!$K$18,Impostazioni!$A$25:$J$36,8,FALSE())),""))</f>
        <v/>
      </c>
      <c r="Y405" s="28" t="str">
        <f aca="false">IF(Calendario!$K$18="","",IFERROR(HYPERLINK("#Rubriche!C"&amp;(MATCH(Calendario!$K$18,Rubriche!$A$1:$A$1000,0)+2),VLOOKUP(Calendario!$K$18,Impostazioni!$A$25:$J$36,9,FALSE())),""))</f>
        <v/>
      </c>
      <c r="Z405" s="28" t="str">
        <f aca="false">IF(Calendario!$K$18="","",IFERROR(HYPERLINK("#Rubriche!C"&amp;(MATCH(Calendario!$K$18,Rubriche!$A$1:$A$1000,0)+3),VLOOKUP(Calendario!$K$18,Impostazioni!$A$25:$J$36,10,FALSE())),""))</f>
        <v/>
      </c>
      <c r="AA405" s="29"/>
      <c r="AB405" s="29"/>
    </row>
    <row r="406" customFormat="false" ht="25.5" hidden="false" customHeight="true" outlineLevel="0" collapsed="false">
      <c r="A406" s="8" t="s">
        <v>65</v>
      </c>
      <c r="B406" s="8" t="s">
        <v>83</v>
      </c>
      <c r="C406" s="8" t="s">
        <v>68</v>
      </c>
      <c r="D406" s="8" t="s">
        <v>84</v>
      </c>
      <c r="E406" s="30" t="s">
        <v>85</v>
      </c>
      <c r="F406" s="30" t="s">
        <v>86</v>
      </c>
      <c r="G406" s="30" t="s">
        <v>87</v>
      </c>
      <c r="H406" s="30" t="s">
        <v>88</v>
      </c>
      <c r="I406" s="31" t="s">
        <v>89</v>
      </c>
      <c r="J406" s="32" t="s">
        <v>90</v>
      </c>
      <c r="K406" s="30" t="s">
        <v>85</v>
      </c>
      <c r="L406" s="30" t="s">
        <v>86</v>
      </c>
      <c r="M406" s="30" t="s">
        <v>87</v>
      </c>
      <c r="N406" s="30" t="s">
        <v>88</v>
      </c>
      <c r="O406" s="31" t="s">
        <v>89</v>
      </c>
      <c r="P406" s="32" t="s">
        <v>90</v>
      </c>
      <c r="Q406" s="30" t="s">
        <v>85</v>
      </c>
      <c r="R406" s="30" t="s">
        <v>86</v>
      </c>
      <c r="S406" s="30" t="s">
        <v>87</v>
      </c>
      <c r="T406" s="30" t="s">
        <v>88</v>
      </c>
      <c r="U406" s="31" t="s">
        <v>89</v>
      </c>
      <c r="V406" s="32" t="s">
        <v>90</v>
      </c>
      <c r="W406" s="30" t="s">
        <v>85</v>
      </c>
      <c r="X406" s="30" t="s">
        <v>86</v>
      </c>
      <c r="Y406" s="30" t="s">
        <v>87</v>
      </c>
      <c r="Z406" s="30" t="s">
        <v>88</v>
      </c>
      <c r="AA406" s="31" t="s">
        <v>89</v>
      </c>
      <c r="AB406" s="32" t="s">
        <v>90</v>
      </c>
    </row>
    <row r="407" customFormat="false" ht="21" hidden="false" customHeight="true" outlineLevel="0" collapsed="false">
      <c r="A407" s="33" t="n">
        <v>1</v>
      </c>
      <c r="B407" s="34" t="str">
        <f aca="false">IFERROR(INDEX(Alunni!$C$1:$C$1000,MATCH($A407,Alunni!$A$1:$A$1000,0))&amp;"","")</f>
        <v>Rossi Mario (esempio)</v>
      </c>
      <c r="C407" s="15"/>
      <c r="D407" s="35"/>
      <c r="E407" s="36"/>
      <c r="F407" s="36"/>
      <c r="G407" s="36"/>
      <c r="H407" s="36"/>
      <c r="I407" s="39" t="str">
        <f aca="false">IF(COUNT(E407:H407)=0,"",ROUND(AVERAGE(E407:H407),0))</f>
        <v/>
      </c>
      <c r="J407" s="38" t="str">
        <f aca="false">IF(I407="","",LOOKUP(I407,Impostazioni!$E$4:$E$9,Impostazioni!$F$4:$F$9))</f>
        <v/>
      </c>
      <c r="K407" s="36"/>
      <c r="L407" s="36"/>
      <c r="M407" s="36"/>
      <c r="N407" s="36"/>
      <c r="O407" s="39" t="str">
        <f aca="false">IF(COUNT(K407:N407)=0,"",ROUND(AVERAGE(K407:N407),0))</f>
        <v/>
      </c>
      <c r="P407" s="38" t="str">
        <f aca="false">IF(O407="","",LOOKUP(O407,Impostazioni!$E$4:$E$9,Impostazioni!$F$4:$F$9))</f>
        <v/>
      </c>
      <c r="Q407" s="36"/>
      <c r="R407" s="36"/>
      <c r="S407" s="36"/>
      <c r="T407" s="36"/>
      <c r="U407" s="39" t="str">
        <f aca="false">IF(COUNT(Q407:T407)=0,"",ROUND(AVERAGE(Q407:T407),0))</f>
        <v/>
      </c>
      <c r="V407" s="38" t="str">
        <f aca="false">IF(U407="","",LOOKUP(U407,Impostazioni!$E$4:$E$9,Impostazioni!$F$4:$F$9))</f>
        <v/>
      </c>
      <c r="W407" s="36"/>
      <c r="X407" s="36"/>
      <c r="Y407" s="36"/>
      <c r="Z407" s="36"/>
      <c r="AA407" s="39" t="str">
        <f aca="false">IF(COUNT(W407:Z407)=0,"",ROUND(AVERAGE(W407:Z407),0))</f>
        <v/>
      </c>
      <c r="AB407" s="38" t="str">
        <f aca="false">IF(AA407="","",LOOKUP(AA407,Impostazioni!$E$4:$E$9,Impostazioni!$F$4:$F$9))</f>
        <v/>
      </c>
    </row>
    <row r="408" customFormat="false" ht="21" hidden="false" customHeight="true" outlineLevel="0" collapsed="false">
      <c r="A408" s="33" t="n">
        <v>2</v>
      </c>
      <c r="B408" s="34" t="str">
        <f aca="false">IFERROR(INDEX(Alunni!$C$1:$C$1000,MATCH($A408,Alunni!$A$1:$A$1000,0))&amp;"","")</f>
        <v>Bianchi Anna (esempio)</v>
      </c>
      <c r="C408" s="15"/>
      <c r="D408" s="35"/>
      <c r="E408" s="36"/>
      <c r="F408" s="36"/>
      <c r="G408" s="36"/>
      <c r="H408" s="36"/>
      <c r="I408" s="39" t="str">
        <f aca="false">IF(COUNT(E408:H408)=0,"",ROUND(AVERAGE(E408:H408),0))</f>
        <v/>
      </c>
      <c r="J408" s="38" t="str">
        <f aca="false">IF(I408="","",LOOKUP(I408,Impostazioni!$E$4:$E$9,Impostazioni!$F$4:$F$9))</f>
        <v/>
      </c>
      <c r="K408" s="36"/>
      <c r="L408" s="36"/>
      <c r="M408" s="36"/>
      <c r="N408" s="36"/>
      <c r="O408" s="39" t="str">
        <f aca="false">IF(COUNT(K408:N408)=0,"",ROUND(AVERAGE(K408:N408),0))</f>
        <v/>
      </c>
      <c r="P408" s="38" t="str">
        <f aca="false">IF(O408="","",LOOKUP(O408,Impostazioni!$E$4:$E$9,Impostazioni!$F$4:$F$9))</f>
        <v/>
      </c>
      <c r="Q408" s="36"/>
      <c r="R408" s="36"/>
      <c r="S408" s="36"/>
      <c r="T408" s="36"/>
      <c r="U408" s="39" t="str">
        <f aca="false">IF(COUNT(Q408:T408)=0,"",ROUND(AVERAGE(Q408:T408),0))</f>
        <v/>
      </c>
      <c r="V408" s="38" t="str">
        <f aca="false">IF(U408="","",LOOKUP(U408,Impostazioni!$E$4:$E$9,Impostazioni!$F$4:$F$9))</f>
        <v/>
      </c>
      <c r="W408" s="36"/>
      <c r="X408" s="36"/>
      <c r="Y408" s="36"/>
      <c r="Z408" s="36"/>
      <c r="AA408" s="39" t="str">
        <f aca="false">IF(COUNT(W408:Z408)=0,"",ROUND(AVERAGE(W408:Z408),0))</f>
        <v/>
      </c>
      <c r="AB408" s="38" t="str">
        <f aca="false">IF(AA408="","",LOOKUP(AA408,Impostazioni!$E$4:$E$9,Impostazioni!$F$4:$F$9))</f>
        <v/>
      </c>
    </row>
    <row r="409" customFormat="false" ht="21" hidden="false" customHeight="true" outlineLevel="0" collapsed="false">
      <c r="A409" s="33" t="n">
        <v>3</v>
      </c>
      <c r="B409" s="34" t="str">
        <f aca="false">IFERROR(INDEX(Alunni!$C$1:$C$1000,MATCH($A409,Alunni!$A$1:$A$1000,0))&amp;"","")</f>
        <v>Verdi Luca (esempio)</v>
      </c>
      <c r="C409" s="15"/>
      <c r="D409" s="35"/>
      <c r="E409" s="36"/>
      <c r="F409" s="36"/>
      <c r="G409" s="36"/>
      <c r="H409" s="36"/>
      <c r="I409" s="39" t="str">
        <f aca="false">IF(COUNT(E409:H409)=0,"",ROUND(AVERAGE(E409:H409),0))</f>
        <v/>
      </c>
      <c r="J409" s="38" t="str">
        <f aca="false">IF(I409="","",LOOKUP(I409,Impostazioni!$E$4:$E$9,Impostazioni!$F$4:$F$9))</f>
        <v/>
      </c>
      <c r="K409" s="36"/>
      <c r="L409" s="36"/>
      <c r="M409" s="36"/>
      <c r="N409" s="36"/>
      <c r="O409" s="39" t="str">
        <f aca="false">IF(COUNT(K409:N409)=0,"",ROUND(AVERAGE(K409:N409),0))</f>
        <v/>
      </c>
      <c r="P409" s="38" t="str">
        <f aca="false">IF(O409="","",LOOKUP(O409,Impostazioni!$E$4:$E$9,Impostazioni!$F$4:$F$9))</f>
        <v/>
      </c>
      <c r="Q409" s="36"/>
      <c r="R409" s="36"/>
      <c r="S409" s="36"/>
      <c r="T409" s="36"/>
      <c r="U409" s="39" t="str">
        <f aca="false">IF(COUNT(Q409:T409)=0,"",ROUND(AVERAGE(Q409:T409),0))</f>
        <v/>
      </c>
      <c r="V409" s="38" t="str">
        <f aca="false">IF(U409="","",LOOKUP(U409,Impostazioni!$E$4:$E$9,Impostazioni!$F$4:$F$9))</f>
        <v/>
      </c>
      <c r="W409" s="36"/>
      <c r="X409" s="36"/>
      <c r="Y409" s="36"/>
      <c r="Z409" s="36"/>
      <c r="AA409" s="39" t="str">
        <f aca="false">IF(COUNT(W409:Z409)=0,"",ROUND(AVERAGE(W409:Z409),0))</f>
        <v/>
      </c>
      <c r="AB409" s="38" t="str">
        <f aca="false">IF(AA409="","",LOOKUP(AA409,Impostazioni!$E$4:$E$9,Impostazioni!$F$4:$F$9))</f>
        <v/>
      </c>
    </row>
    <row r="410" customFormat="false" ht="21" hidden="false" customHeight="true" outlineLevel="0" collapsed="false">
      <c r="A410" s="33" t="n">
        <v>4</v>
      </c>
      <c r="B410" s="34" t="str">
        <f aca="false">IFERROR(INDEX(Alunni!$C$1:$C$1000,MATCH($A410,Alunni!$A$1:$A$1000,0))&amp;"","")</f>
        <v/>
      </c>
      <c r="C410" s="15"/>
      <c r="D410" s="35"/>
      <c r="E410" s="36"/>
      <c r="F410" s="36"/>
      <c r="G410" s="36"/>
      <c r="H410" s="36"/>
      <c r="I410" s="39" t="str">
        <f aca="false">IF(COUNT(E410:H410)=0,"",ROUND(AVERAGE(E410:H410),0))</f>
        <v/>
      </c>
      <c r="J410" s="38" t="str">
        <f aca="false">IF(I410="","",LOOKUP(I410,Impostazioni!$E$4:$E$9,Impostazioni!$F$4:$F$9))</f>
        <v/>
      </c>
      <c r="K410" s="36"/>
      <c r="L410" s="36"/>
      <c r="M410" s="36"/>
      <c r="N410" s="36"/>
      <c r="O410" s="39" t="str">
        <f aca="false">IF(COUNT(K410:N410)=0,"",ROUND(AVERAGE(K410:N410),0))</f>
        <v/>
      </c>
      <c r="P410" s="38" t="str">
        <f aca="false">IF(O410="","",LOOKUP(O410,Impostazioni!$E$4:$E$9,Impostazioni!$F$4:$F$9))</f>
        <v/>
      </c>
      <c r="Q410" s="36"/>
      <c r="R410" s="36"/>
      <c r="S410" s="36"/>
      <c r="T410" s="36"/>
      <c r="U410" s="39" t="str">
        <f aca="false">IF(COUNT(Q410:T410)=0,"",ROUND(AVERAGE(Q410:T410),0))</f>
        <v/>
      </c>
      <c r="V410" s="38" t="str">
        <f aca="false">IF(U410="","",LOOKUP(U410,Impostazioni!$E$4:$E$9,Impostazioni!$F$4:$F$9))</f>
        <v/>
      </c>
      <c r="W410" s="36"/>
      <c r="X410" s="36"/>
      <c r="Y410" s="36"/>
      <c r="Z410" s="36"/>
      <c r="AA410" s="39" t="str">
        <f aca="false">IF(COUNT(W410:Z410)=0,"",ROUND(AVERAGE(W410:Z410),0))</f>
        <v/>
      </c>
      <c r="AB410" s="38" t="str">
        <f aca="false">IF(AA410="","",LOOKUP(AA410,Impostazioni!$E$4:$E$9,Impostazioni!$F$4:$F$9))</f>
        <v/>
      </c>
    </row>
    <row r="411" customFormat="false" ht="21" hidden="false" customHeight="true" outlineLevel="0" collapsed="false">
      <c r="A411" s="33" t="n">
        <v>5</v>
      </c>
      <c r="B411" s="34" t="str">
        <f aca="false">IFERROR(INDEX(Alunni!$C$1:$C$1000,MATCH($A411,Alunni!$A$1:$A$1000,0))&amp;"","")</f>
        <v/>
      </c>
      <c r="C411" s="15"/>
      <c r="D411" s="35"/>
      <c r="E411" s="36"/>
      <c r="F411" s="36"/>
      <c r="G411" s="36"/>
      <c r="H411" s="36"/>
      <c r="I411" s="39" t="str">
        <f aca="false">IF(COUNT(E411:H411)=0,"",ROUND(AVERAGE(E411:H411),0))</f>
        <v/>
      </c>
      <c r="J411" s="38" t="str">
        <f aca="false">IF(I411="","",LOOKUP(I411,Impostazioni!$E$4:$E$9,Impostazioni!$F$4:$F$9))</f>
        <v/>
      </c>
      <c r="K411" s="36"/>
      <c r="L411" s="36"/>
      <c r="M411" s="36"/>
      <c r="N411" s="36"/>
      <c r="O411" s="39" t="str">
        <f aca="false">IF(COUNT(K411:N411)=0,"",ROUND(AVERAGE(K411:N411),0))</f>
        <v/>
      </c>
      <c r="P411" s="38" t="str">
        <f aca="false">IF(O411="","",LOOKUP(O411,Impostazioni!$E$4:$E$9,Impostazioni!$F$4:$F$9))</f>
        <v/>
      </c>
      <c r="Q411" s="36"/>
      <c r="R411" s="36"/>
      <c r="S411" s="36"/>
      <c r="T411" s="36"/>
      <c r="U411" s="39" t="str">
        <f aca="false">IF(COUNT(Q411:T411)=0,"",ROUND(AVERAGE(Q411:T411),0))</f>
        <v/>
      </c>
      <c r="V411" s="38" t="str">
        <f aca="false">IF(U411="","",LOOKUP(U411,Impostazioni!$E$4:$E$9,Impostazioni!$F$4:$F$9))</f>
        <v/>
      </c>
      <c r="W411" s="36"/>
      <c r="X411" s="36"/>
      <c r="Y411" s="36"/>
      <c r="Z411" s="36"/>
      <c r="AA411" s="39" t="str">
        <f aca="false">IF(COUNT(W411:Z411)=0,"",ROUND(AVERAGE(W411:Z411),0))</f>
        <v/>
      </c>
      <c r="AB411" s="38" t="str">
        <f aca="false">IF(AA411="","",LOOKUP(AA411,Impostazioni!$E$4:$E$9,Impostazioni!$F$4:$F$9))</f>
        <v/>
      </c>
    </row>
    <row r="412" customFormat="false" ht="21" hidden="false" customHeight="true" outlineLevel="0" collapsed="false">
      <c r="A412" s="33" t="n">
        <v>6</v>
      </c>
      <c r="B412" s="34" t="str">
        <f aca="false">IFERROR(INDEX(Alunni!$C$1:$C$1000,MATCH($A412,Alunni!$A$1:$A$1000,0))&amp;"","")</f>
        <v/>
      </c>
      <c r="C412" s="15"/>
      <c r="D412" s="35"/>
      <c r="E412" s="36"/>
      <c r="F412" s="36"/>
      <c r="G412" s="36"/>
      <c r="H412" s="36"/>
      <c r="I412" s="39" t="str">
        <f aca="false">IF(COUNT(E412:H412)=0,"",ROUND(AVERAGE(E412:H412),0))</f>
        <v/>
      </c>
      <c r="J412" s="38" t="str">
        <f aca="false">IF(I412="","",LOOKUP(I412,Impostazioni!$E$4:$E$9,Impostazioni!$F$4:$F$9))</f>
        <v/>
      </c>
      <c r="K412" s="36"/>
      <c r="L412" s="36"/>
      <c r="M412" s="36"/>
      <c r="N412" s="36"/>
      <c r="O412" s="39" t="str">
        <f aca="false">IF(COUNT(K412:N412)=0,"",ROUND(AVERAGE(K412:N412),0))</f>
        <v/>
      </c>
      <c r="P412" s="38" t="str">
        <f aca="false">IF(O412="","",LOOKUP(O412,Impostazioni!$E$4:$E$9,Impostazioni!$F$4:$F$9))</f>
        <v/>
      </c>
      <c r="Q412" s="36"/>
      <c r="R412" s="36"/>
      <c r="S412" s="36"/>
      <c r="T412" s="36"/>
      <c r="U412" s="39" t="str">
        <f aca="false">IF(COUNT(Q412:T412)=0,"",ROUND(AVERAGE(Q412:T412),0))</f>
        <v/>
      </c>
      <c r="V412" s="38" t="str">
        <f aca="false">IF(U412="","",LOOKUP(U412,Impostazioni!$E$4:$E$9,Impostazioni!$F$4:$F$9))</f>
        <v/>
      </c>
      <c r="W412" s="36"/>
      <c r="X412" s="36"/>
      <c r="Y412" s="36"/>
      <c r="Z412" s="36"/>
      <c r="AA412" s="39" t="str">
        <f aca="false">IF(COUNT(W412:Z412)=0,"",ROUND(AVERAGE(W412:Z412),0))</f>
        <v/>
      </c>
      <c r="AB412" s="38" t="str">
        <f aca="false">IF(AA412="","",LOOKUP(AA412,Impostazioni!$E$4:$E$9,Impostazioni!$F$4:$F$9))</f>
        <v/>
      </c>
    </row>
    <row r="413" customFormat="false" ht="21" hidden="false" customHeight="true" outlineLevel="0" collapsed="false">
      <c r="A413" s="33" t="n">
        <v>7</v>
      </c>
      <c r="B413" s="34" t="str">
        <f aca="false">IFERROR(INDEX(Alunni!$C$1:$C$1000,MATCH($A413,Alunni!$A$1:$A$1000,0))&amp;"","")</f>
        <v/>
      </c>
      <c r="C413" s="15"/>
      <c r="D413" s="35"/>
      <c r="E413" s="36"/>
      <c r="F413" s="36"/>
      <c r="G413" s="36"/>
      <c r="H413" s="36"/>
      <c r="I413" s="39" t="str">
        <f aca="false">IF(COUNT(E413:H413)=0,"",ROUND(AVERAGE(E413:H413),0))</f>
        <v/>
      </c>
      <c r="J413" s="38" t="str">
        <f aca="false">IF(I413="","",LOOKUP(I413,Impostazioni!$E$4:$E$9,Impostazioni!$F$4:$F$9))</f>
        <v/>
      </c>
      <c r="K413" s="36"/>
      <c r="L413" s="36"/>
      <c r="M413" s="36"/>
      <c r="N413" s="36"/>
      <c r="O413" s="39" t="str">
        <f aca="false">IF(COUNT(K413:N413)=0,"",ROUND(AVERAGE(K413:N413),0))</f>
        <v/>
      </c>
      <c r="P413" s="38" t="str">
        <f aca="false">IF(O413="","",LOOKUP(O413,Impostazioni!$E$4:$E$9,Impostazioni!$F$4:$F$9))</f>
        <v/>
      </c>
      <c r="Q413" s="36"/>
      <c r="R413" s="36"/>
      <c r="S413" s="36"/>
      <c r="T413" s="36"/>
      <c r="U413" s="39" t="str">
        <f aca="false">IF(COUNT(Q413:T413)=0,"",ROUND(AVERAGE(Q413:T413),0))</f>
        <v/>
      </c>
      <c r="V413" s="38" t="str">
        <f aca="false">IF(U413="","",LOOKUP(U413,Impostazioni!$E$4:$E$9,Impostazioni!$F$4:$F$9))</f>
        <v/>
      </c>
      <c r="W413" s="36"/>
      <c r="X413" s="36"/>
      <c r="Y413" s="36"/>
      <c r="Z413" s="36"/>
      <c r="AA413" s="39" t="str">
        <f aca="false">IF(COUNT(W413:Z413)=0,"",ROUND(AVERAGE(W413:Z413),0))</f>
        <v/>
      </c>
      <c r="AB413" s="38" t="str">
        <f aca="false">IF(AA413="","",LOOKUP(AA413,Impostazioni!$E$4:$E$9,Impostazioni!$F$4:$F$9))</f>
        <v/>
      </c>
    </row>
    <row r="414" customFormat="false" ht="21" hidden="false" customHeight="true" outlineLevel="0" collapsed="false">
      <c r="A414" s="33" t="n">
        <v>8</v>
      </c>
      <c r="B414" s="34" t="str">
        <f aca="false">IFERROR(INDEX(Alunni!$C$1:$C$1000,MATCH($A414,Alunni!$A$1:$A$1000,0))&amp;"","")</f>
        <v/>
      </c>
      <c r="C414" s="15"/>
      <c r="D414" s="35"/>
      <c r="E414" s="36"/>
      <c r="F414" s="36"/>
      <c r="G414" s="36"/>
      <c r="H414" s="36"/>
      <c r="I414" s="39" t="str">
        <f aca="false">IF(COUNT(E414:H414)=0,"",ROUND(AVERAGE(E414:H414),0))</f>
        <v/>
      </c>
      <c r="J414" s="38" t="str">
        <f aca="false">IF(I414="","",LOOKUP(I414,Impostazioni!$E$4:$E$9,Impostazioni!$F$4:$F$9))</f>
        <v/>
      </c>
      <c r="K414" s="36"/>
      <c r="L414" s="36"/>
      <c r="M414" s="36"/>
      <c r="N414" s="36"/>
      <c r="O414" s="39" t="str">
        <f aca="false">IF(COUNT(K414:N414)=0,"",ROUND(AVERAGE(K414:N414),0))</f>
        <v/>
      </c>
      <c r="P414" s="38" t="str">
        <f aca="false">IF(O414="","",LOOKUP(O414,Impostazioni!$E$4:$E$9,Impostazioni!$F$4:$F$9))</f>
        <v/>
      </c>
      <c r="Q414" s="36"/>
      <c r="R414" s="36"/>
      <c r="S414" s="36"/>
      <c r="T414" s="36"/>
      <c r="U414" s="39" t="str">
        <f aca="false">IF(COUNT(Q414:T414)=0,"",ROUND(AVERAGE(Q414:T414),0))</f>
        <v/>
      </c>
      <c r="V414" s="38" t="str">
        <f aca="false">IF(U414="","",LOOKUP(U414,Impostazioni!$E$4:$E$9,Impostazioni!$F$4:$F$9))</f>
        <v/>
      </c>
      <c r="W414" s="36"/>
      <c r="X414" s="36"/>
      <c r="Y414" s="36"/>
      <c r="Z414" s="36"/>
      <c r="AA414" s="39" t="str">
        <f aca="false">IF(COUNT(W414:Z414)=0,"",ROUND(AVERAGE(W414:Z414),0))</f>
        <v/>
      </c>
      <c r="AB414" s="38" t="str">
        <f aca="false">IF(AA414="","",LOOKUP(AA414,Impostazioni!$E$4:$E$9,Impostazioni!$F$4:$F$9))</f>
        <v/>
      </c>
    </row>
    <row r="415" customFormat="false" ht="21" hidden="false" customHeight="true" outlineLevel="0" collapsed="false">
      <c r="A415" s="33" t="n">
        <v>9</v>
      </c>
      <c r="B415" s="34" t="str">
        <f aca="false">IFERROR(INDEX(Alunni!$C$1:$C$1000,MATCH($A415,Alunni!$A$1:$A$1000,0))&amp;"","")</f>
        <v/>
      </c>
      <c r="C415" s="15"/>
      <c r="D415" s="35"/>
      <c r="E415" s="36"/>
      <c r="F415" s="36"/>
      <c r="G415" s="36"/>
      <c r="H415" s="36"/>
      <c r="I415" s="39" t="str">
        <f aca="false">IF(COUNT(E415:H415)=0,"",ROUND(AVERAGE(E415:H415),0))</f>
        <v/>
      </c>
      <c r="J415" s="38" t="str">
        <f aca="false">IF(I415="","",LOOKUP(I415,Impostazioni!$E$4:$E$9,Impostazioni!$F$4:$F$9))</f>
        <v/>
      </c>
      <c r="K415" s="36"/>
      <c r="L415" s="36"/>
      <c r="M415" s="36"/>
      <c r="N415" s="36"/>
      <c r="O415" s="39" t="str">
        <f aca="false">IF(COUNT(K415:N415)=0,"",ROUND(AVERAGE(K415:N415),0))</f>
        <v/>
      </c>
      <c r="P415" s="38" t="str">
        <f aca="false">IF(O415="","",LOOKUP(O415,Impostazioni!$E$4:$E$9,Impostazioni!$F$4:$F$9))</f>
        <v/>
      </c>
      <c r="Q415" s="36"/>
      <c r="R415" s="36"/>
      <c r="S415" s="36"/>
      <c r="T415" s="36"/>
      <c r="U415" s="39" t="str">
        <f aca="false">IF(COUNT(Q415:T415)=0,"",ROUND(AVERAGE(Q415:T415),0))</f>
        <v/>
      </c>
      <c r="V415" s="38" t="str">
        <f aca="false">IF(U415="","",LOOKUP(U415,Impostazioni!$E$4:$E$9,Impostazioni!$F$4:$F$9))</f>
        <v/>
      </c>
      <c r="W415" s="36"/>
      <c r="X415" s="36"/>
      <c r="Y415" s="36"/>
      <c r="Z415" s="36"/>
      <c r="AA415" s="39" t="str">
        <f aca="false">IF(COUNT(W415:Z415)=0,"",ROUND(AVERAGE(W415:Z415),0))</f>
        <v/>
      </c>
      <c r="AB415" s="38" t="str">
        <f aca="false">IF(AA415="","",LOOKUP(AA415,Impostazioni!$E$4:$E$9,Impostazioni!$F$4:$F$9))</f>
        <v/>
      </c>
    </row>
    <row r="416" customFormat="false" ht="21" hidden="false" customHeight="true" outlineLevel="0" collapsed="false">
      <c r="A416" s="33" t="n">
        <v>10</v>
      </c>
      <c r="B416" s="34" t="str">
        <f aca="false">IFERROR(INDEX(Alunni!$C$1:$C$1000,MATCH($A416,Alunni!$A$1:$A$1000,0))&amp;"","")</f>
        <v/>
      </c>
      <c r="C416" s="15"/>
      <c r="D416" s="35"/>
      <c r="E416" s="36"/>
      <c r="F416" s="36"/>
      <c r="G416" s="36"/>
      <c r="H416" s="36"/>
      <c r="I416" s="39" t="str">
        <f aca="false">IF(COUNT(E416:H416)=0,"",ROUND(AVERAGE(E416:H416),0))</f>
        <v/>
      </c>
      <c r="J416" s="38" t="str">
        <f aca="false">IF(I416="","",LOOKUP(I416,Impostazioni!$E$4:$E$9,Impostazioni!$F$4:$F$9))</f>
        <v/>
      </c>
      <c r="K416" s="36"/>
      <c r="L416" s="36"/>
      <c r="M416" s="36"/>
      <c r="N416" s="36"/>
      <c r="O416" s="39" t="str">
        <f aca="false">IF(COUNT(K416:N416)=0,"",ROUND(AVERAGE(K416:N416),0))</f>
        <v/>
      </c>
      <c r="P416" s="38" t="str">
        <f aca="false">IF(O416="","",LOOKUP(O416,Impostazioni!$E$4:$E$9,Impostazioni!$F$4:$F$9))</f>
        <v/>
      </c>
      <c r="Q416" s="36"/>
      <c r="R416" s="36"/>
      <c r="S416" s="36"/>
      <c r="T416" s="36"/>
      <c r="U416" s="39" t="str">
        <f aca="false">IF(COUNT(Q416:T416)=0,"",ROUND(AVERAGE(Q416:T416),0))</f>
        <v/>
      </c>
      <c r="V416" s="38" t="str">
        <f aca="false">IF(U416="","",LOOKUP(U416,Impostazioni!$E$4:$E$9,Impostazioni!$F$4:$F$9))</f>
        <v/>
      </c>
      <c r="W416" s="36"/>
      <c r="X416" s="36"/>
      <c r="Y416" s="36"/>
      <c r="Z416" s="36"/>
      <c r="AA416" s="39" t="str">
        <f aca="false">IF(COUNT(W416:Z416)=0,"",ROUND(AVERAGE(W416:Z416),0))</f>
        <v/>
      </c>
      <c r="AB416" s="38" t="str">
        <f aca="false">IF(AA416="","",LOOKUP(AA416,Impostazioni!$E$4:$E$9,Impostazioni!$F$4:$F$9))</f>
        <v/>
      </c>
    </row>
    <row r="417" customFormat="false" ht="21" hidden="false" customHeight="true" outlineLevel="0" collapsed="false">
      <c r="A417" s="33" t="n">
        <v>11</v>
      </c>
      <c r="B417" s="34" t="str">
        <f aca="false">IFERROR(INDEX(Alunni!$C$1:$C$1000,MATCH($A417,Alunni!$A$1:$A$1000,0))&amp;"","")</f>
        <v/>
      </c>
      <c r="C417" s="15"/>
      <c r="D417" s="35"/>
      <c r="E417" s="36"/>
      <c r="F417" s="36"/>
      <c r="G417" s="36"/>
      <c r="H417" s="36"/>
      <c r="I417" s="39" t="str">
        <f aca="false">IF(COUNT(E417:H417)=0,"",ROUND(AVERAGE(E417:H417),0))</f>
        <v/>
      </c>
      <c r="J417" s="38" t="str">
        <f aca="false">IF(I417="","",LOOKUP(I417,Impostazioni!$E$4:$E$9,Impostazioni!$F$4:$F$9))</f>
        <v/>
      </c>
      <c r="K417" s="36"/>
      <c r="L417" s="36"/>
      <c r="M417" s="36"/>
      <c r="N417" s="36"/>
      <c r="O417" s="39" t="str">
        <f aca="false">IF(COUNT(K417:N417)=0,"",ROUND(AVERAGE(K417:N417),0))</f>
        <v/>
      </c>
      <c r="P417" s="38" t="str">
        <f aca="false">IF(O417="","",LOOKUP(O417,Impostazioni!$E$4:$E$9,Impostazioni!$F$4:$F$9))</f>
        <v/>
      </c>
      <c r="Q417" s="36"/>
      <c r="R417" s="36"/>
      <c r="S417" s="36"/>
      <c r="T417" s="36"/>
      <c r="U417" s="39" t="str">
        <f aca="false">IF(COUNT(Q417:T417)=0,"",ROUND(AVERAGE(Q417:T417),0))</f>
        <v/>
      </c>
      <c r="V417" s="38" t="str">
        <f aca="false">IF(U417="","",LOOKUP(U417,Impostazioni!$E$4:$E$9,Impostazioni!$F$4:$F$9))</f>
        <v/>
      </c>
      <c r="W417" s="36"/>
      <c r="X417" s="36"/>
      <c r="Y417" s="36"/>
      <c r="Z417" s="36"/>
      <c r="AA417" s="39" t="str">
        <f aca="false">IF(COUNT(W417:Z417)=0,"",ROUND(AVERAGE(W417:Z417),0))</f>
        <v/>
      </c>
      <c r="AB417" s="38" t="str">
        <f aca="false">IF(AA417="","",LOOKUP(AA417,Impostazioni!$E$4:$E$9,Impostazioni!$F$4:$F$9))</f>
        <v/>
      </c>
    </row>
    <row r="418" customFormat="false" ht="21" hidden="false" customHeight="true" outlineLevel="0" collapsed="false">
      <c r="A418" s="33" t="n">
        <v>12</v>
      </c>
      <c r="B418" s="34" t="str">
        <f aca="false">IFERROR(INDEX(Alunni!$C$1:$C$1000,MATCH($A418,Alunni!$A$1:$A$1000,0))&amp;"","")</f>
        <v/>
      </c>
      <c r="C418" s="15"/>
      <c r="D418" s="35"/>
      <c r="E418" s="36"/>
      <c r="F418" s="36"/>
      <c r="G418" s="36"/>
      <c r="H418" s="36"/>
      <c r="I418" s="39" t="str">
        <f aca="false">IF(COUNT(E418:H418)=0,"",ROUND(AVERAGE(E418:H418),0))</f>
        <v/>
      </c>
      <c r="J418" s="38" t="str">
        <f aca="false">IF(I418="","",LOOKUP(I418,Impostazioni!$E$4:$E$9,Impostazioni!$F$4:$F$9))</f>
        <v/>
      </c>
      <c r="K418" s="36"/>
      <c r="L418" s="36"/>
      <c r="M418" s="36"/>
      <c r="N418" s="36"/>
      <c r="O418" s="39" t="str">
        <f aca="false">IF(COUNT(K418:N418)=0,"",ROUND(AVERAGE(K418:N418),0))</f>
        <v/>
      </c>
      <c r="P418" s="38" t="str">
        <f aca="false">IF(O418="","",LOOKUP(O418,Impostazioni!$E$4:$E$9,Impostazioni!$F$4:$F$9))</f>
        <v/>
      </c>
      <c r="Q418" s="36"/>
      <c r="R418" s="36"/>
      <c r="S418" s="36"/>
      <c r="T418" s="36"/>
      <c r="U418" s="39" t="str">
        <f aca="false">IF(COUNT(Q418:T418)=0,"",ROUND(AVERAGE(Q418:T418),0))</f>
        <v/>
      </c>
      <c r="V418" s="38" t="str">
        <f aca="false">IF(U418="","",LOOKUP(U418,Impostazioni!$E$4:$E$9,Impostazioni!$F$4:$F$9))</f>
        <v/>
      </c>
      <c r="W418" s="36"/>
      <c r="X418" s="36"/>
      <c r="Y418" s="36"/>
      <c r="Z418" s="36"/>
      <c r="AA418" s="39" t="str">
        <f aca="false">IF(COUNT(W418:Z418)=0,"",ROUND(AVERAGE(W418:Z418),0))</f>
        <v/>
      </c>
      <c r="AB418" s="38" t="str">
        <f aca="false">IF(AA418="","",LOOKUP(AA418,Impostazioni!$E$4:$E$9,Impostazioni!$F$4:$F$9))</f>
        <v/>
      </c>
    </row>
    <row r="419" customFormat="false" ht="21" hidden="false" customHeight="true" outlineLevel="0" collapsed="false">
      <c r="A419" s="33" t="n">
        <v>13</v>
      </c>
      <c r="B419" s="34" t="str">
        <f aca="false">IFERROR(INDEX(Alunni!$C$1:$C$1000,MATCH($A419,Alunni!$A$1:$A$1000,0))&amp;"","")</f>
        <v/>
      </c>
      <c r="C419" s="15"/>
      <c r="D419" s="35"/>
      <c r="E419" s="36"/>
      <c r="F419" s="36"/>
      <c r="G419" s="36"/>
      <c r="H419" s="36"/>
      <c r="I419" s="39" t="str">
        <f aca="false">IF(COUNT(E419:H419)=0,"",ROUND(AVERAGE(E419:H419),0))</f>
        <v/>
      </c>
      <c r="J419" s="38" t="str">
        <f aca="false">IF(I419="","",LOOKUP(I419,Impostazioni!$E$4:$E$9,Impostazioni!$F$4:$F$9))</f>
        <v/>
      </c>
      <c r="K419" s="36"/>
      <c r="L419" s="36"/>
      <c r="M419" s="36"/>
      <c r="N419" s="36"/>
      <c r="O419" s="39" t="str">
        <f aca="false">IF(COUNT(K419:N419)=0,"",ROUND(AVERAGE(K419:N419),0))</f>
        <v/>
      </c>
      <c r="P419" s="38" t="str">
        <f aca="false">IF(O419="","",LOOKUP(O419,Impostazioni!$E$4:$E$9,Impostazioni!$F$4:$F$9))</f>
        <v/>
      </c>
      <c r="Q419" s="36"/>
      <c r="R419" s="36"/>
      <c r="S419" s="36"/>
      <c r="T419" s="36"/>
      <c r="U419" s="39" t="str">
        <f aca="false">IF(COUNT(Q419:T419)=0,"",ROUND(AVERAGE(Q419:T419),0))</f>
        <v/>
      </c>
      <c r="V419" s="38" t="str">
        <f aca="false">IF(U419="","",LOOKUP(U419,Impostazioni!$E$4:$E$9,Impostazioni!$F$4:$F$9))</f>
        <v/>
      </c>
      <c r="W419" s="36"/>
      <c r="X419" s="36"/>
      <c r="Y419" s="36"/>
      <c r="Z419" s="36"/>
      <c r="AA419" s="39" t="str">
        <f aca="false">IF(COUNT(W419:Z419)=0,"",ROUND(AVERAGE(W419:Z419),0))</f>
        <v/>
      </c>
      <c r="AB419" s="38" t="str">
        <f aca="false">IF(AA419="","",LOOKUP(AA419,Impostazioni!$E$4:$E$9,Impostazioni!$F$4:$F$9))</f>
        <v/>
      </c>
    </row>
    <row r="420" customFormat="false" ht="21" hidden="false" customHeight="true" outlineLevel="0" collapsed="false">
      <c r="A420" s="33" t="n">
        <v>14</v>
      </c>
      <c r="B420" s="34" t="str">
        <f aca="false">IFERROR(INDEX(Alunni!$C$1:$C$1000,MATCH($A420,Alunni!$A$1:$A$1000,0))&amp;"","")</f>
        <v/>
      </c>
      <c r="C420" s="15"/>
      <c r="D420" s="35"/>
      <c r="E420" s="36"/>
      <c r="F420" s="36"/>
      <c r="G420" s="36"/>
      <c r="H420" s="36"/>
      <c r="I420" s="39" t="str">
        <f aca="false">IF(COUNT(E420:H420)=0,"",ROUND(AVERAGE(E420:H420),0))</f>
        <v/>
      </c>
      <c r="J420" s="38" t="str">
        <f aca="false">IF(I420="","",LOOKUP(I420,Impostazioni!$E$4:$E$9,Impostazioni!$F$4:$F$9))</f>
        <v/>
      </c>
      <c r="K420" s="36"/>
      <c r="L420" s="36"/>
      <c r="M420" s="36"/>
      <c r="N420" s="36"/>
      <c r="O420" s="39" t="str">
        <f aca="false">IF(COUNT(K420:N420)=0,"",ROUND(AVERAGE(K420:N420),0))</f>
        <v/>
      </c>
      <c r="P420" s="38" t="str">
        <f aca="false">IF(O420="","",LOOKUP(O420,Impostazioni!$E$4:$E$9,Impostazioni!$F$4:$F$9))</f>
        <v/>
      </c>
      <c r="Q420" s="36"/>
      <c r="R420" s="36"/>
      <c r="S420" s="36"/>
      <c r="T420" s="36"/>
      <c r="U420" s="39" t="str">
        <f aca="false">IF(COUNT(Q420:T420)=0,"",ROUND(AVERAGE(Q420:T420),0))</f>
        <v/>
      </c>
      <c r="V420" s="38" t="str">
        <f aca="false">IF(U420="","",LOOKUP(U420,Impostazioni!$E$4:$E$9,Impostazioni!$F$4:$F$9))</f>
        <v/>
      </c>
      <c r="W420" s="36"/>
      <c r="X420" s="36"/>
      <c r="Y420" s="36"/>
      <c r="Z420" s="36"/>
      <c r="AA420" s="39" t="str">
        <f aca="false">IF(COUNT(W420:Z420)=0,"",ROUND(AVERAGE(W420:Z420),0))</f>
        <v/>
      </c>
      <c r="AB420" s="38" t="str">
        <f aca="false">IF(AA420="","",LOOKUP(AA420,Impostazioni!$E$4:$E$9,Impostazioni!$F$4:$F$9))</f>
        <v/>
      </c>
    </row>
    <row r="421" customFormat="false" ht="21" hidden="false" customHeight="true" outlineLevel="0" collapsed="false">
      <c r="A421" s="33" t="n">
        <v>15</v>
      </c>
      <c r="B421" s="34" t="str">
        <f aca="false">IFERROR(INDEX(Alunni!$C$1:$C$1000,MATCH($A421,Alunni!$A$1:$A$1000,0))&amp;"","")</f>
        <v/>
      </c>
      <c r="C421" s="15"/>
      <c r="D421" s="35"/>
      <c r="E421" s="36"/>
      <c r="F421" s="36"/>
      <c r="G421" s="36"/>
      <c r="H421" s="36"/>
      <c r="I421" s="39" t="str">
        <f aca="false">IF(COUNT(E421:H421)=0,"",ROUND(AVERAGE(E421:H421),0))</f>
        <v/>
      </c>
      <c r="J421" s="38" t="str">
        <f aca="false">IF(I421="","",LOOKUP(I421,Impostazioni!$E$4:$E$9,Impostazioni!$F$4:$F$9))</f>
        <v/>
      </c>
      <c r="K421" s="36"/>
      <c r="L421" s="36"/>
      <c r="M421" s="36"/>
      <c r="N421" s="36"/>
      <c r="O421" s="39" t="str">
        <f aca="false">IF(COUNT(K421:N421)=0,"",ROUND(AVERAGE(K421:N421),0))</f>
        <v/>
      </c>
      <c r="P421" s="38" t="str">
        <f aca="false">IF(O421="","",LOOKUP(O421,Impostazioni!$E$4:$E$9,Impostazioni!$F$4:$F$9))</f>
        <v/>
      </c>
      <c r="Q421" s="36"/>
      <c r="R421" s="36"/>
      <c r="S421" s="36"/>
      <c r="T421" s="36"/>
      <c r="U421" s="39" t="str">
        <f aca="false">IF(COUNT(Q421:T421)=0,"",ROUND(AVERAGE(Q421:T421),0))</f>
        <v/>
      </c>
      <c r="V421" s="38" t="str">
        <f aca="false">IF(U421="","",LOOKUP(U421,Impostazioni!$E$4:$E$9,Impostazioni!$F$4:$F$9))</f>
        <v/>
      </c>
      <c r="W421" s="36"/>
      <c r="X421" s="36"/>
      <c r="Y421" s="36"/>
      <c r="Z421" s="36"/>
      <c r="AA421" s="39" t="str">
        <f aca="false">IF(COUNT(W421:Z421)=0,"",ROUND(AVERAGE(W421:Z421),0))</f>
        <v/>
      </c>
      <c r="AB421" s="38" t="str">
        <f aca="false">IF(AA421="","",LOOKUP(AA421,Impostazioni!$E$4:$E$9,Impostazioni!$F$4:$F$9))</f>
        <v/>
      </c>
    </row>
    <row r="422" customFormat="false" ht="21" hidden="false" customHeight="true" outlineLevel="0" collapsed="false">
      <c r="A422" s="33" t="n">
        <v>16</v>
      </c>
      <c r="B422" s="34" t="str">
        <f aca="false">IFERROR(INDEX(Alunni!$C$1:$C$1000,MATCH($A422,Alunni!$A$1:$A$1000,0))&amp;"","")</f>
        <v/>
      </c>
      <c r="C422" s="15"/>
      <c r="D422" s="35"/>
      <c r="E422" s="36"/>
      <c r="F422" s="36"/>
      <c r="G422" s="36"/>
      <c r="H422" s="36"/>
      <c r="I422" s="39" t="str">
        <f aca="false">IF(COUNT(E422:H422)=0,"",ROUND(AVERAGE(E422:H422),0))</f>
        <v/>
      </c>
      <c r="J422" s="38" t="str">
        <f aca="false">IF(I422="","",LOOKUP(I422,Impostazioni!$E$4:$E$9,Impostazioni!$F$4:$F$9))</f>
        <v/>
      </c>
      <c r="K422" s="36"/>
      <c r="L422" s="36"/>
      <c r="M422" s="36"/>
      <c r="N422" s="36"/>
      <c r="O422" s="39" t="str">
        <f aca="false">IF(COUNT(K422:N422)=0,"",ROUND(AVERAGE(K422:N422),0))</f>
        <v/>
      </c>
      <c r="P422" s="38" t="str">
        <f aca="false">IF(O422="","",LOOKUP(O422,Impostazioni!$E$4:$E$9,Impostazioni!$F$4:$F$9))</f>
        <v/>
      </c>
      <c r="Q422" s="36"/>
      <c r="R422" s="36"/>
      <c r="S422" s="36"/>
      <c r="T422" s="36"/>
      <c r="U422" s="39" t="str">
        <f aca="false">IF(COUNT(Q422:T422)=0,"",ROUND(AVERAGE(Q422:T422),0))</f>
        <v/>
      </c>
      <c r="V422" s="38" t="str">
        <f aca="false">IF(U422="","",LOOKUP(U422,Impostazioni!$E$4:$E$9,Impostazioni!$F$4:$F$9))</f>
        <v/>
      </c>
      <c r="W422" s="36"/>
      <c r="X422" s="36"/>
      <c r="Y422" s="36"/>
      <c r="Z422" s="36"/>
      <c r="AA422" s="39" t="str">
        <f aca="false">IF(COUNT(W422:Z422)=0,"",ROUND(AVERAGE(W422:Z422),0))</f>
        <v/>
      </c>
      <c r="AB422" s="38" t="str">
        <f aca="false">IF(AA422="","",LOOKUP(AA422,Impostazioni!$E$4:$E$9,Impostazioni!$F$4:$F$9))</f>
        <v/>
      </c>
    </row>
    <row r="423" customFormat="false" ht="21" hidden="false" customHeight="true" outlineLevel="0" collapsed="false">
      <c r="A423" s="33" t="n">
        <v>17</v>
      </c>
      <c r="B423" s="34" t="str">
        <f aca="false">IFERROR(INDEX(Alunni!$C$1:$C$1000,MATCH($A423,Alunni!$A$1:$A$1000,0))&amp;"","")</f>
        <v/>
      </c>
      <c r="C423" s="15"/>
      <c r="D423" s="35"/>
      <c r="E423" s="36"/>
      <c r="F423" s="36"/>
      <c r="G423" s="36"/>
      <c r="H423" s="36"/>
      <c r="I423" s="39" t="str">
        <f aca="false">IF(COUNT(E423:H423)=0,"",ROUND(AVERAGE(E423:H423),0))</f>
        <v/>
      </c>
      <c r="J423" s="38" t="str">
        <f aca="false">IF(I423="","",LOOKUP(I423,Impostazioni!$E$4:$E$9,Impostazioni!$F$4:$F$9))</f>
        <v/>
      </c>
      <c r="K423" s="36"/>
      <c r="L423" s="36"/>
      <c r="M423" s="36"/>
      <c r="N423" s="36"/>
      <c r="O423" s="39" t="str">
        <f aca="false">IF(COUNT(K423:N423)=0,"",ROUND(AVERAGE(K423:N423),0))</f>
        <v/>
      </c>
      <c r="P423" s="38" t="str">
        <f aca="false">IF(O423="","",LOOKUP(O423,Impostazioni!$E$4:$E$9,Impostazioni!$F$4:$F$9))</f>
        <v/>
      </c>
      <c r="Q423" s="36"/>
      <c r="R423" s="36"/>
      <c r="S423" s="36"/>
      <c r="T423" s="36"/>
      <c r="U423" s="39" t="str">
        <f aca="false">IF(COUNT(Q423:T423)=0,"",ROUND(AVERAGE(Q423:T423),0))</f>
        <v/>
      </c>
      <c r="V423" s="38" t="str">
        <f aca="false">IF(U423="","",LOOKUP(U423,Impostazioni!$E$4:$E$9,Impostazioni!$F$4:$F$9))</f>
        <v/>
      </c>
      <c r="W423" s="36"/>
      <c r="X423" s="36"/>
      <c r="Y423" s="36"/>
      <c r="Z423" s="36"/>
      <c r="AA423" s="39" t="str">
        <f aca="false">IF(COUNT(W423:Z423)=0,"",ROUND(AVERAGE(W423:Z423),0))</f>
        <v/>
      </c>
      <c r="AB423" s="38" t="str">
        <f aca="false">IF(AA423="","",LOOKUP(AA423,Impostazioni!$E$4:$E$9,Impostazioni!$F$4:$F$9))</f>
        <v/>
      </c>
    </row>
    <row r="424" customFormat="false" ht="21" hidden="false" customHeight="true" outlineLevel="0" collapsed="false">
      <c r="A424" s="33" t="n">
        <v>18</v>
      </c>
      <c r="B424" s="34" t="str">
        <f aca="false">IFERROR(INDEX(Alunni!$C$1:$C$1000,MATCH($A424,Alunni!$A$1:$A$1000,0))&amp;"","")</f>
        <v/>
      </c>
      <c r="C424" s="15"/>
      <c r="D424" s="35"/>
      <c r="E424" s="36"/>
      <c r="F424" s="36"/>
      <c r="G424" s="36"/>
      <c r="H424" s="36"/>
      <c r="I424" s="39" t="str">
        <f aca="false">IF(COUNT(E424:H424)=0,"",ROUND(AVERAGE(E424:H424),0))</f>
        <v/>
      </c>
      <c r="J424" s="38" t="str">
        <f aca="false">IF(I424="","",LOOKUP(I424,Impostazioni!$E$4:$E$9,Impostazioni!$F$4:$F$9))</f>
        <v/>
      </c>
      <c r="K424" s="36"/>
      <c r="L424" s="36"/>
      <c r="M424" s="36"/>
      <c r="N424" s="36"/>
      <c r="O424" s="39" t="str">
        <f aca="false">IF(COUNT(K424:N424)=0,"",ROUND(AVERAGE(K424:N424),0))</f>
        <v/>
      </c>
      <c r="P424" s="38" t="str">
        <f aca="false">IF(O424="","",LOOKUP(O424,Impostazioni!$E$4:$E$9,Impostazioni!$F$4:$F$9))</f>
        <v/>
      </c>
      <c r="Q424" s="36"/>
      <c r="R424" s="36"/>
      <c r="S424" s="36"/>
      <c r="T424" s="36"/>
      <c r="U424" s="39" t="str">
        <f aca="false">IF(COUNT(Q424:T424)=0,"",ROUND(AVERAGE(Q424:T424),0))</f>
        <v/>
      </c>
      <c r="V424" s="38" t="str">
        <f aca="false">IF(U424="","",LOOKUP(U424,Impostazioni!$E$4:$E$9,Impostazioni!$F$4:$F$9))</f>
        <v/>
      </c>
      <c r="W424" s="36"/>
      <c r="X424" s="36"/>
      <c r="Y424" s="36"/>
      <c r="Z424" s="36"/>
      <c r="AA424" s="39" t="str">
        <f aca="false">IF(COUNT(W424:Z424)=0,"",ROUND(AVERAGE(W424:Z424),0))</f>
        <v/>
      </c>
      <c r="AB424" s="38" t="str">
        <f aca="false">IF(AA424="","",LOOKUP(AA424,Impostazioni!$E$4:$E$9,Impostazioni!$F$4:$F$9))</f>
        <v/>
      </c>
    </row>
    <row r="425" customFormat="false" ht="21" hidden="false" customHeight="true" outlineLevel="0" collapsed="false">
      <c r="A425" s="33" t="n">
        <v>19</v>
      </c>
      <c r="B425" s="34" t="str">
        <f aca="false">IFERROR(INDEX(Alunni!$C$1:$C$1000,MATCH($A425,Alunni!$A$1:$A$1000,0))&amp;"","")</f>
        <v/>
      </c>
      <c r="C425" s="15"/>
      <c r="D425" s="35"/>
      <c r="E425" s="36"/>
      <c r="F425" s="36"/>
      <c r="G425" s="36"/>
      <c r="H425" s="36"/>
      <c r="I425" s="39" t="str">
        <f aca="false">IF(COUNT(E425:H425)=0,"",ROUND(AVERAGE(E425:H425),0))</f>
        <v/>
      </c>
      <c r="J425" s="38" t="str">
        <f aca="false">IF(I425="","",LOOKUP(I425,Impostazioni!$E$4:$E$9,Impostazioni!$F$4:$F$9))</f>
        <v/>
      </c>
      <c r="K425" s="36"/>
      <c r="L425" s="36"/>
      <c r="M425" s="36"/>
      <c r="N425" s="36"/>
      <c r="O425" s="39" t="str">
        <f aca="false">IF(COUNT(K425:N425)=0,"",ROUND(AVERAGE(K425:N425),0))</f>
        <v/>
      </c>
      <c r="P425" s="38" t="str">
        <f aca="false">IF(O425="","",LOOKUP(O425,Impostazioni!$E$4:$E$9,Impostazioni!$F$4:$F$9))</f>
        <v/>
      </c>
      <c r="Q425" s="36"/>
      <c r="R425" s="36"/>
      <c r="S425" s="36"/>
      <c r="T425" s="36"/>
      <c r="U425" s="39" t="str">
        <f aca="false">IF(COUNT(Q425:T425)=0,"",ROUND(AVERAGE(Q425:T425),0))</f>
        <v/>
      </c>
      <c r="V425" s="38" t="str">
        <f aca="false">IF(U425="","",LOOKUP(U425,Impostazioni!$E$4:$E$9,Impostazioni!$F$4:$F$9))</f>
        <v/>
      </c>
      <c r="W425" s="36"/>
      <c r="X425" s="36"/>
      <c r="Y425" s="36"/>
      <c r="Z425" s="36"/>
      <c r="AA425" s="39" t="str">
        <f aca="false">IF(COUNT(W425:Z425)=0,"",ROUND(AVERAGE(W425:Z425),0))</f>
        <v/>
      </c>
      <c r="AB425" s="38" t="str">
        <f aca="false">IF(AA425="","",LOOKUP(AA425,Impostazioni!$E$4:$E$9,Impostazioni!$F$4:$F$9))</f>
        <v/>
      </c>
    </row>
    <row r="426" customFormat="false" ht="21" hidden="false" customHeight="true" outlineLevel="0" collapsed="false">
      <c r="A426" s="33" t="n">
        <v>20</v>
      </c>
      <c r="B426" s="34" t="str">
        <f aca="false">IFERROR(INDEX(Alunni!$C$1:$C$1000,MATCH($A426,Alunni!$A$1:$A$1000,0))&amp;"","")</f>
        <v/>
      </c>
      <c r="C426" s="15"/>
      <c r="D426" s="35"/>
      <c r="E426" s="36"/>
      <c r="F426" s="36"/>
      <c r="G426" s="36"/>
      <c r="H426" s="36"/>
      <c r="I426" s="39" t="str">
        <f aca="false">IF(COUNT(E426:H426)=0,"",ROUND(AVERAGE(E426:H426),0))</f>
        <v/>
      </c>
      <c r="J426" s="38" t="str">
        <f aca="false">IF(I426="","",LOOKUP(I426,Impostazioni!$E$4:$E$9,Impostazioni!$F$4:$F$9))</f>
        <v/>
      </c>
      <c r="K426" s="36"/>
      <c r="L426" s="36"/>
      <c r="M426" s="36"/>
      <c r="N426" s="36"/>
      <c r="O426" s="39" t="str">
        <f aca="false">IF(COUNT(K426:N426)=0,"",ROUND(AVERAGE(K426:N426),0))</f>
        <v/>
      </c>
      <c r="P426" s="38" t="str">
        <f aca="false">IF(O426="","",LOOKUP(O426,Impostazioni!$E$4:$E$9,Impostazioni!$F$4:$F$9))</f>
        <v/>
      </c>
      <c r="Q426" s="36"/>
      <c r="R426" s="36"/>
      <c r="S426" s="36"/>
      <c r="T426" s="36"/>
      <c r="U426" s="39" t="str">
        <f aca="false">IF(COUNT(Q426:T426)=0,"",ROUND(AVERAGE(Q426:T426),0))</f>
        <v/>
      </c>
      <c r="V426" s="38" t="str">
        <f aca="false">IF(U426="","",LOOKUP(U426,Impostazioni!$E$4:$E$9,Impostazioni!$F$4:$F$9))</f>
        <v/>
      </c>
      <c r="W426" s="36"/>
      <c r="X426" s="36"/>
      <c r="Y426" s="36"/>
      <c r="Z426" s="36"/>
      <c r="AA426" s="39" t="str">
        <f aca="false">IF(COUNT(W426:Z426)=0,"",ROUND(AVERAGE(W426:Z426),0))</f>
        <v/>
      </c>
      <c r="AB426" s="38" t="str">
        <f aca="false">IF(AA426="","",LOOKUP(AA426,Impostazioni!$E$4:$E$9,Impostazioni!$F$4:$F$9))</f>
        <v/>
      </c>
    </row>
    <row r="427" customFormat="false" ht="21" hidden="false" customHeight="true" outlineLevel="0" collapsed="false">
      <c r="A427" s="33" t="n">
        <v>21</v>
      </c>
      <c r="B427" s="34" t="str">
        <f aca="false">IFERROR(INDEX(Alunni!$C$1:$C$1000,MATCH($A427,Alunni!$A$1:$A$1000,0))&amp;"","")</f>
        <v/>
      </c>
      <c r="C427" s="15"/>
      <c r="D427" s="35"/>
      <c r="E427" s="36"/>
      <c r="F427" s="36"/>
      <c r="G427" s="36"/>
      <c r="H427" s="36"/>
      <c r="I427" s="39" t="str">
        <f aca="false">IF(COUNT(E427:H427)=0,"",ROUND(AVERAGE(E427:H427),0))</f>
        <v/>
      </c>
      <c r="J427" s="38" t="str">
        <f aca="false">IF(I427="","",LOOKUP(I427,Impostazioni!$E$4:$E$9,Impostazioni!$F$4:$F$9))</f>
        <v/>
      </c>
      <c r="K427" s="36"/>
      <c r="L427" s="36"/>
      <c r="M427" s="36"/>
      <c r="N427" s="36"/>
      <c r="O427" s="39" t="str">
        <f aca="false">IF(COUNT(K427:N427)=0,"",ROUND(AVERAGE(K427:N427),0))</f>
        <v/>
      </c>
      <c r="P427" s="38" t="str">
        <f aca="false">IF(O427="","",LOOKUP(O427,Impostazioni!$E$4:$E$9,Impostazioni!$F$4:$F$9))</f>
        <v/>
      </c>
      <c r="Q427" s="36"/>
      <c r="R427" s="36"/>
      <c r="S427" s="36"/>
      <c r="T427" s="36"/>
      <c r="U427" s="39" t="str">
        <f aca="false">IF(COUNT(Q427:T427)=0,"",ROUND(AVERAGE(Q427:T427),0))</f>
        <v/>
      </c>
      <c r="V427" s="38" t="str">
        <f aca="false">IF(U427="","",LOOKUP(U427,Impostazioni!$E$4:$E$9,Impostazioni!$F$4:$F$9))</f>
        <v/>
      </c>
      <c r="W427" s="36"/>
      <c r="X427" s="36"/>
      <c r="Y427" s="36"/>
      <c r="Z427" s="36"/>
      <c r="AA427" s="39" t="str">
        <f aca="false">IF(COUNT(W427:Z427)=0,"",ROUND(AVERAGE(W427:Z427),0))</f>
        <v/>
      </c>
      <c r="AB427" s="38" t="str">
        <f aca="false">IF(AA427="","",LOOKUP(AA427,Impostazioni!$E$4:$E$9,Impostazioni!$F$4:$F$9))</f>
        <v/>
      </c>
    </row>
    <row r="428" customFormat="false" ht="21" hidden="false" customHeight="true" outlineLevel="0" collapsed="false">
      <c r="A428" s="33" t="n">
        <v>22</v>
      </c>
      <c r="B428" s="34" t="str">
        <f aca="false">IFERROR(INDEX(Alunni!$C$1:$C$1000,MATCH($A428,Alunni!$A$1:$A$1000,0))&amp;"","")</f>
        <v/>
      </c>
      <c r="C428" s="15"/>
      <c r="D428" s="35"/>
      <c r="E428" s="36"/>
      <c r="F428" s="36"/>
      <c r="G428" s="36"/>
      <c r="H428" s="36"/>
      <c r="I428" s="39" t="str">
        <f aca="false">IF(COUNT(E428:H428)=0,"",ROUND(AVERAGE(E428:H428),0))</f>
        <v/>
      </c>
      <c r="J428" s="38" t="str">
        <f aca="false">IF(I428="","",LOOKUP(I428,Impostazioni!$E$4:$E$9,Impostazioni!$F$4:$F$9))</f>
        <v/>
      </c>
      <c r="K428" s="36"/>
      <c r="L428" s="36"/>
      <c r="M428" s="36"/>
      <c r="N428" s="36"/>
      <c r="O428" s="39" t="str">
        <f aca="false">IF(COUNT(K428:N428)=0,"",ROUND(AVERAGE(K428:N428),0))</f>
        <v/>
      </c>
      <c r="P428" s="38" t="str">
        <f aca="false">IF(O428="","",LOOKUP(O428,Impostazioni!$E$4:$E$9,Impostazioni!$F$4:$F$9))</f>
        <v/>
      </c>
      <c r="Q428" s="36"/>
      <c r="R428" s="36"/>
      <c r="S428" s="36"/>
      <c r="T428" s="36"/>
      <c r="U428" s="39" t="str">
        <f aca="false">IF(COUNT(Q428:T428)=0,"",ROUND(AVERAGE(Q428:T428),0))</f>
        <v/>
      </c>
      <c r="V428" s="38" t="str">
        <f aca="false">IF(U428="","",LOOKUP(U428,Impostazioni!$E$4:$E$9,Impostazioni!$F$4:$F$9))</f>
        <v/>
      </c>
      <c r="W428" s="36"/>
      <c r="X428" s="36"/>
      <c r="Y428" s="36"/>
      <c r="Z428" s="36"/>
      <c r="AA428" s="39" t="str">
        <f aca="false">IF(COUNT(W428:Z428)=0,"",ROUND(AVERAGE(W428:Z428),0))</f>
        <v/>
      </c>
      <c r="AB428" s="38" t="str">
        <f aca="false">IF(AA428="","",LOOKUP(AA428,Impostazioni!$E$4:$E$9,Impostazioni!$F$4:$F$9))</f>
        <v/>
      </c>
    </row>
    <row r="429" customFormat="false" ht="21" hidden="false" customHeight="true" outlineLevel="0" collapsed="false">
      <c r="A429" s="33" t="n">
        <v>23</v>
      </c>
      <c r="B429" s="34" t="str">
        <f aca="false">IFERROR(INDEX(Alunni!$C$1:$C$1000,MATCH($A429,Alunni!$A$1:$A$1000,0))&amp;"","")</f>
        <v/>
      </c>
      <c r="C429" s="15"/>
      <c r="D429" s="35"/>
      <c r="E429" s="36"/>
      <c r="F429" s="36"/>
      <c r="G429" s="36"/>
      <c r="H429" s="36"/>
      <c r="I429" s="39" t="str">
        <f aca="false">IF(COUNT(E429:H429)=0,"",ROUND(AVERAGE(E429:H429),0))</f>
        <v/>
      </c>
      <c r="J429" s="38" t="str">
        <f aca="false">IF(I429="","",LOOKUP(I429,Impostazioni!$E$4:$E$9,Impostazioni!$F$4:$F$9))</f>
        <v/>
      </c>
      <c r="K429" s="36"/>
      <c r="L429" s="36"/>
      <c r="M429" s="36"/>
      <c r="N429" s="36"/>
      <c r="O429" s="39" t="str">
        <f aca="false">IF(COUNT(K429:N429)=0,"",ROUND(AVERAGE(K429:N429),0))</f>
        <v/>
      </c>
      <c r="P429" s="38" t="str">
        <f aca="false">IF(O429="","",LOOKUP(O429,Impostazioni!$E$4:$E$9,Impostazioni!$F$4:$F$9))</f>
        <v/>
      </c>
      <c r="Q429" s="36"/>
      <c r="R429" s="36"/>
      <c r="S429" s="36"/>
      <c r="T429" s="36"/>
      <c r="U429" s="39" t="str">
        <f aca="false">IF(COUNT(Q429:T429)=0,"",ROUND(AVERAGE(Q429:T429),0))</f>
        <v/>
      </c>
      <c r="V429" s="38" t="str">
        <f aca="false">IF(U429="","",LOOKUP(U429,Impostazioni!$E$4:$E$9,Impostazioni!$F$4:$F$9))</f>
        <v/>
      </c>
      <c r="W429" s="36"/>
      <c r="X429" s="36"/>
      <c r="Y429" s="36"/>
      <c r="Z429" s="36"/>
      <c r="AA429" s="39" t="str">
        <f aca="false">IF(COUNT(W429:Z429)=0,"",ROUND(AVERAGE(W429:Z429),0))</f>
        <v/>
      </c>
      <c r="AB429" s="38" t="str">
        <f aca="false">IF(AA429="","",LOOKUP(AA429,Impostazioni!$E$4:$E$9,Impostazioni!$F$4:$F$9))</f>
        <v/>
      </c>
    </row>
    <row r="430" customFormat="false" ht="21" hidden="false" customHeight="true" outlineLevel="0" collapsed="false">
      <c r="A430" s="33" t="n">
        <v>24</v>
      </c>
      <c r="B430" s="34" t="str">
        <f aca="false">IFERROR(INDEX(Alunni!$C$1:$C$1000,MATCH($A430,Alunni!$A$1:$A$1000,0))&amp;"","")</f>
        <v/>
      </c>
      <c r="C430" s="15"/>
      <c r="D430" s="35"/>
      <c r="E430" s="36"/>
      <c r="F430" s="36"/>
      <c r="G430" s="36"/>
      <c r="H430" s="36"/>
      <c r="I430" s="39" t="str">
        <f aca="false">IF(COUNT(E430:H430)=0,"",ROUND(AVERAGE(E430:H430),0))</f>
        <v/>
      </c>
      <c r="J430" s="38" t="str">
        <f aca="false">IF(I430="","",LOOKUP(I430,Impostazioni!$E$4:$E$9,Impostazioni!$F$4:$F$9))</f>
        <v/>
      </c>
      <c r="K430" s="36"/>
      <c r="L430" s="36"/>
      <c r="M430" s="36"/>
      <c r="N430" s="36"/>
      <c r="O430" s="39" t="str">
        <f aca="false">IF(COUNT(K430:N430)=0,"",ROUND(AVERAGE(K430:N430),0))</f>
        <v/>
      </c>
      <c r="P430" s="38" t="str">
        <f aca="false">IF(O430="","",LOOKUP(O430,Impostazioni!$E$4:$E$9,Impostazioni!$F$4:$F$9))</f>
        <v/>
      </c>
      <c r="Q430" s="36"/>
      <c r="R430" s="36"/>
      <c r="S430" s="36"/>
      <c r="T430" s="36"/>
      <c r="U430" s="39" t="str">
        <f aca="false">IF(COUNT(Q430:T430)=0,"",ROUND(AVERAGE(Q430:T430),0))</f>
        <v/>
      </c>
      <c r="V430" s="38" t="str">
        <f aca="false">IF(U430="","",LOOKUP(U430,Impostazioni!$E$4:$E$9,Impostazioni!$F$4:$F$9))</f>
        <v/>
      </c>
      <c r="W430" s="36"/>
      <c r="X430" s="36"/>
      <c r="Y430" s="36"/>
      <c r="Z430" s="36"/>
      <c r="AA430" s="39" t="str">
        <f aca="false">IF(COUNT(W430:Z430)=0,"",ROUND(AVERAGE(W430:Z430),0))</f>
        <v/>
      </c>
      <c r="AB430" s="38" t="str">
        <f aca="false">IF(AA430="","",LOOKUP(AA430,Impostazioni!$E$4:$E$9,Impostazioni!$F$4:$F$9))</f>
        <v/>
      </c>
    </row>
    <row r="431" customFormat="false" ht="21" hidden="false" customHeight="true" outlineLevel="0" collapsed="false">
      <c r="A431" s="33" t="n">
        <v>25</v>
      </c>
      <c r="B431" s="34" t="str">
        <f aca="false">IFERROR(INDEX(Alunni!$C$1:$C$1000,MATCH($A431,Alunni!$A$1:$A$1000,0))&amp;"","")</f>
        <v/>
      </c>
      <c r="C431" s="15"/>
      <c r="D431" s="35"/>
      <c r="E431" s="36"/>
      <c r="F431" s="36"/>
      <c r="G431" s="36"/>
      <c r="H431" s="36"/>
      <c r="I431" s="39" t="str">
        <f aca="false">IF(COUNT(E431:H431)=0,"",ROUND(AVERAGE(E431:H431),0))</f>
        <v/>
      </c>
      <c r="J431" s="38" t="str">
        <f aca="false">IF(I431="","",LOOKUP(I431,Impostazioni!$E$4:$E$9,Impostazioni!$F$4:$F$9))</f>
        <v/>
      </c>
      <c r="K431" s="36"/>
      <c r="L431" s="36"/>
      <c r="M431" s="36"/>
      <c r="N431" s="36"/>
      <c r="O431" s="39" t="str">
        <f aca="false">IF(COUNT(K431:N431)=0,"",ROUND(AVERAGE(K431:N431),0))</f>
        <v/>
      </c>
      <c r="P431" s="38" t="str">
        <f aca="false">IF(O431="","",LOOKUP(O431,Impostazioni!$E$4:$E$9,Impostazioni!$F$4:$F$9))</f>
        <v/>
      </c>
      <c r="Q431" s="36"/>
      <c r="R431" s="36"/>
      <c r="S431" s="36"/>
      <c r="T431" s="36"/>
      <c r="U431" s="39" t="str">
        <f aca="false">IF(COUNT(Q431:T431)=0,"",ROUND(AVERAGE(Q431:T431),0))</f>
        <v/>
      </c>
      <c r="V431" s="38" t="str">
        <f aca="false">IF(U431="","",LOOKUP(U431,Impostazioni!$E$4:$E$9,Impostazioni!$F$4:$F$9))</f>
        <v/>
      </c>
      <c r="W431" s="36"/>
      <c r="X431" s="36"/>
      <c r="Y431" s="36"/>
      <c r="Z431" s="36"/>
      <c r="AA431" s="39" t="str">
        <f aca="false">IF(COUNT(W431:Z431)=0,"",ROUND(AVERAGE(W431:Z431),0))</f>
        <v/>
      </c>
      <c r="AB431" s="38" t="str">
        <f aca="false">IF(AA431="","",LOOKUP(AA431,Impostazioni!$E$4:$E$9,Impostazioni!$F$4:$F$9))</f>
        <v/>
      </c>
    </row>
    <row r="432" customFormat="false" ht="21" hidden="false" customHeight="true" outlineLevel="0" collapsed="false">
      <c r="A432" s="33" t="n">
        <v>26</v>
      </c>
      <c r="B432" s="34" t="str">
        <f aca="false">IFERROR(INDEX(Alunni!$C$1:$C$1000,MATCH($A432,Alunni!$A$1:$A$1000,0))&amp;"","")</f>
        <v/>
      </c>
      <c r="C432" s="15"/>
      <c r="D432" s="35"/>
      <c r="E432" s="36"/>
      <c r="F432" s="36"/>
      <c r="G432" s="36"/>
      <c r="H432" s="36"/>
      <c r="I432" s="39" t="str">
        <f aca="false">IF(COUNT(E432:H432)=0,"",ROUND(AVERAGE(E432:H432),0))</f>
        <v/>
      </c>
      <c r="J432" s="38" t="str">
        <f aca="false">IF(I432="","",LOOKUP(I432,Impostazioni!$E$4:$E$9,Impostazioni!$F$4:$F$9))</f>
        <v/>
      </c>
      <c r="K432" s="36"/>
      <c r="L432" s="36"/>
      <c r="M432" s="36"/>
      <c r="N432" s="36"/>
      <c r="O432" s="39" t="str">
        <f aca="false">IF(COUNT(K432:N432)=0,"",ROUND(AVERAGE(K432:N432),0))</f>
        <v/>
      </c>
      <c r="P432" s="38" t="str">
        <f aca="false">IF(O432="","",LOOKUP(O432,Impostazioni!$E$4:$E$9,Impostazioni!$F$4:$F$9))</f>
        <v/>
      </c>
      <c r="Q432" s="36"/>
      <c r="R432" s="36"/>
      <c r="S432" s="36"/>
      <c r="T432" s="36"/>
      <c r="U432" s="39" t="str">
        <f aca="false">IF(COUNT(Q432:T432)=0,"",ROUND(AVERAGE(Q432:T432),0))</f>
        <v/>
      </c>
      <c r="V432" s="38" t="str">
        <f aca="false">IF(U432="","",LOOKUP(U432,Impostazioni!$E$4:$E$9,Impostazioni!$F$4:$F$9))</f>
        <v/>
      </c>
      <c r="W432" s="36"/>
      <c r="X432" s="36"/>
      <c r="Y432" s="36"/>
      <c r="Z432" s="36"/>
      <c r="AA432" s="39" t="str">
        <f aca="false">IF(COUNT(W432:Z432)=0,"",ROUND(AVERAGE(W432:Z432),0))</f>
        <v/>
      </c>
      <c r="AB432" s="38" t="str">
        <f aca="false">IF(AA432="","",LOOKUP(AA432,Impostazioni!$E$4:$E$9,Impostazioni!$F$4:$F$9))</f>
        <v/>
      </c>
    </row>
    <row r="433" customFormat="false" ht="21" hidden="false" customHeight="true" outlineLevel="0" collapsed="false">
      <c r="A433" s="33" t="n">
        <v>27</v>
      </c>
      <c r="B433" s="34" t="str">
        <f aca="false">IFERROR(INDEX(Alunni!$C$1:$C$1000,MATCH($A433,Alunni!$A$1:$A$1000,0))&amp;"","")</f>
        <v/>
      </c>
      <c r="C433" s="15"/>
      <c r="D433" s="35"/>
      <c r="E433" s="36"/>
      <c r="F433" s="36"/>
      <c r="G433" s="36"/>
      <c r="H433" s="36"/>
      <c r="I433" s="39" t="str">
        <f aca="false">IF(COUNT(E433:H433)=0,"",ROUND(AVERAGE(E433:H433),0))</f>
        <v/>
      </c>
      <c r="J433" s="38" t="str">
        <f aca="false">IF(I433="","",LOOKUP(I433,Impostazioni!$E$4:$E$9,Impostazioni!$F$4:$F$9))</f>
        <v/>
      </c>
      <c r="K433" s="36"/>
      <c r="L433" s="36"/>
      <c r="M433" s="36"/>
      <c r="N433" s="36"/>
      <c r="O433" s="39" t="str">
        <f aca="false">IF(COUNT(K433:N433)=0,"",ROUND(AVERAGE(K433:N433),0))</f>
        <v/>
      </c>
      <c r="P433" s="38" t="str">
        <f aca="false">IF(O433="","",LOOKUP(O433,Impostazioni!$E$4:$E$9,Impostazioni!$F$4:$F$9))</f>
        <v/>
      </c>
      <c r="Q433" s="36"/>
      <c r="R433" s="36"/>
      <c r="S433" s="36"/>
      <c r="T433" s="36"/>
      <c r="U433" s="39" t="str">
        <f aca="false">IF(COUNT(Q433:T433)=0,"",ROUND(AVERAGE(Q433:T433),0))</f>
        <v/>
      </c>
      <c r="V433" s="38" t="str">
        <f aca="false">IF(U433="","",LOOKUP(U433,Impostazioni!$E$4:$E$9,Impostazioni!$F$4:$F$9))</f>
        <v/>
      </c>
      <c r="W433" s="36"/>
      <c r="X433" s="36"/>
      <c r="Y433" s="36"/>
      <c r="Z433" s="36"/>
      <c r="AA433" s="39" t="str">
        <f aca="false">IF(COUNT(W433:Z433)=0,"",ROUND(AVERAGE(W433:Z433),0))</f>
        <v/>
      </c>
      <c r="AB433" s="38" t="str">
        <f aca="false">IF(AA433="","",LOOKUP(AA433,Impostazioni!$E$4:$E$9,Impostazioni!$F$4:$F$9))</f>
        <v/>
      </c>
    </row>
    <row r="434" customFormat="false" ht="21" hidden="false" customHeight="true" outlineLevel="0" collapsed="false">
      <c r="A434" s="33" t="n">
        <v>28</v>
      </c>
      <c r="B434" s="34" t="str">
        <f aca="false">IFERROR(INDEX(Alunni!$C$1:$C$1000,MATCH($A434,Alunni!$A$1:$A$1000,0))&amp;"","")</f>
        <v/>
      </c>
      <c r="C434" s="15"/>
      <c r="D434" s="35"/>
      <c r="E434" s="36"/>
      <c r="F434" s="36"/>
      <c r="G434" s="36"/>
      <c r="H434" s="36"/>
      <c r="I434" s="39" t="str">
        <f aca="false">IF(COUNT(E434:H434)=0,"",ROUND(AVERAGE(E434:H434),0))</f>
        <v/>
      </c>
      <c r="J434" s="38" t="str">
        <f aca="false">IF(I434="","",LOOKUP(I434,Impostazioni!$E$4:$E$9,Impostazioni!$F$4:$F$9))</f>
        <v/>
      </c>
      <c r="K434" s="36"/>
      <c r="L434" s="36"/>
      <c r="M434" s="36"/>
      <c r="N434" s="36"/>
      <c r="O434" s="39" t="str">
        <f aca="false">IF(COUNT(K434:N434)=0,"",ROUND(AVERAGE(K434:N434),0))</f>
        <v/>
      </c>
      <c r="P434" s="38" t="str">
        <f aca="false">IF(O434="","",LOOKUP(O434,Impostazioni!$E$4:$E$9,Impostazioni!$F$4:$F$9))</f>
        <v/>
      </c>
      <c r="Q434" s="36"/>
      <c r="R434" s="36"/>
      <c r="S434" s="36"/>
      <c r="T434" s="36"/>
      <c r="U434" s="39" t="str">
        <f aca="false">IF(COUNT(Q434:T434)=0,"",ROUND(AVERAGE(Q434:T434),0))</f>
        <v/>
      </c>
      <c r="V434" s="38" t="str">
        <f aca="false">IF(U434="","",LOOKUP(U434,Impostazioni!$E$4:$E$9,Impostazioni!$F$4:$F$9))</f>
        <v/>
      </c>
      <c r="W434" s="36"/>
      <c r="X434" s="36"/>
      <c r="Y434" s="36"/>
      <c r="Z434" s="36"/>
      <c r="AA434" s="39" t="str">
        <f aca="false">IF(COUNT(W434:Z434)=0,"",ROUND(AVERAGE(W434:Z434),0))</f>
        <v/>
      </c>
      <c r="AB434" s="38" t="str">
        <f aca="false">IF(AA434="","",LOOKUP(AA434,Impostazioni!$E$4:$E$9,Impostazioni!$F$4:$F$9))</f>
        <v/>
      </c>
    </row>
    <row r="435" customFormat="false" ht="21" hidden="false" customHeight="true" outlineLevel="0" collapsed="false">
      <c r="A435" s="33" t="n">
        <v>29</v>
      </c>
      <c r="B435" s="34" t="str">
        <f aca="false">IFERROR(INDEX(Alunni!$C$1:$C$1000,MATCH($A435,Alunni!$A$1:$A$1000,0))&amp;"","")</f>
        <v/>
      </c>
      <c r="C435" s="15"/>
      <c r="D435" s="35"/>
      <c r="E435" s="36"/>
      <c r="F435" s="36"/>
      <c r="G435" s="36"/>
      <c r="H435" s="36"/>
      <c r="I435" s="39" t="str">
        <f aca="false">IF(COUNT(E435:H435)=0,"",ROUND(AVERAGE(E435:H435),0))</f>
        <v/>
      </c>
      <c r="J435" s="38" t="str">
        <f aca="false">IF(I435="","",LOOKUP(I435,Impostazioni!$E$4:$E$9,Impostazioni!$F$4:$F$9))</f>
        <v/>
      </c>
      <c r="K435" s="36"/>
      <c r="L435" s="36"/>
      <c r="M435" s="36"/>
      <c r="N435" s="36"/>
      <c r="O435" s="39" t="str">
        <f aca="false">IF(COUNT(K435:N435)=0,"",ROUND(AVERAGE(K435:N435),0))</f>
        <v/>
      </c>
      <c r="P435" s="38" t="str">
        <f aca="false">IF(O435="","",LOOKUP(O435,Impostazioni!$E$4:$E$9,Impostazioni!$F$4:$F$9))</f>
        <v/>
      </c>
      <c r="Q435" s="36"/>
      <c r="R435" s="36"/>
      <c r="S435" s="36"/>
      <c r="T435" s="36"/>
      <c r="U435" s="39" t="str">
        <f aca="false">IF(COUNT(Q435:T435)=0,"",ROUND(AVERAGE(Q435:T435),0))</f>
        <v/>
      </c>
      <c r="V435" s="38" t="str">
        <f aca="false">IF(U435="","",LOOKUP(U435,Impostazioni!$E$4:$E$9,Impostazioni!$F$4:$F$9))</f>
        <v/>
      </c>
      <c r="W435" s="36"/>
      <c r="X435" s="36"/>
      <c r="Y435" s="36"/>
      <c r="Z435" s="36"/>
      <c r="AA435" s="39" t="str">
        <f aca="false">IF(COUNT(W435:Z435)=0,"",ROUND(AVERAGE(W435:Z435),0))</f>
        <v/>
      </c>
      <c r="AB435" s="38" t="str">
        <f aca="false">IF(AA435="","",LOOKUP(AA435,Impostazioni!$E$4:$E$9,Impostazioni!$F$4:$F$9))</f>
        <v/>
      </c>
    </row>
    <row r="436" customFormat="false" ht="21" hidden="false" customHeight="true" outlineLevel="0" collapsed="false">
      <c r="A436" s="33" t="n">
        <v>30</v>
      </c>
      <c r="B436" s="34" t="str">
        <f aca="false">IFERROR(INDEX(Alunni!$C$1:$C$1000,MATCH($A436,Alunni!$A$1:$A$1000,0))&amp;"","")</f>
        <v/>
      </c>
      <c r="C436" s="15"/>
      <c r="D436" s="35"/>
      <c r="E436" s="36"/>
      <c r="F436" s="36"/>
      <c r="G436" s="36"/>
      <c r="H436" s="36"/>
      <c r="I436" s="39" t="str">
        <f aca="false">IF(COUNT(E436:H436)=0,"",ROUND(AVERAGE(E436:H436),0))</f>
        <v/>
      </c>
      <c r="J436" s="38" t="str">
        <f aca="false">IF(I436="","",LOOKUP(I436,Impostazioni!$E$4:$E$9,Impostazioni!$F$4:$F$9))</f>
        <v/>
      </c>
      <c r="K436" s="36"/>
      <c r="L436" s="36"/>
      <c r="M436" s="36"/>
      <c r="N436" s="36"/>
      <c r="O436" s="39" t="str">
        <f aca="false">IF(COUNT(K436:N436)=0,"",ROUND(AVERAGE(K436:N436),0))</f>
        <v/>
      </c>
      <c r="P436" s="38" t="str">
        <f aca="false">IF(O436="","",LOOKUP(O436,Impostazioni!$E$4:$E$9,Impostazioni!$F$4:$F$9))</f>
        <v/>
      </c>
      <c r="Q436" s="36"/>
      <c r="R436" s="36"/>
      <c r="S436" s="36"/>
      <c r="T436" s="36"/>
      <c r="U436" s="39" t="str">
        <f aca="false">IF(COUNT(Q436:T436)=0,"",ROUND(AVERAGE(Q436:T436),0))</f>
        <v/>
      </c>
      <c r="V436" s="38" t="str">
        <f aca="false">IF(U436="","",LOOKUP(U436,Impostazioni!$E$4:$E$9,Impostazioni!$F$4:$F$9))</f>
        <v/>
      </c>
      <c r="W436" s="36"/>
      <c r="X436" s="36"/>
      <c r="Y436" s="36"/>
      <c r="Z436" s="36"/>
      <c r="AA436" s="39" t="str">
        <f aca="false">IF(COUNT(W436:Z436)=0,"",ROUND(AVERAGE(W436:Z436),0))</f>
        <v/>
      </c>
      <c r="AB436" s="38" t="str">
        <f aca="false">IF(AA436="","",LOOKUP(AA436,Impostazioni!$E$4:$E$9,Impostazioni!$F$4:$F$9))</f>
        <v/>
      </c>
    </row>
    <row r="438" customFormat="false" ht="25.5" hidden="false" customHeight="true" outlineLevel="0" collapsed="false">
      <c r="A438" s="40" t="str">
        <f aca="false">Calendario!B19&amp;"   ·   "&amp;IF(Calendario!G19="","(descrizione da Calendario)",Calendario!G19)&amp;"   ·   "&amp;IF(Calendario!E19="","data da fissare",CHOOSE(WEEKDAY(Calendario!E19,2),"lunedì","martedì","mercoledì","giovedì","venerdì","sabato","domenica")&amp;" "&amp;TEXT(DAY(Calendario!E19),"00")&amp;"/"&amp;TEXT(MONTH(Calendario!E19),"00")&amp;"/"&amp;YEAR(Calendario!E19))</f>
        <v>Q2-G03   ·   (descrizione da Calendario)   ·   data da fissare</v>
      </c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</row>
    <row r="439" customFormat="false" ht="15" hidden="false" customHeight="true" outlineLevel="0" collapsed="false">
      <c r="A439" s="25" t="s">
        <v>80</v>
      </c>
      <c r="B439" s="25"/>
      <c r="C439" s="25"/>
      <c r="D439" s="25"/>
      <c r="E439" s="26" t="str">
        <f aca="false">IF(Calendario!$H$19="","— libero —",Calendario!$H$19&amp;"  "&amp;IFERROR(VLOOKUP(Calendario!$H$19,Impostazioni!$A$25:$J$36,3,FALSE()),""))</f>
        <v>— libero —</v>
      </c>
      <c r="F439" s="26"/>
      <c r="G439" s="26"/>
      <c r="H439" s="26"/>
      <c r="I439" s="26"/>
      <c r="J439" s="26"/>
      <c r="K439" s="26" t="str">
        <f aca="false">IF(Calendario!$I$19="","— libero —",Calendario!$I$19&amp;"  "&amp;IFERROR(VLOOKUP(Calendario!$I$19,Impostazioni!$A$25:$J$36,3,FALSE()),""))</f>
        <v>— libero —</v>
      </c>
      <c r="L439" s="26"/>
      <c r="M439" s="26"/>
      <c r="N439" s="26"/>
      <c r="O439" s="26"/>
      <c r="P439" s="26"/>
      <c r="Q439" s="26" t="str">
        <f aca="false">IF(Calendario!$J$19="","— libero —",Calendario!$J$19&amp;"  "&amp;IFERROR(VLOOKUP(Calendario!$J$19,Impostazioni!$A$25:$J$36,3,FALSE()),""))</f>
        <v>— libero —</v>
      </c>
      <c r="R439" s="26"/>
      <c r="S439" s="26"/>
      <c r="T439" s="26"/>
      <c r="U439" s="26"/>
      <c r="V439" s="26"/>
      <c r="W439" s="26" t="str">
        <f aca="false">IF(Calendario!$K$19="","— libero —",Calendario!$K$19&amp;"  "&amp;IFERROR(VLOOKUP(Calendario!$K$19,Impostazioni!$A$25:$J$36,3,FALSE()),""))</f>
        <v>— libero —</v>
      </c>
      <c r="X439" s="26"/>
      <c r="Y439" s="26"/>
      <c r="Z439" s="26"/>
      <c r="AA439" s="26"/>
      <c r="AB439" s="26"/>
    </row>
    <row r="440" customFormat="false" ht="15" hidden="false" customHeight="true" outlineLevel="0" collapsed="false">
      <c r="A440" s="25" t="s">
        <v>81</v>
      </c>
      <c r="B440" s="25"/>
      <c r="C440" s="25"/>
      <c r="D440" s="25"/>
      <c r="E440" s="27" t="str">
        <f aca="false">IF(Calendario!$H$19="","","Ob. "&amp;IFERROR(VLOOKUP(Calendario!$H$19,Impostazioni!$A$25:$J$36,6,FALSE()),"?")&amp;" · peso "&amp;IF(Calendario!$F$19=2,Impostazioni!$B$11,Impostazioni!$B$10))</f>
        <v/>
      </c>
      <c r="F440" s="27"/>
      <c r="G440" s="27"/>
      <c r="H440" s="27"/>
      <c r="I440" s="27"/>
      <c r="J440" s="27"/>
      <c r="K440" s="27" t="str">
        <f aca="false">IF(Calendario!$I$19="","","Ob. "&amp;IFERROR(VLOOKUP(Calendario!$I$19,Impostazioni!$A$25:$J$36,6,FALSE()),"?")&amp;" · peso "&amp;IF(Calendario!$F$19=2,Impostazioni!$B$11,Impostazioni!$B$10))</f>
        <v/>
      </c>
      <c r="L440" s="27"/>
      <c r="M440" s="27"/>
      <c r="N440" s="27"/>
      <c r="O440" s="27"/>
      <c r="P440" s="27"/>
      <c r="Q440" s="27" t="str">
        <f aca="false">IF(Calendario!$J$19="","","Ob. "&amp;IFERROR(VLOOKUP(Calendario!$J$19,Impostazioni!$A$25:$J$36,6,FALSE()),"?")&amp;" · peso "&amp;IF(Calendario!$F$19=2,Impostazioni!$B$11,Impostazioni!$B$10))</f>
        <v/>
      </c>
      <c r="R440" s="27"/>
      <c r="S440" s="27"/>
      <c r="T440" s="27"/>
      <c r="U440" s="27"/>
      <c r="V440" s="27"/>
      <c r="W440" s="27" t="str">
        <f aca="false">IF(Calendario!$K$19="","","Ob. "&amp;IFERROR(VLOOKUP(Calendario!$K$19,Impostazioni!$A$25:$J$36,6,FALSE()),"?")&amp;" · peso "&amp;IF(Calendario!$F$19=2,Impostazioni!$B$11,Impostazioni!$B$10))</f>
        <v/>
      </c>
      <c r="X440" s="27"/>
      <c r="Y440" s="27"/>
      <c r="Z440" s="27"/>
      <c r="AA440" s="27"/>
      <c r="AB440" s="27"/>
    </row>
    <row r="441" customFormat="false" ht="33.75" hidden="false" customHeight="true" outlineLevel="0" collapsed="false">
      <c r="A441" s="25" t="s">
        <v>82</v>
      </c>
      <c r="B441" s="25"/>
      <c r="C441" s="25"/>
      <c r="D441" s="25"/>
      <c r="E441" s="28" t="str">
        <f aca="false">IF(Calendario!$H$19="","",IFERROR(HYPERLINK("#Rubriche!C"&amp;(MATCH(Calendario!$H$19,Rubriche!$A$1:$A$1000,0)+0),VLOOKUP(Calendario!$H$19,Impostazioni!$A$25:$J$36,7,FALSE())),""))</f>
        <v/>
      </c>
      <c r="F441" s="28" t="str">
        <f aca="false">IF(Calendario!$H$19="","",IFERROR(HYPERLINK("#Rubriche!C"&amp;(MATCH(Calendario!$H$19,Rubriche!$A$1:$A$1000,0)+1),VLOOKUP(Calendario!$H$19,Impostazioni!$A$25:$J$36,8,FALSE())),""))</f>
        <v/>
      </c>
      <c r="G441" s="28" t="str">
        <f aca="false">IF(Calendario!$H$19="","",IFERROR(HYPERLINK("#Rubriche!C"&amp;(MATCH(Calendario!$H$19,Rubriche!$A$1:$A$1000,0)+2),VLOOKUP(Calendario!$H$19,Impostazioni!$A$25:$J$36,9,FALSE())),""))</f>
        <v/>
      </c>
      <c r="H441" s="28" t="str">
        <f aca="false">IF(Calendario!$H$19="","",IFERROR(HYPERLINK("#Rubriche!C"&amp;(MATCH(Calendario!$H$19,Rubriche!$A$1:$A$1000,0)+3),VLOOKUP(Calendario!$H$19,Impostazioni!$A$25:$J$36,10,FALSE())),""))</f>
        <v/>
      </c>
      <c r="I441" s="29"/>
      <c r="J441" s="29"/>
      <c r="K441" s="28" t="str">
        <f aca="false">IF(Calendario!$I$19="","",IFERROR(HYPERLINK("#Rubriche!C"&amp;(MATCH(Calendario!$I$19,Rubriche!$A$1:$A$1000,0)+0),VLOOKUP(Calendario!$I$19,Impostazioni!$A$25:$J$36,7,FALSE())),""))</f>
        <v/>
      </c>
      <c r="L441" s="28" t="str">
        <f aca="false">IF(Calendario!$I$19="","",IFERROR(HYPERLINK("#Rubriche!C"&amp;(MATCH(Calendario!$I$19,Rubriche!$A$1:$A$1000,0)+1),VLOOKUP(Calendario!$I$19,Impostazioni!$A$25:$J$36,8,FALSE())),""))</f>
        <v/>
      </c>
      <c r="M441" s="28" t="str">
        <f aca="false">IF(Calendario!$I$19="","",IFERROR(HYPERLINK("#Rubriche!C"&amp;(MATCH(Calendario!$I$19,Rubriche!$A$1:$A$1000,0)+2),VLOOKUP(Calendario!$I$19,Impostazioni!$A$25:$J$36,9,FALSE())),""))</f>
        <v/>
      </c>
      <c r="N441" s="28" t="str">
        <f aca="false">IF(Calendario!$I$19="","",IFERROR(HYPERLINK("#Rubriche!C"&amp;(MATCH(Calendario!$I$19,Rubriche!$A$1:$A$1000,0)+3),VLOOKUP(Calendario!$I$19,Impostazioni!$A$25:$J$36,10,FALSE())),""))</f>
        <v/>
      </c>
      <c r="O441" s="29"/>
      <c r="P441" s="29"/>
      <c r="Q441" s="28" t="str">
        <f aca="false">IF(Calendario!$J$19="","",IFERROR(HYPERLINK("#Rubriche!C"&amp;(MATCH(Calendario!$J$19,Rubriche!$A$1:$A$1000,0)+0),VLOOKUP(Calendario!$J$19,Impostazioni!$A$25:$J$36,7,FALSE())),""))</f>
        <v/>
      </c>
      <c r="R441" s="28" t="str">
        <f aca="false">IF(Calendario!$J$19="","",IFERROR(HYPERLINK("#Rubriche!C"&amp;(MATCH(Calendario!$J$19,Rubriche!$A$1:$A$1000,0)+1),VLOOKUP(Calendario!$J$19,Impostazioni!$A$25:$J$36,8,FALSE())),""))</f>
        <v/>
      </c>
      <c r="S441" s="28" t="str">
        <f aca="false">IF(Calendario!$J$19="","",IFERROR(HYPERLINK("#Rubriche!C"&amp;(MATCH(Calendario!$J$19,Rubriche!$A$1:$A$1000,0)+2),VLOOKUP(Calendario!$J$19,Impostazioni!$A$25:$J$36,9,FALSE())),""))</f>
        <v/>
      </c>
      <c r="T441" s="28" t="str">
        <f aca="false">IF(Calendario!$J$19="","",IFERROR(HYPERLINK("#Rubriche!C"&amp;(MATCH(Calendario!$J$19,Rubriche!$A$1:$A$1000,0)+3),VLOOKUP(Calendario!$J$19,Impostazioni!$A$25:$J$36,10,FALSE())),""))</f>
        <v/>
      </c>
      <c r="U441" s="29"/>
      <c r="V441" s="29"/>
      <c r="W441" s="28" t="str">
        <f aca="false">IF(Calendario!$K$19="","",IFERROR(HYPERLINK("#Rubriche!C"&amp;(MATCH(Calendario!$K$19,Rubriche!$A$1:$A$1000,0)+0),VLOOKUP(Calendario!$K$19,Impostazioni!$A$25:$J$36,7,FALSE())),""))</f>
        <v/>
      </c>
      <c r="X441" s="28" t="str">
        <f aca="false">IF(Calendario!$K$19="","",IFERROR(HYPERLINK("#Rubriche!C"&amp;(MATCH(Calendario!$K$19,Rubriche!$A$1:$A$1000,0)+1),VLOOKUP(Calendario!$K$19,Impostazioni!$A$25:$J$36,8,FALSE())),""))</f>
        <v/>
      </c>
      <c r="Y441" s="28" t="str">
        <f aca="false">IF(Calendario!$K$19="","",IFERROR(HYPERLINK("#Rubriche!C"&amp;(MATCH(Calendario!$K$19,Rubriche!$A$1:$A$1000,0)+2),VLOOKUP(Calendario!$K$19,Impostazioni!$A$25:$J$36,9,FALSE())),""))</f>
        <v/>
      </c>
      <c r="Z441" s="28" t="str">
        <f aca="false">IF(Calendario!$K$19="","",IFERROR(HYPERLINK("#Rubriche!C"&amp;(MATCH(Calendario!$K$19,Rubriche!$A$1:$A$1000,0)+3),VLOOKUP(Calendario!$K$19,Impostazioni!$A$25:$J$36,10,FALSE())),""))</f>
        <v/>
      </c>
      <c r="AA441" s="29"/>
      <c r="AB441" s="29"/>
    </row>
    <row r="442" customFormat="false" ht="25.5" hidden="false" customHeight="true" outlineLevel="0" collapsed="false">
      <c r="A442" s="8" t="s">
        <v>65</v>
      </c>
      <c r="B442" s="8" t="s">
        <v>83</v>
      </c>
      <c r="C442" s="8" t="s">
        <v>68</v>
      </c>
      <c r="D442" s="8" t="s">
        <v>84</v>
      </c>
      <c r="E442" s="30" t="s">
        <v>85</v>
      </c>
      <c r="F442" s="30" t="s">
        <v>86</v>
      </c>
      <c r="G442" s="30" t="s">
        <v>87</v>
      </c>
      <c r="H442" s="30" t="s">
        <v>88</v>
      </c>
      <c r="I442" s="31" t="s">
        <v>89</v>
      </c>
      <c r="J442" s="32" t="s">
        <v>90</v>
      </c>
      <c r="K442" s="30" t="s">
        <v>85</v>
      </c>
      <c r="L442" s="30" t="s">
        <v>86</v>
      </c>
      <c r="M442" s="30" t="s">
        <v>87</v>
      </c>
      <c r="N442" s="30" t="s">
        <v>88</v>
      </c>
      <c r="O442" s="31" t="s">
        <v>89</v>
      </c>
      <c r="P442" s="32" t="s">
        <v>90</v>
      </c>
      <c r="Q442" s="30" t="s">
        <v>85</v>
      </c>
      <c r="R442" s="30" t="s">
        <v>86</v>
      </c>
      <c r="S442" s="30" t="s">
        <v>87</v>
      </c>
      <c r="T442" s="30" t="s">
        <v>88</v>
      </c>
      <c r="U442" s="31" t="s">
        <v>89</v>
      </c>
      <c r="V442" s="32" t="s">
        <v>90</v>
      </c>
      <c r="W442" s="30" t="s">
        <v>85</v>
      </c>
      <c r="X442" s="30" t="s">
        <v>86</v>
      </c>
      <c r="Y442" s="30" t="s">
        <v>87</v>
      </c>
      <c r="Z442" s="30" t="s">
        <v>88</v>
      </c>
      <c r="AA442" s="31" t="s">
        <v>89</v>
      </c>
      <c r="AB442" s="32" t="s">
        <v>90</v>
      </c>
    </row>
    <row r="443" customFormat="false" ht="21" hidden="false" customHeight="true" outlineLevel="0" collapsed="false">
      <c r="A443" s="33" t="n">
        <v>1</v>
      </c>
      <c r="B443" s="34" t="str">
        <f aca="false">IFERROR(INDEX(Alunni!$C$1:$C$1000,MATCH($A443,Alunni!$A$1:$A$1000,0))&amp;"","")</f>
        <v>Rossi Mario (esempio)</v>
      </c>
      <c r="C443" s="15"/>
      <c r="D443" s="35"/>
      <c r="E443" s="36"/>
      <c r="F443" s="36"/>
      <c r="G443" s="36"/>
      <c r="H443" s="36"/>
      <c r="I443" s="39" t="str">
        <f aca="false">IF(COUNT(E443:H443)=0,"",ROUND(AVERAGE(E443:H443),0))</f>
        <v/>
      </c>
      <c r="J443" s="38" t="str">
        <f aca="false">IF(I443="","",LOOKUP(I443,Impostazioni!$E$4:$E$9,Impostazioni!$F$4:$F$9))</f>
        <v/>
      </c>
      <c r="K443" s="36"/>
      <c r="L443" s="36"/>
      <c r="M443" s="36"/>
      <c r="N443" s="36"/>
      <c r="O443" s="39" t="str">
        <f aca="false">IF(COUNT(K443:N443)=0,"",ROUND(AVERAGE(K443:N443),0))</f>
        <v/>
      </c>
      <c r="P443" s="38" t="str">
        <f aca="false">IF(O443="","",LOOKUP(O443,Impostazioni!$E$4:$E$9,Impostazioni!$F$4:$F$9))</f>
        <v/>
      </c>
      <c r="Q443" s="36"/>
      <c r="R443" s="36"/>
      <c r="S443" s="36"/>
      <c r="T443" s="36"/>
      <c r="U443" s="39" t="str">
        <f aca="false">IF(COUNT(Q443:T443)=0,"",ROUND(AVERAGE(Q443:T443),0))</f>
        <v/>
      </c>
      <c r="V443" s="38" t="str">
        <f aca="false">IF(U443="","",LOOKUP(U443,Impostazioni!$E$4:$E$9,Impostazioni!$F$4:$F$9))</f>
        <v/>
      </c>
      <c r="W443" s="36"/>
      <c r="X443" s="36"/>
      <c r="Y443" s="36"/>
      <c r="Z443" s="36"/>
      <c r="AA443" s="39" t="str">
        <f aca="false">IF(COUNT(W443:Z443)=0,"",ROUND(AVERAGE(W443:Z443),0))</f>
        <v/>
      </c>
      <c r="AB443" s="38" t="str">
        <f aca="false">IF(AA443="","",LOOKUP(AA443,Impostazioni!$E$4:$E$9,Impostazioni!$F$4:$F$9))</f>
        <v/>
      </c>
    </row>
    <row r="444" customFormat="false" ht="21" hidden="false" customHeight="true" outlineLevel="0" collapsed="false">
      <c r="A444" s="33" t="n">
        <v>2</v>
      </c>
      <c r="B444" s="34" t="str">
        <f aca="false">IFERROR(INDEX(Alunni!$C$1:$C$1000,MATCH($A444,Alunni!$A$1:$A$1000,0))&amp;"","")</f>
        <v>Bianchi Anna (esempio)</v>
      </c>
      <c r="C444" s="15"/>
      <c r="D444" s="35"/>
      <c r="E444" s="36"/>
      <c r="F444" s="36"/>
      <c r="G444" s="36"/>
      <c r="H444" s="36"/>
      <c r="I444" s="39" t="str">
        <f aca="false">IF(COUNT(E444:H444)=0,"",ROUND(AVERAGE(E444:H444),0))</f>
        <v/>
      </c>
      <c r="J444" s="38" t="str">
        <f aca="false">IF(I444="","",LOOKUP(I444,Impostazioni!$E$4:$E$9,Impostazioni!$F$4:$F$9))</f>
        <v/>
      </c>
      <c r="K444" s="36"/>
      <c r="L444" s="36"/>
      <c r="M444" s="36"/>
      <c r="N444" s="36"/>
      <c r="O444" s="39" t="str">
        <f aca="false">IF(COUNT(K444:N444)=0,"",ROUND(AVERAGE(K444:N444),0))</f>
        <v/>
      </c>
      <c r="P444" s="38" t="str">
        <f aca="false">IF(O444="","",LOOKUP(O444,Impostazioni!$E$4:$E$9,Impostazioni!$F$4:$F$9))</f>
        <v/>
      </c>
      <c r="Q444" s="36"/>
      <c r="R444" s="36"/>
      <c r="S444" s="36"/>
      <c r="T444" s="36"/>
      <c r="U444" s="39" t="str">
        <f aca="false">IF(COUNT(Q444:T444)=0,"",ROUND(AVERAGE(Q444:T444),0))</f>
        <v/>
      </c>
      <c r="V444" s="38" t="str">
        <f aca="false">IF(U444="","",LOOKUP(U444,Impostazioni!$E$4:$E$9,Impostazioni!$F$4:$F$9))</f>
        <v/>
      </c>
      <c r="W444" s="36"/>
      <c r="X444" s="36"/>
      <c r="Y444" s="36"/>
      <c r="Z444" s="36"/>
      <c r="AA444" s="39" t="str">
        <f aca="false">IF(COUNT(W444:Z444)=0,"",ROUND(AVERAGE(W444:Z444),0))</f>
        <v/>
      </c>
      <c r="AB444" s="38" t="str">
        <f aca="false">IF(AA444="","",LOOKUP(AA444,Impostazioni!$E$4:$E$9,Impostazioni!$F$4:$F$9))</f>
        <v/>
      </c>
    </row>
    <row r="445" customFormat="false" ht="21" hidden="false" customHeight="true" outlineLevel="0" collapsed="false">
      <c r="A445" s="33" t="n">
        <v>3</v>
      </c>
      <c r="B445" s="34" t="str">
        <f aca="false">IFERROR(INDEX(Alunni!$C$1:$C$1000,MATCH($A445,Alunni!$A$1:$A$1000,0))&amp;"","")</f>
        <v>Verdi Luca (esempio)</v>
      </c>
      <c r="C445" s="15"/>
      <c r="D445" s="35"/>
      <c r="E445" s="36"/>
      <c r="F445" s="36"/>
      <c r="G445" s="36"/>
      <c r="H445" s="36"/>
      <c r="I445" s="39" t="str">
        <f aca="false">IF(COUNT(E445:H445)=0,"",ROUND(AVERAGE(E445:H445),0))</f>
        <v/>
      </c>
      <c r="J445" s="38" t="str">
        <f aca="false">IF(I445="","",LOOKUP(I445,Impostazioni!$E$4:$E$9,Impostazioni!$F$4:$F$9))</f>
        <v/>
      </c>
      <c r="K445" s="36"/>
      <c r="L445" s="36"/>
      <c r="M445" s="36"/>
      <c r="N445" s="36"/>
      <c r="O445" s="39" t="str">
        <f aca="false">IF(COUNT(K445:N445)=0,"",ROUND(AVERAGE(K445:N445),0))</f>
        <v/>
      </c>
      <c r="P445" s="38" t="str">
        <f aca="false">IF(O445="","",LOOKUP(O445,Impostazioni!$E$4:$E$9,Impostazioni!$F$4:$F$9))</f>
        <v/>
      </c>
      <c r="Q445" s="36"/>
      <c r="R445" s="36"/>
      <c r="S445" s="36"/>
      <c r="T445" s="36"/>
      <c r="U445" s="39" t="str">
        <f aca="false">IF(COUNT(Q445:T445)=0,"",ROUND(AVERAGE(Q445:T445),0))</f>
        <v/>
      </c>
      <c r="V445" s="38" t="str">
        <f aca="false">IF(U445="","",LOOKUP(U445,Impostazioni!$E$4:$E$9,Impostazioni!$F$4:$F$9))</f>
        <v/>
      </c>
      <c r="W445" s="36"/>
      <c r="X445" s="36"/>
      <c r="Y445" s="36"/>
      <c r="Z445" s="36"/>
      <c r="AA445" s="39" t="str">
        <f aca="false">IF(COUNT(W445:Z445)=0,"",ROUND(AVERAGE(W445:Z445),0))</f>
        <v/>
      </c>
      <c r="AB445" s="38" t="str">
        <f aca="false">IF(AA445="","",LOOKUP(AA445,Impostazioni!$E$4:$E$9,Impostazioni!$F$4:$F$9))</f>
        <v/>
      </c>
    </row>
    <row r="446" customFormat="false" ht="21" hidden="false" customHeight="true" outlineLevel="0" collapsed="false">
      <c r="A446" s="33" t="n">
        <v>4</v>
      </c>
      <c r="B446" s="34" t="str">
        <f aca="false">IFERROR(INDEX(Alunni!$C$1:$C$1000,MATCH($A446,Alunni!$A$1:$A$1000,0))&amp;"","")</f>
        <v/>
      </c>
      <c r="C446" s="15"/>
      <c r="D446" s="35"/>
      <c r="E446" s="36"/>
      <c r="F446" s="36"/>
      <c r="G446" s="36"/>
      <c r="H446" s="36"/>
      <c r="I446" s="39" t="str">
        <f aca="false">IF(COUNT(E446:H446)=0,"",ROUND(AVERAGE(E446:H446),0))</f>
        <v/>
      </c>
      <c r="J446" s="38" t="str">
        <f aca="false">IF(I446="","",LOOKUP(I446,Impostazioni!$E$4:$E$9,Impostazioni!$F$4:$F$9))</f>
        <v/>
      </c>
      <c r="K446" s="36"/>
      <c r="L446" s="36"/>
      <c r="M446" s="36"/>
      <c r="N446" s="36"/>
      <c r="O446" s="39" t="str">
        <f aca="false">IF(COUNT(K446:N446)=0,"",ROUND(AVERAGE(K446:N446),0))</f>
        <v/>
      </c>
      <c r="P446" s="38" t="str">
        <f aca="false">IF(O446="","",LOOKUP(O446,Impostazioni!$E$4:$E$9,Impostazioni!$F$4:$F$9))</f>
        <v/>
      </c>
      <c r="Q446" s="36"/>
      <c r="R446" s="36"/>
      <c r="S446" s="36"/>
      <c r="T446" s="36"/>
      <c r="U446" s="39" t="str">
        <f aca="false">IF(COUNT(Q446:T446)=0,"",ROUND(AVERAGE(Q446:T446),0))</f>
        <v/>
      </c>
      <c r="V446" s="38" t="str">
        <f aca="false">IF(U446="","",LOOKUP(U446,Impostazioni!$E$4:$E$9,Impostazioni!$F$4:$F$9))</f>
        <v/>
      </c>
      <c r="W446" s="36"/>
      <c r="X446" s="36"/>
      <c r="Y446" s="36"/>
      <c r="Z446" s="36"/>
      <c r="AA446" s="39" t="str">
        <f aca="false">IF(COUNT(W446:Z446)=0,"",ROUND(AVERAGE(W446:Z446),0))</f>
        <v/>
      </c>
      <c r="AB446" s="38" t="str">
        <f aca="false">IF(AA446="","",LOOKUP(AA446,Impostazioni!$E$4:$E$9,Impostazioni!$F$4:$F$9))</f>
        <v/>
      </c>
    </row>
    <row r="447" customFormat="false" ht="21" hidden="false" customHeight="true" outlineLevel="0" collapsed="false">
      <c r="A447" s="33" t="n">
        <v>5</v>
      </c>
      <c r="B447" s="34" t="str">
        <f aca="false">IFERROR(INDEX(Alunni!$C$1:$C$1000,MATCH($A447,Alunni!$A$1:$A$1000,0))&amp;"","")</f>
        <v/>
      </c>
      <c r="C447" s="15"/>
      <c r="D447" s="35"/>
      <c r="E447" s="36"/>
      <c r="F447" s="36"/>
      <c r="G447" s="36"/>
      <c r="H447" s="36"/>
      <c r="I447" s="39" t="str">
        <f aca="false">IF(COUNT(E447:H447)=0,"",ROUND(AVERAGE(E447:H447),0))</f>
        <v/>
      </c>
      <c r="J447" s="38" t="str">
        <f aca="false">IF(I447="","",LOOKUP(I447,Impostazioni!$E$4:$E$9,Impostazioni!$F$4:$F$9))</f>
        <v/>
      </c>
      <c r="K447" s="36"/>
      <c r="L447" s="36"/>
      <c r="M447" s="36"/>
      <c r="N447" s="36"/>
      <c r="O447" s="39" t="str">
        <f aca="false">IF(COUNT(K447:N447)=0,"",ROUND(AVERAGE(K447:N447),0))</f>
        <v/>
      </c>
      <c r="P447" s="38" t="str">
        <f aca="false">IF(O447="","",LOOKUP(O447,Impostazioni!$E$4:$E$9,Impostazioni!$F$4:$F$9))</f>
        <v/>
      </c>
      <c r="Q447" s="36"/>
      <c r="R447" s="36"/>
      <c r="S447" s="36"/>
      <c r="T447" s="36"/>
      <c r="U447" s="39" t="str">
        <f aca="false">IF(COUNT(Q447:T447)=0,"",ROUND(AVERAGE(Q447:T447),0))</f>
        <v/>
      </c>
      <c r="V447" s="38" t="str">
        <f aca="false">IF(U447="","",LOOKUP(U447,Impostazioni!$E$4:$E$9,Impostazioni!$F$4:$F$9))</f>
        <v/>
      </c>
      <c r="W447" s="36"/>
      <c r="X447" s="36"/>
      <c r="Y447" s="36"/>
      <c r="Z447" s="36"/>
      <c r="AA447" s="39" t="str">
        <f aca="false">IF(COUNT(W447:Z447)=0,"",ROUND(AVERAGE(W447:Z447),0))</f>
        <v/>
      </c>
      <c r="AB447" s="38" t="str">
        <f aca="false">IF(AA447="","",LOOKUP(AA447,Impostazioni!$E$4:$E$9,Impostazioni!$F$4:$F$9))</f>
        <v/>
      </c>
    </row>
    <row r="448" customFormat="false" ht="21" hidden="false" customHeight="true" outlineLevel="0" collapsed="false">
      <c r="A448" s="33" t="n">
        <v>6</v>
      </c>
      <c r="B448" s="34" t="str">
        <f aca="false">IFERROR(INDEX(Alunni!$C$1:$C$1000,MATCH($A448,Alunni!$A$1:$A$1000,0))&amp;"","")</f>
        <v/>
      </c>
      <c r="C448" s="15"/>
      <c r="D448" s="35"/>
      <c r="E448" s="36"/>
      <c r="F448" s="36"/>
      <c r="G448" s="36"/>
      <c r="H448" s="36"/>
      <c r="I448" s="39" t="str">
        <f aca="false">IF(COUNT(E448:H448)=0,"",ROUND(AVERAGE(E448:H448),0))</f>
        <v/>
      </c>
      <c r="J448" s="38" t="str">
        <f aca="false">IF(I448="","",LOOKUP(I448,Impostazioni!$E$4:$E$9,Impostazioni!$F$4:$F$9))</f>
        <v/>
      </c>
      <c r="K448" s="36"/>
      <c r="L448" s="36"/>
      <c r="M448" s="36"/>
      <c r="N448" s="36"/>
      <c r="O448" s="39" t="str">
        <f aca="false">IF(COUNT(K448:N448)=0,"",ROUND(AVERAGE(K448:N448),0))</f>
        <v/>
      </c>
      <c r="P448" s="38" t="str">
        <f aca="false">IF(O448="","",LOOKUP(O448,Impostazioni!$E$4:$E$9,Impostazioni!$F$4:$F$9))</f>
        <v/>
      </c>
      <c r="Q448" s="36"/>
      <c r="R448" s="36"/>
      <c r="S448" s="36"/>
      <c r="T448" s="36"/>
      <c r="U448" s="39" t="str">
        <f aca="false">IF(COUNT(Q448:T448)=0,"",ROUND(AVERAGE(Q448:T448),0))</f>
        <v/>
      </c>
      <c r="V448" s="38" t="str">
        <f aca="false">IF(U448="","",LOOKUP(U448,Impostazioni!$E$4:$E$9,Impostazioni!$F$4:$F$9))</f>
        <v/>
      </c>
      <c r="W448" s="36"/>
      <c r="X448" s="36"/>
      <c r="Y448" s="36"/>
      <c r="Z448" s="36"/>
      <c r="AA448" s="39" t="str">
        <f aca="false">IF(COUNT(W448:Z448)=0,"",ROUND(AVERAGE(W448:Z448),0))</f>
        <v/>
      </c>
      <c r="AB448" s="38" t="str">
        <f aca="false">IF(AA448="","",LOOKUP(AA448,Impostazioni!$E$4:$E$9,Impostazioni!$F$4:$F$9))</f>
        <v/>
      </c>
    </row>
    <row r="449" customFormat="false" ht="21" hidden="false" customHeight="true" outlineLevel="0" collapsed="false">
      <c r="A449" s="33" t="n">
        <v>7</v>
      </c>
      <c r="B449" s="34" t="str">
        <f aca="false">IFERROR(INDEX(Alunni!$C$1:$C$1000,MATCH($A449,Alunni!$A$1:$A$1000,0))&amp;"","")</f>
        <v/>
      </c>
      <c r="C449" s="15"/>
      <c r="D449" s="35"/>
      <c r="E449" s="36"/>
      <c r="F449" s="36"/>
      <c r="G449" s="36"/>
      <c r="H449" s="36"/>
      <c r="I449" s="39" t="str">
        <f aca="false">IF(COUNT(E449:H449)=0,"",ROUND(AVERAGE(E449:H449),0))</f>
        <v/>
      </c>
      <c r="J449" s="38" t="str">
        <f aca="false">IF(I449="","",LOOKUP(I449,Impostazioni!$E$4:$E$9,Impostazioni!$F$4:$F$9))</f>
        <v/>
      </c>
      <c r="K449" s="36"/>
      <c r="L449" s="36"/>
      <c r="M449" s="36"/>
      <c r="N449" s="36"/>
      <c r="O449" s="39" t="str">
        <f aca="false">IF(COUNT(K449:N449)=0,"",ROUND(AVERAGE(K449:N449),0))</f>
        <v/>
      </c>
      <c r="P449" s="38" t="str">
        <f aca="false">IF(O449="","",LOOKUP(O449,Impostazioni!$E$4:$E$9,Impostazioni!$F$4:$F$9))</f>
        <v/>
      </c>
      <c r="Q449" s="36"/>
      <c r="R449" s="36"/>
      <c r="S449" s="36"/>
      <c r="T449" s="36"/>
      <c r="U449" s="39" t="str">
        <f aca="false">IF(COUNT(Q449:T449)=0,"",ROUND(AVERAGE(Q449:T449),0))</f>
        <v/>
      </c>
      <c r="V449" s="38" t="str">
        <f aca="false">IF(U449="","",LOOKUP(U449,Impostazioni!$E$4:$E$9,Impostazioni!$F$4:$F$9))</f>
        <v/>
      </c>
      <c r="W449" s="36"/>
      <c r="X449" s="36"/>
      <c r="Y449" s="36"/>
      <c r="Z449" s="36"/>
      <c r="AA449" s="39" t="str">
        <f aca="false">IF(COUNT(W449:Z449)=0,"",ROUND(AVERAGE(W449:Z449),0))</f>
        <v/>
      </c>
      <c r="AB449" s="38" t="str">
        <f aca="false">IF(AA449="","",LOOKUP(AA449,Impostazioni!$E$4:$E$9,Impostazioni!$F$4:$F$9))</f>
        <v/>
      </c>
    </row>
    <row r="450" customFormat="false" ht="21" hidden="false" customHeight="true" outlineLevel="0" collapsed="false">
      <c r="A450" s="33" t="n">
        <v>8</v>
      </c>
      <c r="B450" s="34" t="str">
        <f aca="false">IFERROR(INDEX(Alunni!$C$1:$C$1000,MATCH($A450,Alunni!$A$1:$A$1000,0))&amp;"","")</f>
        <v/>
      </c>
      <c r="C450" s="15"/>
      <c r="D450" s="35"/>
      <c r="E450" s="36"/>
      <c r="F450" s="36"/>
      <c r="G450" s="36"/>
      <c r="H450" s="36"/>
      <c r="I450" s="39" t="str">
        <f aca="false">IF(COUNT(E450:H450)=0,"",ROUND(AVERAGE(E450:H450),0))</f>
        <v/>
      </c>
      <c r="J450" s="38" t="str">
        <f aca="false">IF(I450="","",LOOKUP(I450,Impostazioni!$E$4:$E$9,Impostazioni!$F$4:$F$9))</f>
        <v/>
      </c>
      <c r="K450" s="36"/>
      <c r="L450" s="36"/>
      <c r="M450" s="36"/>
      <c r="N450" s="36"/>
      <c r="O450" s="39" t="str">
        <f aca="false">IF(COUNT(K450:N450)=0,"",ROUND(AVERAGE(K450:N450),0))</f>
        <v/>
      </c>
      <c r="P450" s="38" t="str">
        <f aca="false">IF(O450="","",LOOKUP(O450,Impostazioni!$E$4:$E$9,Impostazioni!$F$4:$F$9))</f>
        <v/>
      </c>
      <c r="Q450" s="36"/>
      <c r="R450" s="36"/>
      <c r="S450" s="36"/>
      <c r="T450" s="36"/>
      <c r="U450" s="39" t="str">
        <f aca="false">IF(COUNT(Q450:T450)=0,"",ROUND(AVERAGE(Q450:T450),0))</f>
        <v/>
      </c>
      <c r="V450" s="38" t="str">
        <f aca="false">IF(U450="","",LOOKUP(U450,Impostazioni!$E$4:$E$9,Impostazioni!$F$4:$F$9))</f>
        <v/>
      </c>
      <c r="W450" s="36"/>
      <c r="X450" s="36"/>
      <c r="Y450" s="36"/>
      <c r="Z450" s="36"/>
      <c r="AA450" s="39" t="str">
        <f aca="false">IF(COUNT(W450:Z450)=0,"",ROUND(AVERAGE(W450:Z450),0))</f>
        <v/>
      </c>
      <c r="AB450" s="38" t="str">
        <f aca="false">IF(AA450="","",LOOKUP(AA450,Impostazioni!$E$4:$E$9,Impostazioni!$F$4:$F$9))</f>
        <v/>
      </c>
    </row>
    <row r="451" customFormat="false" ht="21" hidden="false" customHeight="true" outlineLevel="0" collapsed="false">
      <c r="A451" s="33" t="n">
        <v>9</v>
      </c>
      <c r="B451" s="34" t="str">
        <f aca="false">IFERROR(INDEX(Alunni!$C$1:$C$1000,MATCH($A451,Alunni!$A$1:$A$1000,0))&amp;"","")</f>
        <v/>
      </c>
      <c r="C451" s="15"/>
      <c r="D451" s="35"/>
      <c r="E451" s="36"/>
      <c r="F451" s="36"/>
      <c r="G451" s="36"/>
      <c r="H451" s="36"/>
      <c r="I451" s="39" t="str">
        <f aca="false">IF(COUNT(E451:H451)=0,"",ROUND(AVERAGE(E451:H451),0))</f>
        <v/>
      </c>
      <c r="J451" s="38" t="str">
        <f aca="false">IF(I451="","",LOOKUP(I451,Impostazioni!$E$4:$E$9,Impostazioni!$F$4:$F$9))</f>
        <v/>
      </c>
      <c r="K451" s="36"/>
      <c r="L451" s="36"/>
      <c r="M451" s="36"/>
      <c r="N451" s="36"/>
      <c r="O451" s="39" t="str">
        <f aca="false">IF(COUNT(K451:N451)=0,"",ROUND(AVERAGE(K451:N451),0))</f>
        <v/>
      </c>
      <c r="P451" s="38" t="str">
        <f aca="false">IF(O451="","",LOOKUP(O451,Impostazioni!$E$4:$E$9,Impostazioni!$F$4:$F$9))</f>
        <v/>
      </c>
      <c r="Q451" s="36"/>
      <c r="R451" s="36"/>
      <c r="S451" s="36"/>
      <c r="T451" s="36"/>
      <c r="U451" s="39" t="str">
        <f aca="false">IF(COUNT(Q451:T451)=0,"",ROUND(AVERAGE(Q451:T451),0))</f>
        <v/>
      </c>
      <c r="V451" s="38" t="str">
        <f aca="false">IF(U451="","",LOOKUP(U451,Impostazioni!$E$4:$E$9,Impostazioni!$F$4:$F$9))</f>
        <v/>
      </c>
      <c r="W451" s="36"/>
      <c r="X451" s="36"/>
      <c r="Y451" s="36"/>
      <c r="Z451" s="36"/>
      <c r="AA451" s="39" t="str">
        <f aca="false">IF(COUNT(W451:Z451)=0,"",ROUND(AVERAGE(W451:Z451),0))</f>
        <v/>
      </c>
      <c r="AB451" s="38" t="str">
        <f aca="false">IF(AA451="","",LOOKUP(AA451,Impostazioni!$E$4:$E$9,Impostazioni!$F$4:$F$9))</f>
        <v/>
      </c>
    </row>
    <row r="452" customFormat="false" ht="21" hidden="false" customHeight="true" outlineLevel="0" collapsed="false">
      <c r="A452" s="33" t="n">
        <v>10</v>
      </c>
      <c r="B452" s="34" t="str">
        <f aca="false">IFERROR(INDEX(Alunni!$C$1:$C$1000,MATCH($A452,Alunni!$A$1:$A$1000,0))&amp;"","")</f>
        <v/>
      </c>
      <c r="C452" s="15"/>
      <c r="D452" s="35"/>
      <c r="E452" s="36"/>
      <c r="F452" s="36"/>
      <c r="G452" s="36"/>
      <c r="H452" s="36"/>
      <c r="I452" s="39" t="str">
        <f aca="false">IF(COUNT(E452:H452)=0,"",ROUND(AVERAGE(E452:H452),0))</f>
        <v/>
      </c>
      <c r="J452" s="38" t="str">
        <f aca="false">IF(I452="","",LOOKUP(I452,Impostazioni!$E$4:$E$9,Impostazioni!$F$4:$F$9))</f>
        <v/>
      </c>
      <c r="K452" s="36"/>
      <c r="L452" s="36"/>
      <c r="M452" s="36"/>
      <c r="N452" s="36"/>
      <c r="O452" s="39" t="str">
        <f aca="false">IF(COUNT(K452:N452)=0,"",ROUND(AVERAGE(K452:N452),0))</f>
        <v/>
      </c>
      <c r="P452" s="38" t="str">
        <f aca="false">IF(O452="","",LOOKUP(O452,Impostazioni!$E$4:$E$9,Impostazioni!$F$4:$F$9))</f>
        <v/>
      </c>
      <c r="Q452" s="36"/>
      <c r="R452" s="36"/>
      <c r="S452" s="36"/>
      <c r="T452" s="36"/>
      <c r="U452" s="39" t="str">
        <f aca="false">IF(COUNT(Q452:T452)=0,"",ROUND(AVERAGE(Q452:T452),0))</f>
        <v/>
      </c>
      <c r="V452" s="38" t="str">
        <f aca="false">IF(U452="","",LOOKUP(U452,Impostazioni!$E$4:$E$9,Impostazioni!$F$4:$F$9))</f>
        <v/>
      </c>
      <c r="W452" s="36"/>
      <c r="X452" s="36"/>
      <c r="Y452" s="36"/>
      <c r="Z452" s="36"/>
      <c r="AA452" s="39" t="str">
        <f aca="false">IF(COUNT(W452:Z452)=0,"",ROUND(AVERAGE(W452:Z452),0))</f>
        <v/>
      </c>
      <c r="AB452" s="38" t="str">
        <f aca="false">IF(AA452="","",LOOKUP(AA452,Impostazioni!$E$4:$E$9,Impostazioni!$F$4:$F$9))</f>
        <v/>
      </c>
    </row>
    <row r="453" customFormat="false" ht="21" hidden="false" customHeight="true" outlineLevel="0" collapsed="false">
      <c r="A453" s="33" t="n">
        <v>11</v>
      </c>
      <c r="B453" s="34" t="str">
        <f aca="false">IFERROR(INDEX(Alunni!$C$1:$C$1000,MATCH($A453,Alunni!$A$1:$A$1000,0))&amp;"","")</f>
        <v/>
      </c>
      <c r="C453" s="15"/>
      <c r="D453" s="35"/>
      <c r="E453" s="36"/>
      <c r="F453" s="36"/>
      <c r="G453" s="36"/>
      <c r="H453" s="36"/>
      <c r="I453" s="39" t="str">
        <f aca="false">IF(COUNT(E453:H453)=0,"",ROUND(AVERAGE(E453:H453),0))</f>
        <v/>
      </c>
      <c r="J453" s="38" t="str">
        <f aca="false">IF(I453="","",LOOKUP(I453,Impostazioni!$E$4:$E$9,Impostazioni!$F$4:$F$9))</f>
        <v/>
      </c>
      <c r="K453" s="36"/>
      <c r="L453" s="36"/>
      <c r="M453" s="36"/>
      <c r="N453" s="36"/>
      <c r="O453" s="39" t="str">
        <f aca="false">IF(COUNT(K453:N453)=0,"",ROUND(AVERAGE(K453:N453),0))</f>
        <v/>
      </c>
      <c r="P453" s="38" t="str">
        <f aca="false">IF(O453="","",LOOKUP(O453,Impostazioni!$E$4:$E$9,Impostazioni!$F$4:$F$9))</f>
        <v/>
      </c>
      <c r="Q453" s="36"/>
      <c r="R453" s="36"/>
      <c r="S453" s="36"/>
      <c r="T453" s="36"/>
      <c r="U453" s="39" t="str">
        <f aca="false">IF(COUNT(Q453:T453)=0,"",ROUND(AVERAGE(Q453:T453),0))</f>
        <v/>
      </c>
      <c r="V453" s="38" t="str">
        <f aca="false">IF(U453="","",LOOKUP(U453,Impostazioni!$E$4:$E$9,Impostazioni!$F$4:$F$9))</f>
        <v/>
      </c>
      <c r="W453" s="36"/>
      <c r="X453" s="36"/>
      <c r="Y453" s="36"/>
      <c r="Z453" s="36"/>
      <c r="AA453" s="39" t="str">
        <f aca="false">IF(COUNT(W453:Z453)=0,"",ROUND(AVERAGE(W453:Z453),0))</f>
        <v/>
      </c>
      <c r="AB453" s="38" t="str">
        <f aca="false">IF(AA453="","",LOOKUP(AA453,Impostazioni!$E$4:$E$9,Impostazioni!$F$4:$F$9))</f>
        <v/>
      </c>
    </row>
    <row r="454" customFormat="false" ht="21" hidden="false" customHeight="true" outlineLevel="0" collapsed="false">
      <c r="A454" s="33" t="n">
        <v>12</v>
      </c>
      <c r="B454" s="34" t="str">
        <f aca="false">IFERROR(INDEX(Alunni!$C$1:$C$1000,MATCH($A454,Alunni!$A$1:$A$1000,0))&amp;"","")</f>
        <v/>
      </c>
      <c r="C454" s="15"/>
      <c r="D454" s="35"/>
      <c r="E454" s="36"/>
      <c r="F454" s="36"/>
      <c r="G454" s="36"/>
      <c r="H454" s="36"/>
      <c r="I454" s="39" t="str">
        <f aca="false">IF(COUNT(E454:H454)=0,"",ROUND(AVERAGE(E454:H454),0))</f>
        <v/>
      </c>
      <c r="J454" s="38" t="str">
        <f aca="false">IF(I454="","",LOOKUP(I454,Impostazioni!$E$4:$E$9,Impostazioni!$F$4:$F$9))</f>
        <v/>
      </c>
      <c r="K454" s="36"/>
      <c r="L454" s="36"/>
      <c r="M454" s="36"/>
      <c r="N454" s="36"/>
      <c r="O454" s="39" t="str">
        <f aca="false">IF(COUNT(K454:N454)=0,"",ROUND(AVERAGE(K454:N454),0))</f>
        <v/>
      </c>
      <c r="P454" s="38" t="str">
        <f aca="false">IF(O454="","",LOOKUP(O454,Impostazioni!$E$4:$E$9,Impostazioni!$F$4:$F$9))</f>
        <v/>
      </c>
      <c r="Q454" s="36"/>
      <c r="R454" s="36"/>
      <c r="S454" s="36"/>
      <c r="T454" s="36"/>
      <c r="U454" s="39" t="str">
        <f aca="false">IF(COUNT(Q454:T454)=0,"",ROUND(AVERAGE(Q454:T454),0))</f>
        <v/>
      </c>
      <c r="V454" s="38" t="str">
        <f aca="false">IF(U454="","",LOOKUP(U454,Impostazioni!$E$4:$E$9,Impostazioni!$F$4:$F$9))</f>
        <v/>
      </c>
      <c r="W454" s="36"/>
      <c r="X454" s="36"/>
      <c r="Y454" s="36"/>
      <c r="Z454" s="36"/>
      <c r="AA454" s="39" t="str">
        <f aca="false">IF(COUNT(W454:Z454)=0,"",ROUND(AVERAGE(W454:Z454),0))</f>
        <v/>
      </c>
      <c r="AB454" s="38" t="str">
        <f aca="false">IF(AA454="","",LOOKUP(AA454,Impostazioni!$E$4:$E$9,Impostazioni!$F$4:$F$9))</f>
        <v/>
      </c>
    </row>
    <row r="455" customFormat="false" ht="21" hidden="false" customHeight="true" outlineLevel="0" collapsed="false">
      <c r="A455" s="33" t="n">
        <v>13</v>
      </c>
      <c r="B455" s="34" t="str">
        <f aca="false">IFERROR(INDEX(Alunni!$C$1:$C$1000,MATCH($A455,Alunni!$A$1:$A$1000,0))&amp;"","")</f>
        <v/>
      </c>
      <c r="C455" s="15"/>
      <c r="D455" s="35"/>
      <c r="E455" s="36"/>
      <c r="F455" s="36"/>
      <c r="G455" s="36"/>
      <c r="H455" s="36"/>
      <c r="I455" s="39" t="str">
        <f aca="false">IF(COUNT(E455:H455)=0,"",ROUND(AVERAGE(E455:H455),0))</f>
        <v/>
      </c>
      <c r="J455" s="38" t="str">
        <f aca="false">IF(I455="","",LOOKUP(I455,Impostazioni!$E$4:$E$9,Impostazioni!$F$4:$F$9))</f>
        <v/>
      </c>
      <c r="K455" s="36"/>
      <c r="L455" s="36"/>
      <c r="M455" s="36"/>
      <c r="N455" s="36"/>
      <c r="O455" s="39" t="str">
        <f aca="false">IF(COUNT(K455:N455)=0,"",ROUND(AVERAGE(K455:N455),0))</f>
        <v/>
      </c>
      <c r="P455" s="38" t="str">
        <f aca="false">IF(O455="","",LOOKUP(O455,Impostazioni!$E$4:$E$9,Impostazioni!$F$4:$F$9))</f>
        <v/>
      </c>
      <c r="Q455" s="36"/>
      <c r="R455" s="36"/>
      <c r="S455" s="36"/>
      <c r="T455" s="36"/>
      <c r="U455" s="39" t="str">
        <f aca="false">IF(COUNT(Q455:T455)=0,"",ROUND(AVERAGE(Q455:T455),0))</f>
        <v/>
      </c>
      <c r="V455" s="38" t="str">
        <f aca="false">IF(U455="","",LOOKUP(U455,Impostazioni!$E$4:$E$9,Impostazioni!$F$4:$F$9))</f>
        <v/>
      </c>
      <c r="W455" s="36"/>
      <c r="X455" s="36"/>
      <c r="Y455" s="36"/>
      <c r="Z455" s="36"/>
      <c r="AA455" s="39" t="str">
        <f aca="false">IF(COUNT(W455:Z455)=0,"",ROUND(AVERAGE(W455:Z455),0))</f>
        <v/>
      </c>
      <c r="AB455" s="38" t="str">
        <f aca="false">IF(AA455="","",LOOKUP(AA455,Impostazioni!$E$4:$E$9,Impostazioni!$F$4:$F$9))</f>
        <v/>
      </c>
    </row>
    <row r="456" customFormat="false" ht="21" hidden="false" customHeight="true" outlineLevel="0" collapsed="false">
      <c r="A456" s="33" t="n">
        <v>14</v>
      </c>
      <c r="B456" s="34" t="str">
        <f aca="false">IFERROR(INDEX(Alunni!$C$1:$C$1000,MATCH($A456,Alunni!$A$1:$A$1000,0))&amp;"","")</f>
        <v/>
      </c>
      <c r="C456" s="15"/>
      <c r="D456" s="35"/>
      <c r="E456" s="36"/>
      <c r="F456" s="36"/>
      <c r="G456" s="36"/>
      <c r="H456" s="36"/>
      <c r="I456" s="39" t="str">
        <f aca="false">IF(COUNT(E456:H456)=0,"",ROUND(AVERAGE(E456:H456),0))</f>
        <v/>
      </c>
      <c r="J456" s="38" t="str">
        <f aca="false">IF(I456="","",LOOKUP(I456,Impostazioni!$E$4:$E$9,Impostazioni!$F$4:$F$9))</f>
        <v/>
      </c>
      <c r="K456" s="36"/>
      <c r="L456" s="36"/>
      <c r="M456" s="36"/>
      <c r="N456" s="36"/>
      <c r="O456" s="39" t="str">
        <f aca="false">IF(COUNT(K456:N456)=0,"",ROUND(AVERAGE(K456:N456),0))</f>
        <v/>
      </c>
      <c r="P456" s="38" t="str">
        <f aca="false">IF(O456="","",LOOKUP(O456,Impostazioni!$E$4:$E$9,Impostazioni!$F$4:$F$9))</f>
        <v/>
      </c>
      <c r="Q456" s="36"/>
      <c r="R456" s="36"/>
      <c r="S456" s="36"/>
      <c r="T456" s="36"/>
      <c r="U456" s="39" t="str">
        <f aca="false">IF(COUNT(Q456:T456)=0,"",ROUND(AVERAGE(Q456:T456),0))</f>
        <v/>
      </c>
      <c r="V456" s="38" t="str">
        <f aca="false">IF(U456="","",LOOKUP(U456,Impostazioni!$E$4:$E$9,Impostazioni!$F$4:$F$9))</f>
        <v/>
      </c>
      <c r="W456" s="36"/>
      <c r="X456" s="36"/>
      <c r="Y456" s="36"/>
      <c r="Z456" s="36"/>
      <c r="AA456" s="39" t="str">
        <f aca="false">IF(COUNT(W456:Z456)=0,"",ROUND(AVERAGE(W456:Z456),0))</f>
        <v/>
      </c>
      <c r="AB456" s="38" t="str">
        <f aca="false">IF(AA456="","",LOOKUP(AA456,Impostazioni!$E$4:$E$9,Impostazioni!$F$4:$F$9))</f>
        <v/>
      </c>
    </row>
    <row r="457" customFormat="false" ht="21" hidden="false" customHeight="true" outlineLevel="0" collapsed="false">
      <c r="A457" s="33" t="n">
        <v>15</v>
      </c>
      <c r="B457" s="34" t="str">
        <f aca="false">IFERROR(INDEX(Alunni!$C$1:$C$1000,MATCH($A457,Alunni!$A$1:$A$1000,0))&amp;"","")</f>
        <v/>
      </c>
      <c r="C457" s="15"/>
      <c r="D457" s="35"/>
      <c r="E457" s="36"/>
      <c r="F457" s="36"/>
      <c r="G457" s="36"/>
      <c r="H457" s="36"/>
      <c r="I457" s="39" t="str">
        <f aca="false">IF(COUNT(E457:H457)=0,"",ROUND(AVERAGE(E457:H457),0))</f>
        <v/>
      </c>
      <c r="J457" s="38" t="str">
        <f aca="false">IF(I457="","",LOOKUP(I457,Impostazioni!$E$4:$E$9,Impostazioni!$F$4:$F$9))</f>
        <v/>
      </c>
      <c r="K457" s="36"/>
      <c r="L457" s="36"/>
      <c r="M457" s="36"/>
      <c r="N457" s="36"/>
      <c r="O457" s="39" t="str">
        <f aca="false">IF(COUNT(K457:N457)=0,"",ROUND(AVERAGE(K457:N457),0))</f>
        <v/>
      </c>
      <c r="P457" s="38" t="str">
        <f aca="false">IF(O457="","",LOOKUP(O457,Impostazioni!$E$4:$E$9,Impostazioni!$F$4:$F$9))</f>
        <v/>
      </c>
      <c r="Q457" s="36"/>
      <c r="R457" s="36"/>
      <c r="S457" s="36"/>
      <c r="T457" s="36"/>
      <c r="U457" s="39" t="str">
        <f aca="false">IF(COUNT(Q457:T457)=0,"",ROUND(AVERAGE(Q457:T457),0))</f>
        <v/>
      </c>
      <c r="V457" s="38" t="str">
        <f aca="false">IF(U457="","",LOOKUP(U457,Impostazioni!$E$4:$E$9,Impostazioni!$F$4:$F$9))</f>
        <v/>
      </c>
      <c r="W457" s="36"/>
      <c r="X457" s="36"/>
      <c r="Y457" s="36"/>
      <c r="Z457" s="36"/>
      <c r="AA457" s="39" t="str">
        <f aca="false">IF(COUNT(W457:Z457)=0,"",ROUND(AVERAGE(W457:Z457),0))</f>
        <v/>
      </c>
      <c r="AB457" s="38" t="str">
        <f aca="false">IF(AA457="","",LOOKUP(AA457,Impostazioni!$E$4:$E$9,Impostazioni!$F$4:$F$9))</f>
        <v/>
      </c>
    </row>
    <row r="458" customFormat="false" ht="21" hidden="false" customHeight="true" outlineLevel="0" collapsed="false">
      <c r="A458" s="33" t="n">
        <v>16</v>
      </c>
      <c r="B458" s="34" t="str">
        <f aca="false">IFERROR(INDEX(Alunni!$C$1:$C$1000,MATCH($A458,Alunni!$A$1:$A$1000,0))&amp;"","")</f>
        <v/>
      </c>
      <c r="C458" s="15"/>
      <c r="D458" s="35"/>
      <c r="E458" s="36"/>
      <c r="F458" s="36"/>
      <c r="G458" s="36"/>
      <c r="H458" s="36"/>
      <c r="I458" s="39" t="str">
        <f aca="false">IF(COUNT(E458:H458)=0,"",ROUND(AVERAGE(E458:H458),0))</f>
        <v/>
      </c>
      <c r="J458" s="38" t="str">
        <f aca="false">IF(I458="","",LOOKUP(I458,Impostazioni!$E$4:$E$9,Impostazioni!$F$4:$F$9))</f>
        <v/>
      </c>
      <c r="K458" s="36"/>
      <c r="L458" s="36"/>
      <c r="M458" s="36"/>
      <c r="N458" s="36"/>
      <c r="O458" s="39" t="str">
        <f aca="false">IF(COUNT(K458:N458)=0,"",ROUND(AVERAGE(K458:N458),0))</f>
        <v/>
      </c>
      <c r="P458" s="38" t="str">
        <f aca="false">IF(O458="","",LOOKUP(O458,Impostazioni!$E$4:$E$9,Impostazioni!$F$4:$F$9))</f>
        <v/>
      </c>
      <c r="Q458" s="36"/>
      <c r="R458" s="36"/>
      <c r="S458" s="36"/>
      <c r="T458" s="36"/>
      <c r="U458" s="39" t="str">
        <f aca="false">IF(COUNT(Q458:T458)=0,"",ROUND(AVERAGE(Q458:T458),0))</f>
        <v/>
      </c>
      <c r="V458" s="38" t="str">
        <f aca="false">IF(U458="","",LOOKUP(U458,Impostazioni!$E$4:$E$9,Impostazioni!$F$4:$F$9))</f>
        <v/>
      </c>
      <c r="W458" s="36"/>
      <c r="X458" s="36"/>
      <c r="Y458" s="36"/>
      <c r="Z458" s="36"/>
      <c r="AA458" s="39" t="str">
        <f aca="false">IF(COUNT(W458:Z458)=0,"",ROUND(AVERAGE(W458:Z458),0))</f>
        <v/>
      </c>
      <c r="AB458" s="38" t="str">
        <f aca="false">IF(AA458="","",LOOKUP(AA458,Impostazioni!$E$4:$E$9,Impostazioni!$F$4:$F$9))</f>
        <v/>
      </c>
    </row>
    <row r="459" customFormat="false" ht="21" hidden="false" customHeight="true" outlineLevel="0" collapsed="false">
      <c r="A459" s="33" t="n">
        <v>17</v>
      </c>
      <c r="B459" s="34" t="str">
        <f aca="false">IFERROR(INDEX(Alunni!$C$1:$C$1000,MATCH($A459,Alunni!$A$1:$A$1000,0))&amp;"","")</f>
        <v/>
      </c>
      <c r="C459" s="15"/>
      <c r="D459" s="35"/>
      <c r="E459" s="36"/>
      <c r="F459" s="36"/>
      <c r="G459" s="36"/>
      <c r="H459" s="36"/>
      <c r="I459" s="39" t="str">
        <f aca="false">IF(COUNT(E459:H459)=0,"",ROUND(AVERAGE(E459:H459),0))</f>
        <v/>
      </c>
      <c r="J459" s="38" t="str">
        <f aca="false">IF(I459="","",LOOKUP(I459,Impostazioni!$E$4:$E$9,Impostazioni!$F$4:$F$9))</f>
        <v/>
      </c>
      <c r="K459" s="36"/>
      <c r="L459" s="36"/>
      <c r="M459" s="36"/>
      <c r="N459" s="36"/>
      <c r="O459" s="39" t="str">
        <f aca="false">IF(COUNT(K459:N459)=0,"",ROUND(AVERAGE(K459:N459),0))</f>
        <v/>
      </c>
      <c r="P459" s="38" t="str">
        <f aca="false">IF(O459="","",LOOKUP(O459,Impostazioni!$E$4:$E$9,Impostazioni!$F$4:$F$9))</f>
        <v/>
      </c>
      <c r="Q459" s="36"/>
      <c r="R459" s="36"/>
      <c r="S459" s="36"/>
      <c r="T459" s="36"/>
      <c r="U459" s="39" t="str">
        <f aca="false">IF(COUNT(Q459:T459)=0,"",ROUND(AVERAGE(Q459:T459),0))</f>
        <v/>
      </c>
      <c r="V459" s="38" t="str">
        <f aca="false">IF(U459="","",LOOKUP(U459,Impostazioni!$E$4:$E$9,Impostazioni!$F$4:$F$9))</f>
        <v/>
      </c>
      <c r="W459" s="36"/>
      <c r="X459" s="36"/>
      <c r="Y459" s="36"/>
      <c r="Z459" s="36"/>
      <c r="AA459" s="39" t="str">
        <f aca="false">IF(COUNT(W459:Z459)=0,"",ROUND(AVERAGE(W459:Z459),0))</f>
        <v/>
      </c>
      <c r="AB459" s="38" t="str">
        <f aca="false">IF(AA459="","",LOOKUP(AA459,Impostazioni!$E$4:$E$9,Impostazioni!$F$4:$F$9))</f>
        <v/>
      </c>
    </row>
    <row r="460" customFormat="false" ht="21" hidden="false" customHeight="true" outlineLevel="0" collapsed="false">
      <c r="A460" s="33" t="n">
        <v>18</v>
      </c>
      <c r="B460" s="34" t="str">
        <f aca="false">IFERROR(INDEX(Alunni!$C$1:$C$1000,MATCH($A460,Alunni!$A$1:$A$1000,0))&amp;"","")</f>
        <v/>
      </c>
      <c r="C460" s="15"/>
      <c r="D460" s="35"/>
      <c r="E460" s="36"/>
      <c r="F460" s="36"/>
      <c r="G460" s="36"/>
      <c r="H460" s="36"/>
      <c r="I460" s="39" t="str">
        <f aca="false">IF(COUNT(E460:H460)=0,"",ROUND(AVERAGE(E460:H460),0))</f>
        <v/>
      </c>
      <c r="J460" s="38" t="str">
        <f aca="false">IF(I460="","",LOOKUP(I460,Impostazioni!$E$4:$E$9,Impostazioni!$F$4:$F$9))</f>
        <v/>
      </c>
      <c r="K460" s="36"/>
      <c r="L460" s="36"/>
      <c r="M460" s="36"/>
      <c r="N460" s="36"/>
      <c r="O460" s="39" t="str">
        <f aca="false">IF(COUNT(K460:N460)=0,"",ROUND(AVERAGE(K460:N460),0))</f>
        <v/>
      </c>
      <c r="P460" s="38" t="str">
        <f aca="false">IF(O460="","",LOOKUP(O460,Impostazioni!$E$4:$E$9,Impostazioni!$F$4:$F$9))</f>
        <v/>
      </c>
      <c r="Q460" s="36"/>
      <c r="R460" s="36"/>
      <c r="S460" s="36"/>
      <c r="T460" s="36"/>
      <c r="U460" s="39" t="str">
        <f aca="false">IF(COUNT(Q460:T460)=0,"",ROUND(AVERAGE(Q460:T460),0))</f>
        <v/>
      </c>
      <c r="V460" s="38" t="str">
        <f aca="false">IF(U460="","",LOOKUP(U460,Impostazioni!$E$4:$E$9,Impostazioni!$F$4:$F$9))</f>
        <v/>
      </c>
      <c r="W460" s="36"/>
      <c r="X460" s="36"/>
      <c r="Y460" s="36"/>
      <c r="Z460" s="36"/>
      <c r="AA460" s="39" t="str">
        <f aca="false">IF(COUNT(W460:Z460)=0,"",ROUND(AVERAGE(W460:Z460),0))</f>
        <v/>
      </c>
      <c r="AB460" s="38" t="str">
        <f aca="false">IF(AA460="","",LOOKUP(AA460,Impostazioni!$E$4:$E$9,Impostazioni!$F$4:$F$9))</f>
        <v/>
      </c>
    </row>
    <row r="461" customFormat="false" ht="21" hidden="false" customHeight="true" outlineLevel="0" collapsed="false">
      <c r="A461" s="33" t="n">
        <v>19</v>
      </c>
      <c r="B461" s="34" t="str">
        <f aca="false">IFERROR(INDEX(Alunni!$C$1:$C$1000,MATCH($A461,Alunni!$A$1:$A$1000,0))&amp;"","")</f>
        <v/>
      </c>
      <c r="C461" s="15"/>
      <c r="D461" s="35"/>
      <c r="E461" s="36"/>
      <c r="F461" s="36"/>
      <c r="G461" s="36"/>
      <c r="H461" s="36"/>
      <c r="I461" s="39" t="str">
        <f aca="false">IF(COUNT(E461:H461)=0,"",ROUND(AVERAGE(E461:H461),0))</f>
        <v/>
      </c>
      <c r="J461" s="38" t="str">
        <f aca="false">IF(I461="","",LOOKUP(I461,Impostazioni!$E$4:$E$9,Impostazioni!$F$4:$F$9))</f>
        <v/>
      </c>
      <c r="K461" s="36"/>
      <c r="L461" s="36"/>
      <c r="M461" s="36"/>
      <c r="N461" s="36"/>
      <c r="O461" s="39" t="str">
        <f aca="false">IF(COUNT(K461:N461)=0,"",ROUND(AVERAGE(K461:N461),0))</f>
        <v/>
      </c>
      <c r="P461" s="38" t="str">
        <f aca="false">IF(O461="","",LOOKUP(O461,Impostazioni!$E$4:$E$9,Impostazioni!$F$4:$F$9))</f>
        <v/>
      </c>
      <c r="Q461" s="36"/>
      <c r="R461" s="36"/>
      <c r="S461" s="36"/>
      <c r="T461" s="36"/>
      <c r="U461" s="39" t="str">
        <f aca="false">IF(COUNT(Q461:T461)=0,"",ROUND(AVERAGE(Q461:T461),0))</f>
        <v/>
      </c>
      <c r="V461" s="38" t="str">
        <f aca="false">IF(U461="","",LOOKUP(U461,Impostazioni!$E$4:$E$9,Impostazioni!$F$4:$F$9))</f>
        <v/>
      </c>
      <c r="W461" s="36"/>
      <c r="X461" s="36"/>
      <c r="Y461" s="36"/>
      <c r="Z461" s="36"/>
      <c r="AA461" s="39" t="str">
        <f aca="false">IF(COUNT(W461:Z461)=0,"",ROUND(AVERAGE(W461:Z461),0))</f>
        <v/>
      </c>
      <c r="AB461" s="38" t="str">
        <f aca="false">IF(AA461="","",LOOKUP(AA461,Impostazioni!$E$4:$E$9,Impostazioni!$F$4:$F$9))</f>
        <v/>
      </c>
    </row>
    <row r="462" customFormat="false" ht="21" hidden="false" customHeight="true" outlineLevel="0" collapsed="false">
      <c r="A462" s="33" t="n">
        <v>20</v>
      </c>
      <c r="B462" s="34" t="str">
        <f aca="false">IFERROR(INDEX(Alunni!$C$1:$C$1000,MATCH($A462,Alunni!$A$1:$A$1000,0))&amp;"","")</f>
        <v/>
      </c>
      <c r="C462" s="15"/>
      <c r="D462" s="35"/>
      <c r="E462" s="36"/>
      <c r="F462" s="36"/>
      <c r="G462" s="36"/>
      <c r="H462" s="36"/>
      <c r="I462" s="39" t="str">
        <f aca="false">IF(COUNT(E462:H462)=0,"",ROUND(AVERAGE(E462:H462),0))</f>
        <v/>
      </c>
      <c r="J462" s="38" t="str">
        <f aca="false">IF(I462="","",LOOKUP(I462,Impostazioni!$E$4:$E$9,Impostazioni!$F$4:$F$9))</f>
        <v/>
      </c>
      <c r="K462" s="36"/>
      <c r="L462" s="36"/>
      <c r="M462" s="36"/>
      <c r="N462" s="36"/>
      <c r="O462" s="39" t="str">
        <f aca="false">IF(COUNT(K462:N462)=0,"",ROUND(AVERAGE(K462:N462),0))</f>
        <v/>
      </c>
      <c r="P462" s="38" t="str">
        <f aca="false">IF(O462="","",LOOKUP(O462,Impostazioni!$E$4:$E$9,Impostazioni!$F$4:$F$9))</f>
        <v/>
      </c>
      <c r="Q462" s="36"/>
      <c r="R462" s="36"/>
      <c r="S462" s="36"/>
      <c r="T462" s="36"/>
      <c r="U462" s="39" t="str">
        <f aca="false">IF(COUNT(Q462:T462)=0,"",ROUND(AVERAGE(Q462:T462),0))</f>
        <v/>
      </c>
      <c r="V462" s="38" t="str">
        <f aca="false">IF(U462="","",LOOKUP(U462,Impostazioni!$E$4:$E$9,Impostazioni!$F$4:$F$9))</f>
        <v/>
      </c>
      <c r="W462" s="36"/>
      <c r="X462" s="36"/>
      <c r="Y462" s="36"/>
      <c r="Z462" s="36"/>
      <c r="AA462" s="39" t="str">
        <f aca="false">IF(COUNT(W462:Z462)=0,"",ROUND(AVERAGE(W462:Z462),0))</f>
        <v/>
      </c>
      <c r="AB462" s="38" t="str">
        <f aca="false">IF(AA462="","",LOOKUP(AA462,Impostazioni!$E$4:$E$9,Impostazioni!$F$4:$F$9))</f>
        <v/>
      </c>
    </row>
    <row r="463" customFormat="false" ht="21" hidden="false" customHeight="true" outlineLevel="0" collapsed="false">
      <c r="A463" s="33" t="n">
        <v>21</v>
      </c>
      <c r="B463" s="34" t="str">
        <f aca="false">IFERROR(INDEX(Alunni!$C$1:$C$1000,MATCH($A463,Alunni!$A$1:$A$1000,0))&amp;"","")</f>
        <v/>
      </c>
      <c r="C463" s="15"/>
      <c r="D463" s="35"/>
      <c r="E463" s="36"/>
      <c r="F463" s="36"/>
      <c r="G463" s="36"/>
      <c r="H463" s="36"/>
      <c r="I463" s="39" t="str">
        <f aca="false">IF(COUNT(E463:H463)=0,"",ROUND(AVERAGE(E463:H463),0))</f>
        <v/>
      </c>
      <c r="J463" s="38" t="str">
        <f aca="false">IF(I463="","",LOOKUP(I463,Impostazioni!$E$4:$E$9,Impostazioni!$F$4:$F$9))</f>
        <v/>
      </c>
      <c r="K463" s="36"/>
      <c r="L463" s="36"/>
      <c r="M463" s="36"/>
      <c r="N463" s="36"/>
      <c r="O463" s="39" t="str">
        <f aca="false">IF(COUNT(K463:N463)=0,"",ROUND(AVERAGE(K463:N463),0))</f>
        <v/>
      </c>
      <c r="P463" s="38" t="str">
        <f aca="false">IF(O463="","",LOOKUP(O463,Impostazioni!$E$4:$E$9,Impostazioni!$F$4:$F$9))</f>
        <v/>
      </c>
      <c r="Q463" s="36"/>
      <c r="R463" s="36"/>
      <c r="S463" s="36"/>
      <c r="T463" s="36"/>
      <c r="U463" s="39" t="str">
        <f aca="false">IF(COUNT(Q463:T463)=0,"",ROUND(AVERAGE(Q463:T463),0))</f>
        <v/>
      </c>
      <c r="V463" s="38" t="str">
        <f aca="false">IF(U463="","",LOOKUP(U463,Impostazioni!$E$4:$E$9,Impostazioni!$F$4:$F$9))</f>
        <v/>
      </c>
      <c r="W463" s="36"/>
      <c r="X463" s="36"/>
      <c r="Y463" s="36"/>
      <c r="Z463" s="36"/>
      <c r="AA463" s="39" t="str">
        <f aca="false">IF(COUNT(W463:Z463)=0,"",ROUND(AVERAGE(W463:Z463),0))</f>
        <v/>
      </c>
      <c r="AB463" s="38" t="str">
        <f aca="false">IF(AA463="","",LOOKUP(AA463,Impostazioni!$E$4:$E$9,Impostazioni!$F$4:$F$9))</f>
        <v/>
      </c>
    </row>
    <row r="464" customFormat="false" ht="21" hidden="false" customHeight="true" outlineLevel="0" collapsed="false">
      <c r="A464" s="33" t="n">
        <v>22</v>
      </c>
      <c r="B464" s="34" t="str">
        <f aca="false">IFERROR(INDEX(Alunni!$C$1:$C$1000,MATCH($A464,Alunni!$A$1:$A$1000,0))&amp;"","")</f>
        <v/>
      </c>
      <c r="C464" s="15"/>
      <c r="D464" s="35"/>
      <c r="E464" s="36"/>
      <c r="F464" s="36"/>
      <c r="G464" s="36"/>
      <c r="H464" s="36"/>
      <c r="I464" s="39" t="str">
        <f aca="false">IF(COUNT(E464:H464)=0,"",ROUND(AVERAGE(E464:H464),0))</f>
        <v/>
      </c>
      <c r="J464" s="38" t="str">
        <f aca="false">IF(I464="","",LOOKUP(I464,Impostazioni!$E$4:$E$9,Impostazioni!$F$4:$F$9))</f>
        <v/>
      </c>
      <c r="K464" s="36"/>
      <c r="L464" s="36"/>
      <c r="M464" s="36"/>
      <c r="N464" s="36"/>
      <c r="O464" s="39" t="str">
        <f aca="false">IF(COUNT(K464:N464)=0,"",ROUND(AVERAGE(K464:N464),0))</f>
        <v/>
      </c>
      <c r="P464" s="38" t="str">
        <f aca="false">IF(O464="","",LOOKUP(O464,Impostazioni!$E$4:$E$9,Impostazioni!$F$4:$F$9))</f>
        <v/>
      </c>
      <c r="Q464" s="36"/>
      <c r="R464" s="36"/>
      <c r="S464" s="36"/>
      <c r="T464" s="36"/>
      <c r="U464" s="39" t="str">
        <f aca="false">IF(COUNT(Q464:T464)=0,"",ROUND(AVERAGE(Q464:T464),0))</f>
        <v/>
      </c>
      <c r="V464" s="38" t="str">
        <f aca="false">IF(U464="","",LOOKUP(U464,Impostazioni!$E$4:$E$9,Impostazioni!$F$4:$F$9))</f>
        <v/>
      </c>
      <c r="W464" s="36"/>
      <c r="X464" s="36"/>
      <c r="Y464" s="36"/>
      <c r="Z464" s="36"/>
      <c r="AA464" s="39" t="str">
        <f aca="false">IF(COUNT(W464:Z464)=0,"",ROUND(AVERAGE(W464:Z464),0))</f>
        <v/>
      </c>
      <c r="AB464" s="38" t="str">
        <f aca="false">IF(AA464="","",LOOKUP(AA464,Impostazioni!$E$4:$E$9,Impostazioni!$F$4:$F$9))</f>
        <v/>
      </c>
    </row>
    <row r="465" customFormat="false" ht="21" hidden="false" customHeight="true" outlineLevel="0" collapsed="false">
      <c r="A465" s="33" t="n">
        <v>23</v>
      </c>
      <c r="B465" s="34" t="str">
        <f aca="false">IFERROR(INDEX(Alunni!$C$1:$C$1000,MATCH($A465,Alunni!$A$1:$A$1000,0))&amp;"","")</f>
        <v/>
      </c>
      <c r="C465" s="15"/>
      <c r="D465" s="35"/>
      <c r="E465" s="36"/>
      <c r="F465" s="36"/>
      <c r="G465" s="36"/>
      <c r="H465" s="36"/>
      <c r="I465" s="39" t="str">
        <f aca="false">IF(COUNT(E465:H465)=0,"",ROUND(AVERAGE(E465:H465),0))</f>
        <v/>
      </c>
      <c r="J465" s="38" t="str">
        <f aca="false">IF(I465="","",LOOKUP(I465,Impostazioni!$E$4:$E$9,Impostazioni!$F$4:$F$9))</f>
        <v/>
      </c>
      <c r="K465" s="36"/>
      <c r="L465" s="36"/>
      <c r="M465" s="36"/>
      <c r="N465" s="36"/>
      <c r="O465" s="39" t="str">
        <f aca="false">IF(COUNT(K465:N465)=0,"",ROUND(AVERAGE(K465:N465),0))</f>
        <v/>
      </c>
      <c r="P465" s="38" t="str">
        <f aca="false">IF(O465="","",LOOKUP(O465,Impostazioni!$E$4:$E$9,Impostazioni!$F$4:$F$9))</f>
        <v/>
      </c>
      <c r="Q465" s="36"/>
      <c r="R465" s="36"/>
      <c r="S465" s="36"/>
      <c r="T465" s="36"/>
      <c r="U465" s="39" t="str">
        <f aca="false">IF(COUNT(Q465:T465)=0,"",ROUND(AVERAGE(Q465:T465),0))</f>
        <v/>
      </c>
      <c r="V465" s="38" t="str">
        <f aca="false">IF(U465="","",LOOKUP(U465,Impostazioni!$E$4:$E$9,Impostazioni!$F$4:$F$9))</f>
        <v/>
      </c>
      <c r="W465" s="36"/>
      <c r="X465" s="36"/>
      <c r="Y465" s="36"/>
      <c r="Z465" s="36"/>
      <c r="AA465" s="39" t="str">
        <f aca="false">IF(COUNT(W465:Z465)=0,"",ROUND(AVERAGE(W465:Z465),0))</f>
        <v/>
      </c>
      <c r="AB465" s="38" t="str">
        <f aca="false">IF(AA465="","",LOOKUP(AA465,Impostazioni!$E$4:$E$9,Impostazioni!$F$4:$F$9))</f>
        <v/>
      </c>
    </row>
    <row r="466" customFormat="false" ht="21" hidden="false" customHeight="true" outlineLevel="0" collapsed="false">
      <c r="A466" s="33" t="n">
        <v>24</v>
      </c>
      <c r="B466" s="34" t="str">
        <f aca="false">IFERROR(INDEX(Alunni!$C$1:$C$1000,MATCH($A466,Alunni!$A$1:$A$1000,0))&amp;"","")</f>
        <v/>
      </c>
      <c r="C466" s="15"/>
      <c r="D466" s="35"/>
      <c r="E466" s="36"/>
      <c r="F466" s="36"/>
      <c r="G466" s="36"/>
      <c r="H466" s="36"/>
      <c r="I466" s="39" t="str">
        <f aca="false">IF(COUNT(E466:H466)=0,"",ROUND(AVERAGE(E466:H466),0))</f>
        <v/>
      </c>
      <c r="J466" s="38" t="str">
        <f aca="false">IF(I466="","",LOOKUP(I466,Impostazioni!$E$4:$E$9,Impostazioni!$F$4:$F$9))</f>
        <v/>
      </c>
      <c r="K466" s="36"/>
      <c r="L466" s="36"/>
      <c r="M466" s="36"/>
      <c r="N466" s="36"/>
      <c r="O466" s="39" t="str">
        <f aca="false">IF(COUNT(K466:N466)=0,"",ROUND(AVERAGE(K466:N466),0))</f>
        <v/>
      </c>
      <c r="P466" s="38" t="str">
        <f aca="false">IF(O466="","",LOOKUP(O466,Impostazioni!$E$4:$E$9,Impostazioni!$F$4:$F$9))</f>
        <v/>
      </c>
      <c r="Q466" s="36"/>
      <c r="R466" s="36"/>
      <c r="S466" s="36"/>
      <c r="T466" s="36"/>
      <c r="U466" s="39" t="str">
        <f aca="false">IF(COUNT(Q466:T466)=0,"",ROUND(AVERAGE(Q466:T466),0))</f>
        <v/>
      </c>
      <c r="V466" s="38" t="str">
        <f aca="false">IF(U466="","",LOOKUP(U466,Impostazioni!$E$4:$E$9,Impostazioni!$F$4:$F$9))</f>
        <v/>
      </c>
      <c r="W466" s="36"/>
      <c r="X466" s="36"/>
      <c r="Y466" s="36"/>
      <c r="Z466" s="36"/>
      <c r="AA466" s="39" t="str">
        <f aca="false">IF(COUNT(W466:Z466)=0,"",ROUND(AVERAGE(W466:Z466),0))</f>
        <v/>
      </c>
      <c r="AB466" s="38" t="str">
        <f aca="false">IF(AA466="","",LOOKUP(AA466,Impostazioni!$E$4:$E$9,Impostazioni!$F$4:$F$9))</f>
        <v/>
      </c>
    </row>
    <row r="467" customFormat="false" ht="21" hidden="false" customHeight="true" outlineLevel="0" collapsed="false">
      <c r="A467" s="33" t="n">
        <v>25</v>
      </c>
      <c r="B467" s="34" t="str">
        <f aca="false">IFERROR(INDEX(Alunni!$C$1:$C$1000,MATCH($A467,Alunni!$A$1:$A$1000,0))&amp;"","")</f>
        <v/>
      </c>
      <c r="C467" s="15"/>
      <c r="D467" s="35"/>
      <c r="E467" s="36"/>
      <c r="F467" s="36"/>
      <c r="G467" s="36"/>
      <c r="H467" s="36"/>
      <c r="I467" s="39" t="str">
        <f aca="false">IF(COUNT(E467:H467)=0,"",ROUND(AVERAGE(E467:H467),0))</f>
        <v/>
      </c>
      <c r="J467" s="38" t="str">
        <f aca="false">IF(I467="","",LOOKUP(I467,Impostazioni!$E$4:$E$9,Impostazioni!$F$4:$F$9))</f>
        <v/>
      </c>
      <c r="K467" s="36"/>
      <c r="L467" s="36"/>
      <c r="M467" s="36"/>
      <c r="N467" s="36"/>
      <c r="O467" s="39" t="str">
        <f aca="false">IF(COUNT(K467:N467)=0,"",ROUND(AVERAGE(K467:N467),0))</f>
        <v/>
      </c>
      <c r="P467" s="38" t="str">
        <f aca="false">IF(O467="","",LOOKUP(O467,Impostazioni!$E$4:$E$9,Impostazioni!$F$4:$F$9))</f>
        <v/>
      </c>
      <c r="Q467" s="36"/>
      <c r="R467" s="36"/>
      <c r="S467" s="36"/>
      <c r="T467" s="36"/>
      <c r="U467" s="39" t="str">
        <f aca="false">IF(COUNT(Q467:T467)=0,"",ROUND(AVERAGE(Q467:T467),0))</f>
        <v/>
      </c>
      <c r="V467" s="38" t="str">
        <f aca="false">IF(U467="","",LOOKUP(U467,Impostazioni!$E$4:$E$9,Impostazioni!$F$4:$F$9))</f>
        <v/>
      </c>
      <c r="W467" s="36"/>
      <c r="X467" s="36"/>
      <c r="Y467" s="36"/>
      <c r="Z467" s="36"/>
      <c r="AA467" s="39" t="str">
        <f aca="false">IF(COUNT(W467:Z467)=0,"",ROUND(AVERAGE(W467:Z467),0))</f>
        <v/>
      </c>
      <c r="AB467" s="38" t="str">
        <f aca="false">IF(AA467="","",LOOKUP(AA467,Impostazioni!$E$4:$E$9,Impostazioni!$F$4:$F$9))</f>
        <v/>
      </c>
    </row>
    <row r="468" customFormat="false" ht="21" hidden="false" customHeight="true" outlineLevel="0" collapsed="false">
      <c r="A468" s="33" t="n">
        <v>26</v>
      </c>
      <c r="B468" s="34" t="str">
        <f aca="false">IFERROR(INDEX(Alunni!$C$1:$C$1000,MATCH($A468,Alunni!$A$1:$A$1000,0))&amp;"","")</f>
        <v/>
      </c>
      <c r="C468" s="15"/>
      <c r="D468" s="35"/>
      <c r="E468" s="36"/>
      <c r="F468" s="36"/>
      <c r="G468" s="36"/>
      <c r="H468" s="36"/>
      <c r="I468" s="39" t="str">
        <f aca="false">IF(COUNT(E468:H468)=0,"",ROUND(AVERAGE(E468:H468),0))</f>
        <v/>
      </c>
      <c r="J468" s="38" t="str">
        <f aca="false">IF(I468="","",LOOKUP(I468,Impostazioni!$E$4:$E$9,Impostazioni!$F$4:$F$9))</f>
        <v/>
      </c>
      <c r="K468" s="36"/>
      <c r="L468" s="36"/>
      <c r="M468" s="36"/>
      <c r="N468" s="36"/>
      <c r="O468" s="39" t="str">
        <f aca="false">IF(COUNT(K468:N468)=0,"",ROUND(AVERAGE(K468:N468),0))</f>
        <v/>
      </c>
      <c r="P468" s="38" t="str">
        <f aca="false">IF(O468="","",LOOKUP(O468,Impostazioni!$E$4:$E$9,Impostazioni!$F$4:$F$9))</f>
        <v/>
      </c>
      <c r="Q468" s="36"/>
      <c r="R468" s="36"/>
      <c r="S468" s="36"/>
      <c r="T468" s="36"/>
      <c r="U468" s="39" t="str">
        <f aca="false">IF(COUNT(Q468:T468)=0,"",ROUND(AVERAGE(Q468:T468),0))</f>
        <v/>
      </c>
      <c r="V468" s="38" t="str">
        <f aca="false">IF(U468="","",LOOKUP(U468,Impostazioni!$E$4:$E$9,Impostazioni!$F$4:$F$9))</f>
        <v/>
      </c>
      <c r="W468" s="36"/>
      <c r="X468" s="36"/>
      <c r="Y468" s="36"/>
      <c r="Z468" s="36"/>
      <c r="AA468" s="39" t="str">
        <f aca="false">IF(COUNT(W468:Z468)=0,"",ROUND(AVERAGE(W468:Z468),0))</f>
        <v/>
      </c>
      <c r="AB468" s="38" t="str">
        <f aca="false">IF(AA468="","",LOOKUP(AA468,Impostazioni!$E$4:$E$9,Impostazioni!$F$4:$F$9))</f>
        <v/>
      </c>
    </row>
    <row r="469" customFormat="false" ht="21" hidden="false" customHeight="true" outlineLevel="0" collapsed="false">
      <c r="A469" s="33" t="n">
        <v>27</v>
      </c>
      <c r="B469" s="34" t="str">
        <f aca="false">IFERROR(INDEX(Alunni!$C$1:$C$1000,MATCH($A469,Alunni!$A$1:$A$1000,0))&amp;"","")</f>
        <v/>
      </c>
      <c r="C469" s="15"/>
      <c r="D469" s="35"/>
      <c r="E469" s="36"/>
      <c r="F469" s="36"/>
      <c r="G469" s="36"/>
      <c r="H469" s="36"/>
      <c r="I469" s="39" t="str">
        <f aca="false">IF(COUNT(E469:H469)=0,"",ROUND(AVERAGE(E469:H469),0))</f>
        <v/>
      </c>
      <c r="J469" s="38" t="str">
        <f aca="false">IF(I469="","",LOOKUP(I469,Impostazioni!$E$4:$E$9,Impostazioni!$F$4:$F$9))</f>
        <v/>
      </c>
      <c r="K469" s="36"/>
      <c r="L469" s="36"/>
      <c r="M469" s="36"/>
      <c r="N469" s="36"/>
      <c r="O469" s="39" t="str">
        <f aca="false">IF(COUNT(K469:N469)=0,"",ROUND(AVERAGE(K469:N469),0))</f>
        <v/>
      </c>
      <c r="P469" s="38" t="str">
        <f aca="false">IF(O469="","",LOOKUP(O469,Impostazioni!$E$4:$E$9,Impostazioni!$F$4:$F$9))</f>
        <v/>
      </c>
      <c r="Q469" s="36"/>
      <c r="R469" s="36"/>
      <c r="S469" s="36"/>
      <c r="T469" s="36"/>
      <c r="U469" s="39" t="str">
        <f aca="false">IF(COUNT(Q469:T469)=0,"",ROUND(AVERAGE(Q469:T469),0))</f>
        <v/>
      </c>
      <c r="V469" s="38" t="str">
        <f aca="false">IF(U469="","",LOOKUP(U469,Impostazioni!$E$4:$E$9,Impostazioni!$F$4:$F$9))</f>
        <v/>
      </c>
      <c r="W469" s="36"/>
      <c r="X469" s="36"/>
      <c r="Y469" s="36"/>
      <c r="Z469" s="36"/>
      <c r="AA469" s="39" t="str">
        <f aca="false">IF(COUNT(W469:Z469)=0,"",ROUND(AVERAGE(W469:Z469),0))</f>
        <v/>
      </c>
      <c r="AB469" s="38" t="str">
        <f aca="false">IF(AA469="","",LOOKUP(AA469,Impostazioni!$E$4:$E$9,Impostazioni!$F$4:$F$9))</f>
        <v/>
      </c>
    </row>
    <row r="470" customFormat="false" ht="21" hidden="false" customHeight="true" outlineLevel="0" collapsed="false">
      <c r="A470" s="33" t="n">
        <v>28</v>
      </c>
      <c r="B470" s="34" t="str">
        <f aca="false">IFERROR(INDEX(Alunni!$C$1:$C$1000,MATCH($A470,Alunni!$A$1:$A$1000,0))&amp;"","")</f>
        <v/>
      </c>
      <c r="C470" s="15"/>
      <c r="D470" s="35"/>
      <c r="E470" s="36"/>
      <c r="F470" s="36"/>
      <c r="G470" s="36"/>
      <c r="H470" s="36"/>
      <c r="I470" s="39" t="str">
        <f aca="false">IF(COUNT(E470:H470)=0,"",ROUND(AVERAGE(E470:H470),0))</f>
        <v/>
      </c>
      <c r="J470" s="38" t="str">
        <f aca="false">IF(I470="","",LOOKUP(I470,Impostazioni!$E$4:$E$9,Impostazioni!$F$4:$F$9))</f>
        <v/>
      </c>
      <c r="K470" s="36"/>
      <c r="L470" s="36"/>
      <c r="M470" s="36"/>
      <c r="N470" s="36"/>
      <c r="O470" s="39" t="str">
        <f aca="false">IF(COUNT(K470:N470)=0,"",ROUND(AVERAGE(K470:N470),0))</f>
        <v/>
      </c>
      <c r="P470" s="38" t="str">
        <f aca="false">IF(O470="","",LOOKUP(O470,Impostazioni!$E$4:$E$9,Impostazioni!$F$4:$F$9))</f>
        <v/>
      </c>
      <c r="Q470" s="36"/>
      <c r="R470" s="36"/>
      <c r="S470" s="36"/>
      <c r="T470" s="36"/>
      <c r="U470" s="39" t="str">
        <f aca="false">IF(COUNT(Q470:T470)=0,"",ROUND(AVERAGE(Q470:T470),0))</f>
        <v/>
      </c>
      <c r="V470" s="38" t="str">
        <f aca="false">IF(U470="","",LOOKUP(U470,Impostazioni!$E$4:$E$9,Impostazioni!$F$4:$F$9))</f>
        <v/>
      </c>
      <c r="W470" s="36"/>
      <c r="X470" s="36"/>
      <c r="Y470" s="36"/>
      <c r="Z470" s="36"/>
      <c r="AA470" s="39" t="str">
        <f aca="false">IF(COUNT(W470:Z470)=0,"",ROUND(AVERAGE(W470:Z470),0))</f>
        <v/>
      </c>
      <c r="AB470" s="38" t="str">
        <f aca="false">IF(AA470="","",LOOKUP(AA470,Impostazioni!$E$4:$E$9,Impostazioni!$F$4:$F$9))</f>
        <v/>
      </c>
    </row>
    <row r="471" customFormat="false" ht="21" hidden="false" customHeight="true" outlineLevel="0" collapsed="false">
      <c r="A471" s="33" t="n">
        <v>29</v>
      </c>
      <c r="B471" s="34" t="str">
        <f aca="false">IFERROR(INDEX(Alunni!$C$1:$C$1000,MATCH($A471,Alunni!$A$1:$A$1000,0))&amp;"","")</f>
        <v/>
      </c>
      <c r="C471" s="15"/>
      <c r="D471" s="35"/>
      <c r="E471" s="36"/>
      <c r="F471" s="36"/>
      <c r="G471" s="36"/>
      <c r="H471" s="36"/>
      <c r="I471" s="39" t="str">
        <f aca="false">IF(COUNT(E471:H471)=0,"",ROUND(AVERAGE(E471:H471),0))</f>
        <v/>
      </c>
      <c r="J471" s="38" t="str">
        <f aca="false">IF(I471="","",LOOKUP(I471,Impostazioni!$E$4:$E$9,Impostazioni!$F$4:$F$9))</f>
        <v/>
      </c>
      <c r="K471" s="36"/>
      <c r="L471" s="36"/>
      <c r="M471" s="36"/>
      <c r="N471" s="36"/>
      <c r="O471" s="39" t="str">
        <f aca="false">IF(COUNT(K471:N471)=0,"",ROUND(AVERAGE(K471:N471),0))</f>
        <v/>
      </c>
      <c r="P471" s="38" t="str">
        <f aca="false">IF(O471="","",LOOKUP(O471,Impostazioni!$E$4:$E$9,Impostazioni!$F$4:$F$9))</f>
        <v/>
      </c>
      <c r="Q471" s="36"/>
      <c r="R471" s="36"/>
      <c r="S471" s="36"/>
      <c r="T471" s="36"/>
      <c r="U471" s="39" t="str">
        <f aca="false">IF(COUNT(Q471:T471)=0,"",ROUND(AVERAGE(Q471:T471),0))</f>
        <v/>
      </c>
      <c r="V471" s="38" t="str">
        <f aca="false">IF(U471="","",LOOKUP(U471,Impostazioni!$E$4:$E$9,Impostazioni!$F$4:$F$9))</f>
        <v/>
      </c>
      <c r="W471" s="36"/>
      <c r="X471" s="36"/>
      <c r="Y471" s="36"/>
      <c r="Z471" s="36"/>
      <c r="AA471" s="39" t="str">
        <f aca="false">IF(COUNT(W471:Z471)=0,"",ROUND(AVERAGE(W471:Z471),0))</f>
        <v/>
      </c>
      <c r="AB471" s="38" t="str">
        <f aca="false">IF(AA471="","",LOOKUP(AA471,Impostazioni!$E$4:$E$9,Impostazioni!$F$4:$F$9))</f>
        <v/>
      </c>
    </row>
    <row r="472" customFormat="false" ht="21" hidden="false" customHeight="true" outlineLevel="0" collapsed="false">
      <c r="A472" s="33" t="n">
        <v>30</v>
      </c>
      <c r="B472" s="34" t="str">
        <f aca="false">IFERROR(INDEX(Alunni!$C$1:$C$1000,MATCH($A472,Alunni!$A$1:$A$1000,0))&amp;"","")</f>
        <v/>
      </c>
      <c r="C472" s="15"/>
      <c r="D472" s="35"/>
      <c r="E472" s="36"/>
      <c r="F472" s="36"/>
      <c r="G472" s="36"/>
      <c r="H472" s="36"/>
      <c r="I472" s="39" t="str">
        <f aca="false">IF(COUNT(E472:H472)=0,"",ROUND(AVERAGE(E472:H472),0))</f>
        <v/>
      </c>
      <c r="J472" s="38" t="str">
        <f aca="false">IF(I472="","",LOOKUP(I472,Impostazioni!$E$4:$E$9,Impostazioni!$F$4:$F$9))</f>
        <v/>
      </c>
      <c r="K472" s="36"/>
      <c r="L472" s="36"/>
      <c r="M472" s="36"/>
      <c r="N472" s="36"/>
      <c r="O472" s="39" t="str">
        <f aca="false">IF(COUNT(K472:N472)=0,"",ROUND(AVERAGE(K472:N472),0))</f>
        <v/>
      </c>
      <c r="P472" s="38" t="str">
        <f aca="false">IF(O472="","",LOOKUP(O472,Impostazioni!$E$4:$E$9,Impostazioni!$F$4:$F$9))</f>
        <v/>
      </c>
      <c r="Q472" s="36"/>
      <c r="R472" s="36"/>
      <c r="S472" s="36"/>
      <c r="T472" s="36"/>
      <c r="U472" s="39" t="str">
        <f aca="false">IF(COUNT(Q472:T472)=0,"",ROUND(AVERAGE(Q472:T472),0))</f>
        <v/>
      </c>
      <c r="V472" s="38" t="str">
        <f aca="false">IF(U472="","",LOOKUP(U472,Impostazioni!$E$4:$E$9,Impostazioni!$F$4:$F$9))</f>
        <v/>
      </c>
      <c r="W472" s="36"/>
      <c r="X472" s="36"/>
      <c r="Y472" s="36"/>
      <c r="Z472" s="36"/>
      <c r="AA472" s="39" t="str">
        <f aca="false">IF(COUNT(W472:Z472)=0,"",ROUND(AVERAGE(W472:Z472),0))</f>
        <v/>
      </c>
      <c r="AB472" s="38" t="str">
        <f aca="false">IF(AA472="","",LOOKUP(AA472,Impostazioni!$E$4:$E$9,Impostazioni!$F$4:$F$9))</f>
        <v/>
      </c>
    </row>
    <row r="474" customFormat="false" ht="25.5" hidden="false" customHeight="true" outlineLevel="0" collapsed="false">
      <c r="A474" s="40" t="str">
        <f aca="false">Calendario!B20&amp;"   ·   "&amp;IF(Calendario!G20="","(descrizione da Calendario)",Calendario!G20)&amp;"   ·   "&amp;IF(Calendario!E20="","data da fissare",CHOOSE(WEEKDAY(Calendario!E20,2),"lunedì","martedì","mercoledì","giovedì","venerdì","sabato","domenica")&amp;" "&amp;TEXT(DAY(Calendario!E20),"00")&amp;"/"&amp;TEXT(MONTH(Calendario!E20),"00")&amp;"/"&amp;YEAR(Calendario!E20))</f>
        <v>Q2-G04   ·   (descrizione da Calendario)   ·   data da fissare</v>
      </c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</row>
    <row r="475" customFormat="false" ht="15" hidden="false" customHeight="true" outlineLevel="0" collapsed="false">
      <c r="A475" s="25" t="s">
        <v>80</v>
      </c>
      <c r="B475" s="25"/>
      <c r="C475" s="25"/>
      <c r="D475" s="25"/>
      <c r="E475" s="26" t="str">
        <f aca="false">IF(Calendario!$H$20="","— libero —",Calendario!$H$20&amp;"  "&amp;IFERROR(VLOOKUP(Calendario!$H$20,Impostazioni!$A$25:$J$36,3,FALSE()),""))</f>
        <v>— libero —</v>
      </c>
      <c r="F475" s="26"/>
      <c r="G475" s="26"/>
      <c r="H475" s="26"/>
      <c r="I475" s="26"/>
      <c r="J475" s="26"/>
      <c r="K475" s="26" t="str">
        <f aca="false">IF(Calendario!$I$20="","— libero —",Calendario!$I$20&amp;"  "&amp;IFERROR(VLOOKUP(Calendario!$I$20,Impostazioni!$A$25:$J$36,3,FALSE()),""))</f>
        <v>— libero —</v>
      </c>
      <c r="L475" s="26"/>
      <c r="M475" s="26"/>
      <c r="N475" s="26"/>
      <c r="O475" s="26"/>
      <c r="P475" s="26"/>
      <c r="Q475" s="26" t="str">
        <f aca="false">IF(Calendario!$J$20="","— libero —",Calendario!$J$20&amp;"  "&amp;IFERROR(VLOOKUP(Calendario!$J$20,Impostazioni!$A$25:$J$36,3,FALSE()),""))</f>
        <v>— libero —</v>
      </c>
      <c r="R475" s="26"/>
      <c r="S475" s="26"/>
      <c r="T475" s="26"/>
      <c r="U475" s="26"/>
      <c r="V475" s="26"/>
      <c r="W475" s="26" t="str">
        <f aca="false">IF(Calendario!$K$20="","— libero —",Calendario!$K$20&amp;"  "&amp;IFERROR(VLOOKUP(Calendario!$K$20,Impostazioni!$A$25:$J$36,3,FALSE()),""))</f>
        <v>— libero —</v>
      </c>
      <c r="X475" s="26"/>
      <c r="Y475" s="26"/>
      <c r="Z475" s="26"/>
      <c r="AA475" s="26"/>
      <c r="AB475" s="26"/>
    </row>
    <row r="476" customFormat="false" ht="15" hidden="false" customHeight="true" outlineLevel="0" collapsed="false">
      <c r="A476" s="25" t="s">
        <v>81</v>
      </c>
      <c r="B476" s="25"/>
      <c r="C476" s="25"/>
      <c r="D476" s="25"/>
      <c r="E476" s="27" t="str">
        <f aca="false">IF(Calendario!$H$20="","","Ob. "&amp;IFERROR(VLOOKUP(Calendario!$H$20,Impostazioni!$A$25:$J$36,6,FALSE()),"?")&amp;" · peso "&amp;IF(Calendario!$F$20=2,Impostazioni!$B$11,Impostazioni!$B$10))</f>
        <v/>
      </c>
      <c r="F476" s="27"/>
      <c r="G476" s="27"/>
      <c r="H476" s="27"/>
      <c r="I476" s="27"/>
      <c r="J476" s="27"/>
      <c r="K476" s="27" t="str">
        <f aca="false">IF(Calendario!$I$20="","","Ob. "&amp;IFERROR(VLOOKUP(Calendario!$I$20,Impostazioni!$A$25:$J$36,6,FALSE()),"?")&amp;" · peso "&amp;IF(Calendario!$F$20=2,Impostazioni!$B$11,Impostazioni!$B$10))</f>
        <v/>
      </c>
      <c r="L476" s="27"/>
      <c r="M476" s="27"/>
      <c r="N476" s="27"/>
      <c r="O476" s="27"/>
      <c r="P476" s="27"/>
      <c r="Q476" s="27" t="str">
        <f aca="false">IF(Calendario!$J$20="","","Ob. "&amp;IFERROR(VLOOKUP(Calendario!$J$20,Impostazioni!$A$25:$J$36,6,FALSE()),"?")&amp;" · peso "&amp;IF(Calendario!$F$20=2,Impostazioni!$B$11,Impostazioni!$B$10))</f>
        <v/>
      </c>
      <c r="R476" s="27"/>
      <c r="S476" s="27"/>
      <c r="T476" s="27"/>
      <c r="U476" s="27"/>
      <c r="V476" s="27"/>
      <c r="W476" s="27" t="str">
        <f aca="false">IF(Calendario!$K$20="","","Ob. "&amp;IFERROR(VLOOKUP(Calendario!$K$20,Impostazioni!$A$25:$J$36,6,FALSE()),"?")&amp;" · peso "&amp;IF(Calendario!$F$20=2,Impostazioni!$B$11,Impostazioni!$B$10))</f>
        <v/>
      </c>
      <c r="X476" s="27"/>
      <c r="Y476" s="27"/>
      <c r="Z476" s="27"/>
      <c r="AA476" s="27"/>
      <c r="AB476" s="27"/>
    </row>
    <row r="477" customFormat="false" ht="33.75" hidden="false" customHeight="true" outlineLevel="0" collapsed="false">
      <c r="A477" s="25" t="s">
        <v>82</v>
      </c>
      <c r="B477" s="25"/>
      <c r="C477" s="25"/>
      <c r="D477" s="25"/>
      <c r="E477" s="28" t="str">
        <f aca="false">IF(Calendario!$H$20="","",IFERROR(HYPERLINK("#Rubriche!C"&amp;(MATCH(Calendario!$H$20,Rubriche!$A$1:$A$1000,0)+0),VLOOKUP(Calendario!$H$20,Impostazioni!$A$25:$J$36,7,FALSE())),""))</f>
        <v/>
      </c>
      <c r="F477" s="28" t="str">
        <f aca="false">IF(Calendario!$H$20="","",IFERROR(HYPERLINK("#Rubriche!C"&amp;(MATCH(Calendario!$H$20,Rubriche!$A$1:$A$1000,0)+1),VLOOKUP(Calendario!$H$20,Impostazioni!$A$25:$J$36,8,FALSE())),""))</f>
        <v/>
      </c>
      <c r="G477" s="28" t="str">
        <f aca="false">IF(Calendario!$H$20="","",IFERROR(HYPERLINK("#Rubriche!C"&amp;(MATCH(Calendario!$H$20,Rubriche!$A$1:$A$1000,0)+2),VLOOKUP(Calendario!$H$20,Impostazioni!$A$25:$J$36,9,FALSE())),""))</f>
        <v/>
      </c>
      <c r="H477" s="28" t="str">
        <f aca="false">IF(Calendario!$H$20="","",IFERROR(HYPERLINK("#Rubriche!C"&amp;(MATCH(Calendario!$H$20,Rubriche!$A$1:$A$1000,0)+3),VLOOKUP(Calendario!$H$20,Impostazioni!$A$25:$J$36,10,FALSE())),""))</f>
        <v/>
      </c>
      <c r="I477" s="29"/>
      <c r="J477" s="29"/>
      <c r="K477" s="28" t="str">
        <f aca="false">IF(Calendario!$I$20="","",IFERROR(HYPERLINK("#Rubriche!C"&amp;(MATCH(Calendario!$I$20,Rubriche!$A$1:$A$1000,0)+0),VLOOKUP(Calendario!$I$20,Impostazioni!$A$25:$J$36,7,FALSE())),""))</f>
        <v/>
      </c>
      <c r="L477" s="28" t="str">
        <f aca="false">IF(Calendario!$I$20="","",IFERROR(HYPERLINK("#Rubriche!C"&amp;(MATCH(Calendario!$I$20,Rubriche!$A$1:$A$1000,0)+1),VLOOKUP(Calendario!$I$20,Impostazioni!$A$25:$J$36,8,FALSE())),""))</f>
        <v/>
      </c>
      <c r="M477" s="28" t="str">
        <f aca="false">IF(Calendario!$I$20="","",IFERROR(HYPERLINK("#Rubriche!C"&amp;(MATCH(Calendario!$I$20,Rubriche!$A$1:$A$1000,0)+2),VLOOKUP(Calendario!$I$20,Impostazioni!$A$25:$J$36,9,FALSE())),""))</f>
        <v/>
      </c>
      <c r="N477" s="28" t="str">
        <f aca="false">IF(Calendario!$I$20="","",IFERROR(HYPERLINK("#Rubriche!C"&amp;(MATCH(Calendario!$I$20,Rubriche!$A$1:$A$1000,0)+3),VLOOKUP(Calendario!$I$20,Impostazioni!$A$25:$J$36,10,FALSE())),""))</f>
        <v/>
      </c>
      <c r="O477" s="29"/>
      <c r="P477" s="29"/>
      <c r="Q477" s="28" t="str">
        <f aca="false">IF(Calendario!$J$20="","",IFERROR(HYPERLINK("#Rubriche!C"&amp;(MATCH(Calendario!$J$20,Rubriche!$A$1:$A$1000,0)+0),VLOOKUP(Calendario!$J$20,Impostazioni!$A$25:$J$36,7,FALSE())),""))</f>
        <v/>
      </c>
      <c r="R477" s="28" t="str">
        <f aca="false">IF(Calendario!$J$20="","",IFERROR(HYPERLINK("#Rubriche!C"&amp;(MATCH(Calendario!$J$20,Rubriche!$A$1:$A$1000,0)+1),VLOOKUP(Calendario!$J$20,Impostazioni!$A$25:$J$36,8,FALSE())),""))</f>
        <v/>
      </c>
      <c r="S477" s="28" t="str">
        <f aca="false">IF(Calendario!$J$20="","",IFERROR(HYPERLINK("#Rubriche!C"&amp;(MATCH(Calendario!$J$20,Rubriche!$A$1:$A$1000,0)+2),VLOOKUP(Calendario!$J$20,Impostazioni!$A$25:$J$36,9,FALSE())),""))</f>
        <v/>
      </c>
      <c r="T477" s="28" t="str">
        <f aca="false">IF(Calendario!$J$20="","",IFERROR(HYPERLINK("#Rubriche!C"&amp;(MATCH(Calendario!$J$20,Rubriche!$A$1:$A$1000,0)+3),VLOOKUP(Calendario!$J$20,Impostazioni!$A$25:$J$36,10,FALSE())),""))</f>
        <v/>
      </c>
      <c r="U477" s="29"/>
      <c r="V477" s="29"/>
      <c r="W477" s="28" t="str">
        <f aca="false">IF(Calendario!$K$20="","",IFERROR(HYPERLINK("#Rubriche!C"&amp;(MATCH(Calendario!$K$20,Rubriche!$A$1:$A$1000,0)+0),VLOOKUP(Calendario!$K$20,Impostazioni!$A$25:$J$36,7,FALSE())),""))</f>
        <v/>
      </c>
      <c r="X477" s="28" t="str">
        <f aca="false">IF(Calendario!$K$20="","",IFERROR(HYPERLINK("#Rubriche!C"&amp;(MATCH(Calendario!$K$20,Rubriche!$A$1:$A$1000,0)+1),VLOOKUP(Calendario!$K$20,Impostazioni!$A$25:$J$36,8,FALSE())),""))</f>
        <v/>
      </c>
      <c r="Y477" s="28" t="str">
        <f aca="false">IF(Calendario!$K$20="","",IFERROR(HYPERLINK("#Rubriche!C"&amp;(MATCH(Calendario!$K$20,Rubriche!$A$1:$A$1000,0)+2),VLOOKUP(Calendario!$K$20,Impostazioni!$A$25:$J$36,9,FALSE())),""))</f>
        <v/>
      </c>
      <c r="Z477" s="28" t="str">
        <f aca="false">IF(Calendario!$K$20="","",IFERROR(HYPERLINK("#Rubriche!C"&amp;(MATCH(Calendario!$K$20,Rubriche!$A$1:$A$1000,0)+3),VLOOKUP(Calendario!$K$20,Impostazioni!$A$25:$J$36,10,FALSE())),""))</f>
        <v/>
      </c>
      <c r="AA477" s="29"/>
      <c r="AB477" s="29"/>
    </row>
    <row r="478" customFormat="false" ht="25.5" hidden="false" customHeight="true" outlineLevel="0" collapsed="false">
      <c r="A478" s="8" t="s">
        <v>65</v>
      </c>
      <c r="B478" s="8" t="s">
        <v>83</v>
      </c>
      <c r="C478" s="8" t="s">
        <v>68</v>
      </c>
      <c r="D478" s="8" t="s">
        <v>84</v>
      </c>
      <c r="E478" s="30" t="s">
        <v>85</v>
      </c>
      <c r="F478" s="30" t="s">
        <v>86</v>
      </c>
      <c r="G478" s="30" t="s">
        <v>87</v>
      </c>
      <c r="H478" s="30" t="s">
        <v>88</v>
      </c>
      <c r="I478" s="31" t="s">
        <v>89</v>
      </c>
      <c r="J478" s="32" t="s">
        <v>90</v>
      </c>
      <c r="K478" s="30" t="s">
        <v>85</v>
      </c>
      <c r="L478" s="30" t="s">
        <v>86</v>
      </c>
      <c r="M478" s="30" t="s">
        <v>87</v>
      </c>
      <c r="N478" s="30" t="s">
        <v>88</v>
      </c>
      <c r="O478" s="31" t="s">
        <v>89</v>
      </c>
      <c r="P478" s="32" t="s">
        <v>90</v>
      </c>
      <c r="Q478" s="30" t="s">
        <v>85</v>
      </c>
      <c r="R478" s="30" t="s">
        <v>86</v>
      </c>
      <c r="S478" s="30" t="s">
        <v>87</v>
      </c>
      <c r="T478" s="30" t="s">
        <v>88</v>
      </c>
      <c r="U478" s="31" t="s">
        <v>89</v>
      </c>
      <c r="V478" s="32" t="s">
        <v>90</v>
      </c>
      <c r="W478" s="30" t="s">
        <v>85</v>
      </c>
      <c r="X478" s="30" t="s">
        <v>86</v>
      </c>
      <c r="Y478" s="30" t="s">
        <v>87</v>
      </c>
      <c r="Z478" s="30" t="s">
        <v>88</v>
      </c>
      <c r="AA478" s="31" t="s">
        <v>89</v>
      </c>
      <c r="AB478" s="32" t="s">
        <v>90</v>
      </c>
    </row>
    <row r="479" customFormat="false" ht="21" hidden="false" customHeight="true" outlineLevel="0" collapsed="false">
      <c r="A479" s="33" t="n">
        <v>1</v>
      </c>
      <c r="B479" s="34" t="str">
        <f aca="false">IFERROR(INDEX(Alunni!$C$1:$C$1000,MATCH($A479,Alunni!$A$1:$A$1000,0))&amp;"","")</f>
        <v>Rossi Mario (esempio)</v>
      </c>
      <c r="C479" s="15"/>
      <c r="D479" s="35"/>
      <c r="E479" s="36"/>
      <c r="F479" s="36"/>
      <c r="G479" s="36"/>
      <c r="H479" s="36"/>
      <c r="I479" s="39" t="str">
        <f aca="false">IF(COUNT(E479:H479)=0,"",ROUND(AVERAGE(E479:H479),0))</f>
        <v/>
      </c>
      <c r="J479" s="38" t="str">
        <f aca="false">IF(I479="","",LOOKUP(I479,Impostazioni!$E$4:$E$9,Impostazioni!$F$4:$F$9))</f>
        <v/>
      </c>
      <c r="K479" s="36"/>
      <c r="L479" s="36"/>
      <c r="M479" s="36"/>
      <c r="N479" s="36"/>
      <c r="O479" s="39" t="str">
        <f aca="false">IF(COUNT(K479:N479)=0,"",ROUND(AVERAGE(K479:N479),0))</f>
        <v/>
      </c>
      <c r="P479" s="38" t="str">
        <f aca="false">IF(O479="","",LOOKUP(O479,Impostazioni!$E$4:$E$9,Impostazioni!$F$4:$F$9))</f>
        <v/>
      </c>
      <c r="Q479" s="36"/>
      <c r="R479" s="36"/>
      <c r="S479" s="36"/>
      <c r="T479" s="36"/>
      <c r="U479" s="39" t="str">
        <f aca="false">IF(COUNT(Q479:T479)=0,"",ROUND(AVERAGE(Q479:T479),0))</f>
        <v/>
      </c>
      <c r="V479" s="38" t="str">
        <f aca="false">IF(U479="","",LOOKUP(U479,Impostazioni!$E$4:$E$9,Impostazioni!$F$4:$F$9))</f>
        <v/>
      </c>
      <c r="W479" s="36"/>
      <c r="X479" s="36"/>
      <c r="Y479" s="36"/>
      <c r="Z479" s="36"/>
      <c r="AA479" s="39" t="str">
        <f aca="false">IF(COUNT(W479:Z479)=0,"",ROUND(AVERAGE(W479:Z479),0))</f>
        <v/>
      </c>
      <c r="AB479" s="38" t="str">
        <f aca="false">IF(AA479="","",LOOKUP(AA479,Impostazioni!$E$4:$E$9,Impostazioni!$F$4:$F$9))</f>
        <v/>
      </c>
    </row>
    <row r="480" customFormat="false" ht="21" hidden="false" customHeight="true" outlineLevel="0" collapsed="false">
      <c r="A480" s="33" t="n">
        <v>2</v>
      </c>
      <c r="B480" s="34" t="str">
        <f aca="false">IFERROR(INDEX(Alunni!$C$1:$C$1000,MATCH($A480,Alunni!$A$1:$A$1000,0))&amp;"","")</f>
        <v>Bianchi Anna (esempio)</v>
      </c>
      <c r="C480" s="15"/>
      <c r="D480" s="35"/>
      <c r="E480" s="36"/>
      <c r="F480" s="36"/>
      <c r="G480" s="36"/>
      <c r="H480" s="36"/>
      <c r="I480" s="39" t="str">
        <f aca="false">IF(COUNT(E480:H480)=0,"",ROUND(AVERAGE(E480:H480),0))</f>
        <v/>
      </c>
      <c r="J480" s="38" t="str">
        <f aca="false">IF(I480="","",LOOKUP(I480,Impostazioni!$E$4:$E$9,Impostazioni!$F$4:$F$9))</f>
        <v/>
      </c>
      <c r="K480" s="36"/>
      <c r="L480" s="36"/>
      <c r="M480" s="36"/>
      <c r="N480" s="36"/>
      <c r="O480" s="39" t="str">
        <f aca="false">IF(COUNT(K480:N480)=0,"",ROUND(AVERAGE(K480:N480),0))</f>
        <v/>
      </c>
      <c r="P480" s="38" t="str">
        <f aca="false">IF(O480="","",LOOKUP(O480,Impostazioni!$E$4:$E$9,Impostazioni!$F$4:$F$9))</f>
        <v/>
      </c>
      <c r="Q480" s="36"/>
      <c r="R480" s="36"/>
      <c r="S480" s="36"/>
      <c r="T480" s="36"/>
      <c r="U480" s="39" t="str">
        <f aca="false">IF(COUNT(Q480:T480)=0,"",ROUND(AVERAGE(Q480:T480),0))</f>
        <v/>
      </c>
      <c r="V480" s="38" t="str">
        <f aca="false">IF(U480="","",LOOKUP(U480,Impostazioni!$E$4:$E$9,Impostazioni!$F$4:$F$9))</f>
        <v/>
      </c>
      <c r="W480" s="36"/>
      <c r="X480" s="36"/>
      <c r="Y480" s="36"/>
      <c r="Z480" s="36"/>
      <c r="AA480" s="39" t="str">
        <f aca="false">IF(COUNT(W480:Z480)=0,"",ROUND(AVERAGE(W480:Z480),0))</f>
        <v/>
      </c>
      <c r="AB480" s="38" t="str">
        <f aca="false">IF(AA480="","",LOOKUP(AA480,Impostazioni!$E$4:$E$9,Impostazioni!$F$4:$F$9))</f>
        <v/>
      </c>
    </row>
    <row r="481" customFormat="false" ht="21" hidden="false" customHeight="true" outlineLevel="0" collapsed="false">
      <c r="A481" s="33" t="n">
        <v>3</v>
      </c>
      <c r="B481" s="34" t="str">
        <f aca="false">IFERROR(INDEX(Alunni!$C$1:$C$1000,MATCH($A481,Alunni!$A$1:$A$1000,0))&amp;"","")</f>
        <v>Verdi Luca (esempio)</v>
      </c>
      <c r="C481" s="15"/>
      <c r="D481" s="35"/>
      <c r="E481" s="36"/>
      <c r="F481" s="36"/>
      <c r="G481" s="36"/>
      <c r="H481" s="36"/>
      <c r="I481" s="39" t="str">
        <f aca="false">IF(COUNT(E481:H481)=0,"",ROUND(AVERAGE(E481:H481),0))</f>
        <v/>
      </c>
      <c r="J481" s="38" t="str">
        <f aca="false">IF(I481="","",LOOKUP(I481,Impostazioni!$E$4:$E$9,Impostazioni!$F$4:$F$9))</f>
        <v/>
      </c>
      <c r="K481" s="36"/>
      <c r="L481" s="36"/>
      <c r="M481" s="36"/>
      <c r="N481" s="36"/>
      <c r="O481" s="39" t="str">
        <f aca="false">IF(COUNT(K481:N481)=0,"",ROUND(AVERAGE(K481:N481),0))</f>
        <v/>
      </c>
      <c r="P481" s="38" t="str">
        <f aca="false">IF(O481="","",LOOKUP(O481,Impostazioni!$E$4:$E$9,Impostazioni!$F$4:$F$9))</f>
        <v/>
      </c>
      <c r="Q481" s="36"/>
      <c r="R481" s="36"/>
      <c r="S481" s="36"/>
      <c r="T481" s="36"/>
      <c r="U481" s="39" t="str">
        <f aca="false">IF(COUNT(Q481:T481)=0,"",ROUND(AVERAGE(Q481:T481),0))</f>
        <v/>
      </c>
      <c r="V481" s="38" t="str">
        <f aca="false">IF(U481="","",LOOKUP(U481,Impostazioni!$E$4:$E$9,Impostazioni!$F$4:$F$9))</f>
        <v/>
      </c>
      <c r="W481" s="36"/>
      <c r="X481" s="36"/>
      <c r="Y481" s="36"/>
      <c r="Z481" s="36"/>
      <c r="AA481" s="39" t="str">
        <f aca="false">IF(COUNT(W481:Z481)=0,"",ROUND(AVERAGE(W481:Z481),0))</f>
        <v/>
      </c>
      <c r="AB481" s="38" t="str">
        <f aca="false">IF(AA481="","",LOOKUP(AA481,Impostazioni!$E$4:$E$9,Impostazioni!$F$4:$F$9))</f>
        <v/>
      </c>
    </row>
    <row r="482" customFormat="false" ht="21" hidden="false" customHeight="true" outlineLevel="0" collapsed="false">
      <c r="A482" s="33" t="n">
        <v>4</v>
      </c>
      <c r="B482" s="34" t="str">
        <f aca="false">IFERROR(INDEX(Alunni!$C$1:$C$1000,MATCH($A482,Alunni!$A$1:$A$1000,0))&amp;"","")</f>
        <v/>
      </c>
      <c r="C482" s="15"/>
      <c r="D482" s="35"/>
      <c r="E482" s="36"/>
      <c r="F482" s="36"/>
      <c r="G482" s="36"/>
      <c r="H482" s="36"/>
      <c r="I482" s="39" t="str">
        <f aca="false">IF(COUNT(E482:H482)=0,"",ROUND(AVERAGE(E482:H482),0))</f>
        <v/>
      </c>
      <c r="J482" s="38" t="str">
        <f aca="false">IF(I482="","",LOOKUP(I482,Impostazioni!$E$4:$E$9,Impostazioni!$F$4:$F$9))</f>
        <v/>
      </c>
      <c r="K482" s="36"/>
      <c r="L482" s="36"/>
      <c r="M482" s="36"/>
      <c r="N482" s="36"/>
      <c r="O482" s="39" t="str">
        <f aca="false">IF(COUNT(K482:N482)=0,"",ROUND(AVERAGE(K482:N482),0))</f>
        <v/>
      </c>
      <c r="P482" s="38" t="str">
        <f aca="false">IF(O482="","",LOOKUP(O482,Impostazioni!$E$4:$E$9,Impostazioni!$F$4:$F$9))</f>
        <v/>
      </c>
      <c r="Q482" s="36"/>
      <c r="R482" s="36"/>
      <c r="S482" s="36"/>
      <c r="T482" s="36"/>
      <c r="U482" s="39" t="str">
        <f aca="false">IF(COUNT(Q482:T482)=0,"",ROUND(AVERAGE(Q482:T482),0))</f>
        <v/>
      </c>
      <c r="V482" s="38" t="str">
        <f aca="false">IF(U482="","",LOOKUP(U482,Impostazioni!$E$4:$E$9,Impostazioni!$F$4:$F$9))</f>
        <v/>
      </c>
      <c r="W482" s="36"/>
      <c r="X482" s="36"/>
      <c r="Y482" s="36"/>
      <c r="Z482" s="36"/>
      <c r="AA482" s="39" t="str">
        <f aca="false">IF(COUNT(W482:Z482)=0,"",ROUND(AVERAGE(W482:Z482),0))</f>
        <v/>
      </c>
      <c r="AB482" s="38" t="str">
        <f aca="false">IF(AA482="","",LOOKUP(AA482,Impostazioni!$E$4:$E$9,Impostazioni!$F$4:$F$9))</f>
        <v/>
      </c>
    </row>
    <row r="483" customFormat="false" ht="21" hidden="false" customHeight="true" outlineLevel="0" collapsed="false">
      <c r="A483" s="33" t="n">
        <v>5</v>
      </c>
      <c r="B483" s="34" t="str">
        <f aca="false">IFERROR(INDEX(Alunni!$C$1:$C$1000,MATCH($A483,Alunni!$A$1:$A$1000,0))&amp;"","")</f>
        <v/>
      </c>
      <c r="C483" s="15"/>
      <c r="D483" s="35"/>
      <c r="E483" s="36"/>
      <c r="F483" s="36"/>
      <c r="G483" s="36"/>
      <c r="H483" s="36"/>
      <c r="I483" s="39" t="str">
        <f aca="false">IF(COUNT(E483:H483)=0,"",ROUND(AVERAGE(E483:H483),0))</f>
        <v/>
      </c>
      <c r="J483" s="38" t="str">
        <f aca="false">IF(I483="","",LOOKUP(I483,Impostazioni!$E$4:$E$9,Impostazioni!$F$4:$F$9))</f>
        <v/>
      </c>
      <c r="K483" s="36"/>
      <c r="L483" s="36"/>
      <c r="M483" s="36"/>
      <c r="N483" s="36"/>
      <c r="O483" s="39" t="str">
        <f aca="false">IF(COUNT(K483:N483)=0,"",ROUND(AVERAGE(K483:N483),0))</f>
        <v/>
      </c>
      <c r="P483" s="38" t="str">
        <f aca="false">IF(O483="","",LOOKUP(O483,Impostazioni!$E$4:$E$9,Impostazioni!$F$4:$F$9))</f>
        <v/>
      </c>
      <c r="Q483" s="36"/>
      <c r="R483" s="36"/>
      <c r="S483" s="36"/>
      <c r="T483" s="36"/>
      <c r="U483" s="39" t="str">
        <f aca="false">IF(COUNT(Q483:T483)=0,"",ROUND(AVERAGE(Q483:T483),0))</f>
        <v/>
      </c>
      <c r="V483" s="38" t="str">
        <f aca="false">IF(U483="","",LOOKUP(U483,Impostazioni!$E$4:$E$9,Impostazioni!$F$4:$F$9))</f>
        <v/>
      </c>
      <c r="W483" s="36"/>
      <c r="X483" s="36"/>
      <c r="Y483" s="36"/>
      <c r="Z483" s="36"/>
      <c r="AA483" s="39" t="str">
        <f aca="false">IF(COUNT(W483:Z483)=0,"",ROUND(AVERAGE(W483:Z483),0))</f>
        <v/>
      </c>
      <c r="AB483" s="38" t="str">
        <f aca="false">IF(AA483="","",LOOKUP(AA483,Impostazioni!$E$4:$E$9,Impostazioni!$F$4:$F$9))</f>
        <v/>
      </c>
    </row>
    <row r="484" customFormat="false" ht="21" hidden="false" customHeight="true" outlineLevel="0" collapsed="false">
      <c r="A484" s="33" t="n">
        <v>6</v>
      </c>
      <c r="B484" s="34" t="str">
        <f aca="false">IFERROR(INDEX(Alunni!$C$1:$C$1000,MATCH($A484,Alunni!$A$1:$A$1000,0))&amp;"","")</f>
        <v/>
      </c>
      <c r="C484" s="15"/>
      <c r="D484" s="35"/>
      <c r="E484" s="36"/>
      <c r="F484" s="36"/>
      <c r="G484" s="36"/>
      <c r="H484" s="36"/>
      <c r="I484" s="39" t="str">
        <f aca="false">IF(COUNT(E484:H484)=0,"",ROUND(AVERAGE(E484:H484),0))</f>
        <v/>
      </c>
      <c r="J484" s="38" t="str">
        <f aca="false">IF(I484="","",LOOKUP(I484,Impostazioni!$E$4:$E$9,Impostazioni!$F$4:$F$9))</f>
        <v/>
      </c>
      <c r="K484" s="36"/>
      <c r="L484" s="36"/>
      <c r="M484" s="36"/>
      <c r="N484" s="36"/>
      <c r="O484" s="39" t="str">
        <f aca="false">IF(COUNT(K484:N484)=0,"",ROUND(AVERAGE(K484:N484),0))</f>
        <v/>
      </c>
      <c r="P484" s="38" t="str">
        <f aca="false">IF(O484="","",LOOKUP(O484,Impostazioni!$E$4:$E$9,Impostazioni!$F$4:$F$9))</f>
        <v/>
      </c>
      <c r="Q484" s="36"/>
      <c r="R484" s="36"/>
      <c r="S484" s="36"/>
      <c r="T484" s="36"/>
      <c r="U484" s="39" t="str">
        <f aca="false">IF(COUNT(Q484:T484)=0,"",ROUND(AVERAGE(Q484:T484),0))</f>
        <v/>
      </c>
      <c r="V484" s="38" t="str">
        <f aca="false">IF(U484="","",LOOKUP(U484,Impostazioni!$E$4:$E$9,Impostazioni!$F$4:$F$9))</f>
        <v/>
      </c>
      <c r="W484" s="36"/>
      <c r="X484" s="36"/>
      <c r="Y484" s="36"/>
      <c r="Z484" s="36"/>
      <c r="AA484" s="39" t="str">
        <f aca="false">IF(COUNT(W484:Z484)=0,"",ROUND(AVERAGE(W484:Z484),0))</f>
        <v/>
      </c>
      <c r="AB484" s="38" t="str">
        <f aca="false">IF(AA484="","",LOOKUP(AA484,Impostazioni!$E$4:$E$9,Impostazioni!$F$4:$F$9))</f>
        <v/>
      </c>
    </row>
    <row r="485" customFormat="false" ht="21" hidden="false" customHeight="true" outlineLevel="0" collapsed="false">
      <c r="A485" s="33" t="n">
        <v>7</v>
      </c>
      <c r="B485" s="34" t="str">
        <f aca="false">IFERROR(INDEX(Alunni!$C$1:$C$1000,MATCH($A485,Alunni!$A$1:$A$1000,0))&amp;"","")</f>
        <v/>
      </c>
      <c r="C485" s="15"/>
      <c r="D485" s="35"/>
      <c r="E485" s="36"/>
      <c r="F485" s="36"/>
      <c r="G485" s="36"/>
      <c r="H485" s="36"/>
      <c r="I485" s="39" t="str">
        <f aca="false">IF(COUNT(E485:H485)=0,"",ROUND(AVERAGE(E485:H485),0))</f>
        <v/>
      </c>
      <c r="J485" s="38" t="str">
        <f aca="false">IF(I485="","",LOOKUP(I485,Impostazioni!$E$4:$E$9,Impostazioni!$F$4:$F$9))</f>
        <v/>
      </c>
      <c r="K485" s="36"/>
      <c r="L485" s="36"/>
      <c r="M485" s="36"/>
      <c r="N485" s="36"/>
      <c r="O485" s="39" t="str">
        <f aca="false">IF(COUNT(K485:N485)=0,"",ROUND(AVERAGE(K485:N485),0))</f>
        <v/>
      </c>
      <c r="P485" s="38" t="str">
        <f aca="false">IF(O485="","",LOOKUP(O485,Impostazioni!$E$4:$E$9,Impostazioni!$F$4:$F$9))</f>
        <v/>
      </c>
      <c r="Q485" s="36"/>
      <c r="R485" s="36"/>
      <c r="S485" s="36"/>
      <c r="T485" s="36"/>
      <c r="U485" s="39" t="str">
        <f aca="false">IF(COUNT(Q485:T485)=0,"",ROUND(AVERAGE(Q485:T485),0))</f>
        <v/>
      </c>
      <c r="V485" s="38" t="str">
        <f aca="false">IF(U485="","",LOOKUP(U485,Impostazioni!$E$4:$E$9,Impostazioni!$F$4:$F$9))</f>
        <v/>
      </c>
      <c r="W485" s="36"/>
      <c r="X485" s="36"/>
      <c r="Y485" s="36"/>
      <c r="Z485" s="36"/>
      <c r="AA485" s="39" t="str">
        <f aca="false">IF(COUNT(W485:Z485)=0,"",ROUND(AVERAGE(W485:Z485),0))</f>
        <v/>
      </c>
      <c r="AB485" s="38" t="str">
        <f aca="false">IF(AA485="","",LOOKUP(AA485,Impostazioni!$E$4:$E$9,Impostazioni!$F$4:$F$9))</f>
        <v/>
      </c>
    </row>
    <row r="486" customFormat="false" ht="21" hidden="false" customHeight="true" outlineLevel="0" collapsed="false">
      <c r="A486" s="33" t="n">
        <v>8</v>
      </c>
      <c r="B486" s="34" t="str">
        <f aca="false">IFERROR(INDEX(Alunni!$C$1:$C$1000,MATCH($A486,Alunni!$A$1:$A$1000,0))&amp;"","")</f>
        <v/>
      </c>
      <c r="C486" s="15"/>
      <c r="D486" s="35"/>
      <c r="E486" s="36"/>
      <c r="F486" s="36"/>
      <c r="G486" s="36"/>
      <c r="H486" s="36"/>
      <c r="I486" s="39" t="str">
        <f aca="false">IF(COUNT(E486:H486)=0,"",ROUND(AVERAGE(E486:H486),0))</f>
        <v/>
      </c>
      <c r="J486" s="38" t="str">
        <f aca="false">IF(I486="","",LOOKUP(I486,Impostazioni!$E$4:$E$9,Impostazioni!$F$4:$F$9))</f>
        <v/>
      </c>
      <c r="K486" s="36"/>
      <c r="L486" s="36"/>
      <c r="M486" s="36"/>
      <c r="N486" s="36"/>
      <c r="O486" s="39" t="str">
        <f aca="false">IF(COUNT(K486:N486)=0,"",ROUND(AVERAGE(K486:N486),0))</f>
        <v/>
      </c>
      <c r="P486" s="38" t="str">
        <f aca="false">IF(O486="","",LOOKUP(O486,Impostazioni!$E$4:$E$9,Impostazioni!$F$4:$F$9))</f>
        <v/>
      </c>
      <c r="Q486" s="36"/>
      <c r="R486" s="36"/>
      <c r="S486" s="36"/>
      <c r="T486" s="36"/>
      <c r="U486" s="39" t="str">
        <f aca="false">IF(COUNT(Q486:T486)=0,"",ROUND(AVERAGE(Q486:T486),0))</f>
        <v/>
      </c>
      <c r="V486" s="38" t="str">
        <f aca="false">IF(U486="","",LOOKUP(U486,Impostazioni!$E$4:$E$9,Impostazioni!$F$4:$F$9))</f>
        <v/>
      </c>
      <c r="W486" s="36"/>
      <c r="X486" s="36"/>
      <c r="Y486" s="36"/>
      <c r="Z486" s="36"/>
      <c r="AA486" s="39" t="str">
        <f aca="false">IF(COUNT(W486:Z486)=0,"",ROUND(AVERAGE(W486:Z486),0))</f>
        <v/>
      </c>
      <c r="AB486" s="38" t="str">
        <f aca="false">IF(AA486="","",LOOKUP(AA486,Impostazioni!$E$4:$E$9,Impostazioni!$F$4:$F$9))</f>
        <v/>
      </c>
    </row>
    <row r="487" customFormat="false" ht="21" hidden="false" customHeight="true" outlineLevel="0" collapsed="false">
      <c r="A487" s="33" t="n">
        <v>9</v>
      </c>
      <c r="B487" s="34" t="str">
        <f aca="false">IFERROR(INDEX(Alunni!$C$1:$C$1000,MATCH($A487,Alunni!$A$1:$A$1000,0))&amp;"","")</f>
        <v/>
      </c>
      <c r="C487" s="15"/>
      <c r="D487" s="35"/>
      <c r="E487" s="36"/>
      <c r="F487" s="36"/>
      <c r="G487" s="36"/>
      <c r="H487" s="36"/>
      <c r="I487" s="39" t="str">
        <f aca="false">IF(COUNT(E487:H487)=0,"",ROUND(AVERAGE(E487:H487),0))</f>
        <v/>
      </c>
      <c r="J487" s="38" t="str">
        <f aca="false">IF(I487="","",LOOKUP(I487,Impostazioni!$E$4:$E$9,Impostazioni!$F$4:$F$9))</f>
        <v/>
      </c>
      <c r="K487" s="36"/>
      <c r="L487" s="36"/>
      <c r="M487" s="36"/>
      <c r="N487" s="36"/>
      <c r="O487" s="39" t="str">
        <f aca="false">IF(COUNT(K487:N487)=0,"",ROUND(AVERAGE(K487:N487),0))</f>
        <v/>
      </c>
      <c r="P487" s="38" t="str">
        <f aca="false">IF(O487="","",LOOKUP(O487,Impostazioni!$E$4:$E$9,Impostazioni!$F$4:$F$9))</f>
        <v/>
      </c>
      <c r="Q487" s="36"/>
      <c r="R487" s="36"/>
      <c r="S487" s="36"/>
      <c r="T487" s="36"/>
      <c r="U487" s="39" t="str">
        <f aca="false">IF(COUNT(Q487:T487)=0,"",ROUND(AVERAGE(Q487:T487),0))</f>
        <v/>
      </c>
      <c r="V487" s="38" t="str">
        <f aca="false">IF(U487="","",LOOKUP(U487,Impostazioni!$E$4:$E$9,Impostazioni!$F$4:$F$9))</f>
        <v/>
      </c>
      <c r="W487" s="36"/>
      <c r="X487" s="36"/>
      <c r="Y487" s="36"/>
      <c r="Z487" s="36"/>
      <c r="AA487" s="39" t="str">
        <f aca="false">IF(COUNT(W487:Z487)=0,"",ROUND(AVERAGE(W487:Z487),0))</f>
        <v/>
      </c>
      <c r="AB487" s="38" t="str">
        <f aca="false">IF(AA487="","",LOOKUP(AA487,Impostazioni!$E$4:$E$9,Impostazioni!$F$4:$F$9))</f>
        <v/>
      </c>
    </row>
    <row r="488" customFormat="false" ht="21" hidden="false" customHeight="true" outlineLevel="0" collapsed="false">
      <c r="A488" s="33" t="n">
        <v>10</v>
      </c>
      <c r="B488" s="34" t="str">
        <f aca="false">IFERROR(INDEX(Alunni!$C$1:$C$1000,MATCH($A488,Alunni!$A$1:$A$1000,0))&amp;"","")</f>
        <v/>
      </c>
      <c r="C488" s="15"/>
      <c r="D488" s="35"/>
      <c r="E488" s="36"/>
      <c r="F488" s="36"/>
      <c r="G488" s="36"/>
      <c r="H488" s="36"/>
      <c r="I488" s="39" t="str">
        <f aca="false">IF(COUNT(E488:H488)=0,"",ROUND(AVERAGE(E488:H488),0))</f>
        <v/>
      </c>
      <c r="J488" s="38" t="str">
        <f aca="false">IF(I488="","",LOOKUP(I488,Impostazioni!$E$4:$E$9,Impostazioni!$F$4:$F$9))</f>
        <v/>
      </c>
      <c r="K488" s="36"/>
      <c r="L488" s="36"/>
      <c r="M488" s="36"/>
      <c r="N488" s="36"/>
      <c r="O488" s="39" t="str">
        <f aca="false">IF(COUNT(K488:N488)=0,"",ROUND(AVERAGE(K488:N488),0))</f>
        <v/>
      </c>
      <c r="P488" s="38" t="str">
        <f aca="false">IF(O488="","",LOOKUP(O488,Impostazioni!$E$4:$E$9,Impostazioni!$F$4:$F$9))</f>
        <v/>
      </c>
      <c r="Q488" s="36"/>
      <c r="R488" s="36"/>
      <c r="S488" s="36"/>
      <c r="T488" s="36"/>
      <c r="U488" s="39" t="str">
        <f aca="false">IF(COUNT(Q488:T488)=0,"",ROUND(AVERAGE(Q488:T488),0))</f>
        <v/>
      </c>
      <c r="V488" s="38" t="str">
        <f aca="false">IF(U488="","",LOOKUP(U488,Impostazioni!$E$4:$E$9,Impostazioni!$F$4:$F$9))</f>
        <v/>
      </c>
      <c r="W488" s="36"/>
      <c r="X488" s="36"/>
      <c r="Y488" s="36"/>
      <c r="Z488" s="36"/>
      <c r="AA488" s="39" t="str">
        <f aca="false">IF(COUNT(W488:Z488)=0,"",ROUND(AVERAGE(W488:Z488),0))</f>
        <v/>
      </c>
      <c r="AB488" s="38" t="str">
        <f aca="false">IF(AA488="","",LOOKUP(AA488,Impostazioni!$E$4:$E$9,Impostazioni!$F$4:$F$9))</f>
        <v/>
      </c>
    </row>
    <row r="489" customFormat="false" ht="21" hidden="false" customHeight="true" outlineLevel="0" collapsed="false">
      <c r="A489" s="33" t="n">
        <v>11</v>
      </c>
      <c r="B489" s="34" t="str">
        <f aca="false">IFERROR(INDEX(Alunni!$C$1:$C$1000,MATCH($A489,Alunni!$A$1:$A$1000,0))&amp;"","")</f>
        <v/>
      </c>
      <c r="C489" s="15"/>
      <c r="D489" s="35"/>
      <c r="E489" s="36"/>
      <c r="F489" s="36"/>
      <c r="G489" s="36"/>
      <c r="H489" s="36"/>
      <c r="I489" s="39" t="str">
        <f aca="false">IF(COUNT(E489:H489)=0,"",ROUND(AVERAGE(E489:H489),0))</f>
        <v/>
      </c>
      <c r="J489" s="38" t="str">
        <f aca="false">IF(I489="","",LOOKUP(I489,Impostazioni!$E$4:$E$9,Impostazioni!$F$4:$F$9))</f>
        <v/>
      </c>
      <c r="K489" s="36"/>
      <c r="L489" s="36"/>
      <c r="M489" s="36"/>
      <c r="N489" s="36"/>
      <c r="O489" s="39" t="str">
        <f aca="false">IF(COUNT(K489:N489)=0,"",ROUND(AVERAGE(K489:N489),0))</f>
        <v/>
      </c>
      <c r="P489" s="38" t="str">
        <f aca="false">IF(O489="","",LOOKUP(O489,Impostazioni!$E$4:$E$9,Impostazioni!$F$4:$F$9))</f>
        <v/>
      </c>
      <c r="Q489" s="36"/>
      <c r="R489" s="36"/>
      <c r="S489" s="36"/>
      <c r="T489" s="36"/>
      <c r="U489" s="39" t="str">
        <f aca="false">IF(COUNT(Q489:T489)=0,"",ROUND(AVERAGE(Q489:T489),0))</f>
        <v/>
      </c>
      <c r="V489" s="38" t="str">
        <f aca="false">IF(U489="","",LOOKUP(U489,Impostazioni!$E$4:$E$9,Impostazioni!$F$4:$F$9))</f>
        <v/>
      </c>
      <c r="W489" s="36"/>
      <c r="X489" s="36"/>
      <c r="Y489" s="36"/>
      <c r="Z489" s="36"/>
      <c r="AA489" s="39" t="str">
        <f aca="false">IF(COUNT(W489:Z489)=0,"",ROUND(AVERAGE(W489:Z489),0))</f>
        <v/>
      </c>
      <c r="AB489" s="38" t="str">
        <f aca="false">IF(AA489="","",LOOKUP(AA489,Impostazioni!$E$4:$E$9,Impostazioni!$F$4:$F$9))</f>
        <v/>
      </c>
    </row>
    <row r="490" customFormat="false" ht="21" hidden="false" customHeight="true" outlineLevel="0" collapsed="false">
      <c r="A490" s="33" t="n">
        <v>12</v>
      </c>
      <c r="B490" s="34" t="str">
        <f aca="false">IFERROR(INDEX(Alunni!$C$1:$C$1000,MATCH($A490,Alunni!$A$1:$A$1000,0))&amp;"","")</f>
        <v/>
      </c>
      <c r="C490" s="15"/>
      <c r="D490" s="35"/>
      <c r="E490" s="36"/>
      <c r="F490" s="36"/>
      <c r="G490" s="36"/>
      <c r="H490" s="36"/>
      <c r="I490" s="39" t="str">
        <f aca="false">IF(COUNT(E490:H490)=0,"",ROUND(AVERAGE(E490:H490),0))</f>
        <v/>
      </c>
      <c r="J490" s="38" t="str">
        <f aca="false">IF(I490="","",LOOKUP(I490,Impostazioni!$E$4:$E$9,Impostazioni!$F$4:$F$9))</f>
        <v/>
      </c>
      <c r="K490" s="36"/>
      <c r="L490" s="36"/>
      <c r="M490" s="36"/>
      <c r="N490" s="36"/>
      <c r="O490" s="39" t="str">
        <f aca="false">IF(COUNT(K490:N490)=0,"",ROUND(AVERAGE(K490:N490),0))</f>
        <v/>
      </c>
      <c r="P490" s="38" t="str">
        <f aca="false">IF(O490="","",LOOKUP(O490,Impostazioni!$E$4:$E$9,Impostazioni!$F$4:$F$9))</f>
        <v/>
      </c>
      <c r="Q490" s="36"/>
      <c r="R490" s="36"/>
      <c r="S490" s="36"/>
      <c r="T490" s="36"/>
      <c r="U490" s="39" t="str">
        <f aca="false">IF(COUNT(Q490:T490)=0,"",ROUND(AVERAGE(Q490:T490),0))</f>
        <v/>
      </c>
      <c r="V490" s="38" t="str">
        <f aca="false">IF(U490="","",LOOKUP(U490,Impostazioni!$E$4:$E$9,Impostazioni!$F$4:$F$9))</f>
        <v/>
      </c>
      <c r="W490" s="36"/>
      <c r="X490" s="36"/>
      <c r="Y490" s="36"/>
      <c r="Z490" s="36"/>
      <c r="AA490" s="39" t="str">
        <f aca="false">IF(COUNT(W490:Z490)=0,"",ROUND(AVERAGE(W490:Z490),0))</f>
        <v/>
      </c>
      <c r="AB490" s="38" t="str">
        <f aca="false">IF(AA490="","",LOOKUP(AA490,Impostazioni!$E$4:$E$9,Impostazioni!$F$4:$F$9))</f>
        <v/>
      </c>
    </row>
    <row r="491" customFormat="false" ht="21" hidden="false" customHeight="true" outlineLevel="0" collapsed="false">
      <c r="A491" s="33" t="n">
        <v>13</v>
      </c>
      <c r="B491" s="34" t="str">
        <f aca="false">IFERROR(INDEX(Alunni!$C$1:$C$1000,MATCH($A491,Alunni!$A$1:$A$1000,0))&amp;"","")</f>
        <v/>
      </c>
      <c r="C491" s="15"/>
      <c r="D491" s="35"/>
      <c r="E491" s="36"/>
      <c r="F491" s="36"/>
      <c r="G491" s="36"/>
      <c r="H491" s="36"/>
      <c r="I491" s="39" t="str">
        <f aca="false">IF(COUNT(E491:H491)=0,"",ROUND(AVERAGE(E491:H491),0))</f>
        <v/>
      </c>
      <c r="J491" s="38" t="str">
        <f aca="false">IF(I491="","",LOOKUP(I491,Impostazioni!$E$4:$E$9,Impostazioni!$F$4:$F$9))</f>
        <v/>
      </c>
      <c r="K491" s="36"/>
      <c r="L491" s="36"/>
      <c r="M491" s="36"/>
      <c r="N491" s="36"/>
      <c r="O491" s="39" t="str">
        <f aca="false">IF(COUNT(K491:N491)=0,"",ROUND(AVERAGE(K491:N491),0))</f>
        <v/>
      </c>
      <c r="P491" s="38" t="str">
        <f aca="false">IF(O491="","",LOOKUP(O491,Impostazioni!$E$4:$E$9,Impostazioni!$F$4:$F$9))</f>
        <v/>
      </c>
      <c r="Q491" s="36"/>
      <c r="R491" s="36"/>
      <c r="S491" s="36"/>
      <c r="T491" s="36"/>
      <c r="U491" s="39" t="str">
        <f aca="false">IF(COUNT(Q491:T491)=0,"",ROUND(AVERAGE(Q491:T491),0))</f>
        <v/>
      </c>
      <c r="V491" s="38" t="str">
        <f aca="false">IF(U491="","",LOOKUP(U491,Impostazioni!$E$4:$E$9,Impostazioni!$F$4:$F$9))</f>
        <v/>
      </c>
      <c r="W491" s="36"/>
      <c r="X491" s="36"/>
      <c r="Y491" s="36"/>
      <c r="Z491" s="36"/>
      <c r="AA491" s="39" t="str">
        <f aca="false">IF(COUNT(W491:Z491)=0,"",ROUND(AVERAGE(W491:Z491),0))</f>
        <v/>
      </c>
      <c r="AB491" s="38" t="str">
        <f aca="false">IF(AA491="","",LOOKUP(AA491,Impostazioni!$E$4:$E$9,Impostazioni!$F$4:$F$9))</f>
        <v/>
      </c>
    </row>
    <row r="492" customFormat="false" ht="21" hidden="false" customHeight="true" outlineLevel="0" collapsed="false">
      <c r="A492" s="33" t="n">
        <v>14</v>
      </c>
      <c r="B492" s="34" t="str">
        <f aca="false">IFERROR(INDEX(Alunni!$C$1:$C$1000,MATCH($A492,Alunni!$A$1:$A$1000,0))&amp;"","")</f>
        <v/>
      </c>
      <c r="C492" s="15"/>
      <c r="D492" s="35"/>
      <c r="E492" s="36"/>
      <c r="F492" s="36"/>
      <c r="G492" s="36"/>
      <c r="H492" s="36"/>
      <c r="I492" s="39" t="str">
        <f aca="false">IF(COUNT(E492:H492)=0,"",ROUND(AVERAGE(E492:H492),0))</f>
        <v/>
      </c>
      <c r="J492" s="38" t="str">
        <f aca="false">IF(I492="","",LOOKUP(I492,Impostazioni!$E$4:$E$9,Impostazioni!$F$4:$F$9))</f>
        <v/>
      </c>
      <c r="K492" s="36"/>
      <c r="L492" s="36"/>
      <c r="M492" s="36"/>
      <c r="N492" s="36"/>
      <c r="O492" s="39" t="str">
        <f aca="false">IF(COUNT(K492:N492)=0,"",ROUND(AVERAGE(K492:N492),0))</f>
        <v/>
      </c>
      <c r="P492" s="38" t="str">
        <f aca="false">IF(O492="","",LOOKUP(O492,Impostazioni!$E$4:$E$9,Impostazioni!$F$4:$F$9))</f>
        <v/>
      </c>
      <c r="Q492" s="36"/>
      <c r="R492" s="36"/>
      <c r="S492" s="36"/>
      <c r="T492" s="36"/>
      <c r="U492" s="39" t="str">
        <f aca="false">IF(COUNT(Q492:T492)=0,"",ROUND(AVERAGE(Q492:T492),0))</f>
        <v/>
      </c>
      <c r="V492" s="38" t="str">
        <f aca="false">IF(U492="","",LOOKUP(U492,Impostazioni!$E$4:$E$9,Impostazioni!$F$4:$F$9))</f>
        <v/>
      </c>
      <c r="W492" s="36"/>
      <c r="X492" s="36"/>
      <c r="Y492" s="36"/>
      <c r="Z492" s="36"/>
      <c r="AA492" s="39" t="str">
        <f aca="false">IF(COUNT(W492:Z492)=0,"",ROUND(AVERAGE(W492:Z492),0))</f>
        <v/>
      </c>
      <c r="AB492" s="38" t="str">
        <f aca="false">IF(AA492="","",LOOKUP(AA492,Impostazioni!$E$4:$E$9,Impostazioni!$F$4:$F$9))</f>
        <v/>
      </c>
    </row>
    <row r="493" customFormat="false" ht="21" hidden="false" customHeight="true" outlineLevel="0" collapsed="false">
      <c r="A493" s="33" t="n">
        <v>15</v>
      </c>
      <c r="B493" s="34" t="str">
        <f aca="false">IFERROR(INDEX(Alunni!$C$1:$C$1000,MATCH($A493,Alunni!$A$1:$A$1000,0))&amp;"","")</f>
        <v/>
      </c>
      <c r="C493" s="15"/>
      <c r="D493" s="35"/>
      <c r="E493" s="36"/>
      <c r="F493" s="36"/>
      <c r="G493" s="36"/>
      <c r="H493" s="36"/>
      <c r="I493" s="39" t="str">
        <f aca="false">IF(COUNT(E493:H493)=0,"",ROUND(AVERAGE(E493:H493),0))</f>
        <v/>
      </c>
      <c r="J493" s="38" t="str">
        <f aca="false">IF(I493="","",LOOKUP(I493,Impostazioni!$E$4:$E$9,Impostazioni!$F$4:$F$9))</f>
        <v/>
      </c>
      <c r="K493" s="36"/>
      <c r="L493" s="36"/>
      <c r="M493" s="36"/>
      <c r="N493" s="36"/>
      <c r="O493" s="39" t="str">
        <f aca="false">IF(COUNT(K493:N493)=0,"",ROUND(AVERAGE(K493:N493),0))</f>
        <v/>
      </c>
      <c r="P493" s="38" t="str">
        <f aca="false">IF(O493="","",LOOKUP(O493,Impostazioni!$E$4:$E$9,Impostazioni!$F$4:$F$9))</f>
        <v/>
      </c>
      <c r="Q493" s="36"/>
      <c r="R493" s="36"/>
      <c r="S493" s="36"/>
      <c r="T493" s="36"/>
      <c r="U493" s="39" t="str">
        <f aca="false">IF(COUNT(Q493:T493)=0,"",ROUND(AVERAGE(Q493:T493),0))</f>
        <v/>
      </c>
      <c r="V493" s="38" t="str">
        <f aca="false">IF(U493="","",LOOKUP(U493,Impostazioni!$E$4:$E$9,Impostazioni!$F$4:$F$9))</f>
        <v/>
      </c>
      <c r="W493" s="36"/>
      <c r="X493" s="36"/>
      <c r="Y493" s="36"/>
      <c r="Z493" s="36"/>
      <c r="AA493" s="39" t="str">
        <f aca="false">IF(COUNT(W493:Z493)=0,"",ROUND(AVERAGE(W493:Z493),0))</f>
        <v/>
      </c>
      <c r="AB493" s="38" t="str">
        <f aca="false">IF(AA493="","",LOOKUP(AA493,Impostazioni!$E$4:$E$9,Impostazioni!$F$4:$F$9))</f>
        <v/>
      </c>
    </row>
    <row r="494" customFormat="false" ht="21" hidden="false" customHeight="true" outlineLevel="0" collapsed="false">
      <c r="A494" s="33" t="n">
        <v>16</v>
      </c>
      <c r="B494" s="34" t="str">
        <f aca="false">IFERROR(INDEX(Alunni!$C$1:$C$1000,MATCH($A494,Alunni!$A$1:$A$1000,0))&amp;"","")</f>
        <v/>
      </c>
      <c r="C494" s="15"/>
      <c r="D494" s="35"/>
      <c r="E494" s="36"/>
      <c r="F494" s="36"/>
      <c r="G494" s="36"/>
      <c r="H494" s="36"/>
      <c r="I494" s="39" t="str">
        <f aca="false">IF(COUNT(E494:H494)=0,"",ROUND(AVERAGE(E494:H494),0))</f>
        <v/>
      </c>
      <c r="J494" s="38" t="str">
        <f aca="false">IF(I494="","",LOOKUP(I494,Impostazioni!$E$4:$E$9,Impostazioni!$F$4:$F$9))</f>
        <v/>
      </c>
      <c r="K494" s="36"/>
      <c r="L494" s="36"/>
      <c r="M494" s="36"/>
      <c r="N494" s="36"/>
      <c r="O494" s="39" t="str">
        <f aca="false">IF(COUNT(K494:N494)=0,"",ROUND(AVERAGE(K494:N494),0))</f>
        <v/>
      </c>
      <c r="P494" s="38" t="str">
        <f aca="false">IF(O494="","",LOOKUP(O494,Impostazioni!$E$4:$E$9,Impostazioni!$F$4:$F$9))</f>
        <v/>
      </c>
      <c r="Q494" s="36"/>
      <c r="R494" s="36"/>
      <c r="S494" s="36"/>
      <c r="T494" s="36"/>
      <c r="U494" s="39" t="str">
        <f aca="false">IF(COUNT(Q494:T494)=0,"",ROUND(AVERAGE(Q494:T494),0))</f>
        <v/>
      </c>
      <c r="V494" s="38" t="str">
        <f aca="false">IF(U494="","",LOOKUP(U494,Impostazioni!$E$4:$E$9,Impostazioni!$F$4:$F$9))</f>
        <v/>
      </c>
      <c r="W494" s="36"/>
      <c r="X494" s="36"/>
      <c r="Y494" s="36"/>
      <c r="Z494" s="36"/>
      <c r="AA494" s="39" t="str">
        <f aca="false">IF(COUNT(W494:Z494)=0,"",ROUND(AVERAGE(W494:Z494),0))</f>
        <v/>
      </c>
      <c r="AB494" s="38" t="str">
        <f aca="false">IF(AA494="","",LOOKUP(AA494,Impostazioni!$E$4:$E$9,Impostazioni!$F$4:$F$9))</f>
        <v/>
      </c>
    </row>
    <row r="495" customFormat="false" ht="21" hidden="false" customHeight="true" outlineLevel="0" collapsed="false">
      <c r="A495" s="33" t="n">
        <v>17</v>
      </c>
      <c r="B495" s="34" t="str">
        <f aca="false">IFERROR(INDEX(Alunni!$C$1:$C$1000,MATCH($A495,Alunni!$A$1:$A$1000,0))&amp;"","")</f>
        <v/>
      </c>
      <c r="C495" s="15"/>
      <c r="D495" s="35"/>
      <c r="E495" s="36"/>
      <c r="F495" s="36"/>
      <c r="G495" s="36"/>
      <c r="H495" s="36"/>
      <c r="I495" s="39" t="str">
        <f aca="false">IF(COUNT(E495:H495)=0,"",ROUND(AVERAGE(E495:H495),0))</f>
        <v/>
      </c>
      <c r="J495" s="38" t="str">
        <f aca="false">IF(I495="","",LOOKUP(I495,Impostazioni!$E$4:$E$9,Impostazioni!$F$4:$F$9))</f>
        <v/>
      </c>
      <c r="K495" s="36"/>
      <c r="L495" s="36"/>
      <c r="M495" s="36"/>
      <c r="N495" s="36"/>
      <c r="O495" s="39" t="str">
        <f aca="false">IF(COUNT(K495:N495)=0,"",ROUND(AVERAGE(K495:N495),0))</f>
        <v/>
      </c>
      <c r="P495" s="38" t="str">
        <f aca="false">IF(O495="","",LOOKUP(O495,Impostazioni!$E$4:$E$9,Impostazioni!$F$4:$F$9))</f>
        <v/>
      </c>
      <c r="Q495" s="36"/>
      <c r="R495" s="36"/>
      <c r="S495" s="36"/>
      <c r="T495" s="36"/>
      <c r="U495" s="39" t="str">
        <f aca="false">IF(COUNT(Q495:T495)=0,"",ROUND(AVERAGE(Q495:T495),0))</f>
        <v/>
      </c>
      <c r="V495" s="38" t="str">
        <f aca="false">IF(U495="","",LOOKUP(U495,Impostazioni!$E$4:$E$9,Impostazioni!$F$4:$F$9))</f>
        <v/>
      </c>
      <c r="W495" s="36"/>
      <c r="X495" s="36"/>
      <c r="Y495" s="36"/>
      <c r="Z495" s="36"/>
      <c r="AA495" s="39" t="str">
        <f aca="false">IF(COUNT(W495:Z495)=0,"",ROUND(AVERAGE(W495:Z495),0))</f>
        <v/>
      </c>
      <c r="AB495" s="38" t="str">
        <f aca="false">IF(AA495="","",LOOKUP(AA495,Impostazioni!$E$4:$E$9,Impostazioni!$F$4:$F$9))</f>
        <v/>
      </c>
    </row>
    <row r="496" customFormat="false" ht="21" hidden="false" customHeight="true" outlineLevel="0" collapsed="false">
      <c r="A496" s="33" t="n">
        <v>18</v>
      </c>
      <c r="B496" s="34" t="str">
        <f aca="false">IFERROR(INDEX(Alunni!$C$1:$C$1000,MATCH($A496,Alunni!$A$1:$A$1000,0))&amp;"","")</f>
        <v/>
      </c>
      <c r="C496" s="15"/>
      <c r="D496" s="35"/>
      <c r="E496" s="36"/>
      <c r="F496" s="36"/>
      <c r="G496" s="36"/>
      <c r="H496" s="36"/>
      <c r="I496" s="39" t="str">
        <f aca="false">IF(COUNT(E496:H496)=0,"",ROUND(AVERAGE(E496:H496),0))</f>
        <v/>
      </c>
      <c r="J496" s="38" t="str">
        <f aca="false">IF(I496="","",LOOKUP(I496,Impostazioni!$E$4:$E$9,Impostazioni!$F$4:$F$9))</f>
        <v/>
      </c>
      <c r="K496" s="36"/>
      <c r="L496" s="36"/>
      <c r="M496" s="36"/>
      <c r="N496" s="36"/>
      <c r="O496" s="39" t="str">
        <f aca="false">IF(COUNT(K496:N496)=0,"",ROUND(AVERAGE(K496:N496),0))</f>
        <v/>
      </c>
      <c r="P496" s="38" t="str">
        <f aca="false">IF(O496="","",LOOKUP(O496,Impostazioni!$E$4:$E$9,Impostazioni!$F$4:$F$9))</f>
        <v/>
      </c>
      <c r="Q496" s="36"/>
      <c r="R496" s="36"/>
      <c r="S496" s="36"/>
      <c r="T496" s="36"/>
      <c r="U496" s="39" t="str">
        <f aca="false">IF(COUNT(Q496:T496)=0,"",ROUND(AVERAGE(Q496:T496),0))</f>
        <v/>
      </c>
      <c r="V496" s="38" t="str">
        <f aca="false">IF(U496="","",LOOKUP(U496,Impostazioni!$E$4:$E$9,Impostazioni!$F$4:$F$9))</f>
        <v/>
      </c>
      <c r="W496" s="36"/>
      <c r="X496" s="36"/>
      <c r="Y496" s="36"/>
      <c r="Z496" s="36"/>
      <c r="AA496" s="39" t="str">
        <f aca="false">IF(COUNT(W496:Z496)=0,"",ROUND(AVERAGE(W496:Z496),0))</f>
        <v/>
      </c>
      <c r="AB496" s="38" t="str">
        <f aca="false">IF(AA496="","",LOOKUP(AA496,Impostazioni!$E$4:$E$9,Impostazioni!$F$4:$F$9))</f>
        <v/>
      </c>
    </row>
    <row r="497" customFormat="false" ht="21" hidden="false" customHeight="true" outlineLevel="0" collapsed="false">
      <c r="A497" s="33" t="n">
        <v>19</v>
      </c>
      <c r="B497" s="34" t="str">
        <f aca="false">IFERROR(INDEX(Alunni!$C$1:$C$1000,MATCH($A497,Alunni!$A$1:$A$1000,0))&amp;"","")</f>
        <v/>
      </c>
      <c r="C497" s="15"/>
      <c r="D497" s="35"/>
      <c r="E497" s="36"/>
      <c r="F497" s="36"/>
      <c r="G497" s="36"/>
      <c r="H497" s="36"/>
      <c r="I497" s="39" t="str">
        <f aca="false">IF(COUNT(E497:H497)=0,"",ROUND(AVERAGE(E497:H497),0))</f>
        <v/>
      </c>
      <c r="J497" s="38" t="str">
        <f aca="false">IF(I497="","",LOOKUP(I497,Impostazioni!$E$4:$E$9,Impostazioni!$F$4:$F$9))</f>
        <v/>
      </c>
      <c r="K497" s="36"/>
      <c r="L497" s="36"/>
      <c r="M497" s="36"/>
      <c r="N497" s="36"/>
      <c r="O497" s="39" t="str">
        <f aca="false">IF(COUNT(K497:N497)=0,"",ROUND(AVERAGE(K497:N497),0))</f>
        <v/>
      </c>
      <c r="P497" s="38" t="str">
        <f aca="false">IF(O497="","",LOOKUP(O497,Impostazioni!$E$4:$E$9,Impostazioni!$F$4:$F$9))</f>
        <v/>
      </c>
      <c r="Q497" s="36"/>
      <c r="R497" s="36"/>
      <c r="S497" s="36"/>
      <c r="T497" s="36"/>
      <c r="U497" s="39" t="str">
        <f aca="false">IF(COUNT(Q497:T497)=0,"",ROUND(AVERAGE(Q497:T497),0))</f>
        <v/>
      </c>
      <c r="V497" s="38" t="str">
        <f aca="false">IF(U497="","",LOOKUP(U497,Impostazioni!$E$4:$E$9,Impostazioni!$F$4:$F$9))</f>
        <v/>
      </c>
      <c r="W497" s="36"/>
      <c r="X497" s="36"/>
      <c r="Y497" s="36"/>
      <c r="Z497" s="36"/>
      <c r="AA497" s="39" t="str">
        <f aca="false">IF(COUNT(W497:Z497)=0,"",ROUND(AVERAGE(W497:Z497),0))</f>
        <v/>
      </c>
      <c r="AB497" s="38" t="str">
        <f aca="false">IF(AA497="","",LOOKUP(AA497,Impostazioni!$E$4:$E$9,Impostazioni!$F$4:$F$9))</f>
        <v/>
      </c>
    </row>
    <row r="498" customFormat="false" ht="21" hidden="false" customHeight="true" outlineLevel="0" collapsed="false">
      <c r="A498" s="33" t="n">
        <v>20</v>
      </c>
      <c r="B498" s="34" t="str">
        <f aca="false">IFERROR(INDEX(Alunni!$C$1:$C$1000,MATCH($A498,Alunni!$A$1:$A$1000,0))&amp;"","")</f>
        <v/>
      </c>
      <c r="C498" s="15"/>
      <c r="D498" s="35"/>
      <c r="E498" s="36"/>
      <c r="F498" s="36"/>
      <c r="G498" s="36"/>
      <c r="H498" s="36"/>
      <c r="I498" s="39" t="str">
        <f aca="false">IF(COUNT(E498:H498)=0,"",ROUND(AVERAGE(E498:H498),0))</f>
        <v/>
      </c>
      <c r="J498" s="38" t="str">
        <f aca="false">IF(I498="","",LOOKUP(I498,Impostazioni!$E$4:$E$9,Impostazioni!$F$4:$F$9))</f>
        <v/>
      </c>
      <c r="K498" s="36"/>
      <c r="L498" s="36"/>
      <c r="M498" s="36"/>
      <c r="N498" s="36"/>
      <c r="O498" s="39" t="str">
        <f aca="false">IF(COUNT(K498:N498)=0,"",ROUND(AVERAGE(K498:N498),0))</f>
        <v/>
      </c>
      <c r="P498" s="38" t="str">
        <f aca="false">IF(O498="","",LOOKUP(O498,Impostazioni!$E$4:$E$9,Impostazioni!$F$4:$F$9))</f>
        <v/>
      </c>
      <c r="Q498" s="36"/>
      <c r="R498" s="36"/>
      <c r="S498" s="36"/>
      <c r="T498" s="36"/>
      <c r="U498" s="39" t="str">
        <f aca="false">IF(COUNT(Q498:T498)=0,"",ROUND(AVERAGE(Q498:T498),0))</f>
        <v/>
      </c>
      <c r="V498" s="38" t="str">
        <f aca="false">IF(U498="","",LOOKUP(U498,Impostazioni!$E$4:$E$9,Impostazioni!$F$4:$F$9))</f>
        <v/>
      </c>
      <c r="W498" s="36"/>
      <c r="X498" s="36"/>
      <c r="Y498" s="36"/>
      <c r="Z498" s="36"/>
      <c r="AA498" s="39" t="str">
        <f aca="false">IF(COUNT(W498:Z498)=0,"",ROUND(AVERAGE(W498:Z498),0))</f>
        <v/>
      </c>
      <c r="AB498" s="38" t="str">
        <f aca="false">IF(AA498="","",LOOKUP(AA498,Impostazioni!$E$4:$E$9,Impostazioni!$F$4:$F$9))</f>
        <v/>
      </c>
    </row>
    <row r="499" customFormat="false" ht="21" hidden="false" customHeight="true" outlineLevel="0" collapsed="false">
      <c r="A499" s="33" t="n">
        <v>21</v>
      </c>
      <c r="B499" s="34" t="str">
        <f aca="false">IFERROR(INDEX(Alunni!$C$1:$C$1000,MATCH($A499,Alunni!$A$1:$A$1000,0))&amp;"","")</f>
        <v/>
      </c>
      <c r="C499" s="15"/>
      <c r="D499" s="35"/>
      <c r="E499" s="36"/>
      <c r="F499" s="36"/>
      <c r="G499" s="36"/>
      <c r="H499" s="36"/>
      <c r="I499" s="39" t="str">
        <f aca="false">IF(COUNT(E499:H499)=0,"",ROUND(AVERAGE(E499:H499),0))</f>
        <v/>
      </c>
      <c r="J499" s="38" t="str">
        <f aca="false">IF(I499="","",LOOKUP(I499,Impostazioni!$E$4:$E$9,Impostazioni!$F$4:$F$9))</f>
        <v/>
      </c>
      <c r="K499" s="36"/>
      <c r="L499" s="36"/>
      <c r="M499" s="36"/>
      <c r="N499" s="36"/>
      <c r="O499" s="39" t="str">
        <f aca="false">IF(COUNT(K499:N499)=0,"",ROUND(AVERAGE(K499:N499),0))</f>
        <v/>
      </c>
      <c r="P499" s="38" t="str">
        <f aca="false">IF(O499="","",LOOKUP(O499,Impostazioni!$E$4:$E$9,Impostazioni!$F$4:$F$9))</f>
        <v/>
      </c>
      <c r="Q499" s="36"/>
      <c r="R499" s="36"/>
      <c r="S499" s="36"/>
      <c r="T499" s="36"/>
      <c r="U499" s="39" t="str">
        <f aca="false">IF(COUNT(Q499:T499)=0,"",ROUND(AVERAGE(Q499:T499),0))</f>
        <v/>
      </c>
      <c r="V499" s="38" t="str">
        <f aca="false">IF(U499="","",LOOKUP(U499,Impostazioni!$E$4:$E$9,Impostazioni!$F$4:$F$9))</f>
        <v/>
      </c>
      <c r="W499" s="36"/>
      <c r="X499" s="36"/>
      <c r="Y499" s="36"/>
      <c r="Z499" s="36"/>
      <c r="AA499" s="39" t="str">
        <f aca="false">IF(COUNT(W499:Z499)=0,"",ROUND(AVERAGE(W499:Z499),0))</f>
        <v/>
      </c>
      <c r="AB499" s="38" t="str">
        <f aca="false">IF(AA499="","",LOOKUP(AA499,Impostazioni!$E$4:$E$9,Impostazioni!$F$4:$F$9))</f>
        <v/>
      </c>
    </row>
    <row r="500" customFormat="false" ht="21" hidden="false" customHeight="true" outlineLevel="0" collapsed="false">
      <c r="A500" s="33" t="n">
        <v>22</v>
      </c>
      <c r="B500" s="34" t="str">
        <f aca="false">IFERROR(INDEX(Alunni!$C$1:$C$1000,MATCH($A500,Alunni!$A$1:$A$1000,0))&amp;"","")</f>
        <v/>
      </c>
      <c r="C500" s="15"/>
      <c r="D500" s="35"/>
      <c r="E500" s="36"/>
      <c r="F500" s="36"/>
      <c r="G500" s="36"/>
      <c r="H500" s="36"/>
      <c r="I500" s="39" t="str">
        <f aca="false">IF(COUNT(E500:H500)=0,"",ROUND(AVERAGE(E500:H500),0))</f>
        <v/>
      </c>
      <c r="J500" s="38" t="str">
        <f aca="false">IF(I500="","",LOOKUP(I500,Impostazioni!$E$4:$E$9,Impostazioni!$F$4:$F$9))</f>
        <v/>
      </c>
      <c r="K500" s="36"/>
      <c r="L500" s="36"/>
      <c r="M500" s="36"/>
      <c r="N500" s="36"/>
      <c r="O500" s="39" t="str">
        <f aca="false">IF(COUNT(K500:N500)=0,"",ROUND(AVERAGE(K500:N500),0))</f>
        <v/>
      </c>
      <c r="P500" s="38" t="str">
        <f aca="false">IF(O500="","",LOOKUP(O500,Impostazioni!$E$4:$E$9,Impostazioni!$F$4:$F$9))</f>
        <v/>
      </c>
      <c r="Q500" s="36"/>
      <c r="R500" s="36"/>
      <c r="S500" s="36"/>
      <c r="T500" s="36"/>
      <c r="U500" s="39" t="str">
        <f aca="false">IF(COUNT(Q500:T500)=0,"",ROUND(AVERAGE(Q500:T500),0))</f>
        <v/>
      </c>
      <c r="V500" s="38" t="str">
        <f aca="false">IF(U500="","",LOOKUP(U500,Impostazioni!$E$4:$E$9,Impostazioni!$F$4:$F$9))</f>
        <v/>
      </c>
      <c r="W500" s="36"/>
      <c r="X500" s="36"/>
      <c r="Y500" s="36"/>
      <c r="Z500" s="36"/>
      <c r="AA500" s="39" t="str">
        <f aca="false">IF(COUNT(W500:Z500)=0,"",ROUND(AVERAGE(W500:Z500),0))</f>
        <v/>
      </c>
      <c r="AB500" s="38" t="str">
        <f aca="false">IF(AA500="","",LOOKUP(AA500,Impostazioni!$E$4:$E$9,Impostazioni!$F$4:$F$9))</f>
        <v/>
      </c>
    </row>
    <row r="501" customFormat="false" ht="21" hidden="false" customHeight="true" outlineLevel="0" collapsed="false">
      <c r="A501" s="33" t="n">
        <v>23</v>
      </c>
      <c r="B501" s="34" t="str">
        <f aca="false">IFERROR(INDEX(Alunni!$C$1:$C$1000,MATCH($A501,Alunni!$A$1:$A$1000,0))&amp;"","")</f>
        <v/>
      </c>
      <c r="C501" s="15"/>
      <c r="D501" s="35"/>
      <c r="E501" s="36"/>
      <c r="F501" s="36"/>
      <c r="G501" s="36"/>
      <c r="H501" s="36"/>
      <c r="I501" s="39" t="str">
        <f aca="false">IF(COUNT(E501:H501)=0,"",ROUND(AVERAGE(E501:H501),0))</f>
        <v/>
      </c>
      <c r="J501" s="38" t="str">
        <f aca="false">IF(I501="","",LOOKUP(I501,Impostazioni!$E$4:$E$9,Impostazioni!$F$4:$F$9))</f>
        <v/>
      </c>
      <c r="K501" s="36"/>
      <c r="L501" s="36"/>
      <c r="M501" s="36"/>
      <c r="N501" s="36"/>
      <c r="O501" s="39" t="str">
        <f aca="false">IF(COUNT(K501:N501)=0,"",ROUND(AVERAGE(K501:N501),0))</f>
        <v/>
      </c>
      <c r="P501" s="38" t="str">
        <f aca="false">IF(O501="","",LOOKUP(O501,Impostazioni!$E$4:$E$9,Impostazioni!$F$4:$F$9))</f>
        <v/>
      </c>
      <c r="Q501" s="36"/>
      <c r="R501" s="36"/>
      <c r="S501" s="36"/>
      <c r="T501" s="36"/>
      <c r="U501" s="39" t="str">
        <f aca="false">IF(COUNT(Q501:T501)=0,"",ROUND(AVERAGE(Q501:T501),0))</f>
        <v/>
      </c>
      <c r="V501" s="38" t="str">
        <f aca="false">IF(U501="","",LOOKUP(U501,Impostazioni!$E$4:$E$9,Impostazioni!$F$4:$F$9))</f>
        <v/>
      </c>
      <c r="W501" s="36"/>
      <c r="X501" s="36"/>
      <c r="Y501" s="36"/>
      <c r="Z501" s="36"/>
      <c r="AA501" s="39" t="str">
        <f aca="false">IF(COUNT(W501:Z501)=0,"",ROUND(AVERAGE(W501:Z501),0))</f>
        <v/>
      </c>
      <c r="AB501" s="38" t="str">
        <f aca="false">IF(AA501="","",LOOKUP(AA501,Impostazioni!$E$4:$E$9,Impostazioni!$F$4:$F$9))</f>
        <v/>
      </c>
    </row>
    <row r="502" customFormat="false" ht="21" hidden="false" customHeight="true" outlineLevel="0" collapsed="false">
      <c r="A502" s="33" t="n">
        <v>24</v>
      </c>
      <c r="B502" s="34" t="str">
        <f aca="false">IFERROR(INDEX(Alunni!$C$1:$C$1000,MATCH($A502,Alunni!$A$1:$A$1000,0))&amp;"","")</f>
        <v/>
      </c>
      <c r="C502" s="15"/>
      <c r="D502" s="35"/>
      <c r="E502" s="36"/>
      <c r="F502" s="36"/>
      <c r="G502" s="36"/>
      <c r="H502" s="36"/>
      <c r="I502" s="39" t="str">
        <f aca="false">IF(COUNT(E502:H502)=0,"",ROUND(AVERAGE(E502:H502),0))</f>
        <v/>
      </c>
      <c r="J502" s="38" t="str">
        <f aca="false">IF(I502="","",LOOKUP(I502,Impostazioni!$E$4:$E$9,Impostazioni!$F$4:$F$9))</f>
        <v/>
      </c>
      <c r="K502" s="36"/>
      <c r="L502" s="36"/>
      <c r="M502" s="36"/>
      <c r="N502" s="36"/>
      <c r="O502" s="39" t="str">
        <f aca="false">IF(COUNT(K502:N502)=0,"",ROUND(AVERAGE(K502:N502),0))</f>
        <v/>
      </c>
      <c r="P502" s="38" t="str">
        <f aca="false">IF(O502="","",LOOKUP(O502,Impostazioni!$E$4:$E$9,Impostazioni!$F$4:$F$9))</f>
        <v/>
      </c>
      <c r="Q502" s="36"/>
      <c r="R502" s="36"/>
      <c r="S502" s="36"/>
      <c r="T502" s="36"/>
      <c r="U502" s="39" t="str">
        <f aca="false">IF(COUNT(Q502:T502)=0,"",ROUND(AVERAGE(Q502:T502),0))</f>
        <v/>
      </c>
      <c r="V502" s="38" t="str">
        <f aca="false">IF(U502="","",LOOKUP(U502,Impostazioni!$E$4:$E$9,Impostazioni!$F$4:$F$9))</f>
        <v/>
      </c>
      <c r="W502" s="36"/>
      <c r="X502" s="36"/>
      <c r="Y502" s="36"/>
      <c r="Z502" s="36"/>
      <c r="AA502" s="39" t="str">
        <f aca="false">IF(COUNT(W502:Z502)=0,"",ROUND(AVERAGE(W502:Z502),0))</f>
        <v/>
      </c>
      <c r="AB502" s="38" t="str">
        <f aca="false">IF(AA502="","",LOOKUP(AA502,Impostazioni!$E$4:$E$9,Impostazioni!$F$4:$F$9))</f>
        <v/>
      </c>
    </row>
    <row r="503" customFormat="false" ht="21" hidden="false" customHeight="true" outlineLevel="0" collapsed="false">
      <c r="A503" s="33" t="n">
        <v>25</v>
      </c>
      <c r="B503" s="34" t="str">
        <f aca="false">IFERROR(INDEX(Alunni!$C$1:$C$1000,MATCH($A503,Alunni!$A$1:$A$1000,0))&amp;"","")</f>
        <v/>
      </c>
      <c r="C503" s="15"/>
      <c r="D503" s="35"/>
      <c r="E503" s="36"/>
      <c r="F503" s="36"/>
      <c r="G503" s="36"/>
      <c r="H503" s="36"/>
      <c r="I503" s="39" t="str">
        <f aca="false">IF(COUNT(E503:H503)=0,"",ROUND(AVERAGE(E503:H503),0))</f>
        <v/>
      </c>
      <c r="J503" s="38" t="str">
        <f aca="false">IF(I503="","",LOOKUP(I503,Impostazioni!$E$4:$E$9,Impostazioni!$F$4:$F$9))</f>
        <v/>
      </c>
      <c r="K503" s="36"/>
      <c r="L503" s="36"/>
      <c r="M503" s="36"/>
      <c r="N503" s="36"/>
      <c r="O503" s="39" t="str">
        <f aca="false">IF(COUNT(K503:N503)=0,"",ROUND(AVERAGE(K503:N503),0))</f>
        <v/>
      </c>
      <c r="P503" s="38" t="str">
        <f aca="false">IF(O503="","",LOOKUP(O503,Impostazioni!$E$4:$E$9,Impostazioni!$F$4:$F$9))</f>
        <v/>
      </c>
      <c r="Q503" s="36"/>
      <c r="R503" s="36"/>
      <c r="S503" s="36"/>
      <c r="T503" s="36"/>
      <c r="U503" s="39" t="str">
        <f aca="false">IF(COUNT(Q503:T503)=0,"",ROUND(AVERAGE(Q503:T503),0))</f>
        <v/>
      </c>
      <c r="V503" s="38" t="str">
        <f aca="false">IF(U503="","",LOOKUP(U503,Impostazioni!$E$4:$E$9,Impostazioni!$F$4:$F$9))</f>
        <v/>
      </c>
      <c r="W503" s="36"/>
      <c r="X503" s="36"/>
      <c r="Y503" s="36"/>
      <c r="Z503" s="36"/>
      <c r="AA503" s="39" t="str">
        <f aca="false">IF(COUNT(W503:Z503)=0,"",ROUND(AVERAGE(W503:Z503),0))</f>
        <v/>
      </c>
      <c r="AB503" s="38" t="str">
        <f aca="false">IF(AA503="","",LOOKUP(AA503,Impostazioni!$E$4:$E$9,Impostazioni!$F$4:$F$9))</f>
        <v/>
      </c>
    </row>
    <row r="504" customFormat="false" ht="21" hidden="false" customHeight="true" outlineLevel="0" collapsed="false">
      <c r="A504" s="33" t="n">
        <v>26</v>
      </c>
      <c r="B504" s="34" t="str">
        <f aca="false">IFERROR(INDEX(Alunni!$C$1:$C$1000,MATCH($A504,Alunni!$A$1:$A$1000,0))&amp;"","")</f>
        <v/>
      </c>
      <c r="C504" s="15"/>
      <c r="D504" s="35"/>
      <c r="E504" s="36"/>
      <c r="F504" s="36"/>
      <c r="G504" s="36"/>
      <c r="H504" s="36"/>
      <c r="I504" s="39" t="str">
        <f aca="false">IF(COUNT(E504:H504)=0,"",ROUND(AVERAGE(E504:H504),0))</f>
        <v/>
      </c>
      <c r="J504" s="38" t="str">
        <f aca="false">IF(I504="","",LOOKUP(I504,Impostazioni!$E$4:$E$9,Impostazioni!$F$4:$F$9))</f>
        <v/>
      </c>
      <c r="K504" s="36"/>
      <c r="L504" s="36"/>
      <c r="M504" s="36"/>
      <c r="N504" s="36"/>
      <c r="O504" s="39" t="str">
        <f aca="false">IF(COUNT(K504:N504)=0,"",ROUND(AVERAGE(K504:N504),0))</f>
        <v/>
      </c>
      <c r="P504" s="38" t="str">
        <f aca="false">IF(O504="","",LOOKUP(O504,Impostazioni!$E$4:$E$9,Impostazioni!$F$4:$F$9))</f>
        <v/>
      </c>
      <c r="Q504" s="36"/>
      <c r="R504" s="36"/>
      <c r="S504" s="36"/>
      <c r="T504" s="36"/>
      <c r="U504" s="39" t="str">
        <f aca="false">IF(COUNT(Q504:T504)=0,"",ROUND(AVERAGE(Q504:T504),0))</f>
        <v/>
      </c>
      <c r="V504" s="38" t="str">
        <f aca="false">IF(U504="","",LOOKUP(U504,Impostazioni!$E$4:$E$9,Impostazioni!$F$4:$F$9))</f>
        <v/>
      </c>
      <c r="W504" s="36"/>
      <c r="X504" s="36"/>
      <c r="Y504" s="36"/>
      <c r="Z504" s="36"/>
      <c r="AA504" s="39" t="str">
        <f aca="false">IF(COUNT(W504:Z504)=0,"",ROUND(AVERAGE(W504:Z504),0))</f>
        <v/>
      </c>
      <c r="AB504" s="38" t="str">
        <f aca="false">IF(AA504="","",LOOKUP(AA504,Impostazioni!$E$4:$E$9,Impostazioni!$F$4:$F$9))</f>
        <v/>
      </c>
    </row>
    <row r="505" customFormat="false" ht="21" hidden="false" customHeight="true" outlineLevel="0" collapsed="false">
      <c r="A505" s="33" t="n">
        <v>27</v>
      </c>
      <c r="B505" s="34" t="str">
        <f aca="false">IFERROR(INDEX(Alunni!$C$1:$C$1000,MATCH($A505,Alunni!$A$1:$A$1000,0))&amp;"","")</f>
        <v/>
      </c>
      <c r="C505" s="15"/>
      <c r="D505" s="35"/>
      <c r="E505" s="36"/>
      <c r="F505" s="36"/>
      <c r="G505" s="36"/>
      <c r="H505" s="36"/>
      <c r="I505" s="39" t="str">
        <f aca="false">IF(COUNT(E505:H505)=0,"",ROUND(AVERAGE(E505:H505),0))</f>
        <v/>
      </c>
      <c r="J505" s="38" t="str">
        <f aca="false">IF(I505="","",LOOKUP(I505,Impostazioni!$E$4:$E$9,Impostazioni!$F$4:$F$9))</f>
        <v/>
      </c>
      <c r="K505" s="36"/>
      <c r="L505" s="36"/>
      <c r="M505" s="36"/>
      <c r="N505" s="36"/>
      <c r="O505" s="39" t="str">
        <f aca="false">IF(COUNT(K505:N505)=0,"",ROUND(AVERAGE(K505:N505),0))</f>
        <v/>
      </c>
      <c r="P505" s="38" t="str">
        <f aca="false">IF(O505="","",LOOKUP(O505,Impostazioni!$E$4:$E$9,Impostazioni!$F$4:$F$9))</f>
        <v/>
      </c>
      <c r="Q505" s="36"/>
      <c r="R505" s="36"/>
      <c r="S505" s="36"/>
      <c r="T505" s="36"/>
      <c r="U505" s="39" t="str">
        <f aca="false">IF(COUNT(Q505:T505)=0,"",ROUND(AVERAGE(Q505:T505),0))</f>
        <v/>
      </c>
      <c r="V505" s="38" t="str">
        <f aca="false">IF(U505="","",LOOKUP(U505,Impostazioni!$E$4:$E$9,Impostazioni!$F$4:$F$9))</f>
        <v/>
      </c>
      <c r="W505" s="36"/>
      <c r="X505" s="36"/>
      <c r="Y505" s="36"/>
      <c r="Z505" s="36"/>
      <c r="AA505" s="39" t="str">
        <f aca="false">IF(COUNT(W505:Z505)=0,"",ROUND(AVERAGE(W505:Z505),0))</f>
        <v/>
      </c>
      <c r="AB505" s="38" t="str">
        <f aca="false">IF(AA505="","",LOOKUP(AA505,Impostazioni!$E$4:$E$9,Impostazioni!$F$4:$F$9))</f>
        <v/>
      </c>
    </row>
    <row r="506" customFormat="false" ht="21" hidden="false" customHeight="true" outlineLevel="0" collapsed="false">
      <c r="A506" s="33" t="n">
        <v>28</v>
      </c>
      <c r="B506" s="34" t="str">
        <f aca="false">IFERROR(INDEX(Alunni!$C$1:$C$1000,MATCH($A506,Alunni!$A$1:$A$1000,0))&amp;"","")</f>
        <v/>
      </c>
      <c r="C506" s="15"/>
      <c r="D506" s="35"/>
      <c r="E506" s="36"/>
      <c r="F506" s="36"/>
      <c r="G506" s="36"/>
      <c r="H506" s="36"/>
      <c r="I506" s="39" t="str">
        <f aca="false">IF(COUNT(E506:H506)=0,"",ROUND(AVERAGE(E506:H506),0))</f>
        <v/>
      </c>
      <c r="J506" s="38" t="str">
        <f aca="false">IF(I506="","",LOOKUP(I506,Impostazioni!$E$4:$E$9,Impostazioni!$F$4:$F$9))</f>
        <v/>
      </c>
      <c r="K506" s="36"/>
      <c r="L506" s="36"/>
      <c r="M506" s="36"/>
      <c r="N506" s="36"/>
      <c r="O506" s="39" t="str">
        <f aca="false">IF(COUNT(K506:N506)=0,"",ROUND(AVERAGE(K506:N506),0))</f>
        <v/>
      </c>
      <c r="P506" s="38" t="str">
        <f aca="false">IF(O506="","",LOOKUP(O506,Impostazioni!$E$4:$E$9,Impostazioni!$F$4:$F$9))</f>
        <v/>
      </c>
      <c r="Q506" s="36"/>
      <c r="R506" s="36"/>
      <c r="S506" s="36"/>
      <c r="T506" s="36"/>
      <c r="U506" s="39" t="str">
        <f aca="false">IF(COUNT(Q506:T506)=0,"",ROUND(AVERAGE(Q506:T506),0))</f>
        <v/>
      </c>
      <c r="V506" s="38" t="str">
        <f aca="false">IF(U506="","",LOOKUP(U506,Impostazioni!$E$4:$E$9,Impostazioni!$F$4:$F$9))</f>
        <v/>
      </c>
      <c r="W506" s="36"/>
      <c r="X506" s="36"/>
      <c r="Y506" s="36"/>
      <c r="Z506" s="36"/>
      <c r="AA506" s="39" t="str">
        <f aca="false">IF(COUNT(W506:Z506)=0,"",ROUND(AVERAGE(W506:Z506),0))</f>
        <v/>
      </c>
      <c r="AB506" s="38" t="str">
        <f aca="false">IF(AA506="","",LOOKUP(AA506,Impostazioni!$E$4:$E$9,Impostazioni!$F$4:$F$9))</f>
        <v/>
      </c>
    </row>
    <row r="507" customFormat="false" ht="21" hidden="false" customHeight="true" outlineLevel="0" collapsed="false">
      <c r="A507" s="33" t="n">
        <v>29</v>
      </c>
      <c r="B507" s="34" t="str">
        <f aca="false">IFERROR(INDEX(Alunni!$C$1:$C$1000,MATCH($A507,Alunni!$A$1:$A$1000,0))&amp;"","")</f>
        <v/>
      </c>
      <c r="C507" s="15"/>
      <c r="D507" s="35"/>
      <c r="E507" s="36"/>
      <c r="F507" s="36"/>
      <c r="G507" s="36"/>
      <c r="H507" s="36"/>
      <c r="I507" s="39" t="str">
        <f aca="false">IF(COUNT(E507:H507)=0,"",ROUND(AVERAGE(E507:H507),0))</f>
        <v/>
      </c>
      <c r="J507" s="38" t="str">
        <f aca="false">IF(I507="","",LOOKUP(I507,Impostazioni!$E$4:$E$9,Impostazioni!$F$4:$F$9))</f>
        <v/>
      </c>
      <c r="K507" s="36"/>
      <c r="L507" s="36"/>
      <c r="M507" s="36"/>
      <c r="N507" s="36"/>
      <c r="O507" s="39" t="str">
        <f aca="false">IF(COUNT(K507:N507)=0,"",ROUND(AVERAGE(K507:N507),0))</f>
        <v/>
      </c>
      <c r="P507" s="38" t="str">
        <f aca="false">IF(O507="","",LOOKUP(O507,Impostazioni!$E$4:$E$9,Impostazioni!$F$4:$F$9))</f>
        <v/>
      </c>
      <c r="Q507" s="36"/>
      <c r="R507" s="36"/>
      <c r="S507" s="36"/>
      <c r="T507" s="36"/>
      <c r="U507" s="39" t="str">
        <f aca="false">IF(COUNT(Q507:T507)=0,"",ROUND(AVERAGE(Q507:T507),0))</f>
        <v/>
      </c>
      <c r="V507" s="38" t="str">
        <f aca="false">IF(U507="","",LOOKUP(U507,Impostazioni!$E$4:$E$9,Impostazioni!$F$4:$F$9))</f>
        <v/>
      </c>
      <c r="W507" s="36"/>
      <c r="X507" s="36"/>
      <c r="Y507" s="36"/>
      <c r="Z507" s="36"/>
      <c r="AA507" s="39" t="str">
        <f aca="false">IF(COUNT(W507:Z507)=0,"",ROUND(AVERAGE(W507:Z507),0))</f>
        <v/>
      </c>
      <c r="AB507" s="38" t="str">
        <f aca="false">IF(AA507="","",LOOKUP(AA507,Impostazioni!$E$4:$E$9,Impostazioni!$F$4:$F$9))</f>
        <v/>
      </c>
    </row>
    <row r="508" customFormat="false" ht="21" hidden="false" customHeight="true" outlineLevel="0" collapsed="false">
      <c r="A508" s="33" t="n">
        <v>30</v>
      </c>
      <c r="B508" s="34" t="str">
        <f aca="false">IFERROR(INDEX(Alunni!$C$1:$C$1000,MATCH($A508,Alunni!$A$1:$A$1000,0))&amp;"","")</f>
        <v/>
      </c>
      <c r="C508" s="15"/>
      <c r="D508" s="35"/>
      <c r="E508" s="36"/>
      <c r="F508" s="36"/>
      <c r="G508" s="36"/>
      <c r="H508" s="36"/>
      <c r="I508" s="39" t="str">
        <f aca="false">IF(COUNT(E508:H508)=0,"",ROUND(AVERAGE(E508:H508),0))</f>
        <v/>
      </c>
      <c r="J508" s="38" t="str">
        <f aca="false">IF(I508="","",LOOKUP(I508,Impostazioni!$E$4:$E$9,Impostazioni!$F$4:$F$9))</f>
        <v/>
      </c>
      <c r="K508" s="36"/>
      <c r="L508" s="36"/>
      <c r="M508" s="36"/>
      <c r="N508" s="36"/>
      <c r="O508" s="39" t="str">
        <f aca="false">IF(COUNT(K508:N508)=0,"",ROUND(AVERAGE(K508:N508),0))</f>
        <v/>
      </c>
      <c r="P508" s="38" t="str">
        <f aca="false">IF(O508="","",LOOKUP(O508,Impostazioni!$E$4:$E$9,Impostazioni!$F$4:$F$9))</f>
        <v/>
      </c>
      <c r="Q508" s="36"/>
      <c r="R508" s="36"/>
      <c r="S508" s="36"/>
      <c r="T508" s="36"/>
      <c r="U508" s="39" t="str">
        <f aca="false">IF(COUNT(Q508:T508)=0,"",ROUND(AVERAGE(Q508:T508),0))</f>
        <v/>
      </c>
      <c r="V508" s="38" t="str">
        <f aca="false">IF(U508="","",LOOKUP(U508,Impostazioni!$E$4:$E$9,Impostazioni!$F$4:$F$9))</f>
        <v/>
      </c>
      <c r="W508" s="36"/>
      <c r="X508" s="36"/>
      <c r="Y508" s="36"/>
      <c r="Z508" s="36"/>
      <c r="AA508" s="39" t="str">
        <f aca="false">IF(COUNT(W508:Z508)=0,"",ROUND(AVERAGE(W508:Z508),0))</f>
        <v/>
      </c>
      <c r="AB508" s="38" t="str">
        <f aca="false">IF(AA508="","",LOOKUP(AA508,Impostazioni!$E$4:$E$9,Impostazioni!$F$4:$F$9))</f>
        <v/>
      </c>
    </row>
    <row r="510" customFormat="false" ht="25.5" hidden="false" customHeight="true" outlineLevel="0" collapsed="false">
      <c r="A510" s="40" t="str">
        <f aca="false">Calendario!B21&amp;"   ·   "&amp;IF(Calendario!G21="","(descrizione da Calendario)",Calendario!G21)&amp;"   ·   "&amp;IF(Calendario!E21="","data da fissare",CHOOSE(WEEKDAY(Calendario!E21,2),"lunedì","martedì","mercoledì","giovedì","venerdì","sabato","domenica")&amp;" "&amp;TEXT(DAY(Calendario!E21),"00")&amp;"/"&amp;TEXT(MONTH(Calendario!E21),"00")&amp;"/"&amp;YEAR(Calendario!E21))</f>
        <v>Q2-G05   ·   (descrizione da Calendario)   ·   data da fissare</v>
      </c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</row>
    <row r="511" customFormat="false" ht="15" hidden="false" customHeight="true" outlineLevel="0" collapsed="false">
      <c r="A511" s="25" t="s">
        <v>80</v>
      </c>
      <c r="B511" s="25"/>
      <c r="C511" s="25"/>
      <c r="D511" s="25"/>
      <c r="E511" s="26" t="str">
        <f aca="false">IF(Calendario!$H$21="","— libero —",Calendario!$H$21&amp;"  "&amp;IFERROR(VLOOKUP(Calendario!$H$21,Impostazioni!$A$25:$J$36,3,FALSE()),""))</f>
        <v>— libero —</v>
      </c>
      <c r="F511" s="26"/>
      <c r="G511" s="26"/>
      <c r="H511" s="26"/>
      <c r="I511" s="26"/>
      <c r="J511" s="26"/>
      <c r="K511" s="26" t="str">
        <f aca="false">IF(Calendario!$I$21="","— libero —",Calendario!$I$21&amp;"  "&amp;IFERROR(VLOOKUP(Calendario!$I$21,Impostazioni!$A$25:$J$36,3,FALSE()),""))</f>
        <v>— libero —</v>
      </c>
      <c r="L511" s="26"/>
      <c r="M511" s="26"/>
      <c r="N511" s="26"/>
      <c r="O511" s="26"/>
      <c r="P511" s="26"/>
      <c r="Q511" s="26" t="str">
        <f aca="false">IF(Calendario!$J$21="","— libero —",Calendario!$J$21&amp;"  "&amp;IFERROR(VLOOKUP(Calendario!$J$21,Impostazioni!$A$25:$J$36,3,FALSE()),""))</f>
        <v>— libero —</v>
      </c>
      <c r="R511" s="26"/>
      <c r="S511" s="26"/>
      <c r="T511" s="26"/>
      <c r="U511" s="26"/>
      <c r="V511" s="26"/>
      <c r="W511" s="26" t="str">
        <f aca="false">IF(Calendario!$K$21="","— libero —",Calendario!$K$21&amp;"  "&amp;IFERROR(VLOOKUP(Calendario!$K$21,Impostazioni!$A$25:$J$36,3,FALSE()),""))</f>
        <v>— libero —</v>
      </c>
      <c r="X511" s="26"/>
      <c r="Y511" s="26"/>
      <c r="Z511" s="26"/>
      <c r="AA511" s="26"/>
      <c r="AB511" s="26"/>
    </row>
    <row r="512" customFormat="false" ht="15" hidden="false" customHeight="true" outlineLevel="0" collapsed="false">
      <c r="A512" s="25" t="s">
        <v>81</v>
      </c>
      <c r="B512" s="25"/>
      <c r="C512" s="25"/>
      <c r="D512" s="25"/>
      <c r="E512" s="27" t="str">
        <f aca="false">IF(Calendario!$H$21="","","Ob. "&amp;IFERROR(VLOOKUP(Calendario!$H$21,Impostazioni!$A$25:$J$36,6,FALSE()),"?")&amp;" · peso "&amp;IF(Calendario!$F$21=2,Impostazioni!$B$11,Impostazioni!$B$10))</f>
        <v/>
      </c>
      <c r="F512" s="27"/>
      <c r="G512" s="27"/>
      <c r="H512" s="27"/>
      <c r="I512" s="27"/>
      <c r="J512" s="27"/>
      <c r="K512" s="27" t="str">
        <f aca="false">IF(Calendario!$I$21="","","Ob. "&amp;IFERROR(VLOOKUP(Calendario!$I$21,Impostazioni!$A$25:$J$36,6,FALSE()),"?")&amp;" · peso "&amp;IF(Calendario!$F$21=2,Impostazioni!$B$11,Impostazioni!$B$10))</f>
        <v/>
      </c>
      <c r="L512" s="27"/>
      <c r="M512" s="27"/>
      <c r="N512" s="27"/>
      <c r="O512" s="27"/>
      <c r="P512" s="27"/>
      <c r="Q512" s="27" t="str">
        <f aca="false">IF(Calendario!$J$21="","","Ob. "&amp;IFERROR(VLOOKUP(Calendario!$J$21,Impostazioni!$A$25:$J$36,6,FALSE()),"?")&amp;" · peso "&amp;IF(Calendario!$F$21=2,Impostazioni!$B$11,Impostazioni!$B$10))</f>
        <v/>
      </c>
      <c r="R512" s="27"/>
      <c r="S512" s="27"/>
      <c r="T512" s="27"/>
      <c r="U512" s="27"/>
      <c r="V512" s="27"/>
      <c r="W512" s="27" t="str">
        <f aca="false">IF(Calendario!$K$21="","","Ob. "&amp;IFERROR(VLOOKUP(Calendario!$K$21,Impostazioni!$A$25:$J$36,6,FALSE()),"?")&amp;" · peso "&amp;IF(Calendario!$F$21=2,Impostazioni!$B$11,Impostazioni!$B$10))</f>
        <v/>
      </c>
      <c r="X512" s="27"/>
      <c r="Y512" s="27"/>
      <c r="Z512" s="27"/>
      <c r="AA512" s="27"/>
      <c r="AB512" s="27"/>
    </row>
    <row r="513" customFormat="false" ht="33.75" hidden="false" customHeight="true" outlineLevel="0" collapsed="false">
      <c r="A513" s="25" t="s">
        <v>82</v>
      </c>
      <c r="B513" s="25"/>
      <c r="C513" s="25"/>
      <c r="D513" s="25"/>
      <c r="E513" s="28" t="str">
        <f aca="false">IF(Calendario!$H$21="","",IFERROR(HYPERLINK("#Rubriche!C"&amp;(MATCH(Calendario!$H$21,Rubriche!$A$1:$A$1000,0)+0),VLOOKUP(Calendario!$H$21,Impostazioni!$A$25:$J$36,7,FALSE())),""))</f>
        <v/>
      </c>
      <c r="F513" s="28" t="str">
        <f aca="false">IF(Calendario!$H$21="","",IFERROR(HYPERLINK("#Rubriche!C"&amp;(MATCH(Calendario!$H$21,Rubriche!$A$1:$A$1000,0)+1),VLOOKUP(Calendario!$H$21,Impostazioni!$A$25:$J$36,8,FALSE())),""))</f>
        <v/>
      </c>
      <c r="G513" s="28" t="str">
        <f aca="false">IF(Calendario!$H$21="","",IFERROR(HYPERLINK("#Rubriche!C"&amp;(MATCH(Calendario!$H$21,Rubriche!$A$1:$A$1000,0)+2),VLOOKUP(Calendario!$H$21,Impostazioni!$A$25:$J$36,9,FALSE())),""))</f>
        <v/>
      </c>
      <c r="H513" s="28" t="str">
        <f aca="false">IF(Calendario!$H$21="","",IFERROR(HYPERLINK("#Rubriche!C"&amp;(MATCH(Calendario!$H$21,Rubriche!$A$1:$A$1000,0)+3),VLOOKUP(Calendario!$H$21,Impostazioni!$A$25:$J$36,10,FALSE())),""))</f>
        <v/>
      </c>
      <c r="I513" s="29"/>
      <c r="J513" s="29"/>
      <c r="K513" s="28" t="str">
        <f aca="false">IF(Calendario!$I$21="","",IFERROR(HYPERLINK("#Rubriche!C"&amp;(MATCH(Calendario!$I$21,Rubriche!$A$1:$A$1000,0)+0),VLOOKUP(Calendario!$I$21,Impostazioni!$A$25:$J$36,7,FALSE())),""))</f>
        <v/>
      </c>
      <c r="L513" s="28" t="str">
        <f aca="false">IF(Calendario!$I$21="","",IFERROR(HYPERLINK("#Rubriche!C"&amp;(MATCH(Calendario!$I$21,Rubriche!$A$1:$A$1000,0)+1),VLOOKUP(Calendario!$I$21,Impostazioni!$A$25:$J$36,8,FALSE())),""))</f>
        <v/>
      </c>
      <c r="M513" s="28" t="str">
        <f aca="false">IF(Calendario!$I$21="","",IFERROR(HYPERLINK("#Rubriche!C"&amp;(MATCH(Calendario!$I$21,Rubriche!$A$1:$A$1000,0)+2),VLOOKUP(Calendario!$I$21,Impostazioni!$A$25:$J$36,9,FALSE())),""))</f>
        <v/>
      </c>
      <c r="N513" s="28" t="str">
        <f aca="false">IF(Calendario!$I$21="","",IFERROR(HYPERLINK("#Rubriche!C"&amp;(MATCH(Calendario!$I$21,Rubriche!$A$1:$A$1000,0)+3),VLOOKUP(Calendario!$I$21,Impostazioni!$A$25:$J$36,10,FALSE())),""))</f>
        <v/>
      </c>
      <c r="O513" s="29"/>
      <c r="P513" s="29"/>
      <c r="Q513" s="28" t="str">
        <f aca="false">IF(Calendario!$J$21="","",IFERROR(HYPERLINK("#Rubriche!C"&amp;(MATCH(Calendario!$J$21,Rubriche!$A$1:$A$1000,0)+0),VLOOKUP(Calendario!$J$21,Impostazioni!$A$25:$J$36,7,FALSE())),""))</f>
        <v/>
      </c>
      <c r="R513" s="28" t="str">
        <f aca="false">IF(Calendario!$J$21="","",IFERROR(HYPERLINK("#Rubriche!C"&amp;(MATCH(Calendario!$J$21,Rubriche!$A$1:$A$1000,0)+1),VLOOKUP(Calendario!$J$21,Impostazioni!$A$25:$J$36,8,FALSE())),""))</f>
        <v/>
      </c>
      <c r="S513" s="28" t="str">
        <f aca="false">IF(Calendario!$J$21="","",IFERROR(HYPERLINK("#Rubriche!C"&amp;(MATCH(Calendario!$J$21,Rubriche!$A$1:$A$1000,0)+2),VLOOKUP(Calendario!$J$21,Impostazioni!$A$25:$J$36,9,FALSE())),""))</f>
        <v/>
      </c>
      <c r="T513" s="28" t="str">
        <f aca="false">IF(Calendario!$J$21="","",IFERROR(HYPERLINK("#Rubriche!C"&amp;(MATCH(Calendario!$J$21,Rubriche!$A$1:$A$1000,0)+3),VLOOKUP(Calendario!$J$21,Impostazioni!$A$25:$J$36,10,FALSE())),""))</f>
        <v/>
      </c>
      <c r="U513" s="29"/>
      <c r="V513" s="29"/>
      <c r="W513" s="28" t="str">
        <f aca="false">IF(Calendario!$K$21="","",IFERROR(HYPERLINK("#Rubriche!C"&amp;(MATCH(Calendario!$K$21,Rubriche!$A$1:$A$1000,0)+0),VLOOKUP(Calendario!$K$21,Impostazioni!$A$25:$J$36,7,FALSE())),""))</f>
        <v/>
      </c>
      <c r="X513" s="28" t="str">
        <f aca="false">IF(Calendario!$K$21="","",IFERROR(HYPERLINK("#Rubriche!C"&amp;(MATCH(Calendario!$K$21,Rubriche!$A$1:$A$1000,0)+1),VLOOKUP(Calendario!$K$21,Impostazioni!$A$25:$J$36,8,FALSE())),""))</f>
        <v/>
      </c>
      <c r="Y513" s="28" t="str">
        <f aca="false">IF(Calendario!$K$21="","",IFERROR(HYPERLINK("#Rubriche!C"&amp;(MATCH(Calendario!$K$21,Rubriche!$A$1:$A$1000,0)+2),VLOOKUP(Calendario!$K$21,Impostazioni!$A$25:$J$36,9,FALSE())),""))</f>
        <v/>
      </c>
      <c r="Z513" s="28" t="str">
        <f aca="false">IF(Calendario!$K$21="","",IFERROR(HYPERLINK("#Rubriche!C"&amp;(MATCH(Calendario!$K$21,Rubriche!$A$1:$A$1000,0)+3),VLOOKUP(Calendario!$K$21,Impostazioni!$A$25:$J$36,10,FALSE())),""))</f>
        <v/>
      </c>
      <c r="AA513" s="29"/>
      <c r="AB513" s="29"/>
    </row>
    <row r="514" customFormat="false" ht="25.5" hidden="false" customHeight="true" outlineLevel="0" collapsed="false">
      <c r="A514" s="8" t="s">
        <v>65</v>
      </c>
      <c r="B514" s="8" t="s">
        <v>83</v>
      </c>
      <c r="C514" s="8" t="s">
        <v>68</v>
      </c>
      <c r="D514" s="8" t="s">
        <v>84</v>
      </c>
      <c r="E514" s="30" t="s">
        <v>85</v>
      </c>
      <c r="F514" s="30" t="s">
        <v>86</v>
      </c>
      <c r="G514" s="30" t="s">
        <v>87</v>
      </c>
      <c r="H514" s="30" t="s">
        <v>88</v>
      </c>
      <c r="I514" s="31" t="s">
        <v>89</v>
      </c>
      <c r="J514" s="32" t="s">
        <v>90</v>
      </c>
      <c r="K514" s="30" t="s">
        <v>85</v>
      </c>
      <c r="L514" s="30" t="s">
        <v>86</v>
      </c>
      <c r="M514" s="30" t="s">
        <v>87</v>
      </c>
      <c r="N514" s="30" t="s">
        <v>88</v>
      </c>
      <c r="O514" s="31" t="s">
        <v>89</v>
      </c>
      <c r="P514" s="32" t="s">
        <v>90</v>
      </c>
      <c r="Q514" s="30" t="s">
        <v>85</v>
      </c>
      <c r="R514" s="30" t="s">
        <v>86</v>
      </c>
      <c r="S514" s="30" t="s">
        <v>87</v>
      </c>
      <c r="T514" s="30" t="s">
        <v>88</v>
      </c>
      <c r="U514" s="31" t="s">
        <v>89</v>
      </c>
      <c r="V514" s="32" t="s">
        <v>90</v>
      </c>
      <c r="W514" s="30" t="s">
        <v>85</v>
      </c>
      <c r="X514" s="30" t="s">
        <v>86</v>
      </c>
      <c r="Y514" s="30" t="s">
        <v>87</v>
      </c>
      <c r="Z514" s="30" t="s">
        <v>88</v>
      </c>
      <c r="AA514" s="31" t="s">
        <v>89</v>
      </c>
      <c r="AB514" s="32" t="s">
        <v>90</v>
      </c>
    </row>
    <row r="515" customFormat="false" ht="21" hidden="false" customHeight="true" outlineLevel="0" collapsed="false">
      <c r="A515" s="33" t="n">
        <v>1</v>
      </c>
      <c r="B515" s="34" t="str">
        <f aca="false">IFERROR(INDEX(Alunni!$C$1:$C$1000,MATCH($A515,Alunni!$A$1:$A$1000,0))&amp;"","")</f>
        <v>Rossi Mario (esempio)</v>
      </c>
      <c r="C515" s="15"/>
      <c r="D515" s="35"/>
      <c r="E515" s="36"/>
      <c r="F515" s="36"/>
      <c r="G515" s="36"/>
      <c r="H515" s="36"/>
      <c r="I515" s="39" t="str">
        <f aca="false">IF(COUNT(E515:H515)=0,"",ROUND(AVERAGE(E515:H515),0))</f>
        <v/>
      </c>
      <c r="J515" s="38" t="str">
        <f aca="false">IF(I515="","",LOOKUP(I515,Impostazioni!$E$4:$E$9,Impostazioni!$F$4:$F$9))</f>
        <v/>
      </c>
      <c r="K515" s="36"/>
      <c r="L515" s="36"/>
      <c r="M515" s="36"/>
      <c r="N515" s="36"/>
      <c r="O515" s="39" t="str">
        <f aca="false">IF(COUNT(K515:N515)=0,"",ROUND(AVERAGE(K515:N515),0))</f>
        <v/>
      </c>
      <c r="P515" s="38" t="str">
        <f aca="false">IF(O515="","",LOOKUP(O515,Impostazioni!$E$4:$E$9,Impostazioni!$F$4:$F$9))</f>
        <v/>
      </c>
      <c r="Q515" s="36"/>
      <c r="R515" s="36"/>
      <c r="S515" s="36"/>
      <c r="T515" s="36"/>
      <c r="U515" s="39" t="str">
        <f aca="false">IF(COUNT(Q515:T515)=0,"",ROUND(AVERAGE(Q515:T515),0))</f>
        <v/>
      </c>
      <c r="V515" s="38" t="str">
        <f aca="false">IF(U515="","",LOOKUP(U515,Impostazioni!$E$4:$E$9,Impostazioni!$F$4:$F$9))</f>
        <v/>
      </c>
      <c r="W515" s="36"/>
      <c r="X515" s="36"/>
      <c r="Y515" s="36"/>
      <c r="Z515" s="36"/>
      <c r="AA515" s="39" t="str">
        <f aca="false">IF(COUNT(W515:Z515)=0,"",ROUND(AVERAGE(W515:Z515),0))</f>
        <v/>
      </c>
      <c r="AB515" s="38" t="str">
        <f aca="false">IF(AA515="","",LOOKUP(AA515,Impostazioni!$E$4:$E$9,Impostazioni!$F$4:$F$9))</f>
        <v/>
      </c>
    </row>
    <row r="516" customFormat="false" ht="21" hidden="false" customHeight="true" outlineLevel="0" collapsed="false">
      <c r="A516" s="33" t="n">
        <v>2</v>
      </c>
      <c r="B516" s="34" t="str">
        <f aca="false">IFERROR(INDEX(Alunni!$C$1:$C$1000,MATCH($A516,Alunni!$A$1:$A$1000,0))&amp;"","")</f>
        <v>Bianchi Anna (esempio)</v>
      </c>
      <c r="C516" s="15"/>
      <c r="D516" s="35"/>
      <c r="E516" s="36"/>
      <c r="F516" s="36"/>
      <c r="G516" s="36"/>
      <c r="H516" s="36"/>
      <c r="I516" s="39" t="str">
        <f aca="false">IF(COUNT(E516:H516)=0,"",ROUND(AVERAGE(E516:H516),0))</f>
        <v/>
      </c>
      <c r="J516" s="38" t="str">
        <f aca="false">IF(I516="","",LOOKUP(I516,Impostazioni!$E$4:$E$9,Impostazioni!$F$4:$F$9))</f>
        <v/>
      </c>
      <c r="K516" s="36"/>
      <c r="L516" s="36"/>
      <c r="M516" s="36"/>
      <c r="N516" s="36"/>
      <c r="O516" s="39" t="str">
        <f aca="false">IF(COUNT(K516:N516)=0,"",ROUND(AVERAGE(K516:N516),0))</f>
        <v/>
      </c>
      <c r="P516" s="38" t="str">
        <f aca="false">IF(O516="","",LOOKUP(O516,Impostazioni!$E$4:$E$9,Impostazioni!$F$4:$F$9))</f>
        <v/>
      </c>
      <c r="Q516" s="36"/>
      <c r="R516" s="36"/>
      <c r="S516" s="36"/>
      <c r="T516" s="36"/>
      <c r="U516" s="39" t="str">
        <f aca="false">IF(COUNT(Q516:T516)=0,"",ROUND(AVERAGE(Q516:T516),0))</f>
        <v/>
      </c>
      <c r="V516" s="38" t="str">
        <f aca="false">IF(U516="","",LOOKUP(U516,Impostazioni!$E$4:$E$9,Impostazioni!$F$4:$F$9))</f>
        <v/>
      </c>
      <c r="W516" s="36"/>
      <c r="X516" s="36"/>
      <c r="Y516" s="36"/>
      <c r="Z516" s="36"/>
      <c r="AA516" s="39" t="str">
        <f aca="false">IF(COUNT(W516:Z516)=0,"",ROUND(AVERAGE(W516:Z516),0))</f>
        <v/>
      </c>
      <c r="AB516" s="38" t="str">
        <f aca="false">IF(AA516="","",LOOKUP(AA516,Impostazioni!$E$4:$E$9,Impostazioni!$F$4:$F$9))</f>
        <v/>
      </c>
    </row>
    <row r="517" customFormat="false" ht="21" hidden="false" customHeight="true" outlineLevel="0" collapsed="false">
      <c r="A517" s="33" t="n">
        <v>3</v>
      </c>
      <c r="B517" s="34" t="str">
        <f aca="false">IFERROR(INDEX(Alunni!$C$1:$C$1000,MATCH($A517,Alunni!$A$1:$A$1000,0))&amp;"","")</f>
        <v>Verdi Luca (esempio)</v>
      </c>
      <c r="C517" s="15"/>
      <c r="D517" s="35"/>
      <c r="E517" s="36"/>
      <c r="F517" s="36"/>
      <c r="G517" s="36"/>
      <c r="H517" s="36"/>
      <c r="I517" s="39" t="str">
        <f aca="false">IF(COUNT(E517:H517)=0,"",ROUND(AVERAGE(E517:H517),0))</f>
        <v/>
      </c>
      <c r="J517" s="38" t="str">
        <f aca="false">IF(I517="","",LOOKUP(I517,Impostazioni!$E$4:$E$9,Impostazioni!$F$4:$F$9))</f>
        <v/>
      </c>
      <c r="K517" s="36"/>
      <c r="L517" s="36"/>
      <c r="M517" s="36"/>
      <c r="N517" s="36"/>
      <c r="O517" s="39" t="str">
        <f aca="false">IF(COUNT(K517:N517)=0,"",ROUND(AVERAGE(K517:N517),0))</f>
        <v/>
      </c>
      <c r="P517" s="38" t="str">
        <f aca="false">IF(O517="","",LOOKUP(O517,Impostazioni!$E$4:$E$9,Impostazioni!$F$4:$F$9))</f>
        <v/>
      </c>
      <c r="Q517" s="36"/>
      <c r="R517" s="36"/>
      <c r="S517" s="36"/>
      <c r="T517" s="36"/>
      <c r="U517" s="39" t="str">
        <f aca="false">IF(COUNT(Q517:T517)=0,"",ROUND(AVERAGE(Q517:T517),0))</f>
        <v/>
      </c>
      <c r="V517" s="38" t="str">
        <f aca="false">IF(U517="","",LOOKUP(U517,Impostazioni!$E$4:$E$9,Impostazioni!$F$4:$F$9))</f>
        <v/>
      </c>
      <c r="W517" s="36"/>
      <c r="X517" s="36"/>
      <c r="Y517" s="36"/>
      <c r="Z517" s="36"/>
      <c r="AA517" s="39" t="str">
        <f aca="false">IF(COUNT(W517:Z517)=0,"",ROUND(AVERAGE(W517:Z517),0))</f>
        <v/>
      </c>
      <c r="AB517" s="38" t="str">
        <f aca="false">IF(AA517="","",LOOKUP(AA517,Impostazioni!$E$4:$E$9,Impostazioni!$F$4:$F$9))</f>
        <v/>
      </c>
    </row>
    <row r="518" customFormat="false" ht="21" hidden="false" customHeight="true" outlineLevel="0" collapsed="false">
      <c r="A518" s="33" t="n">
        <v>4</v>
      </c>
      <c r="B518" s="34" t="str">
        <f aca="false">IFERROR(INDEX(Alunni!$C$1:$C$1000,MATCH($A518,Alunni!$A$1:$A$1000,0))&amp;"","")</f>
        <v/>
      </c>
      <c r="C518" s="15"/>
      <c r="D518" s="35"/>
      <c r="E518" s="36"/>
      <c r="F518" s="36"/>
      <c r="G518" s="36"/>
      <c r="H518" s="36"/>
      <c r="I518" s="39" t="str">
        <f aca="false">IF(COUNT(E518:H518)=0,"",ROUND(AVERAGE(E518:H518),0))</f>
        <v/>
      </c>
      <c r="J518" s="38" t="str">
        <f aca="false">IF(I518="","",LOOKUP(I518,Impostazioni!$E$4:$E$9,Impostazioni!$F$4:$F$9))</f>
        <v/>
      </c>
      <c r="K518" s="36"/>
      <c r="L518" s="36"/>
      <c r="M518" s="36"/>
      <c r="N518" s="36"/>
      <c r="O518" s="39" t="str">
        <f aca="false">IF(COUNT(K518:N518)=0,"",ROUND(AVERAGE(K518:N518),0))</f>
        <v/>
      </c>
      <c r="P518" s="38" t="str">
        <f aca="false">IF(O518="","",LOOKUP(O518,Impostazioni!$E$4:$E$9,Impostazioni!$F$4:$F$9))</f>
        <v/>
      </c>
      <c r="Q518" s="36"/>
      <c r="R518" s="36"/>
      <c r="S518" s="36"/>
      <c r="T518" s="36"/>
      <c r="U518" s="39" t="str">
        <f aca="false">IF(COUNT(Q518:T518)=0,"",ROUND(AVERAGE(Q518:T518),0))</f>
        <v/>
      </c>
      <c r="V518" s="38" t="str">
        <f aca="false">IF(U518="","",LOOKUP(U518,Impostazioni!$E$4:$E$9,Impostazioni!$F$4:$F$9))</f>
        <v/>
      </c>
      <c r="W518" s="36"/>
      <c r="X518" s="36"/>
      <c r="Y518" s="36"/>
      <c r="Z518" s="36"/>
      <c r="AA518" s="39" t="str">
        <f aca="false">IF(COUNT(W518:Z518)=0,"",ROUND(AVERAGE(W518:Z518),0))</f>
        <v/>
      </c>
      <c r="AB518" s="38" t="str">
        <f aca="false">IF(AA518="","",LOOKUP(AA518,Impostazioni!$E$4:$E$9,Impostazioni!$F$4:$F$9))</f>
        <v/>
      </c>
    </row>
    <row r="519" customFormat="false" ht="21" hidden="false" customHeight="true" outlineLevel="0" collapsed="false">
      <c r="A519" s="33" t="n">
        <v>5</v>
      </c>
      <c r="B519" s="34" t="str">
        <f aca="false">IFERROR(INDEX(Alunni!$C$1:$C$1000,MATCH($A519,Alunni!$A$1:$A$1000,0))&amp;"","")</f>
        <v/>
      </c>
      <c r="C519" s="15"/>
      <c r="D519" s="35"/>
      <c r="E519" s="36"/>
      <c r="F519" s="36"/>
      <c r="G519" s="36"/>
      <c r="H519" s="36"/>
      <c r="I519" s="39" t="str">
        <f aca="false">IF(COUNT(E519:H519)=0,"",ROUND(AVERAGE(E519:H519),0))</f>
        <v/>
      </c>
      <c r="J519" s="38" t="str">
        <f aca="false">IF(I519="","",LOOKUP(I519,Impostazioni!$E$4:$E$9,Impostazioni!$F$4:$F$9))</f>
        <v/>
      </c>
      <c r="K519" s="36"/>
      <c r="L519" s="36"/>
      <c r="M519" s="36"/>
      <c r="N519" s="36"/>
      <c r="O519" s="39" t="str">
        <f aca="false">IF(COUNT(K519:N519)=0,"",ROUND(AVERAGE(K519:N519),0))</f>
        <v/>
      </c>
      <c r="P519" s="38" t="str">
        <f aca="false">IF(O519="","",LOOKUP(O519,Impostazioni!$E$4:$E$9,Impostazioni!$F$4:$F$9))</f>
        <v/>
      </c>
      <c r="Q519" s="36"/>
      <c r="R519" s="36"/>
      <c r="S519" s="36"/>
      <c r="T519" s="36"/>
      <c r="U519" s="39" t="str">
        <f aca="false">IF(COUNT(Q519:T519)=0,"",ROUND(AVERAGE(Q519:T519),0))</f>
        <v/>
      </c>
      <c r="V519" s="38" t="str">
        <f aca="false">IF(U519="","",LOOKUP(U519,Impostazioni!$E$4:$E$9,Impostazioni!$F$4:$F$9))</f>
        <v/>
      </c>
      <c r="W519" s="36"/>
      <c r="X519" s="36"/>
      <c r="Y519" s="36"/>
      <c r="Z519" s="36"/>
      <c r="AA519" s="39" t="str">
        <f aca="false">IF(COUNT(W519:Z519)=0,"",ROUND(AVERAGE(W519:Z519),0))</f>
        <v/>
      </c>
      <c r="AB519" s="38" t="str">
        <f aca="false">IF(AA519="","",LOOKUP(AA519,Impostazioni!$E$4:$E$9,Impostazioni!$F$4:$F$9))</f>
        <v/>
      </c>
    </row>
    <row r="520" customFormat="false" ht="21" hidden="false" customHeight="true" outlineLevel="0" collapsed="false">
      <c r="A520" s="33" t="n">
        <v>6</v>
      </c>
      <c r="B520" s="34" t="str">
        <f aca="false">IFERROR(INDEX(Alunni!$C$1:$C$1000,MATCH($A520,Alunni!$A$1:$A$1000,0))&amp;"","")</f>
        <v/>
      </c>
      <c r="C520" s="15"/>
      <c r="D520" s="35"/>
      <c r="E520" s="36"/>
      <c r="F520" s="36"/>
      <c r="G520" s="36"/>
      <c r="H520" s="36"/>
      <c r="I520" s="39" t="str">
        <f aca="false">IF(COUNT(E520:H520)=0,"",ROUND(AVERAGE(E520:H520),0))</f>
        <v/>
      </c>
      <c r="J520" s="38" t="str">
        <f aca="false">IF(I520="","",LOOKUP(I520,Impostazioni!$E$4:$E$9,Impostazioni!$F$4:$F$9))</f>
        <v/>
      </c>
      <c r="K520" s="36"/>
      <c r="L520" s="36"/>
      <c r="M520" s="36"/>
      <c r="N520" s="36"/>
      <c r="O520" s="39" t="str">
        <f aca="false">IF(COUNT(K520:N520)=0,"",ROUND(AVERAGE(K520:N520),0))</f>
        <v/>
      </c>
      <c r="P520" s="38" t="str">
        <f aca="false">IF(O520="","",LOOKUP(O520,Impostazioni!$E$4:$E$9,Impostazioni!$F$4:$F$9))</f>
        <v/>
      </c>
      <c r="Q520" s="36"/>
      <c r="R520" s="36"/>
      <c r="S520" s="36"/>
      <c r="T520" s="36"/>
      <c r="U520" s="39" t="str">
        <f aca="false">IF(COUNT(Q520:T520)=0,"",ROUND(AVERAGE(Q520:T520),0))</f>
        <v/>
      </c>
      <c r="V520" s="38" t="str">
        <f aca="false">IF(U520="","",LOOKUP(U520,Impostazioni!$E$4:$E$9,Impostazioni!$F$4:$F$9))</f>
        <v/>
      </c>
      <c r="W520" s="36"/>
      <c r="X520" s="36"/>
      <c r="Y520" s="36"/>
      <c r="Z520" s="36"/>
      <c r="AA520" s="39" t="str">
        <f aca="false">IF(COUNT(W520:Z520)=0,"",ROUND(AVERAGE(W520:Z520),0))</f>
        <v/>
      </c>
      <c r="AB520" s="38" t="str">
        <f aca="false">IF(AA520="","",LOOKUP(AA520,Impostazioni!$E$4:$E$9,Impostazioni!$F$4:$F$9))</f>
        <v/>
      </c>
    </row>
    <row r="521" customFormat="false" ht="21" hidden="false" customHeight="true" outlineLevel="0" collapsed="false">
      <c r="A521" s="33" t="n">
        <v>7</v>
      </c>
      <c r="B521" s="34" t="str">
        <f aca="false">IFERROR(INDEX(Alunni!$C$1:$C$1000,MATCH($A521,Alunni!$A$1:$A$1000,0))&amp;"","")</f>
        <v/>
      </c>
      <c r="C521" s="15"/>
      <c r="D521" s="35"/>
      <c r="E521" s="36"/>
      <c r="F521" s="36"/>
      <c r="G521" s="36"/>
      <c r="H521" s="36"/>
      <c r="I521" s="39" t="str">
        <f aca="false">IF(COUNT(E521:H521)=0,"",ROUND(AVERAGE(E521:H521),0))</f>
        <v/>
      </c>
      <c r="J521" s="38" t="str">
        <f aca="false">IF(I521="","",LOOKUP(I521,Impostazioni!$E$4:$E$9,Impostazioni!$F$4:$F$9))</f>
        <v/>
      </c>
      <c r="K521" s="36"/>
      <c r="L521" s="36"/>
      <c r="M521" s="36"/>
      <c r="N521" s="36"/>
      <c r="O521" s="39" t="str">
        <f aca="false">IF(COUNT(K521:N521)=0,"",ROUND(AVERAGE(K521:N521),0))</f>
        <v/>
      </c>
      <c r="P521" s="38" t="str">
        <f aca="false">IF(O521="","",LOOKUP(O521,Impostazioni!$E$4:$E$9,Impostazioni!$F$4:$F$9))</f>
        <v/>
      </c>
      <c r="Q521" s="36"/>
      <c r="R521" s="36"/>
      <c r="S521" s="36"/>
      <c r="T521" s="36"/>
      <c r="U521" s="39" t="str">
        <f aca="false">IF(COUNT(Q521:T521)=0,"",ROUND(AVERAGE(Q521:T521),0))</f>
        <v/>
      </c>
      <c r="V521" s="38" t="str">
        <f aca="false">IF(U521="","",LOOKUP(U521,Impostazioni!$E$4:$E$9,Impostazioni!$F$4:$F$9))</f>
        <v/>
      </c>
      <c r="W521" s="36"/>
      <c r="X521" s="36"/>
      <c r="Y521" s="36"/>
      <c r="Z521" s="36"/>
      <c r="AA521" s="39" t="str">
        <f aca="false">IF(COUNT(W521:Z521)=0,"",ROUND(AVERAGE(W521:Z521),0))</f>
        <v/>
      </c>
      <c r="AB521" s="38" t="str">
        <f aca="false">IF(AA521="","",LOOKUP(AA521,Impostazioni!$E$4:$E$9,Impostazioni!$F$4:$F$9))</f>
        <v/>
      </c>
    </row>
    <row r="522" customFormat="false" ht="21" hidden="false" customHeight="true" outlineLevel="0" collapsed="false">
      <c r="A522" s="33" t="n">
        <v>8</v>
      </c>
      <c r="B522" s="34" t="str">
        <f aca="false">IFERROR(INDEX(Alunni!$C$1:$C$1000,MATCH($A522,Alunni!$A$1:$A$1000,0))&amp;"","")</f>
        <v/>
      </c>
      <c r="C522" s="15"/>
      <c r="D522" s="35"/>
      <c r="E522" s="36"/>
      <c r="F522" s="36"/>
      <c r="G522" s="36"/>
      <c r="H522" s="36"/>
      <c r="I522" s="39" t="str">
        <f aca="false">IF(COUNT(E522:H522)=0,"",ROUND(AVERAGE(E522:H522),0))</f>
        <v/>
      </c>
      <c r="J522" s="38" t="str">
        <f aca="false">IF(I522="","",LOOKUP(I522,Impostazioni!$E$4:$E$9,Impostazioni!$F$4:$F$9))</f>
        <v/>
      </c>
      <c r="K522" s="36"/>
      <c r="L522" s="36"/>
      <c r="M522" s="36"/>
      <c r="N522" s="36"/>
      <c r="O522" s="39" t="str">
        <f aca="false">IF(COUNT(K522:N522)=0,"",ROUND(AVERAGE(K522:N522),0))</f>
        <v/>
      </c>
      <c r="P522" s="38" t="str">
        <f aca="false">IF(O522="","",LOOKUP(O522,Impostazioni!$E$4:$E$9,Impostazioni!$F$4:$F$9))</f>
        <v/>
      </c>
      <c r="Q522" s="36"/>
      <c r="R522" s="36"/>
      <c r="S522" s="36"/>
      <c r="T522" s="36"/>
      <c r="U522" s="39" t="str">
        <f aca="false">IF(COUNT(Q522:T522)=0,"",ROUND(AVERAGE(Q522:T522),0))</f>
        <v/>
      </c>
      <c r="V522" s="38" t="str">
        <f aca="false">IF(U522="","",LOOKUP(U522,Impostazioni!$E$4:$E$9,Impostazioni!$F$4:$F$9))</f>
        <v/>
      </c>
      <c r="W522" s="36"/>
      <c r="X522" s="36"/>
      <c r="Y522" s="36"/>
      <c r="Z522" s="36"/>
      <c r="AA522" s="39" t="str">
        <f aca="false">IF(COUNT(W522:Z522)=0,"",ROUND(AVERAGE(W522:Z522),0))</f>
        <v/>
      </c>
      <c r="AB522" s="38" t="str">
        <f aca="false">IF(AA522="","",LOOKUP(AA522,Impostazioni!$E$4:$E$9,Impostazioni!$F$4:$F$9))</f>
        <v/>
      </c>
    </row>
    <row r="523" customFormat="false" ht="21" hidden="false" customHeight="true" outlineLevel="0" collapsed="false">
      <c r="A523" s="33" t="n">
        <v>9</v>
      </c>
      <c r="B523" s="34" t="str">
        <f aca="false">IFERROR(INDEX(Alunni!$C$1:$C$1000,MATCH($A523,Alunni!$A$1:$A$1000,0))&amp;"","")</f>
        <v/>
      </c>
      <c r="C523" s="15"/>
      <c r="D523" s="35"/>
      <c r="E523" s="36"/>
      <c r="F523" s="36"/>
      <c r="G523" s="36"/>
      <c r="H523" s="36"/>
      <c r="I523" s="39" t="str">
        <f aca="false">IF(COUNT(E523:H523)=0,"",ROUND(AVERAGE(E523:H523),0))</f>
        <v/>
      </c>
      <c r="J523" s="38" t="str">
        <f aca="false">IF(I523="","",LOOKUP(I523,Impostazioni!$E$4:$E$9,Impostazioni!$F$4:$F$9))</f>
        <v/>
      </c>
      <c r="K523" s="36"/>
      <c r="L523" s="36"/>
      <c r="M523" s="36"/>
      <c r="N523" s="36"/>
      <c r="O523" s="39" t="str">
        <f aca="false">IF(COUNT(K523:N523)=0,"",ROUND(AVERAGE(K523:N523),0))</f>
        <v/>
      </c>
      <c r="P523" s="38" t="str">
        <f aca="false">IF(O523="","",LOOKUP(O523,Impostazioni!$E$4:$E$9,Impostazioni!$F$4:$F$9))</f>
        <v/>
      </c>
      <c r="Q523" s="36"/>
      <c r="R523" s="36"/>
      <c r="S523" s="36"/>
      <c r="T523" s="36"/>
      <c r="U523" s="39" t="str">
        <f aca="false">IF(COUNT(Q523:T523)=0,"",ROUND(AVERAGE(Q523:T523),0))</f>
        <v/>
      </c>
      <c r="V523" s="38" t="str">
        <f aca="false">IF(U523="","",LOOKUP(U523,Impostazioni!$E$4:$E$9,Impostazioni!$F$4:$F$9))</f>
        <v/>
      </c>
      <c r="W523" s="36"/>
      <c r="X523" s="36"/>
      <c r="Y523" s="36"/>
      <c r="Z523" s="36"/>
      <c r="AA523" s="39" t="str">
        <f aca="false">IF(COUNT(W523:Z523)=0,"",ROUND(AVERAGE(W523:Z523),0))</f>
        <v/>
      </c>
      <c r="AB523" s="38" t="str">
        <f aca="false">IF(AA523="","",LOOKUP(AA523,Impostazioni!$E$4:$E$9,Impostazioni!$F$4:$F$9))</f>
        <v/>
      </c>
    </row>
    <row r="524" customFormat="false" ht="21" hidden="false" customHeight="true" outlineLevel="0" collapsed="false">
      <c r="A524" s="33" t="n">
        <v>10</v>
      </c>
      <c r="B524" s="34" t="str">
        <f aca="false">IFERROR(INDEX(Alunni!$C$1:$C$1000,MATCH($A524,Alunni!$A$1:$A$1000,0))&amp;"","")</f>
        <v/>
      </c>
      <c r="C524" s="15"/>
      <c r="D524" s="35"/>
      <c r="E524" s="36"/>
      <c r="F524" s="36"/>
      <c r="G524" s="36"/>
      <c r="H524" s="36"/>
      <c r="I524" s="39" t="str">
        <f aca="false">IF(COUNT(E524:H524)=0,"",ROUND(AVERAGE(E524:H524),0))</f>
        <v/>
      </c>
      <c r="J524" s="38" t="str">
        <f aca="false">IF(I524="","",LOOKUP(I524,Impostazioni!$E$4:$E$9,Impostazioni!$F$4:$F$9))</f>
        <v/>
      </c>
      <c r="K524" s="36"/>
      <c r="L524" s="36"/>
      <c r="M524" s="36"/>
      <c r="N524" s="36"/>
      <c r="O524" s="39" t="str">
        <f aca="false">IF(COUNT(K524:N524)=0,"",ROUND(AVERAGE(K524:N524),0))</f>
        <v/>
      </c>
      <c r="P524" s="38" t="str">
        <f aca="false">IF(O524="","",LOOKUP(O524,Impostazioni!$E$4:$E$9,Impostazioni!$F$4:$F$9))</f>
        <v/>
      </c>
      <c r="Q524" s="36"/>
      <c r="R524" s="36"/>
      <c r="S524" s="36"/>
      <c r="T524" s="36"/>
      <c r="U524" s="39" t="str">
        <f aca="false">IF(COUNT(Q524:T524)=0,"",ROUND(AVERAGE(Q524:T524),0))</f>
        <v/>
      </c>
      <c r="V524" s="38" t="str">
        <f aca="false">IF(U524="","",LOOKUP(U524,Impostazioni!$E$4:$E$9,Impostazioni!$F$4:$F$9))</f>
        <v/>
      </c>
      <c r="W524" s="36"/>
      <c r="X524" s="36"/>
      <c r="Y524" s="36"/>
      <c r="Z524" s="36"/>
      <c r="AA524" s="39" t="str">
        <f aca="false">IF(COUNT(W524:Z524)=0,"",ROUND(AVERAGE(W524:Z524),0))</f>
        <v/>
      </c>
      <c r="AB524" s="38" t="str">
        <f aca="false">IF(AA524="","",LOOKUP(AA524,Impostazioni!$E$4:$E$9,Impostazioni!$F$4:$F$9))</f>
        <v/>
      </c>
    </row>
    <row r="525" customFormat="false" ht="21" hidden="false" customHeight="true" outlineLevel="0" collapsed="false">
      <c r="A525" s="33" t="n">
        <v>11</v>
      </c>
      <c r="B525" s="34" t="str">
        <f aca="false">IFERROR(INDEX(Alunni!$C$1:$C$1000,MATCH($A525,Alunni!$A$1:$A$1000,0))&amp;"","")</f>
        <v/>
      </c>
      <c r="C525" s="15"/>
      <c r="D525" s="35"/>
      <c r="E525" s="36"/>
      <c r="F525" s="36"/>
      <c r="G525" s="36"/>
      <c r="H525" s="36"/>
      <c r="I525" s="39" t="str">
        <f aca="false">IF(COUNT(E525:H525)=0,"",ROUND(AVERAGE(E525:H525),0))</f>
        <v/>
      </c>
      <c r="J525" s="38" t="str">
        <f aca="false">IF(I525="","",LOOKUP(I525,Impostazioni!$E$4:$E$9,Impostazioni!$F$4:$F$9))</f>
        <v/>
      </c>
      <c r="K525" s="36"/>
      <c r="L525" s="36"/>
      <c r="M525" s="36"/>
      <c r="N525" s="36"/>
      <c r="O525" s="39" t="str">
        <f aca="false">IF(COUNT(K525:N525)=0,"",ROUND(AVERAGE(K525:N525),0))</f>
        <v/>
      </c>
      <c r="P525" s="38" t="str">
        <f aca="false">IF(O525="","",LOOKUP(O525,Impostazioni!$E$4:$E$9,Impostazioni!$F$4:$F$9))</f>
        <v/>
      </c>
      <c r="Q525" s="36"/>
      <c r="R525" s="36"/>
      <c r="S525" s="36"/>
      <c r="T525" s="36"/>
      <c r="U525" s="39" t="str">
        <f aca="false">IF(COUNT(Q525:T525)=0,"",ROUND(AVERAGE(Q525:T525),0))</f>
        <v/>
      </c>
      <c r="V525" s="38" t="str">
        <f aca="false">IF(U525="","",LOOKUP(U525,Impostazioni!$E$4:$E$9,Impostazioni!$F$4:$F$9))</f>
        <v/>
      </c>
      <c r="W525" s="36"/>
      <c r="X525" s="36"/>
      <c r="Y525" s="36"/>
      <c r="Z525" s="36"/>
      <c r="AA525" s="39" t="str">
        <f aca="false">IF(COUNT(W525:Z525)=0,"",ROUND(AVERAGE(W525:Z525),0))</f>
        <v/>
      </c>
      <c r="AB525" s="38" t="str">
        <f aca="false">IF(AA525="","",LOOKUP(AA525,Impostazioni!$E$4:$E$9,Impostazioni!$F$4:$F$9))</f>
        <v/>
      </c>
    </row>
    <row r="526" customFormat="false" ht="21" hidden="false" customHeight="true" outlineLevel="0" collapsed="false">
      <c r="A526" s="33" t="n">
        <v>12</v>
      </c>
      <c r="B526" s="34" t="str">
        <f aca="false">IFERROR(INDEX(Alunni!$C$1:$C$1000,MATCH($A526,Alunni!$A$1:$A$1000,0))&amp;"","")</f>
        <v/>
      </c>
      <c r="C526" s="15"/>
      <c r="D526" s="35"/>
      <c r="E526" s="36"/>
      <c r="F526" s="36"/>
      <c r="G526" s="36"/>
      <c r="H526" s="36"/>
      <c r="I526" s="39" t="str">
        <f aca="false">IF(COUNT(E526:H526)=0,"",ROUND(AVERAGE(E526:H526),0))</f>
        <v/>
      </c>
      <c r="J526" s="38" t="str">
        <f aca="false">IF(I526="","",LOOKUP(I526,Impostazioni!$E$4:$E$9,Impostazioni!$F$4:$F$9))</f>
        <v/>
      </c>
      <c r="K526" s="36"/>
      <c r="L526" s="36"/>
      <c r="M526" s="36"/>
      <c r="N526" s="36"/>
      <c r="O526" s="39" t="str">
        <f aca="false">IF(COUNT(K526:N526)=0,"",ROUND(AVERAGE(K526:N526),0))</f>
        <v/>
      </c>
      <c r="P526" s="38" t="str">
        <f aca="false">IF(O526="","",LOOKUP(O526,Impostazioni!$E$4:$E$9,Impostazioni!$F$4:$F$9))</f>
        <v/>
      </c>
      <c r="Q526" s="36"/>
      <c r="R526" s="36"/>
      <c r="S526" s="36"/>
      <c r="T526" s="36"/>
      <c r="U526" s="39" t="str">
        <f aca="false">IF(COUNT(Q526:T526)=0,"",ROUND(AVERAGE(Q526:T526),0))</f>
        <v/>
      </c>
      <c r="V526" s="38" t="str">
        <f aca="false">IF(U526="","",LOOKUP(U526,Impostazioni!$E$4:$E$9,Impostazioni!$F$4:$F$9))</f>
        <v/>
      </c>
      <c r="W526" s="36"/>
      <c r="X526" s="36"/>
      <c r="Y526" s="36"/>
      <c r="Z526" s="36"/>
      <c r="AA526" s="39" t="str">
        <f aca="false">IF(COUNT(W526:Z526)=0,"",ROUND(AVERAGE(W526:Z526),0))</f>
        <v/>
      </c>
      <c r="AB526" s="38" t="str">
        <f aca="false">IF(AA526="","",LOOKUP(AA526,Impostazioni!$E$4:$E$9,Impostazioni!$F$4:$F$9))</f>
        <v/>
      </c>
    </row>
    <row r="527" customFormat="false" ht="21" hidden="false" customHeight="true" outlineLevel="0" collapsed="false">
      <c r="A527" s="33" t="n">
        <v>13</v>
      </c>
      <c r="B527" s="34" t="str">
        <f aca="false">IFERROR(INDEX(Alunni!$C$1:$C$1000,MATCH($A527,Alunni!$A$1:$A$1000,0))&amp;"","")</f>
        <v/>
      </c>
      <c r="C527" s="15"/>
      <c r="D527" s="35"/>
      <c r="E527" s="36"/>
      <c r="F527" s="36"/>
      <c r="G527" s="36"/>
      <c r="H527" s="36"/>
      <c r="I527" s="39" t="str">
        <f aca="false">IF(COUNT(E527:H527)=0,"",ROUND(AVERAGE(E527:H527),0))</f>
        <v/>
      </c>
      <c r="J527" s="38" t="str">
        <f aca="false">IF(I527="","",LOOKUP(I527,Impostazioni!$E$4:$E$9,Impostazioni!$F$4:$F$9))</f>
        <v/>
      </c>
      <c r="K527" s="36"/>
      <c r="L527" s="36"/>
      <c r="M527" s="36"/>
      <c r="N527" s="36"/>
      <c r="O527" s="39" t="str">
        <f aca="false">IF(COUNT(K527:N527)=0,"",ROUND(AVERAGE(K527:N527),0))</f>
        <v/>
      </c>
      <c r="P527" s="38" t="str">
        <f aca="false">IF(O527="","",LOOKUP(O527,Impostazioni!$E$4:$E$9,Impostazioni!$F$4:$F$9))</f>
        <v/>
      </c>
      <c r="Q527" s="36"/>
      <c r="R527" s="36"/>
      <c r="S527" s="36"/>
      <c r="T527" s="36"/>
      <c r="U527" s="39" t="str">
        <f aca="false">IF(COUNT(Q527:T527)=0,"",ROUND(AVERAGE(Q527:T527),0))</f>
        <v/>
      </c>
      <c r="V527" s="38" t="str">
        <f aca="false">IF(U527="","",LOOKUP(U527,Impostazioni!$E$4:$E$9,Impostazioni!$F$4:$F$9))</f>
        <v/>
      </c>
      <c r="W527" s="36"/>
      <c r="X527" s="36"/>
      <c r="Y527" s="36"/>
      <c r="Z527" s="36"/>
      <c r="AA527" s="39" t="str">
        <f aca="false">IF(COUNT(W527:Z527)=0,"",ROUND(AVERAGE(W527:Z527),0))</f>
        <v/>
      </c>
      <c r="AB527" s="38" t="str">
        <f aca="false">IF(AA527="","",LOOKUP(AA527,Impostazioni!$E$4:$E$9,Impostazioni!$F$4:$F$9))</f>
        <v/>
      </c>
    </row>
    <row r="528" customFormat="false" ht="21" hidden="false" customHeight="true" outlineLevel="0" collapsed="false">
      <c r="A528" s="33" t="n">
        <v>14</v>
      </c>
      <c r="B528" s="34" t="str">
        <f aca="false">IFERROR(INDEX(Alunni!$C$1:$C$1000,MATCH($A528,Alunni!$A$1:$A$1000,0))&amp;"","")</f>
        <v/>
      </c>
      <c r="C528" s="15"/>
      <c r="D528" s="35"/>
      <c r="E528" s="36"/>
      <c r="F528" s="36"/>
      <c r="G528" s="36"/>
      <c r="H528" s="36"/>
      <c r="I528" s="39" t="str">
        <f aca="false">IF(COUNT(E528:H528)=0,"",ROUND(AVERAGE(E528:H528),0))</f>
        <v/>
      </c>
      <c r="J528" s="38" t="str">
        <f aca="false">IF(I528="","",LOOKUP(I528,Impostazioni!$E$4:$E$9,Impostazioni!$F$4:$F$9))</f>
        <v/>
      </c>
      <c r="K528" s="36"/>
      <c r="L528" s="36"/>
      <c r="M528" s="36"/>
      <c r="N528" s="36"/>
      <c r="O528" s="39" t="str">
        <f aca="false">IF(COUNT(K528:N528)=0,"",ROUND(AVERAGE(K528:N528),0))</f>
        <v/>
      </c>
      <c r="P528" s="38" t="str">
        <f aca="false">IF(O528="","",LOOKUP(O528,Impostazioni!$E$4:$E$9,Impostazioni!$F$4:$F$9))</f>
        <v/>
      </c>
      <c r="Q528" s="36"/>
      <c r="R528" s="36"/>
      <c r="S528" s="36"/>
      <c r="T528" s="36"/>
      <c r="U528" s="39" t="str">
        <f aca="false">IF(COUNT(Q528:T528)=0,"",ROUND(AVERAGE(Q528:T528),0))</f>
        <v/>
      </c>
      <c r="V528" s="38" t="str">
        <f aca="false">IF(U528="","",LOOKUP(U528,Impostazioni!$E$4:$E$9,Impostazioni!$F$4:$F$9))</f>
        <v/>
      </c>
      <c r="W528" s="36"/>
      <c r="X528" s="36"/>
      <c r="Y528" s="36"/>
      <c r="Z528" s="36"/>
      <c r="AA528" s="39" t="str">
        <f aca="false">IF(COUNT(W528:Z528)=0,"",ROUND(AVERAGE(W528:Z528),0))</f>
        <v/>
      </c>
      <c r="AB528" s="38" t="str">
        <f aca="false">IF(AA528="","",LOOKUP(AA528,Impostazioni!$E$4:$E$9,Impostazioni!$F$4:$F$9))</f>
        <v/>
      </c>
    </row>
    <row r="529" customFormat="false" ht="21" hidden="false" customHeight="true" outlineLevel="0" collapsed="false">
      <c r="A529" s="33" t="n">
        <v>15</v>
      </c>
      <c r="B529" s="34" t="str">
        <f aca="false">IFERROR(INDEX(Alunni!$C$1:$C$1000,MATCH($A529,Alunni!$A$1:$A$1000,0))&amp;"","")</f>
        <v/>
      </c>
      <c r="C529" s="15"/>
      <c r="D529" s="35"/>
      <c r="E529" s="36"/>
      <c r="F529" s="36"/>
      <c r="G529" s="36"/>
      <c r="H529" s="36"/>
      <c r="I529" s="39" t="str">
        <f aca="false">IF(COUNT(E529:H529)=0,"",ROUND(AVERAGE(E529:H529),0))</f>
        <v/>
      </c>
      <c r="J529" s="38" t="str">
        <f aca="false">IF(I529="","",LOOKUP(I529,Impostazioni!$E$4:$E$9,Impostazioni!$F$4:$F$9))</f>
        <v/>
      </c>
      <c r="K529" s="36"/>
      <c r="L529" s="36"/>
      <c r="M529" s="36"/>
      <c r="N529" s="36"/>
      <c r="O529" s="39" t="str">
        <f aca="false">IF(COUNT(K529:N529)=0,"",ROUND(AVERAGE(K529:N529),0))</f>
        <v/>
      </c>
      <c r="P529" s="38" t="str">
        <f aca="false">IF(O529="","",LOOKUP(O529,Impostazioni!$E$4:$E$9,Impostazioni!$F$4:$F$9))</f>
        <v/>
      </c>
      <c r="Q529" s="36"/>
      <c r="R529" s="36"/>
      <c r="S529" s="36"/>
      <c r="T529" s="36"/>
      <c r="U529" s="39" t="str">
        <f aca="false">IF(COUNT(Q529:T529)=0,"",ROUND(AVERAGE(Q529:T529),0))</f>
        <v/>
      </c>
      <c r="V529" s="38" t="str">
        <f aca="false">IF(U529="","",LOOKUP(U529,Impostazioni!$E$4:$E$9,Impostazioni!$F$4:$F$9))</f>
        <v/>
      </c>
      <c r="W529" s="36"/>
      <c r="X529" s="36"/>
      <c r="Y529" s="36"/>
      <c r="Z529" s="36"/>
      <c r="AA529" s="39" t="str">
        <f aca="false">IF(COUNT(W529:Z529)=0,"",ROUND(AVERAGE(W529:Z529),0))</f>
        <v/>
      </c>
      <c r="AB529" s="38" t="str">
        <f aca="false">IF(AA529="","",LOOKUP(AA529,Impostazioni!$E$4:$E$9,Impostazioni!$F$4:$F$9))</f>
        <v/>
      </c>
    </row>
    <row r="530" customFormat="false" ht="21" hidden="false" customHeight="true" outlineLevel="0" collapsed="false">
      <c r="A530" s="33" t="n">
        <v>16</v>
      </c>
      <c r="B530" s="34" t="str">
        <f aca="false">IFERROR(INDEX(Alunni!$C$1:$C$1000,MATCH($A530,Alunni!$A$1:$A$1000,0))&amp;"","")</f>
        <v/>
      </c>
      <c r="C530" s="15"/>
      <c r="D530" s="35"/>
      <c r="E530" s="36"/>
      <c r="F530" s="36"/>
      <c r="G530" s="36"/>
      <c r="H530" s="36"/>
      <c r="I530" s="39" t="str">
        <f aca="false">IF(COUNT(E530:H530)=0,"",ROUND(AVERAGE(E530:H530),0))</f>
        <v/>
      </c>
      <c r="J530" s="38" t="str">
        <f aca="false">IF(I530="","",LOOKUP(I530,Impostazioni!$E$4:$E$9,Impostazioni!$F$4:$F$9))</f>
        <v/>
      </c>
      <c r="K530" s="36"/>
      <c r="L530" s="36"/>
      <c r="M530" s="36"/>
      <c r="N530" s="36"/>
      <c r="O530" s="39" t="str">
        <f aca="false">IF(COUNT(K530:N530)=0,"",ROUND(AVERAGE(K530:N530),0))</f>
        <v/>
      </c>
      <c r="P530" s="38" t="str">
        <f aca="false">IF(O530="","",LOOKUP(O530,Impostazioni!$E$4:$E$9,Impostazioni!$F$4:$F$9))</f>
        <v/>
      </c>
      <c r="Q530" s="36"/>
      <c r="R530" s="36"/>
      <c r="S530" s="36"/>
      <c r="T530" s="36"/>
      <c r="U530" s="39" t="str">
        <f aca="false">IF(COUNT(Q530:T530)=0,"",ROUND(AVERAGE(Q530:T530),0))</f>
        <v/>
      </c>
      <c r="V530" s="38" t="str">
        <f aca="false">IF(U530="","",LOOKUP(U530,Impostazioni!$E$4:$E$9,Impostazioni!$F$4:$F$9))</f>
        <v/>
      </c>
      <c r="W530" s="36"/>
      <c r="X530" s="36"/>
      <c r="Y530" s="36"/>
      <c r="Z530" s="36"/>
      <c r="AA530" s="39" t="str">
        <f aca="false">IF(COUNT(W530:Z530)=0,"",ROUND(AVERAGE(W530:Z530),0))</f>
        <v/>
      </c>
      <c r="AB530" s="38" t="str">
        <f aca="false">IF(AA530="","",LOOKUP(AA530,Impostazioni!$E$4:$E$9,Impostazioni!$F$4:$F$9))</f>
        <v/>
      </c>
    </row>
    <row r="531" customFormat="false" ht="21" hidden="false" customHeight="true" outlineLevel="0" collapsed="false">
      <c r="A531" s="33" t="n">
        <v>17</v>
      </c>
      <c r="B531" s="34" t="str">
        <f aca="false">IFERROR(INDEX(Alunni!$C$1:$C$1000,MATCH($A531,Alunni!$A$1:$A$1000,0))&amp;"","")</f>
        <v/>
      </c>
      <c r="C531" s="15"/>
      <c r="D531" s="35"/>
      <c r="E531" s="36"/>
      <c r="F531" s="36"/>
      <c r="G531" s="36"/>
      <c r="H531" s="36"/>
      <c r="I531" s="39" t="str">
        <f aca="false">IF(COUNT(E531:H531)=0,"",ROUND(AVERAGE(E531:H531),0))</f>
        <v/>
      </c>
      <c r="J531" s="38" t="str">
        <f aca="false">IF(I531="","",LOOKUP(I531,Impostazioni!$E$4:$E$9,Impostazioni!$F$4:$F$9))</f>
        <v/>
      </c>
      <c r="K531" s="36"/>
      <c r="L531" s="36"/>
      <c r="M531" s="36"/>
      <c r="N531" s="36"/>
      <c r="O531" s="39" t="str">
        <f aca="false">IF(COUNT(K531:N531)=0,"",ROUND(AVERAGE(K531:N531),0))</f>
        <v/>
      </c>
      <c r="P531" s="38" t="str">
        <f aca="false">IF(O531="","",LOOKUP(O531,Impostazioni!$E$4:$E$9,Impostazioni!$F$4:$F$9))</f>
        <v/>
      </c>
      <c r="Q531" s="36"/>
      <c r="R531" s="36"/>
      <c r="S531" s="36"/>
      <c r="T531" s="36"/>
      <c r="U531" s="39" t="str">
        <f aca="false">IF(COUNT(Q531:T531)=0,"",ROUND(AVERAGE(Q531:T531),0))</f>
        <v/>
      </c>
      <c r="V531" s="38" t="str">
        <f aca="false">IF(U531="","",LOOKUP(U531,Impostazioni!$E$4:$E$9,Impostazioni!$F$4:$F$9))</f>
        <v/>
      </c>
      <c r="W531" s="36"/>
      <c r="X531" s="36"/>
      <c r="Y531" s="36"/>
      <c r="Z531" s="36"/>
      <c r="AA531" s="39" t="str">
        <f aca="false">IF(COUNT(W531:Z531)=0,"",ROUND(AVERAGE(W531:Z531),0))</f>
        <v/>
      </c>
      <c r="AB531" s="38" t="str">
        <f aca="false">IF(AA531="","",LOOKUP(AA531,Impostazioni!$E$4:$E$9,Impostazioni!$F$4:$F$9))</f>
        <v/>
      </c>
    </row>
    <row r="532" customFormat="false" ht="21" hidden="false" customHeight="true" outlineLevel="0" collapsed="false">
      <c r="A532" s="33" t="n">
        <v>18</v>
      </c>
      <c r="B532" s="34" t="str">
        <f aca="false">IFERROR(INDEX(Alunni!$C$1:$C$1000,MATCH($A532,Alunni!$A$1:$A$1000,0))&amp;"","")</f>
        <v/>
      </c>
      <c r="C532" s="15"/>
      <c r="D532" s="35"/>
      <c r="E532" s="36"/>
      <c r="F532" s="36"/>
      <c r="G532" s="36"/>
      <c r="H532" s="36"/>
      <c r="I532" s="39" t="str">
        <f aca="false">IF(COUNT(E532:H532)=0,"",ROUND(AVERAGE(E532:H532),0))</f>
        <v/>
      </c>
      <c r="J532" s="38" t="str">
        <f aca="false">IF(I532="","",LOOKUP(I532,Impostazioni!$E$4:$E$9,Impostazioni!$F$4:$F$9))</f>
        <v/>
      </c>
      <c r="K532" s="36"/>
      <c r="L532" s="36"/>
      <c r="M532" s="36"/>
      <c r="N532" s="36"/>
      <c r="O532" s="39" t="str">
        <f aca="false">IF(COUNT(K532:N532)=0,"",ROUND(AVERAGE(K532:N532),0))</f>
        <v/>
      </c>
      <c r="P532" s="38" t="str">
        <f aca="false">IF(O532="","",LOOKUP(O532,Impostazioni!$E$4:$E$9,Impostazioni!$F$4:$F$9))</f>
        <v/>
      </c>
      <c r="Q532" s="36"/>
      <c r="R532" s="36"/>
      <c r="S532" s="36"/>
      <c r="T532" s="36"/>
      <c r="U532" s="39" t="str">
        <f aca="false">IF(COUNT(Q532:T532)=0,"",ROUND(AVERAGE(Q532:T532),0))</f>
        <v/>
      </c>
      <c r="V532" s="38" t="str">
        <f aca="false">IF(U532="","",LOOKUP(U532,Impostazioni!$E$4:$E$9,Impostazioni!$F$4:$F$9))</f>
        <v/>
      </c>
      <c r="W532" s="36"/>
      <c r="X532" s="36"/>
      <c r="Y532" s="36"/>
      <c r="Z532" s="36"/>
      <c r="AA532" s="39" t="str">
        <f aca="false">IF(COUNT(W532:Z532)=0,"",ROUND(AVERAGE(W532:Z532),0))</f>
        <v/>
      </c>
      <c r="AB532" s="38" t="str">
        <f aca="false">IF(AA532="","",LOOKUP(AA532,Impostazioni!$E$4:$E$9,Impostazioni!$F$4:$F$9))</f>
        <v/>
      </c>
    </row>
    <row r="533" customFormat="false" ht="21" hidden="false" customHeight="true" outlineLevel="0" collapsed="false">
      <c r="A533" s="33" t="n">
        <v>19</v>
      </c>
      <c r="B533" s="34" t="str">
        <f aca="false">IFERROR(INDEX(Alunni!$C$1:$C$1000,MATCH($A533,Alunni!$A$1:$A$1000,0))&amp;"","")</f>
        <v/>
      </c>
      <c r="C533" s="15"/>
      <c r="D533" s="35"/>
      <c r="E533" s="36"/>
      <c r="F533" s="36"/>
      <c r="G533" s="36"/>
      <c r="H533" s="36"/>
      <c r="I533" s="39" t="str">
        <f aca="false">IF(COUNT(E533:H533)=0,"",ROUND(AVERAGE(E533:H533),0))</f>
        <v/>
      </c>
      <c r="J533" s="38" t="str">
        <f aca="false">IF(I533="","",LOOKUP(I533,Impostazioni!$E$4:$E$9,Impostazioni!$F$4:$F$9))</f>
        <v/>
      </c>
      <c r="K533" s="36"/>
      <c r="L533" s="36"/>
      <c r="M533" s="36"/>
      <c r="N533" s="36"/>
      <c r="O533" s="39" t="str">
        <f aca="false">IF(COUNT(K533:N533)=0,"",ROUND(AVERAGE(K533:N533),0))</f>
        <v/>
      </c>
      <c r="P533" s="38" t="str">
        <f aca="false">IF(O533="","",LOOKUP(O533,Impostazioni!$E$4:$E$9,Impostazioni!$F$4:$F$9))</f>
        <v/>
      </c>
      <c r="Q533" s="36"/>
      <c r="R533" s="36"/>
      <c r="S533" s="36"/>
      <c r="T533" s="36"/>
      <c r="U533" s="39" t="str">
        <f aca="false">IF(COUNT(Q533:T533)=0,"",ROUND(AVERAGE(Q533:T533),0))</f>
        <v/>
      </c>
      <c r="V533" s="38" t="str">
        <f aca="false">IF(U533="","",LOOKUP(U533,Impostazioni!$E$4:$E$9,Impostazioni!$F$4:$F$9))</f>
        <v/>
      </c>
      <c r="W533" s="36"/>
      <c r="X533" s="36"/>
      <c r="Y533" s="36"/>
      <c r="Z533" s="36"/>
      <c r="AA533" s="39" t="str">
        <f aca="false">IF(COUNT(W533:Z533)=0,"",ROUND(AVERAGE(W533:Z533),0))</f>
        <v/>
      </c>
      <c r="AB533" s="38" t="str">
        <f aca="false">IF(AA533="","",LOOKUP(AA533,Impostazioni!$E$4:$E$9,Impostazioni!$F$4:$F$9))</f>
        <v/>
      </c>
    </row>
    <row r="534" customFormat="false" ht="21" hidden="false" customHeight="true" outlineLevel="0" collapsed="false">
      <c r="A534" s="33" t="n">
        <v>20</v>
      </c>
      <c r="B534" s="34" t="str">
        <f aca="false">IFERROR(INDEX(Alunni!$C$1:$C$1000,MATCH($A534,Alunni!$A$1:$A$1000,0))&amp;"","")</f>
        <v/>
      </c>
      <c r="C534" s="15"/>
      <c r="D534" s="35"/>
      <c r="E534" s="36"/>
      <c r="F534" s="36"/>
      <c r="G534" s="36"/>
      <c r="H534" s="36"/>
      <c r="I534" s="39" t="str">
        <f aca="false">IF(COUNT(E534:H534)=0,"",ROUND(AVERAGE(E534:H534),0))</f>
        <v/>
      </c>
      <c r="J534" s="38" t="str">
        <f aca="false">IF(I534="","",LOOKUP(I534,Impostazioni!$E$4:$E$9,Impostazioni!$F$4:$F$9))</f>
        <v/>
      </c>
      <c r="K534" s="36"/>
      <c r="L534" s="36"/>
      <c r="M534" s="36"/>
      <c r="N534" s="36"/>
      <c r="O534" s="39" t="str">
        <f aca="false">IF(COUNT(K534:N534)=0,"",ROUND(AVERAGE(K534:N534),0))</f>
        <v/>
      </c>
      <c r="P534" s="38" t="str">
        <f aca="false">IF(O534="","",LOOKUP(O534,Impostazioni!$E$4:$E$9,Impostazioni!$F$4:$F$9))</f>
        <v/>
      </c>
      <c r="Q534" s="36"/>
      <c r="R534" s="36"/>
      <c r="S534" s="36"/>
      <c r="T534" s="36"/>
      <c r="U534" s="39" t="str">
        <f aca="false">IF(COUNT(Q534:T534)=0,"",ROUND(AVERAGE(Q534:T534),0))</f>
        <v/>
      </c>
      <c r="V534" s="38" t="str">
        <f aca="false">IF(U534="","",LOOKUP(U534,Impostazioni!$E$4:$E$9,Impostazioni!$F$4:$F$9))</f>
        <v/>
      </c>
      <c r="W534" s="36"/>
      <c r="X534" s="36"/>
      <c r="Y534" s="36"/>
      <c r="Z534" s="36"/>
      <c r="AA534" s="39" t="str">
        <f aca="false">IF(COUNT(W534:Z534)=0,"",ROUND(AVERAGE(W534:Z534),0))</f>
        <v/>
      </c>
      <c r="AB534" s="38" t="str">
        <f aca="false">IF(AA534="","",LOOKUP(AA534,Impostazioni!$E$4:$E$9,Impostazioni!$F$4:$F$9))</f>
        <v/>
      </c>
    </row>
    <row r="535" customFormat="false" ht="21" hidden="false" customHeight="true" outlineLevel="0" collapsed="false">
      <c r="A535" s="33" t="n">
        <v>21</v>
      </c>
      <c r="B535" s="34" t="str">
        <f aca="false">IFERROR(INDEX(Alunni!$C$1:$C$1000,MATCH($A535,Alunni!$A$1:$A$1000,0))&amp;"","")</f>
        <v/>
      </c>
      <c r="C535" s="15"/>
      <c r="D535" s="35"/>
      <c r="E535" s="36"/>
      <c r="F535" s="36"/>
      <c r="G535" s="36"/>
      <c r="H535" s="36"/>
      <c r="I535" s="39" t="str">
        <f aca="false">IF(COUNT(E535:H535)=0,"",ROUND(AVERAGE(E535:H535),0))</f>
        <v/>
      </c>
      <c r="J535" s="38" t="str">
        <f aca="false">IF(I535="","",LOOKUP(I535,Impostazioni!$E$4:$E$9,Impostazioni!$F$4:$F$9))</f>
        <v/>
      </c>
      <c r="K535" s="36"/>
      <c r="L535" s="36"/>
      <c r="M535" s="36"/>
      <c r="N535" s="36"/>
      <c r="O535" s="39" t="str">
        <f aca="false">IF(COUNT(K535:N535)=0,"",ROUND(AVERAGE(K535:N535),0))</f>
        <v/>
      </c>
      <c r="P535" s="38" t="str">
        <f aca="false">IF(O535="","",LOOKUP(O535,Impostazioni!$E$4:$E$9,Impostazioni!$F$4:$F$9))</f>
        <v/>
      </c>
      <c r="Q535" s="36"/>
      <c r="R535" s="36"/>
      <c r="S535" s="36"/>
      <c r="T535" s="36"/>
      <c r="U535" s="39" t="str">
        <f aca="false">IF(COUNT(Q535:T535)=0,"",ROUND(AVERAGE(Q535:T535),0))</f>
        <v/>
      </c>
      <c r="V535" s="38" t="str">
        <f aca="false">IF(U535="","",LOOKUP(U535,Impostazioni!$E$4:$E$9,Impostazioni!$F$4:$F$9))</f>
        <v/>
      </c>
      <c r="W535" s="36"/>
      <c r="X535" s="36"/>
      <c r="Y535" s="36"/>
      <c r="Z535" s="36"/>
      <c r="AA535" s="39" t="str">
        <f aca="false">IF(COUNT(W535:Z535)=0,"",ROUND(AVERAGE(W535:Z535),0))</f>
        <v/>
      </c>
      <c r="AB535" s="38" t="str">
        <f aca="false">IF(AA535="","",LOOKUP(AA535,Impostazioni!$E$4:$E$9,Impostazioni!$F$4:$F$9))</f>
        <v/>
      </c>
    </row>
    <row r="536" customFormat="false" ht="21" hidden="false" customHeight="true" outlineLevel="0" collapsed="false">
      <c r="A536" s="33" t="n">
        <v>22</v>
      </c>
      <c r="B536" s="34" t="str">
        <f aca="false">IFERROR(INDEX(Alunni!$C$1:$C$1000,MATCH($A536,Alunni!$A$1:$A$1000,0))&amp;"","")</f>
        <v/>
      </c>
      <c r="C536" s="15"/>
      <c r="D536" s="35"/>
      <c r="E536" s="36"/>
      <c r="F536" s="36"/>
      <c r="G536" s="36"/>
      <c r="H536" s="36"/>
      <c r="I536" s="39" t="str">
        <f aca="false">IF(COUNT(E536:H536)=0,"",ROUND(AVERAGE(E536:H536),0))</f>
        <v/>
      </c>
      <c r="J536" s="38" t="str">
        <f aca="false">IF(I536="","",LOOKUP(I536,Impostazioni!$E$4:$E$9,Impostazioni!$F$4:$F$9))</f>
        <v/>
      </c>
      <c r="K536" s="36"/>
      <c r="L536" s="36"/>
      <c r="M536" s="36"/>
      <c r="N536" s="36"/>
      <c r="O536" s="39" t="str">
        <f aca="false">IF(COUNT(K536:N536)=0,"",ROUND(AVERAGE(K536:N536),0))</f>
        <v/>
      </c>
      <c r="P536" s="38" t="str">
        <f aca="false">IF(O536="","",LOOKUP(O536,Impostazioni!$E$4:$E$9,Impostazioni!$F$4:$F$9))</f>
        <v/>
      </c>
      <c r="Q536" s="36"/>
      <c r="R536" s="36"/>
      <c r="S536" s="36"/>
      <c r="T536" s="36"/>
      <c r="U536" s="39" t="str">
        <f aca="false">IF(COUNT(Q536:T536)=0,"",ROUND(AVERAGE(Q536:T536),0))</f>
        <v/>
      </c>
      <c r="V536" s="38" t="str">
        <f aca="false">IF(U536="","",LOOKUP(U536,Impostazioni!$E$4:$E$9,Impostazioni!$F$4:$F$9))</f>
        <v/>
      </c>
      <c r="W536" s="36"/>
      <c r="X536" s="36"/>
      <c r="Y536" s="36"/>
      <c r="Z536" s="36"/>
      <c r="AA536" s="39" t="str">
        <f aca="false">IF(COUNT(W536:Z536)=0,"",ROUND(AVERAGE(W536:Z536),0))</f>
        <v/>
      </c>
      <c r="AB536" s="38" t="str">
        <f aca="false">IF(AA536="","",LOOKUP(AA536,Impostazioni!$E$4:$E$9,Impostazioni!$F$4:$F$9))</f>
        <v/>
      </c>
    </row>
    <row r="537" customFormat="false" ht="21" hidden="false" customHeight="true" outlineLevel="0" collapsed="false">
      <c r="A537" s="33" t="n">
        <v>23</v>
      </c>
      <c r="B537" s="34" t="str">
        <f aca="false">IFERROR(INDEX(Alunni!$C$1:$C$1000,MATCH($A537,Alunni!$A$1:$A$1000,0))&amp;"","")</f>
        <v/>
      </c>
      <c r="C537" s="15"/>
      <c r="D537" s="35"/>
      <c r="E537" s="36"/>
      <c r="F537" s="36"/>
      <c r="G537" s="36"/>
      <c r="H537" s="36"/>
      <c r="I537" s="39" t="str">
        <f aca="false">IF(COUNT(E537:H537)=0,"",ROUND(AVERAGE(E537:H537),0))</f>
        <v/>
      </c>
      <c r="J537" s="38" t="str">
        <f aca="false">IF(I537="","",LOOKUP(I537,Impostazioni!$E$4:$E$9,Impostazioni!$F$4:$F$9))</f>
        <v/>
      </c>
      <c r="K537" s="36"/>
      <c r="L537" s="36"/>
      <c r="M537" s="36"/>
      <c r="N537" s="36"/>
      <c r="O537" s="39" t="str">
        <f aca="false">IF(COUNT(K537:N537)=0,"",ROUND(AVERAGE(K537:N537),0))</f>
        <v/>
      </c>
      <c r="P537" s="38" t="str">
        <f aca="false">IF(O537="","",LOOKUP(O537,Impostazioni!$E$4:$E$9,Impostazioni!$F$4:$F$9))</f>
        <v/>
      </c>
      <c r="Q537" s="36"/>
      <c r="R537" s="36"/>
      <c r="S537" s="36"/>
      <c r="T537" s="36"/>
      <c r="U537" s="39" t="str">
        <f aca="false">IF(COUNT(Q537:T537)=0,"",ROUND(AVERAGE(Q537:T537),0))</f>
        <v/>
      </c>
      <c r="V537" s="38" t="str">
        <f aca="false">IF(U537="","",LOOKUP(U537,Impostazioni!$E$4:$E$9,Impostazioni!$F$4:$F$9))</f>
        <v/>
      </c>
      <c r="W537" s="36"/>
      <c r="X537" s="36"/>
      <c r="Y537" s="36"/>
      <c r="Z537" s="36"/>
      <c r="AA537" s="39" t="str">
        <f aca="false">IF(COUNT(W537:Z537)=0,"",ROUND(AVERAGE(W537:Z537),0))</f>
        <v/>
      </c>
      <c r="AB537" s="38" t="str">
        <f aca="false">IF(AA537="","",LOOKUP(AA537,Impostazioni!$E$4:$E$9,Impostazioni!$F$4:$F$9))</f>
        <v/>
      </c>
    </row>
    <row r="538" customFormat="false" ht="21" hidden="false" customHeight="true" outlineLevel="0" collapsed="false">
      <c r="A538" s="33" t="n">
        <v>24</v>
      </c>
      <c r="B538" s="34" t="str">
        <f aca="false">IFERROR(INDEX(Alunni!$C$1:$C$1000,MATCH($A538,Alunni!$A$1:$A$1000,0))&amp;"","")</f>
        <v/>
      </c>
      <c r="C538" s="15"/>
      <c r="D538" s="35"/>
      <c r="E538" s="36"/>
      <c r="F538" s="36"/>
      <c r="G538" s="36"/>
      <c r="H538" s="36"/>
      <c r="I538" s="39" t="str">
        <f aca="false">IF(COUNT(E538:H538)=0,"",ROUND(AVERAGE(E538:H538),0))</f>
        <v/>
      </c>
      <c r="J538" s="38" t="str">
        <f aca="false">IF(I538="","",LOOKUP(I538,Impostazioni!$E$4:$E$9,Impostazioni!$F$4:$F$9))</f>
        <v/>
      </c>
      <c r="K538" s="36"/>
      <c r="L538" s="36"/>
      <c r="M538" s="36"/>
      <c r="N538" s="36"/>
      <c r="O538" s="39" t="str">
        <f aca="false">IF(COUNT(K538:N538)=0,"",ROUND(AVERAGE(K538:N538),0))</f>
        <v/>
      </c>
      <c r="P538" s="38" t="str">
        <f aca="false">IF(O538="","",LOOKUP(O538,Impostazioni!$E$4:$E$9,Impostazioni!$F$4:$F$9))</f>
        <v/>
      </c>
      <c r="Q538" s="36"/>
      <c r="R538" s="36"/>
      <c r="S538" s="36"/>
      <c r="T538" s="36"/>
      <c r="U538" s="39" t="str">
        <f aca="false">IF(COUNT(Q538:T538)=0,"",ROUND(AVERAGE(Q538:T538),0))</f>
        <v/>
      </c>
      <c r="V538" s="38" t="str">
        <f aca="false">IF(U538="","",LOOKUP(U538,Impostazioni!$E$4:$E$9,Impostazioni!$F$4:$F$9))</f>
        <v/>
      </c>
      <c r="W538" s="36"/>
      <c r="X538" s="36"/>
      <c r="Y538" s="36"/>
      <c r="Z538" s="36"/>
      <c r="AA538" s="39" t="str">
        <f aca="false">IF(COUNT(W538:Z538)=0,"",ROUND(AVERAGE(W538:Z538),0))</f>
        <v/>
      </c>
      <c r="AB538" s="38" t="str">
        <f aca="false">IF(AA538="","",LOOKUP(AA538,Impostazioni!$E$4:$E$9,Impostazioni!$F$4:$F$9))</f>
        <v/>
      </c>
    </row>
    <row r="539" customFormat="false" ht="21" hidden="false" customHeight="true" outlineLevel="0" collapsed="false">
      <c r="A539" s="33" t="n">
        <v>25</v>
      </c>
      <c r="B539" s="34" t="str">
        <f aca="false">IFERROR(INDEX(Alunni!$C$1:$C$1000,MATCH($A539,Alunni!$A$1:$A$1000,0))&amp;"","")</f>
        <v/>
      </c>
      <c r="C539" s="15"/>
      <c r="D539" s="35"/>
      <c r="E539" s="36"/>
      <c r="F539" s="36"/>
      <c r="G539" s="36"/>
      <c r="H539" s="36"/>
      <c r="I539" s="39" t="str">
        <f aca="false">IF(COUNT(E539:H539)=0,"",ROUND(AVERAGE(E539:H539),0))</f>
        <v/>
      </c>
      <c r="J539" s="38" t="str">
        <f aca="false">IF(I539="","",LOOKUP(I539,Impostazioni!$E$4:$E$9,Impostazioni!$F$4:$F$9))</f>
        <v/>
      </c>
      <c r="K539" s="36"/>
      <c r="L539" s="36"/>
      <c r="M539" s="36"/>
      <c r="N539" s="36"/>
      <c r="O539" s="39" t="str">
        <f aca="false">IF(COUNT(K539:N539)=0,"",ROUND(AVERAGE(K539:N539),0))</f>
        <v/>
      </c>
      <c r="P539" s="38" t="str">
        <f aca="false">IF(O539="","",LOOKUP(O539,Impostazioni!$E$4:$E$9,Impostazioni!$F$4:$F$9))</f>
        <v/>
      </c>
      <c r="Q539" s="36"/>
      <c r="R539" s="36"/>
      <c r="S539" s="36"/>
      <c r="T539" s="36"/>
      <c r="U539" s="39" t="str">
        <f aca="false">IF(COUNT(Q539:T539)=0,"",ROUND(AVERAGE(Q539:T539),0))</f>
        <v/>
      </c>
      <c r="V539" s="38" t="str">
        <f aca="false">IF(U539="","",LOOKUP(U539,Impostazioni!$E$4:$E$9,Impostazioni!$F$4:$F$9))</f>
        <v/>
      </c>
      <c r="W539" s="36"/>
      <c r="X539" s="36"/>
      <c r="Y539" s="36"/>
      <c r="Z539" s="36"/>
      <c r="AA539" s="39" t="str">
        <f aca="false">IF(COUNT(W539:Z539)=0,"",ROUND(AVERAGE(W539:Z539),0))</f>
        <v/>
      </c>
      <c r="AB539" s="38" t="str">
        <f aca="false">IF(AA539="","",LOOKUP(AA539,Impostazioni!$E$4:$E$9,Impostazioni!$F$4:$F$9))</f>
        <v/>
      </c>
    </row>
    <row r="540" customFormat="false" ht="21" hidden="false" customHeight="true" outlineLevel="0" collapsed="false">
      <c r="A540" s="33" t="n">
        <v>26</v>
      </c>
      <c r="B540" s="34" t="str">
        <f aca="false">IFERROR(INDEX(Alunni!$C$1:$C$1000,MATCH($A540,Alunni!$A$1:$A$1000,0))&amp;"","")</f>
        <v/>
      </c>
      <c r="C540" s="15"/>
      <c r="D540" s="35"/>
      <c r="E540" s="36"/>
      <c r="F540" s="36"/>
      <c r="G540" s="36"/>
      <c r="H540" s="36"/>
      <c r="I540" s="39" t="str">
        <f aca="false">IF(COUNT(E540:H540)=0,"",ROUND(AVERAGE(E540:H540),0))</f>
        <v/>
      </c>
      <c r="J540" s="38" t="str">
        <f aca="false">IF(I540="","",LOOKUP(I540,Impostazioni!$E$4:$E$9,Impostazioni!$F$4:$F$9))</f>
        <v/>
      </c>
      <c r="K540" s="36"/>
      <c r="L540" s="36"/>
      <c r="M540" s="36"/>
      <c r="N540" s="36"/>
      <c r="O540" s="39" t="str">
        <f aca="false">IF(COUNT(K540:N540)=0,"",ROUND(AVERAGE(K540:N540),0))</f>
        <v/>
      </c>
      <c r="P540" s="38" t="str">
        <f aca="false">IF(O540="","",LOOKUP(O540,Impostazioni!$E$4:$E$9,Impostazioni!$F$4:$F$9))</f>
        <v/>
      </c>
      <c r="Q540" s="36"/>
      <c r="R540" s="36"/>
      <c r="S540" s="36"/>
      <c r="T540" s="36"/>
      <c r="U540" s="39" t="str">
        <f aca="false">IF(COUNT(Q540:T540)=0,"",ROUND(AVERAGE(Q540:T540),0))</f>
        <v/>
      </c>
      <c r="V540" s="38" t="str">
        <f aca="false">IF(U540="","",LOOKUP(U540,Impostazioni!$E$4:$E$9,Impostazioni!$F$4:$F$9))</f>
        <v/>
      </c>
      <c r="W540" s="36"/>
      <c r="X540" s="36"/>
      <c r="Y540" s="36"/>
      <c r="Z540" s="36"/>
      <c r="AA540" s="39" t="str">
        <f aca="false">IF(COUNT(W540:Z540)=0,"",ROUND(AVERAGE(W540:Z540),0))</f>
        <v/>
      </c>
      <c r="AB540" s="38" t="str">
        <f aca="false">IF(AA540="","",LOOKUP(AA540,Impostazioni!$E$4:$E$9,Impostazioni!$F$4:$F$9))</f>
        <v/>
      </c>
    </row>
    <row r="541" customFormat="false" ht="21" hidden="false" customHeight="true" outlineLevel="0" collapsed="false">
      <c r="A541" s="33" t="n">
        <v>27</v>
      </c>
      <c r="B541" s="34" t="str">
        <f aca="false">IFERROR(INDEX(Alunni!$C$1:$C$1000,MATCH($A541,Alunni!$A$1:$A$1000,0))&amp;"","")</f>
        <v/>
      </c>
      <c r="C541" s="15"/>
      <c r="D541" s="35"/>
      <c r="E541" s="36"/>
      <c r="F541" s="36"/>
      <c r="G541" s="36"/>
      <c r="H541" s="36"/>
      <c r="I541" s="39" t="str">
        <f aca="false">IF(COUNT(E541:H541)=0,"",ROUND(AVERAGE(E541:H541),0))</f>
        <v/>
      </c>
      <c r="J541" s="38" t="str">
        <f aca="false">IF(I541="","",LOOKUP(I541,Impostazioni!$E$4:$E$9,Impostazioni!$F$4:$F$9))</f>
        <v/>
      </c>
      <c r="K541" s="36"/>
      <c r="L541" s="36"/>
      <c r="M541" s="36"/>
      <c r="N541" s="36"/>
      <c r="O541" s="39" t="str">
        <f aca="false">IF(COUNT(K541:N541)=0,"",ROUND(AVERAGE(K541:N541),0))</f>
        <v/>
      </c>
      <c r="P541" s="38" t="str">
        <f aca="false">IF(O541="","",LOOKUP(O541,Impostazioni!$E$4:$E$9,Impostazioni!$F$4:$F$9))</f>
        <v/>
      </c>
      <c r="Q541" s="36"/>
      <c r="R541" s="36"/>
      <c r="S541" s="36"/>
      <c r="T541" s="36"/>
      <c r="U541" s="39" t="str">
        <f aca="false">IF(COUNT(Q541:T541)=0,"",ROUND(AVERAGE(Q541:T541),0))</f>
        <v/>
      </c>
      <c r="V541" s="38" t="str">
        <f aca="false">IF(U541="","",LOOKUP(U541,Impostazioni!$E$4:$E$9,Impostazioni!$F$4:$F$9))</f>
        <v/>
      </c>
      <c r="W541" s="36"/>
      <c r="X541" s="36"/>
      <c r="Y541" s="36"/>
      <c r="Z541" s="36"/>
      <c r="AA541" s="39" t="str">
        <f aca="false">IF(COUNT(W541:Z541)=0,"",ROUND(AVERAGE(W541:Z541),0))</f>
        <v/>
      </c>
      <c r="AB541" s="38" t="str">
        <f aca="false">IF(AA541="","",LOOKUP(AA541,Impostazioni!$E$4:$E$9,Impostazioni!$F$4:$F$9))</f>
        <v/>
      </c>
    </row>
    <row r="542" customFormat="false" ht="21" hidden="false" customHeight="true" outlineLevel="0" collapsed="false">
      <c r="A542" s="33" t="n">
        <v>28</v>
      </c>
      <c r="B542" s="34" t="str">
        <f aca="false">IFERROR(INDEX(Alunni!$C$1:$C$1000,MATCH($A542,Alunni!$A$1:$A$1000,0))&amp;"","")</f>
        <v/>
      </c>
      <c r="C542" s="15"/>
      <c r="D542" s="35"/>
      <c r="E542" s="36"/>
      <c r="F542" s="36"/>
      <c r="G542" s="36"/>
      <c r="H542" s="36"/>
      <c r="I542" s="39" t="str">
        <f aca="false">IF(COUNT(E542:H542)=0,"",ROUND(AVERAGE(E542:H542),0))</f>
        <v/>
      </c>
      <c r="J542" s="38" t="str">
        <f aca="false">IF(I542="","",LOOKUP(I542,Impostazioni!$E$4:$E$9,Impostazioni!$F$4:$F$9))</f>
        <v/>
      </c>
      <c r="K542" s="36"/>
      <c r="L542" s="36"/>
      <c r="M542" s="36"/>
      <c r="N542" s="36"/>
      <c r="O542" s="39" t="str">
        <f aca="false">IF(COUNT(K542:N542)=0,"",ROUND(AVERAGE(K542:N542),0))</f>
        <v/>
      </c>
      <c r="P542" s="38" t="str">
        <f aca="false">IF(O542="","",LOOKUP(O542,Impostazioni!$E$4:$E$9,Impostazioni!$F$4:$F$9))</f>
        <v/>
      </c>
      <c r="Q542" s="36"/>
      <c r="R542" s="36"/>
      <c r="S542" s="36"/>
      <c r="T542" s="36"/>
      <c r="U542" s="39" t="str">
        <f aca="false">IF(COUNT(Q542:T542)=0,"",ROUND(AVERAGE(Q542:T542),0))</f>
        <v/>
      </c>
      <c r="V542" s="38" t="str">
        <f aca="false">IF(U542="","",LOOKUP(U542,Impostazioni!$E$4:$E$9,Impostazioni!$F$4:$F$9))</f>
        <v/>
      </c>
      <c r="W542" s="36"/>
      <c r="X542" s="36"/>
      <c r="Y542" s="36"/>
      <c r="Z542" s="36"/>
      <c r="AA542" s="39" t="str">
        <f aca="false">IF(COUNT(W542:Z542)=0,"",ROUND(AVERAGE(W542:Z542),0))</f>
        <v/>
      </c>
      <c r="AB542" s="38" t="str">
        <f aca="false">IF(AA542="","",LOOKUP(AA542,Impostazioni!$E$4:$E$9,Impostazioni!$F$4:$F$9))</f>
        <v/>
      </c>
    </row>
    <row r="543" customFormat="false" ht="21" hidden="false" customHeight="true" outlineLevel="0" collapsed="false">
      <c r="A543" s="33" t="n">
        <v>29</v>
      </c>
      <c r="B543" s="34" t="str">
        <f aca="false">IFERROR(INDEX(Alunni!$C$1:$C$1000,MATCH($A543,Alunni!$A$1:$A$1000,0))&amp;"","")</f>
        <v/>
      </c>
      <c r="C543" s="15"/>
      <c r="D543" s="35"/>
      <c r="E543" s="36"/>
      <c r="F543" s="36"/>
      <c r="G543" s="36"/>
      <c r="H543" s="36"/>
      <c r="I543" s="39" t="str">
        <f aca="false">IF(COUNT(E543:H543)=0,"",ROUND(AVERAGE(E543:H543),0))</f>
        <v/>
      </c>
      <c r="J543" s="38" t="str">
        <f aca="false">IF(I543="","",LOOKUP(I543,Impostazioni!$E$4:$E$9,Impostazioni!$F$4:$F$9))</f>
        <v/>
      </c>
      <c r="K543" s="36"/>
      <c r="L543" s="36"/>
      <c r="M543" s="36"/>
      <c r="N543" s="36"/>
      <c r="O543" s="39" t="str">
        <f aca="false">IF(COUNT(K543:N543)=0,"",ROUND(AVERAGE(K543:N543),0))</f>
        <v/>
      </c>
      <c r="P543" s="38" t="str">
        <f aca="false">IF(O543="","",LOOKUP(O543,Impostazioni!$E$4:$E$9,Impostazioni!$F$4:$F$9))</f>
        <v/>
      </c>
      <c r="Q543" s="36"/>
      <c r="R543" s="36"/>
      <c r="S543" s="36"/>
      <c r="T543" s="36"/>
      <c r="U543" s="39" t="str">
        <f aca="false">IF(COUNT(Q543:T543)=0,"",ROUND(AVERAGE(Q543:T543),0))</f>
        <v/>
      </c>
      <c r="V543" s="38" t="str">
        <f aca="false">IF(U543="","",LOOKUP(U543,Impostazioni!$E$4:$E$9,Impostazioni!$F$4:$F$9))</f>
        <v/>
      </c>
      <c r="W543" s="36"/>
      <c r="X543" s="36"/>
      <c r="Y543" s="36"/>
      <c r="Z543" s="36"/>
      <c r="AA543" s="39" t="str">
        <f aca="false">IF(COUNT(W543:Z543)=0,"",ROUND(AVERAGE(W543:Z543),0))</f>
        <v/>
      </c>
      <c r="AB543" s="38" t="str">
        <f aca="false">IF(AA543="","",LOOKUP(AA543,Impostazioni!$E$4:$E$9,Impostazioni!$F$4:$F$9))</f>
        <v/>
      </c>
    </row>
    <row r="544" customFormat="false" ht="21" hidden="false" customHeight="true" outlineLevel="0" collapsed="false">
      <c r="A544" s="33" t="n">
        <v>30</v>
      </c>
      <c r="B544" s="34" t="str">
        <f aca="false">IFERROR(INDEX(Alunni!$C$1:$C$1000,MATCH($A544,Alunni!$A$1:$A$1000,0))&amp;"","")</f>
        <v/>
      </c>
      <c r="C544" s="15"/>
      <c r="D544" s="35"/>
      <c r="E544" s="36"/>
      <c r="F544" s="36"/>
      <c r="G544" s="36"/>
      <c r="H544" s="36"/>
      <c r="I544" s="39" t="str">
        <f aca="false">IF(COUNT(E544:H544)=0,"",ROUND(AVERAGE(E544:H544),0))</f>
        <v/>
      </c>
      <c r="J544" s="38" t="str">
        <f aca="false">IF(I544="","",LOOKUP(I544,Impostazioni!$E$4:$E$9,Impostazioni!$F$4:$F$9))</f>
        <v/>
      </c>
      <c r="K544" s="36"/>
      <c r="L544" s="36"/>
      <c r="M544" s="36"/>
      <c r="N544" s="36"/>
      <c r="O544" s="39" t="str">
        <f aca="false">IF(COUNT(K544:N544)=0,"",ROUND(AVERAGE(K544:N544),0))</f>
        <v/>
      </c>
      <c r="P544" s="38" t="str">
        <f aca="false">IF(O544="","",LOOKUP(O544,Impostazioni!$E$4:$E$9,Impostazioni!$F$4:$F$9))</f>
        <v/>
      </c>
      <c r="Q544" s="36"/>
      <c r="R544" s="36"/>
      <c r="S544" s="36"/>
      <c r="T544" s="36"/>
      <c r="U544" s="39" t="str">
        <f aca="false">IF(COUNT(Q544:T544)=0,"",ROUND(AVERAGE(Q544:T544),0))</f>
        <v/>
      </c>
      <c r="V544" s="38" t="str">
        <f aca="false">IF(U544="","",LOOKUP(U544,Impostazioni!$E$4:$E$9,Impostazioni!$F$4:$F$9))</f>
        <v/>
      </c>
      <c r="W544" s="36"/>
      <c r="X544" s="36"/>
      <c r="Y544" s="36"/>
      <c r="Z544" s="36"/>
      <c r="AA544" s="39" t="str">
        <f aca="false">IF(COUNT(W544:Z544)=0,"",ROUND(AVERAGE(W544:Z544),0))</f>
        <v/>
      </c>
      <c r="AB544" s="38" t="str">
        <f aca="false">IF(AA544="","",LOOKUP(AA544,Impostazioni!$E$4:$E$9,Impostazioni!$F$4:$F$9))</f>
        <v/>
      </c>
    </row>
    <row r="546" customFormat="false" ht="25.5" hidden="false" customHeight="true" outlineLevel="0" collapsed="false">
      <c r="A546" s="40" t="str">
        <f aca="false">Calendario!B22&amp;"   ·   "&amp;IF(Calendario!G22="","(descrizione da Calendario)",Calendario!G22)&amp;"   ·   "&amp;IF(Calendario!E22="","data da fissare",CHOOSE(WEEKDAY(Calendario!E22,2),"lunedì","martedì","mercoledì","giovedì","venerdì","sabato","domenica")&amp;" "&amp;TEXT(DAY(Calendario!E22),"00")&amp;"/"&amp;TEXT(MONTH(Calendario!E22),"00")&amp;"/"&amp;YEAR(Calendario!E22))</f>
        <v>Q2-G06   ·   (descrizione da Calendario)   ·   data da fissare</v>
      </c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</row>
    <row r="547" customFormat="false" ht="15" hidden="false" customHeight="true" outlineLevel="0" collapsed="false">
      <c r="A547" s="25" t="s">
        <v>80</v>
      </c>
      <c r="B547" s="25"/>
      <c r="C547" s="25"/>
      <c r="D547" s="25"/>
      <c r="E547" s="26" t="str">
        <f aca="false">IF(Calendario!$H$22="","— libero —",Calendario!$H$22&amp;"  "&amp;IFERROR(VLOOKUP(Calendario!$H$22,Impostazioni!$A$25:$J$36,3,FALSE()),""))</f>
        <v>— libero —</v>
      </c>
      <c r="F547" s="26"/>
      <c r="G547" s="26"/>
      <c r="H547" s="26"/>
      <c r="I547" s="26"/>
      <c r="J547" s="26"/>
      <c r="K547" s="26" t="str">
        <f aca="false">IF(Calendario!$I$22="","— libero —",Calendario!$I$22&amp;"  "&amp;IFERROR(VLOOKUP(Calendario!$I$22,Impostazioni!$A$25:$J$36,3,FALSE()),""))</f>
        <v>— libero —</v>
      </c>
      <c r="L547" s="26"/>
      <c r="M547" s="26"/>
      <c r="N547" s="26"/>
      <c r="O547" s="26"/>
      <c r="P547" s="26"/>
      <c r="Q547" s="26" t="str">
        <f aca="false">IF(Calendario!$J$22="","— libero —",Calendario!$J$22&amp;"  "&amp;IFERROR(VLOOKUP(Calendario!$J$22,Impostazioni!$A$25:$J$36,3,FALSE()),""))</f>
        <v>— libero —</v>
      </c>
      <c r="R547" s="26"/>
      <c r="S547" s="26"/>
      <c r="T547" s="26"/>
      <c r="U547" s="26"/>
      <c r="V547" s="26"/>
      <c r="W547" s="26" t="str">
        <f aca="false">IF(Calendario!$K$22="","— libero —",Calendario!$K$22&amp;"  "&amp;IFERROR(VLOOKUP(Calendario!$K$22,Impostazioni!$A$25:$J$36,3,FALSE()),""))</f>
        <v>— libero —</v>
      </c>
      <c r="X547" s="26"/>
      <c r="Y547" s="26"/>
      <c r="Z547" s="26"/>
      <c r="AA547" s="26"/>
      <c r="AB547" s="26"/>
    </row>
    <row r="548" customFormat="false" ht="15" hidden="false" customHeight="true" outlineLevel="0" collapsed="false">
      <c r="A548" s="25" t="s">
        <v>81</v>
      </c>
      <c r="B548" s="25"/>
      <c r="C548" s="25"/>
      <c r="D548" s="25"/>
      <c r="E548" s="27" t="str">
        <f aca="false">IF(Calendario!$H$22="","","Ob. "&amp;IFERROR(VLOOKUP(Calendario!$H$22,Impostazioni!$A$25:$J$36,6,FALSE()),"?")&amp;" · peso "&amp;IF(Calendario!$F$22=2,Impostazioni!$B$11,Impostazioni!$B$10))</f>
        <v/>
      </c>
      <c r="F548" s="27"/>
      <c r="G548" s="27"/>
      <c r="H548" s="27"/>
      <c r="I548" s="27"/>
      <c r="J548" s="27"/>
      <c r="K548" s="27" t="str">
        <f aca="false">IF(Calendario!$I$22="","","Ob. "&amp;IFERROR(VLOOKUP(Calendario!$I$22,Impostazioni!$A$25:$J$36,6,FALSE()),"?")&amp;" · peso "&amp;IF(Calendario!$F$22=2,Impostazioni!$B$11,Impostazioni!$B$10))</f>
        <v/>
      </c>
      <c r="L548" s="27"/>
      <c r="M548" s="27"/>
      <c r="N548" s="27"/>
      <c r="O548" s="27"/>
      <c r="P548" s="27"/>
      <c r="Q548" s="27" t="str">
        <f aca="false">IF(Calendario!$J$22="","","Ob. "&amp;IFERROR(VLOOKUP(Calendario!$J$22,Impostazioni!$A$25:$J$36,6,FALSE()),"?")&amp;" · peso "&amp;IF(Calendario!$F$22=2,Impostazioni!$B$11,Impostazioni!$B$10))</f>
        <v/>
      </c>
      <c r="R548" s="27"/>
      <c r="S548" s="27"/>
      <c r="T548" s="27"/>
      <c r="U548" s="27"/>
      <c r="V548" s="27"/>
      <c r="W548" s="27" t="str">
        <f aca="false">IF(Calendario!$K$22="","","Ob. "&amp;IFERROR(VLOOKUP(Calendario!$K$22,Impostazioni!$A$25:$J$36,6,FALSE()),"?")&amp;" · peso "&amp;IF(Calendario!$F$22=2,Impostazioni!$B$11,Impostazioni!$B$10))</f>
        <v/>
      </c>
      <c r="X548" s="27"/>
      <c r="Y548" s="27"/>
      <c r="Z548" s="27"/>
      <c r="AA548" s="27"/>
      <c r="AB548" s="27"/>
    </row>
    <row r="549" customFormat="false" ht="33.75" hidden="false" customHeight="true" outlineLevel="0" collapsed="false">
      <c r="A549" s="25" t="s">
        <v>82</v>
      </c>
      <c r="B549" s="25"/>
      <c r="C549" s="25"/>
      <c r="D549" s="25"/>
      <c r="E549" s="28" t="str">
        <f aca="false">IF(Calendario!$H$22="","",IFERROR(HYPERLINK("#Rubriche!C"&amp;(MATCH(Calendario!$H$22,Rubriche!$A$1:$A$1000,0)+0),VLOOKUP(Calendario!$H$22,Impostazioni!$A$25:$J$36,7,FALSE())),""))</f>
        <v/>
      </c>
      <c r="F549" s="28" t="str">
        <f aca="false">IF(Calendario!$H$22="","",IFERROR(HYPERLINK("#Rubriche!C"&amp;(MATCH(Calendario!$H$22,Rubriche!$A$1:$A$1000,0)+1),VLOOKUP(Calendario!$H$22,Impostazioni!$A$25:$J$36,8,FALSE())),""))</f>
        <v/>
      </c>
      <c r="G549" s="28" t="str">
        <f aca="false">IF(Calendario!$H$22="","",IFERROR(HYPERLINK("#Rubriche!C"&amp;(MATCH(Calendario!$H$22,Rubriche!$A$1:$A$1000,0)+2),VLOOKUP(Calendario!$H$22,Impostazioni!$A$25:$J$36,9,FALSE())),""))</f>
        <v/>
      </c>
      <c r="H549" s="28" t="str">
        <f aca="false">IF(Calendario!$H$22="","",IFERROR(HYPERLINK("#Rubriche!C"&amp;(MATCH(Calendario!$H$22,Rubriche!$A$1:$A$1000,0)+3),VLOOKUP(Calendario!$H$22,Impostazioni!$A$25:$J$36,10,FALSE())),""))</f>
        <v/>
      </c>
      <c r="I549" s="29"/>
      <c r="J549" s="29"/>
      <c r="K549" s="28" t="str">
        <f aca="false">IF(Calendario!$I$22="","",IFERROR(HYPERLINK("#Rubriche!C"&amp;(MATCH(Calendario!$I$22,Rubriche!$A$1:$A$1000,0)+0),VLOOKUP(Calendario!$I$22,Impostazioni!$A$25:$J$36,7,FALSE())),""))</f>
        <v/>
      </c>
      <c r="L549" s="28" t="str">
        <f aca="false">IF(Calendario!$I$22="","",IFERROR(HYPERLINK("#Rubriche!C"&amp;(MATCH(Calendario!$I$22,Rubriche!$A$1:$A$1000,0)+1),VLOOKUP(Calendario!$I$22,Impostazioni!$A$25:$J$36,8,FALSE())),""))</f>
        <v/>
      </c>
      <c r="M549" s="28" t="str">
        <f aca="false">IF(Calendario!$I$22="","",IFERROR(HYPERLINK("#Rubriche!C"&amp;(MATCH(Calendario!$I$22,Rubriche!$A$1:$A$1000,0)+2),VLOOKUP(Calendario!$I$22,Impostazioni!$A$25:$J$36,9,FALSE())),""))</f>
        <v/>
      </c>
      <c r="N549" s="28" t="str">
        <f aca="false">IF(Calendario!$I$22="","",IFERROR(HYPERLINK("#Rubriche!C"&amp;(MATCH(Calendario!$I$22,Rubriche!$A$1:$A$1000,0)+3),VLOOKUP(Calendario!$I$22,Impostazioni!$A$25:$J$36,10,FALSE())),""))</f>
        <v/>
      </c>
      <c r="O549" s="29"/>
      <c r="P549" s="29"/>
      <c r="Q549" s="28" t="str">
        <f aca="false">IF(Calendario!$J$22="","",IFERROR(HYPERLINK("#Rubriche!C"&amp;(MATCH(Calendario!$J$22,Rubriche!$A$1:$A$1000,0)+0),VLOOKUP(Calendario!$J$22,Impostazioni!$A$25:$J$36,7,FALSE())),""))</f>
        <v/>
      </c>
      <c r="R549" s="28" t="str">
        <f aca="false">IF(Calendario!$J$22="","",IFERROR(HYPERLINK("#Rubriche!C"&amp;(MATCH(Calendario!$J$22,Rubriche!$A$1:$A$1000,0)+1),VLOOKUP(Calendario!$J$22,Impostazioni!$A$25:$J$36,8,FALSE())),""))</f>
        <v/>
      </c>
      <c r="S549" s="28" t="str">
        <f aca="false">IF(Calendario!$J$22="","",IFERROR(HYPERLINK("#Rubriche!C"&amp;(MATCH(Calendario!$J$22,Rubriche!$A$1:$A$1000,0)+2),VLOOKUP(Calendario!$J$22,Impostazioni!$A$25:$J$36,9,FALSE())),""))</f>
        <v/>
      </c>
      <c r="T549" s="28" t="str">
        <f aca="false">IF(Calendario!$J$22="","",IFERROR(HYPERLINK("#Rubriche!C"&amp;(MATCH(Calendario!$J$22,Rubriche!$A$1:$A$1000,0)+3),VLOOKUP(Calendario!$J$22,Impostazioni!$A$25:$J$36,10,FALSE())),""))</f>
        <v/>
      </c>
      <c r="U549" s="29"/>
      <c r="V549" s="29"/>
      <c r="W549" s="28" t="str">
        <f aca="false">IF(Calendario!$K$22="","",IFERROR(HYPERLINK("#Rubriche!C"&amp;(MATCH(Calendario!$K$22,Rubriche!$A$1:$A$1000,0)+0),VLOOKUP(Calendario!$K$22,Impostazioni!$A$25:$J$36,7,FALSE())),""))</f>
        <v/>
      </c>
      <c r="X549" s="28" t="str">
        <f aca="false">IF(Calendario!$K$22="","",IFERROR(HYPERLINK("#Rubriche!C"&amp;(MATCH(Calendario!$K$22,Rubriche!$A$1:$A$1000,0)+1),VLOOKUP(Calendario!$K$22,Impostazioni!$A$25:$J$36,8,FALSE())),""))</f>
        <v/>
      </c>
      <c r="Y549" s="28" t="str">
        <f aca="false">IF(Calendario!$K$22="","",IFERROR(HYPERLINK("#Rubriche!C"&amp;(MATCH(Calendario!$K$22,Rubriche!$A$1:$A$1000,0)+2),VLOOKUP(Calendario!$K$22,Impostazioni!$A$25:$J$36,9,FALSE())),""))</f>
        <v/>
      </c>
      <c r="Z549" s="28" t="str">
        <f aca="false">IF(Calendario!$K$22="","",IFERROR(HYPERLINK("#Rubriche!C"&amp;(MATCH(Calendario!$K$22,Rubriche!$A$1:$A$1000,0)+3),VLOOKUP(Calendario!$K$22,Impostazioni!$A$25:$J$36,10,FALSE())),""))</f>
        <v/>
      </c>
      <c r="AA549" s="29"/>
      <c r="AB549" s="29"/>
    </row>
    <row r="550" customFormat="false" ht="25.5" hidden="false" customHeight="true" outlineLevel="0" collapsed="false">
      <c r="A550" s="8" t="s">
        <v>65</v>
      </c>
      <c r="B550" s="8" t="s">
        <v>83</v>
      </c>
      <c r="C550" s="8" t="s">
        <v>68</v>
      </c>
      <c r="D550" s="8" t="s">
        <v>84</v>
      </c>
      <c r="E550" s="30" t="s">
        <v>85</v>
      </c>
      <c r="F550" s="30" t="s">
        <v>86</v>
      </c>
      <c r="G550" s="30" t="s">
        <v>87</v>
      </c>
      <c r="H550" s="30" t="s">
        <v>88</v>
      </c>
      <c r="I550" s="31" t="s">
        <v>89</v>
      </c>
      <c r="J550" s="32" t="s">
        <v>90</v>
      </c>
      <c r="K550" s="30" t="s">
        <v>85</v>
      </c>
      <c r="L550" s="30" t="s">
        <v>86</v>
      </c>
      <c r="M550" s="30" t="s">
        <v>87</v>
      </c>
      <c r="N550" s="30" t="s">
        <v>88</v>
      </c>
      <c r="O550" s="31" t="s">
        <v>89</v>
      </c>
      <c r="P550" s="32" t="s">
        <v>90</v>
      </c>
      <c r="Q550" s="30" t="s">
        <v>85</v>
      </c>
      <c r="R550" s="30" t="s">
        <v>86</v>
      </c>
      <c r="S550" s="30" t="s">
        <v>87</v>
      </c>
      <c r="T550" s="30" t="s">
        <v>88</v>
      </c>
      <c r="U550" s="31" t="s">
        <v>89</v>
      </c>
      <c r="V550" s="32" t="s">
        <v>90</v>
      </c>
      <c r="W550" s="30" t="s">
        <v>85</v>
      </c>
      <c r="X550" s="30" t="s">
        <v>86</v>
      </c>
      <c r="Y550" s="30" t="s">
        <v>87</v>
      </c>
      <c r="Z550" s="30" t="s">
        <v>88</v>
      </c>
      <c r="AA550" s="31" t="s">
        <v>89</v>
      </c>
      <c r="AB550" s="32" t="s">
        <v>90</v>
      </c>
    </row>
    <row r="551" customFormat="false" ht="21" hidden="false" customHeight="true" outlineLevel="0" collapsed="false">
      <c r="A551" s="33" t="n">
        <v>1</v>
      </c>
      <c r="B551" s="34" t="str">
        <f aca="false">IFERROR(INDEX(Alunni!$C$1:$C$1000,MATCH($A551,Alunni!$A$1:$A$1000,0))&amp;"","")</f>
        <v>Rossi Mario (esempio)</v>
      </c>
      <c r="C551" s="15"/>
      <c r="D551" s="35"/>
      <c r="E551" s="36"/>
      <c r="F551" s="36"/>
      <c r="G551" s="36"/>
      <c r="H551" s="36"/>
      <c r="I551" s="39" t="str">
        <f aca="false">IF(COUNT(E551:H551)=0,"",ROUND(AVERAGE(E551:H551),0))</f>
        <v/>
      </c>
      <c r="J551" s="38" t="str">
        <f aca="false">IF(I551="","",LOOKUP(I551,Impostazioni!$E$4:$E$9,Impostazioni!$F$4:$F$9))</f>
        <v/>
      </c>
      <c r="K551" s="36"/>
      <c r="L551" s="36"/>
      <c r="M551" s="36"/>
      <c r="N551" s="36"/>
      <c r="O551" s="39" t="str">
        <f aca="false">IF(COUNT(K551:N551)=0,"",ROUND(AVERAGE(K551:N551),0))</f>
        <v/>
      </c>
      <c r="P551" s="38" t="str">
        <f aca="false">IF(O551="","",LOOKUP(O551,Impostazioni!$E$4:$E$9,Impostazioni!$F$4:$F$9))</f>
        <v/>
      </c>
      <c r="Q551" s="36"/>
      <c r="R551" s="36"/>
      <c r="S551" s="36"/>
      <c r="T551" s="36"/>
      <c r="U551" s="39" t="str">
        <f aca="false">IF(COUNT(Q551:T551)=0,"",ROUND(AVERAGE(Q551:T551),0))</f>
        <v/>
      </c>
      <c r="V551" s="38" t="str">
        <f aca="false">IF(U551="","",LOOKUP(U551,Impostazioni!$E$4:$E$9,Impostazioni!$F$4:$F$9))</f>
        <v/>
      </c>
      <c r="W551" s="36"/>
      <c r="X551" s="36"/>
      <c r="Y551" s="36"/>
      <c r="Z551" s="36"/>
      <c r="AA551" s="39" t="str">
        <f aca="false">IF(COUNT(W551:Z551)=0,"",ROUND(AVERAGE(W551:Z551),0))</f>
        <v/>
      </c>
      <c r="AB551" s="38" t="str">
        <f aca="false">IF(AA551="","",LOOKUP(AA551,Impostazioni!$E$4:$E$9,Impostazioni!$F$4:$F$9))</f>
        <v/>
      </c>
    </row>
    <row r="552" customFormat="false" ht="21" hidden="false" customHeight="true" outlineLevel="0" collapsed="false">
      <c r="A552" s="33" t="n">
        <v>2</v>
      </c>
      <c r="B552" s="34" t="str">
        <f aca="false">IFERROR(INDEX(Alunni!$C$1:$C$1000,MATCH($A552,Alunni!$A$1:$A$1000,0))&amp;"","")</f>
        <v>Bianchi Anna (esempio)</v>
      </c>
      <c r="C552" s="15"/>
      <c r="D552" s="35"/>
      <c r="E552" s="36"/>
      <c r="F552" s="36"/>
      <c r="G552" s="36"/>
      <c r="H552" s="36"/>
      <c r="I552" s="39" t="str">
        <f aca="false">IF(COUNT(E552:H552)=0,"",ROUND(AVERAGE(E552:H552),0))</f>
        <v/>
      </c>
      <c r="J552" s="38" t="str">
        <f aca="false">IF(I552="","",LOOKUP(I552,Impostazioni!$E$4:$E$9,Impostazioni!$F$4:$F$9))</f>
        <v/>
      </c>
      <c r="K552" s="36"/>
      <c r="L552" s="36"/>
      <c r="M552" s="36"/>
      <c r="N552" s="36"/>
      <c r="O552" s="39" t="str">
        <f aca="false">IF(COUNT(K552:N552)=0,"",ROUND(AVERAGE(K552:N552),0))</f>
        <v/>
      </c>
      <c r="P552" s="38" t="str">
        <f aca="false">IF(O552="","",LOOKUP(O552,Impostazioni!$E$4:$E$9,Impostazioni!$F$4:$F$9))</f>
        <v/>
      </c>
      <c r="Q552" s="36"/>
      <c r="R552" s="36"/>
      <c r="S552" s="36"/>
      <c r="T552" s="36"/>
      <c r="U552" s="39" t="str">
        <f aca="false">IF(COUNT(Q552:T552)=0,"",ROUND(AVERAGE(Q552:T552),0))</f>
        <v/>
      </c>
      <c r="V552" s="38" t="str">
        <f aca="false">IF(U552="","",LOOKUP(U552,Impostazioni!$E$4:$E$9,Impostazioni!$F$4:$F$9))</f>
        <v/>
      </c>
      <c r="W552" s="36"/>
      <c r="X552" s="36"/>
      <c r="Y552" s="36"/>
      <c r="Z552" s="36"/>
      <c r="AA552" s="39" t="str">
        <f aca="false">IF(COUNT(W552:Z552)=0,"",ROUND(AVERAGE(W552:Z552),0))</f>
        <v/>
      </c>
      <c r="AB552" s="38" t="str">
        <f aca="false">IF(AA552="","",LOOKUP(AA552,Impostazioni!$E$4:$E$9,Impostazioni!$F$4:$F$9))</f>
        <v/>
      </c>
    </row>
    <row r="553" customFormat="false" ht="21" hidden="false" customHeight="true" outlineLevel="0" collapsed="false">
      <c r="A553" s="33" t="n">
        <v>3</v>
      </c>
      <c r="B553" s="34" t="str">
        <f aca="false">IFERROR(INDEX(Alunni!$C$1:$C$1000,MATCH($A553,Alunni!$A$1:$A$1000,0))&amp;"","")</f>
        <v>Verdi Luca (esempio)</v>
      </c>
      <c r="C553" s="15"/>
      <c r="D553" s="35"/>
      <c r="E553" s="36"/>
      <c r="F553" s="36"/>
      <c r="G553" s="36"/>
      <c r="H553" s="36"/>
      <c r="I553" s="39" t="str">
        <f aca="false">IF(COUNT(E553:H553)=0,"",ROUND(AVERAGE(E553:H553),0))</f>
        <v/>
      </c>
      <c r="J553" s="38" t="str">
        <f aca="false">IF(I553="","",LOOKUP(I553,Impostazioni!$E$4:$E$9,Impostazioni!$F$4:$F$9))</f>
        <v/>
      </c>
      <c r="K553" s="36"/>
      <c r="L553" s="36"/>
      <c r="M553" s="36"/>
      <c r="N553" s="36"/>
      <c r="O553" s="39" t="str">
        <f aca="false">IF(COUNT(K553:N553)=0,"",ROUND(AVERAGE(K553:N553),0))</f>
        <v/>
      </c>
      <c r="P553" s="38" t="str">
        <f aca="false">IF(O553="","",LOOKUP(O553,Impostazioni!$E$4:$E$9,Impostazioni!$F$4:$F$9))</f>
        <v/>
      </c>
      <c r="Q553" s="36"/>
      <c r="R553" s="36"/>
      <c r="S553" s="36"/>
      <c r="T553" s="36"/>
      <c r="U553" s="39" t="str">
        <f aca="false">IF(COUNT(Q553:T553)=0,"",ROUND(AVERAGE(Q553:T553),0))</f>
        <v/>
      </c>
      <c r="V553" s="38" t="str">
        <f aca="false">IF(U553="","",LOOKUP(U553,Impostazioni!$E$4:$E$9,Impostazioni!$F$4:$F$9))</f>
        <v/>
      </c>
      <c r="W553" s="36"/>
      <c r="X553" s="36"/>
      <c r="Y553" s="36"/>
      <c r="Z553" s="36"/>
      <c r="AA553" s="39" t="str">
        <f aca="false">IF(COUNT(W553:Z553)=0,"",ROUND(AVERAGE(W553:Z553),0))</f>
        <v/>
      </c>
      <c r="AB553" s="38" t="str">
        <f aca="false">IF(AA553="","",LOOKUP(AA553,Impostazioni!$E$4:$E$9,Impostazioni!$F$4:$F$9))</f>
        <v/>
      </c>
    </row>
    <row r="554" customFormat="false" ht="21" hidden="false" customHeight="true" outlineLevel="0" collapsed="false">
      <c r="A554" s="33" t="n">
        <v>4</v>
      </c>
      <c r="B554" s="34" t="str">
        <f aca="false">IFERROR(INDEX(Alunni!$C$1:$C$1000,MATCH($A554,Alunni!$A$1:$A$1000,0))&amp;"","")</f>
        <v/>
      </c>
      <c r="C554" s="15"/>
      <c r="D554" s="35"/>
      <c r="E554" s="36"/>
      <c r="F554" s="36"/>
      <c r="G554" s="36"/>
      <c r="H554" s="36"/>
      <c r="I554" s="39" t="str">
        <f aca="false">IF(COUNT(E554:H554)=0,"",ROUND(AVERAGE(E554:H554),0))</f>
        <v/>
      </c>
      <c r="J554" s="38" t="str">
        <f aca="false">IF(I554="","",LOOKUP(I554,Impostazioni!$E$4:$E$9,Impostazioni!$F$4:$F$9))</f>
        <v/>
      </c>
      <c r="K554" s="36"/>
      <c r="L554" s="36"/>
      <c r="M554" s="36"/>
      <c r="N554" s="36"/>
      <c r="O554" s="39" t="str">
        <f aca="false">IF(COUNT(K554:N554)=0,"",ROUND(AVERAGE(K554:N554),0))</f>
        <v/>
      </c>
      <c r="P554" s="38" t="str">
        <f aca="false">IF(O554="","",LOOKUP(O554,Impostazioni!$E$4:$E$9,Impostazioni!$F$4:$F$9))</f>
        <v/>
      </c>
      <c r="Q554" s="36"/>
      <c r="R554" s="36"/>
      <c r="S554" s="36"/>
      <c r="T554" s="36"/>
      <c r="U554" s="39" t="str">
        <f aca="false">IF(COUNT(Q554:T554)=0,"",ROUND(AVERAGE(Q554:T554),0))</f>
        <v/>
      </c>
      <c r="V554" s="38" t="str">
        <f aca="false">IF(U554="","",LOOKUP(U554,Impostazioni!$E$4:$E$9,Impostazioni!$F$4:$F$9))</f>
        <v/>
      </c>
      <c r="W554" s="36"/>
      <c r="X554" s="36"/>
      <c r="Y554" s="36"/>
      <c r="Z554" s="36"/>
      <c r="AA554" s="39" t="str">
        <f aca="false">IF(COUNT(W554:Z554)=0,"",ROUND(AVERAGE(W554:Z554),0))</f>
        <v/>
      </c>
      <c r="AB554" s="38" t="str">
        <f aca="false">IF(AA554="","",LOOKUP(AA554,Impostazioni!$E$4:$E$9,Impostazioni!$F$4:$F$9))</f>
        <v/>
      </c>
    </row>
    <row r="555" customFormat="false" ht="21" hidden="false" customHeight="true" outlineLevel="0" collapsed="false">
      <c r="A555" s="33" t="n">
        <v>5</v>
      </c>
      <c r="B555" s="34" t="str">
        <f aca="false">IFERROR(INDEX(Alunni!$C$1:$C$1000,MATCH($A555,Alunni!$A$1:$A$1000,0))&amp;"","")</f>
        <v/>
      </c>
      <c r="C555" s="15"/>
      <c r="D555" s="35"/>
      <c r="E555" s="36"/>
      <c r="F555" s="36"/>
      <c r="G555" s="36"/>
      <c r="H555" s="36"/>
      <c r="I555" s="39" t="str">
        <f aca="false">IF(COUNT(E555:H555)=0,"",ROUND(AVERAGE(E555:H555),0))</f>
        <v/>
      </c>
      <c r="J555" s="38" t="str">
        <f aca="false">IF(I555="","",LOOKUP(I555,Impostazioni!$E$4:$E$9,Impostazioni!$F$4:$F$9))</f>
        <v/>
      </c>
      <c r="K555" s="36"/>
      <c r="L555" s="36"/>
      <c r="M555" s="36"/>
      <c r="N555" s="36"/>
      <c r="O555" s="39" t="str">
        <f aca="false">IF(COUNT(K555:N555)=0,"",ROUND(AVERAGE(K555:N555),0))</f>
        <v/>
      </c>
      <c r="P555" s="38" t="str">
        <f aca="false">IF(O555="","",LOOKUP(O555,Impostazioni!$E$4:$E$9,Impostazioni!$F$4:$F$9))</f>
        <v/>
      </c>
      <c r="Q555" s="36"/>
      <c r="R555" s="36"/>
      <c r="S555" s="36"/>
      <c r="T555" s="36"/>
      <c r="U555" s="39" t="str">
        <f aca="false">IF(COUNT(Q555:T555)=0,"",ROUND(AVERAGE(Q555:T555),0))</f>
        <v/>
      </c>
      <c r="V555" s="38" t="str">
        <f aca="false">IF(U555="","",LOOKUP(U555,Impostazioni!$E$4:$E$9,Impostazioni!$F$4:$F$9))</f>
        <v/>
      </c>
      <c r="W555" s="36"/>
      <c r="X555" s="36"/>
      <c r="Y555" s="36"/>
      <c r="Z555" s="36"/>
      <c r="AA555" s="39" t="str">
        <f aca="false">IF(COUNT(W555:Z555)=0,"",ROUND(AVERAGE(W555:Z555),0))</f>
        <v/>
      </c>
      <c r="AB555" s="38" t="str">
        <f aca="false">IF(AA555="","",LOOKUP(AA555,Impostazioni!$E$4:$E$9,Impostazioni!$F$4:$F$9))</f>
        <v/>
      </c>
    </row>
    <row r="556" customFormat="false" ht="21" hidden="false" customHeight="true" outlineLevel="0" collapsed="false">
      <c r="A556" s="33" t="n">
        <v>6</v>
      </c>
      <c r="B556" s="34" t="str">
        <f aca="false">IFERROR(INDEX(Alunni!$C$1:$C$1000,MATCH($A556,Alunni!$A$1:$A$1000,0))&amp;"","")</f>
        <v/>
      </c>
      <c r="C556" s="15"/>
      <c r="D556" s="35"/>
      <c r="E556" s="36"/>
      <c r="F556" s="36"/>
      <c r="G556" s="36"/>
      <c r="H556" s="36"/>
      <c r="I556" s="39" t="str">
        <f aca="false">IF(COUNT(E556:H556)=0,"",ROUND(AVERAGE(E556:H556),0))</f>
        <v/>
      </c>
      <c r="J556" s="38" t="str">
        <f aca="false">IF(I556="","",LOOKUP(I556,Impostazioni!$E$4:$E$9,Impostazioni!$F$4:$F$9))</f>
        <v/>
      </c>
      <c r="K556" s="36"/>
      <c r="L556" s="36"/>
      <c r="M556" s="36"/>
      <c r="N556" s="36"/>
      <c r="O556" s="39" t="str">
        <f aca="false">IF(COUNT(K556:N556)=0,"",ROUND(AVERAGE(K556:N556),0))</f>
        <v/>
      </c>
      <c r="P556" s="38" t="str">
        <f aca="false">IF(O556="","",LOOKUP(O556,Impostazioni!$E$4:$E$9,Impostazioni!$F$4:$F$9))</f>
        <v/>
      </c>
      <c r="Q556" s="36"/>
      <c r="R556" s="36"/>
      <c r="S556" s="36"/>
      <c r="T556" s="36"/>
      <c r="U556" s="39" t="str">
        <f aca="false">IF(COUNT(Q556:T556)=0,"",ROUND(AVERAGE(Q556:T556),0))</f>
        <v/>
      </c>
      <c r="V556" s="38" t="str">
        <f aca="false">IF(U556="","",LOOKUP(U556,Impostazioni!$E$4:$E$9,Impostazioni!$F$4:$F$9))</f>
        <v/>
      </c>
      <c r="W556" s="36"/>
      <c r="X556" s="36"/>
      <c r="Y556" s="36"/>
      <c r="Z556" s="36"/>
      <c r="AA556" s="39" t="str">
        <f aca="false">IF(COUNT(W556:Z556)=0,"",ROUND(AVERAGE(W556:Z556),0))</f>
        <v/>
      </c>
      <c r="AB556" s="38" t="str">
        <f aca="false">IF(AA556="","",LOOKUP(AA556,Impostazioni!$E$4:$E$9,Impostazioni!$F$4:$F$9))</f>
        <v/>
      </c>
    </row>
    <row r="557" customFormat="false" ht="21" hidden="false" customHeight="true" outlineLevel="0" collapsed="false">
      <c r="A557" s="33" t="n">
        <v>7</v>
      </c>
      <c r="B557" s="34" t="str">
        <f aca="false">IFERROR(INDEX(Alunni!$C$1:$C$1000,MATCH($A557,Alunni!$A$1:$A$1000,0))&amp;"","")</f>
        <v/>
      </c>
      <c r="C557" s="15"/>
      <c r="D557" s="35"/>
      <c r="E557" s="36"/>
      <c r="F557" s="36"/>
      <c r="G557" s="36"/>
      <c r="H557" s="36"/>
      <c r="I557" s="39" t="str">
        <f aca="false">IF(COUNT(E557:H557)=0,"",ROUND(AVERAGE(E557:H557),0))</f>
        <v/>
      </c>
      <c r="J557" s="38" t="str">
        <f aca="false">IF(I557="","",LOOKUP(I557,Impostazioni!$E$4:$E$9,Impostazioni!$F$4:$F$9))</f>
        <v/>
      </c>
      <c r="K557" s="36"/>
      <c r="L557" s="36"/>
      <c r="M557" s="36"/>
      <c r="N557" s="36"/>
      <c r="O557" s="39" t="str">
        <f aca="false">IF(COUNT(K557:N557)=0,"",ROUND(AVERAGE(K557:N557),0))</f>
        <v/>
      </c>
      <c r="P557" s="38" t="str">
        <f aca="false">IF(O557="","",LOOKUP(O557,Impostazioni!$E$4:$E$9,Impostazioni!$F$4:$F$9))</f>
        <v/>
      </c>
      <c r="Q557" s="36"/>
      <c r="R557" s="36"/>
      <c r="S557" s="36"/>
      <c r="T557" s="36"/>
      <c r="U557" s="39" t="str">
        <f aca="false">IF(COUNT(Q557:T557)=0,"",ROUND(AVERAGE(Q557:T557),0))</f>
        <v/>
      </c>
      <c r="V557" s="38" t="str">
        <f aca="false">IF(U557="","",LOOKUP(U557,Impostazioni!$E$4:$E$9,Impostazioni!$F$4:$F$9))</f>
        <v/>
      </c>
      <c r="W557" s="36"/>
      <c r="X557" s="36"/>
      <c r="Y557" s="36"/>
      <c r="Z557" s="36"/>
      <c r="AA557" s="39" t="str">
        <f aca="false">IF(COUNT(W557:Z557)=0,"",ROUND(AVERAGE(W557:Z557),0))</f>
        <v/>
      </c>
      <c r="AB557" s="38" t="str">
        <f aca="false">IF(AA557="","",LOOKUP(AA557,Impostazioni!$E$4:$E$9,Impostazioni!$F$4:$F$9))</f>
        <v/>
      </c>
    </row>
    <row r="558" customFormat="false" ht="21" hidden="false" customHeight="true" outlineLevel="0" collapsed="false">
      <c r="A558" s="33" t="n">
        <v>8</v>
      </c>
      <c r="B558" s="34" t="str">
        <f aca="false">IFERROR(INDEX(Alunni!$C$1:$C$1000,MATCH($A558,Alunni!$A$1:$A$1000,0))&amp;"","")</f>
        <v/>
      </c>
      <c r="C558" s="15"/>
      <c r="D558" s="35"/>
      <c r="E558" s="36"/>
      <c r="F558" s="36"/>
      <c r="G558" s="36"/>
      <c r="H558" s="36"/>
      <c r="I558" s="39" t="str">
        <f aca="false">IF(COUNT(E558:H558)=0,"",ROUND(AVERAGE(E558:H558),0))</f>
        <v/>
      </c>
      <c r="J558" s="38" t="str">
        <f aca="false">IF(I558="","",LOOKUP(I558,Impostazioni!$E$4:$E$9,Impostazioni!$F$4:$F$9))</f>
        <v/>
      </c>
      <c r="K558" s="36"/>
      <c r="L558" s="36"/>
      <c r="M558" s="36"/>
      <c r="N558" s="36"/>
      <c r="O558" s="39" t="str">
        <f aca="false">IF(COUNT(K558:N558)=0,"",ROUND(AVERAGE(K558:N558),0))</f>
        <v/>
      </c>
      <c r="P558" s="38" t="str">
        <f aca="false">IF(O558="","",LOOKUP(O558,Impostazioni!$E$4:$E$9,Impostazioni!$F$4:$F$9))</f>
        <v/>
      </c>
      <c r="Q558" s="36"/>
      <c r="R558" s="36"/>
      <c r="S558" s="36"/>
      <c r="T558" s="36"/>
      <c r="U558" s="39" t="str">
        <f aca="false">IF(COUNT(Q558:T558)=0,"",ROUND(AVERAGE(Q558:T558),0))</f>
        <v/>
      </c>
      <c r="V558" s="38" t="str">
        <f aca="false">IF(U558="","",LOOKUP(U558,Impostazioni!$E$4:$E$9,Impostazioni!$F$4:$F$9))</f>
        <v/>
      </c>
      <c r="W558" s="36"/>
      <c r="X558" s="36"/>
      <c r="Y558" s="36"/>
      <c r="Z558" s="36"/>
      <c r="AA558" s="39" t="str">
        <f aca="false">IF(COUNT(W558:Z558)=0,"",ROUND(AVERAGE(W558:Z558),0))</f>
        <v/>
      </c>
      <c r="AB558" s="38" t="str">
        <f aca="false">IF(AA558="","",LOOKUP(AA558,Impostazioni!$E$4:$E$9,Impostazioni!$F$4:$F$9))</f>
        <v/>
      </c>
    </row>
    <row r="559" customFormat="false" ht="21" hidden="false" customHeight="true" outlineLevel="0" collapsed="false">
      <c r="A559" s="33" t="n">
        <v>9</v>
      </c>
      <c r="B559" s="34" t="str">
        <f aca="false">IFERROR(INDEX(Alunni!$C$1:$C$1000,MATCH($A559,Alunni!$A$1:$A$1000,0))&amp;"","")</f>
        <v/>
      </c>
      <c r="C559" s="15"/>
      <c r="D559" s="35"/>
      <c r="E559" s="36"/>
      <c r="F559" s="36"/>
      <c r="G559" s="36"/>
      <c r="H559" s="36"/>
      <c r="I559" s="39" t="str">
        <f aca="false">IF(COUNT(E559:H559)=0,"",ROUND(AVERAGE(E559:H559),0))</f>
        <v/>
      </c>
      <c r="J559" s="38" t="str">
        <f aca="false">IF(I559="","",LOOKUP(I559,Impostazioni!$E$4:$E$9,Impostazioni!$F$4:$F$9))</f>
        <v/>
      </c>
      <c r="K559" s="36"/>
      <c r="L559" s="36"/>
      <c r="M559" s="36"/>
      <c r="N559" s="36"/>
      <c r="O559" s="39" t="str">
        <f aca="false">IF(COUNT(K559:N559)=0,"",ROUND(AVERAGE(K559:N559),0))</f>
        <v/>
      </c>
      <c r="P559" s="38" t="str">
        <f aca="false">IF(O559="","",LOOKUP(O559,Impostazioni!$E$4:$E$9,Impostazioni!$F$4:$F$9))</f>
        <v/>
      </c>
      <c r="Q559" s="36"/>
      <c r="R559" s="36"/>
      <c r="S559" s="36"/>
      <c r="T559" s="36"/>
      <c r="U559" s="39" t="str">
        <f aca="false">IF(COUNT(Q559:T559)=0,"",ROUND(AVERAGE(Q559:T559),0))</f>
        <v/>
      </c>
      <c r="V559" s="38" t="str">
        <f aca="false">IF(U559="","",LOOKUP(U559,Impostazioni!$E$4:$E$9,Impostazioni!$F$4:$F$9))</f>
        <v/>
      </c>
      <c r="W559" s="36"/>
      <c r="X559" s="36"/>
      <c r="Y559" s="36"/>
      <c r="Z559" s="36"/>
      <c r="AA559" s="39" t="str">
        <f aca="false">IF(COUNT(W559:Z559)=0,"",ROUND(AVERAGE(W559:Z559),0))</f>
        <v/>
      </c>
      <c r="AB559" s="38" t="str">
        <f aca="false">IF(AA559="","",LOOKUP(AA559,Impostazioni!$E$4:$E$9,Impostazioni!$F$4:$F$9))</f>
        <v/>
      </c>
    </row>
    <row r="560" customFormat="false" ht="21" hidden="false" customHeight="true" outlineLevel="0" collapsed="false">
      <c r="A560" s="33" t="n">
        <v>10</v>
      </c>
      <c r="B560" s="34" t="str">
        <f aca="false">IFERROR(INDEX(Alunni!$C$1:$C$1000,MATCH($A560,Alunni!$A$1:$A$1000,0))&amp;"","")</f>
        <v/>
      </c>
      <c r="C560" s="15"/>
      <c r="D560" s="35"/>
      <c r="E560" s="36"/>
      <c r="F560" s="36"/>
      <c r="G560" s="36"/>
      <c r="H560" s="36"/>
      <c r="I560" s="39" t="str">
        <f aca="false">IF(COUNT(E560:H560)=0,"",ROUND(AVERAGE(E560:H560),0))</f>
        <v/>
      </c>
      <c r="J560" s="38" t="str">
        <f aca="false">IF(I560="","",LOOKUP(I560,Impostazioni!$E$4:$E$9,Impostazioni!$F$4:$F$9))</f>
        <v/>
      </c>
      <c r="K560" s="36"/>
      <c r="L560" s="36"/>
      <c r="M560" s="36"/>
      <c r="N560" s="36"/>
      <c r="O560" s="39" t="str">
        <f aca="false">IF(COUNT(K560:N560)=0,"",ROUND(AVERAGE(K560:N560),0))</f>
        <v/>
      </c>
      <c r="P560" s="38" t="str">
        <f aca="false">IF(O560="","",LOOKUP(O560,Impostazioni!$E$4:$E$9,Impostazioni!$F$4:$F$9))</f>
        <v/>
      </c>
      <c r="Q560" s="36"/>
      <c r="R560" s="36"/>
      <c r="S560" s="36"/>
      <c r="T560" s="36"/>
      <c r="U560" s="39" t="str">
        <f aca="false">IF(COUNT(Q560:T560)=0,"",ROUND(AVERAGE(Q560:T560),0))</f>
        <v/>
      </c>
      <c r="V560" s="38" t="str">
        <f aca="false">IF(U560="","",LOOKUP(U560,Impostazioni!$E$4:$E$9,Impostazioni!$F$4:$F$9))</f>
        <v/>
      </c>
      <c r="W560" s="36"/>
      <c r="X560" s="36"/>
      <c r="Y560" s="36"/>
      <c r="Z560" s="36"/>
      <c r="AA560" s="39" t="str">
        <f aca="false">IF(COUNT(W560:Z560)=0,"",ROUND(AVERAGE(W560:Z560),0))</f>
        <v/>
      </c>
      <c r="AB560" s="38" t="str">
        <f aca="false">IF(AA560="","",LOOKUP(AA560,Impostazioni!$E$4:$E$9,Impostazioni!$F$4:$F$9))</f>
        <v/>
      </c>
    </row>
    <row r="561" customFormat="false" ht="21" hidden="false" customHeight="true" outlineLevel="0" collapsed="false">
      <c r="A561" s="33" t="n">
        <v>11</v>
      </c>
      <c r="B561" s="34" t="str">
        <f aca="false">IFERROR(INDEX(Alunni!$C$1:$C$1000,MATCH($A561,Alunni!$A$1:$A$1000,0))&amp;"","")</f>
        <v/>
      </c>
      <c r="C561" s="15"/>
      <c r="D561" s="35"/>
      <c r="E561" s="36"/>
      <c r="F561" s="36"/>
      <c r="G561" s="36"/>
      <c r="H561" s="36"/>
      <c r="I561" s="39" t="str">
        <f aca="false">IF(COUNT(E561:H561)=0,"",ROUND(AVERAGE(E561:H561),0))</f>
        <v/>
      </c>
      <c r="J561" s="38" t="str">
        <f aca="false">IF(I561="","",LOOKUP(I561,Impostazioni!$E$4:$E$9,Impostazioni!$F$4:$F$9))</f>
        <v/>
      </c>
      <c r="K561" s="36"/>
      <c r="L561" s="36"/>
      <c r="M561" s="36"/>
      <c r="N561" s="36"/>
      <c r="O561" s="39" t="str">
        <f aca="false">IF(COUNT(K561:N561)=0,"",ROUND(AVERAGE(K561:N561),0))</f>
        <v/>
      </c>
      <c r="P561" s="38" t="str">
        <f aca="false">IF(O561="","",LOOKUP(O561,Impostazioni!$E$4:$E$9,Impostazioni!$F$4:$F$9))</f>
        <v/>
      </c>
      <c r="Q561" s="36"/>
      <c r="R561" s="36"/>
      <c r="S561" s="36"/>
      <c r="T561" s="36"/>
      <c r="U561" s="39" t="str">
        <f aca="false">IF(COUNT(Q561:T561)=0,"",ROUND(AVERAGE(Q561:T561),0))</f>
        <v/>
      </c>
      <c r="V561" s="38" t="str">
        <f aca="false">IF(U561="","",LOOKUP(U561,Impostazioni!$E$4:$E$9,Impostazioni!$F$4:$F$9))</f>
        <v/>
      </c>
      <c r="W561" s="36"/>
      <c r="X561" s="36"/>
      <c r="Y561" s="36"/>
      <c r="Z561" s="36"/>
      <c r="AA561" s="39" t="str">
        <f aca="false">IF(COUNT(W561:Z561)=0,"",ROUND(AVERAGE(W561:Z561),0))</f>
        <v/>
      </c>
      <c r="AB561" s="38" t="str">
        <f aca="false">IF(AA561="","",LOOKUP(AA561,Impostazioni!$E$4:$E$9,Impostazioni!$F$4:$F$9))</f>
        <v/>
      </c>
    </row>
    <row r="562" customFormat="false" ht="21" hidden="false" customHeight="true" outlineLevel="0" collapsed="false">
      <c r="A562" s="33" t="n">
        <v>12</v>
      </c>
      <c r="B562" s="34" t="str">
        <f aca="false">IFERROR(INDEX(Alunni!$C$1:$C$1000,MATCH($A562,Alunni!$A$1:$A$1000,0))&amp;"","")</f>
        <v/>
      </c>
      <c r="C562" s="15"/>
      <c r="D562" s="35"/>
      <c r="E562" s="36"/>
      <c r="F562" s="36"/>
      <c r="G562" s="36"/>
      <c r="H562" s="36"/>
      <c r="I562" s="39" t="str">
        <f aca="false">IF(COUNT(E562:H562)=0,"",ROUND(AVERAGE(E562:H562),0))</f>
        <v/>
      </c>
      <c r="J562" s="38" t="str">
        <f aca="false">IF(I562="","",LOOKUP(I562,Impostazioni!$E$4:$E$9,Impostazioni!$F$4:$F$9))</f>
        <v/>
      </c>
      <c r="K562" s="36"/>
      <c r="L562" s="36"/>
      <c r="M562" s="36"/>
      <c r="N562" s="36"/>
      <c r="O562" s="39" t="str">
        <f aca="false">IF(COUNT(K562:N562)=0,"",ROUND(AVERAGE(K562:N562),0))</f>
        <v/>
      </c>
      <c r="P562" s="38" t="str">
        <f aca="false">IF(O562="","",LOOKUP(O562,Impostazioni!$E$4:$E$9,Impostazioni!$F$4:$F$9))</f>
        <v/>
      </c>
      <c r="Q562" s="36"/>
      <c r="R562" s="36"/>
      <c r="S562" s="36"/>
      <c r="T562" s="36"/>
      <c r="U562" s="39" t="str">
        <f aca="false">IF(COUNT(Q562:T562)=0,"",ROUND(AVERAGE(Q562:T562),0))</f>
        <v/>
      </c>
      <c r="V562" s="38" t="str">
        <f aca="false">IF(U562="","",LOOKUP(U562,Impostazioni!$E$4:$E$9,Impostazioni!$F$4:$F$9))</f>
        <v/>
      </c>
      <c r="W562" s="36"/>
      <c r="X562" s="36"/>
      <c r="Y562" s="36"/>
      <c r="Z562" s="36"/>
      <c r="AA562" s="39" t="str">
        <f aca="false">IF(COUNT(W562:Z562)=0,"",ROUND(AVERAGE(W562:Z562),0))</f>
        <v/>
      </c>
      <c r="AB562" s="38" t="str">
        <f aca="false">IF(AA562="","",LOOKUP(AA562,Impostazioni!$E$4:$E$9,Impostazioni!$F$4:$F$9))</f>
        <v/>
      </c>
    </row>
    <row r="563" customFormat="false" ht="21" hidden="false" customHeight="true" outlineLevel="0" collapsed="false">
      <c r="A563" s="33" t="n">
        <v>13</v>
      </c>
      <c r="B563" s="34" t="str">
        <f aca="false">IFERROR(INDEX(Alunni!$C$1:$C$1000,MATCH($A563,Alunni!$A$1:$A$1000,0))&amp;"","")</f>
        <v/>
      </c>
      <c r="C563" s="15"/>
      <c r="D563" s="35"/>
      <c r="E563" s="36"/>
      <c r="F563" s="36"/>
      <c r="G563" s="36"/>
      <c r="H563" s="36"/>
      <c r="I563" s="39" t="str">
        <f aca="false">IF(COUNT(E563:H563)=0,"",ROUND(AVERAGE(E563:H563),0))</f>
        <v/>
      </c>
      <c r="J563" s="38" t="str">
        <f aca="false">IF(I563="","",LOOKUP(I563,Impostazioni!$E$4:$E$9,Impostazioni!$F$4:$F$9))</f>
        <v/>
      </c>
      <c r="K563" s="36"/>
      <c r="L563" s="36"/>
      <c r="M563" s="36"/>
      <c r="N563" s="36"/>
      <c r="O563" s="39" t="str">
        <f aca="false">IF(COUNT(K563:N563)=0,"",ROUND(AVERAGE(K563:N563),0))</f>
        <v/>
      </c>
      <c r="P563" s="38" t="str">
        <f aca="false">IF(O563="","",LOOKUP(O563,Impostazioni!$E$4:$E$9,Impostazioni!$F$4:$F$9))</f>
        <v/>
      </c>
      <c r="Q563" s="36"/>
      <c r="R563" s="36"/>
      <c r="S563" s="36"/>
      <c r="T563" s="36"/>
      <c r="U563" s="39" t="str">
        <f aca="false">IF(COUNT(Q563:T563)=0,"",ROUND(AVERAGE(Q563:T563),0))</f>
        <v/>
      </c>
      <c r="V563" s="38" t="str">
        <f aca="false">IF(U563="","",LOOKUP(U563,Impostazioni!$E$4:$E$9,Impostazioni!$F$4:$F$9))</f>
        <v/>
      </c>
      <c r="W563" s="36"/>
      <c r="X563" s="36"/>
      <c r="Y563" s="36"/>
      <c r="Z563" s="36"/>
      <c r="AA563" s="39" t="str">
        <f aca="false">IF(COUNT(W563:Z563)=0,"",ROUND(AVERAGE(W563:Z563),0))</f>
        <v/>
      </c>
      <c r="AB563" s="38" t="str">
        <f aca="false">IF(AA563="","",LOOKUP(AA563,Impostazioni!$E$4:$E$9,Impostazioni!$F$4:$F$9))</f>
        <v/>
      </c>
    </row>
    <row r="564" customFormat="false" ht="21" hidden="false" customHeight="true" outlineLevel="0" collapsed="false">
      <c r="A564" s="33" t="n">
        <v>14</v>
      </c>
      <c r="B564" s="34" t="str">
        <f aca="false">IFERROR(INDEX(Alunni!$C$1:$C$1000,MATCH($A564,Alunni!$A$1:$A$1000,0))&amp;"","")</f>
        <v/>
      </c>
      <c r="C564" s="15"/>
      <c r="D564" s="35"/>
      <c r="E564" s="36"/>
      <c r="F564" s="36"/>
      <c r="G564" s="36"/>
      <c r="H564" s="36"/>
      <c r="I564" s="39" t="str">
        <f aca="false">IF(COUNT(E564:H564)=0,"",ROUND(AVERAGE(E564:H564),0))</f>
        <v/>
      </c>
      <c r="J564" s="38" t="str">
        <f aca="false">IF(I564="","",LOOKUP(I564,Impostazioni!$E$4:$E$9,Impostazioni!$F$4:$F$9))</f>
        <v/>
      </c>
      <c r="K564" s="36"/>
      <c r="L564" s="36"/>
      <c r="M564" s="36"/>
      <c r="N564" s="36"/>
      <c r="O564" s="39" t="str">
        <f aca="false">IF(COUNT(K564:N564)=0,"",ROUND(AVERAGE(K564:N564),0))</f>
        <v/>
      </c>
      <c r="P564" s="38" t="str">
        <f aca="false">IF(O564="","",LOOKUP(O564,Impostazioni!$E$4:$E$9,Impostazioni!$F$4:$F$9))</f>
        <v/>
      </c>
      <c r="Q564" s="36"/>
      <c r="R564" s="36"/>
      <c r="S564" s="36"/>
      <c r="T564" s="36"/>
      <c r="U564" s="39" t="str">
        <f aca="false">IF(COUNT(Q564:T564)=0,"",ROUND(AVERAGE(Q564:T564),0))</f>
        <v/>
      </c>
      <c r="V564" s="38" t="str">
        <f aca="false">IF(U564="","",LOOKUP(U564,Impostazioni!$E$4:$E$9,Impostazioni!$F$4:$F$9))</f>
        <v/>
      </c>
      <c r="W564" s="36"/>
      <c r="X564" s="36"/>
      <c r="Y564" s="36"/>
      <c r="Z564" s="36"/>
      <c r="AA564" s="39" t="str">
        <f aca="false">IF(COUNT(W564:Z564)=0,"",ROUND(AVERAGE(W564:Z564),0))</f>
        <v/>
      </c>
      <c r="AB564" s="38" t="str">
        <f aca="false">IF(AA564="","",LOOKUP(AA564,Impostazioni!$E$4:$E$9,Impostazioni!$F$4:$F$9))</f>
        <v/>
      </c>
    </row>
    <row r="565" customFormat="false" ht="21" hidden="false" customHeight="true" outlineLevel="0" collapsed="false">
      <c r="A565" s="33" t="n">
        <v>15</v>
      </c>
      <c r="B565" s="34" t="str">
        <f aca="false">IFERROR(INDEX(Alunni!$C$1:$C$1000,MATCH($A565,Alunni!$A$1:$A$1000,0))&amp;"","")</f>
        <v/>
      </c>
      <c r="C565" s="15"/>
      <c r="D565" s="35"/>
      <c r="E565" s="36"/>
      <c r="F565" s="36"/>
      <c r="G565" s="36"/>
      <c r="H565" s="36"/>
      <c r="I565" s="39" t="str">
        <f aca="false">IF(COUNT(E565:H565)=0,"",ROUND(AVERAGE(E565:H565),0))</f>
        <v/>
      </c>
      <c r="J565" s="38" t="str">
        <f aca="false">IF(I565="","",LOOKUP(I565,Impostazioni!$E$4:$E$9,Impostazioni!$F$4:$F$9))</f>
        <v/>
      </c>
      <c r="K565" s="36"/>
      <c r="L565" s="36"/>
      <c r="M565" s="36"/>
      <c r="N565" s="36"/>
      <c r="O565" s="39" t="str">
        <f aca="false">IF(COUNT(K565:N565)=0,"",ROUND(AVERAGE(K565:N565),0))</f>
        <v/>
      </c>
      <c r="P565" s="38" t="str">
        <f aca="false">IF(O565="","",LOOKUP(O565,Impostazioni!$E$4:$E$9,Impostazioni!$F$4:$F$9))</f>
        <v/>
      </c>
      <c r="Q565" s="36"/>
      <c r="R565" s="36"/>
      <c r="S565" s="36"/>
      <c r="T565" s="36"/>
      <c r="U565" s="39" t="str">
        <f aca="false">IF(COUNT(Q565:T565)=0,"",ROUND(AVERAGE(Q565:T565),0))</f>
        <v/>
      </c>
      <c r="V565" s="38" t="str">
        <f aca="false">IF(U565="","",LOOKUP(U565,Impostazioni!$E$4:$E$9,Impostazioni!$F$4:$F$9))</f>
        <v/>
      </c>
      <c r="W565" s="36"/>
      <c r="X565" s="36"/>
      <c r="Y565" s="36"/>
      <c r="Z565" s="36"/>
      <c r="AA565" s="39" t="str">
        <f aca="false">IF(COUNT(W565:Z565)=0,"",ROUND(AVERAGE(W565:Z565),0))</f>
        <v/>
      </c>
      <c r="AB565" s="38" t="str">
        <f aca="false">IF(AA565="","",LOOKUP(AA565,Impostazioni!$E$4:$E$9,Impostazioni!$F$4:$F$9))</f>
        <v/>
      </c>
    </row>
    <row r="566" customFormat="false" ht="21" hidden="false" customHeight="true" outlineLevel="0" collapsed="false">
      <c r="A566" s="33" t="n">
        <v>16</v>
      </c>
      <c r="B566" s="34" t="str">
        <f aca="false">IFERROR(INDEX(Alunni!$C$1:$C$1000,MATCH($A566,Alunni!$A$1:$A$1000,0))&amp;"","")</f>
        <v/>
      </c>
      <c r="C566" s="15"/>
      <c r="D566" s="35"/>
      <c r="E566" s="36"/>
      <c r="F566" s="36"/>
      <c r="G566" s="36"/>
      <c r="H566" s="36"/>
      <c r="I566" s="39" t="str">
        <f aca="false">IF(COUNT(E566:H566)=0,"",ROUND(AVERAGE(E566:H566),0))</f>
        <v/>
      </c>
      <c r="J566" s="38" t="str">
        <f aca="false">IF(I566="","",LOOKUP(I566,Impostazioni!$E$4:$E$9,Impostazioni!$F$4:$F$9))</f>
        <v/>
      </c>
      <c r="K566" s="36"/>
      <c r="L566" s="36"/>
      <c r="M566" s="36"/>
      <c r="N566" s="36"/>
      <c r="O566" s="39" t="str">
        <f aca="false">IF(COUNT(K566:N566)=0,"",ROUND(AVERAGE(K566:N566),0))</f>
        <v/>
      </c>
      <c r="P566" s="38" t="str">
        <f aca="false">IF(O566="","",LOOKUP(O566,Impostazioni!$E$4:$E$9,Impostazioni!$F$4:$F$9))</f>
        <v/>
      </c>
      <c r="Q566" s="36"/>
      <c r="R566" s="36"/>
      <c r="S566" s="36"/>
      <c r="T566" s="36"/>
      <c r="U566" s="39" t="str">
        <f aca="false">IF(COUNT(Q566:T566)=0,"",ROUND(AVERAGE(Q566:T566),0))</f>
        <v/>
      </c>
      <c r="V566" s="38" t="str">
        <f aca="false">IF(U566="","",LOOKUP(U566,Impostazioni!$E$4:$E$9,Impostazioni!$F$4:$F$9))</f>
        <v/>
      </c>
      <c r="W566" s="36"/>
      <c r="X566" s="36"/>
      <c r="Y566" s="36"/>
      <c r="Z566" s="36"/>
      <c r="AA566" s="39" t="str">
        <f aca="false">IF(COUNT(W566:Z566)=0,"",ROUND(AVERAGE(W566:Z566),0))</f>
        <v/>
      </c>
      <c r="AB566" s="38" t="str">
        <f aca="false">IF(AA566="","",LOOKUP(AA566,Impostazioni!$E$4:$E$9,Impostazioni!$F$4:$F$9))</f>
        <v/>
      </c>
    </row>
    <row r="567" customFormat="false" ht="21" hidden="false" customHeight="true" outlineLevel="0" collapsed="false">
      <c r="A567" s="33" t="n">
        <v>17</v>
      </c>
      <c r="B567" s="34" t="str">
        <f aca="false">IFERROR(INDEX(Alunni!$C$1:$C$1000,MATCH($A567,Alunni!$A$1:$A$1000,0))&amp;"","")</f>
        <v/>
      </c>
      <c r="C567" s="15"/>
      <c r="D567" s="35"/>
      <c r="E567" s="36"/>
      <c r="F567" s="36"/>
      <c r="G567" s="36"/>
      <c r="H567" s="36"/>
      <c r="I567" s="39" t="str">
        <f aca="false">IF(COUNT(E567:H567)=0,"",ROUND(AVERAGE(E567:H567),0))</f>
        <v/>
      </c>
      <c r="J567" s="38" t="str">
        <f aca="false">IF(I567="","",LOOKUP(I567,Impostazioni!$E$4:$E$9,Impostazioni!$F$4:$F$9))</f>
        <v/>
      </c>
      <c r="K567" s="36"/>
      <c r="L567" s="36"/>
      <c r="M567" s="36"/>
      <c r="N567" s="36"/>
      <c r="O567" s="39" t="str">
        <f aca="false">IF(COUNT(K567:N567)=0,"",ROUND(AVERAGE(K567:N567),0))</f>
        <v/>
      </c>
      <c r="P567" s="38" t="str">
        <f aca="false">IF(O567="","",LOOKUP(O567,Impostazioni!$E$4:$E$9,Impostazioni!$F$4:$F$9))</f>
        <v/>
      </c>
      <c r="Q567" s="36"/>
      <c r="R567" s="36"/>
      <c r="S567" s="36"/>
      <c r="T567" s="36"/>
      <c r="U567" s="39" t="str">
        <f aca="false">IF(COUNT(Q567:T567)=0,"",ROUND(AVERAGE(Q567:T567),0))</f>
        <v/>
      </c>
      <c r="V567" s="38" t="str">
        <f aca="false">IF(U567="","",LOOKUP(U567,Impostazioni!$E$4:$E$9,Impostazioni!$F$4:$F$9))</f>
        <v/>
      </c>
      <c r="W567" s="36"/>
      <c r="X567" s="36"/>
      <c r="Y567" s="36"/>
      <c r="Z567" s="36"/>
      <c r="AA567" s="39" t="str">
        <f aca="false">IF(COUNT(W567:Z567)=0,"",ROUND(AVERAGE(W567:Z567),0))</f>
        <v/>
      </c>
      <c r="AB567" s="38" t="str">
        <f aca="false">IF(AA567="","",LOOKUP(AA567,Impostazioni!$E$4:$E$9,Impostazioni!$F$4:$F$9))</f>
        <v/>
      </c>
    </row>
    <row r="568" customFormat="false" ht="21" hidden="false" customHeight="true" outlineLevel="0" collapsed="false">
      <c r="A568" s="33" t="n">
        <v>18</v>
      </c>
      <c r="B568" s="34" t="str">
        <f aca="false">IFERROR(INDEX(Alunni!$C$1:$C$1000,MATCH($A568,Alunni!$A$1:$A$1000,0))&amp;"","")</f>
        <v/>
      </c>
      <c r="C568" s="15"/>
      <c r="D568" s="35"/>
      <c r="E568" s="36"/>
      <c r="F568" s="36"/>
      <c r="G568" s="36"/>
      <c r="H568" s="36"/>
      <c r="I568" s="39" t="str">
        <f aca="false">IF(COUNT(E568:H568)=0,"",ROUND(AVERAGE(E568:H568),0))</f>
        <v/>
      </c>
      <c r="J568" s="38" t="str">
        <f aca="false">IF(I568="","",LOOKUP(I568,Impostazioni!$E$4:$E$9,Impostazioni!$F$4:$F$9))</f>
        <v/>
      </c>
      <c r="K568" s="36"/>
      <c r="L568" s="36"/>
      <c r="M568" s="36"/>
      <c r="N568" s="36"/>
      <c r="O568" s="39" t="str">
        <f aca="false">IF(COUNT(K568:N568)=0,"",ROUND(AVERAGE(K568:N568),0))</f>
        <v/>
      </c>
      <c r="P568" s="38" t="str">
        <f aca="false">IF(O568="","",LOOKUP(O568,Impostazioni!$E$4:$E$9,Impostazioni!$F$4:$F$9))</f>
        <v/>
      </c>
      <c r="Q568" s="36"/>
      <c r="R568" s="36"/>
      <c r="S568" s="36"/>
      <c r="T568" s="36"/>
      <c r="U568" s="39" t="str">
        <f aca="false">IF(COUNT(Q568:T568)=0,"",ROUND(AVERAGE(Q568:T568),0))</f>
        <v/>
      </c>
      <c r="V568" s="38" t="str">
        <f aca="false">IF(U568="","",LOOKUP(U568,Impostazioni!$E$4:$E$9,Impostazioni!$F$4:$F$9))</f>
        <v/>
      </c>
      <c r="W568" s="36"/>
      <c r="X568" s="36"/>
      <c r="Y568" s="36"/>
      <c r="Z568" s="36"/>
      <c r="AA568" s="39" t="str">
        <f aca="false">IF(COUNT(W568:Z568)=0,"",ROUND(AVERAGE(W568:Z568),0))</f>
        <v/>
      </c>
      <c r="AB568" s="38" t="str">
        <f aca="false">IF(AA568="","",LOOKUP(AA568,Impostazioni!$E$4:$E$9,Impostazioni!$F$4:$F$9))</f>
        <v/>
      </c>
    </row>
    <row r="569" customFormat="false" ht="21" hidden="false" customHeight="true" outlineLevel="0" collapsed="false">
      <c r="A569" s="33" t="n">
        <v>19</v>
      </c>
      <c r="B569" s="34" t="str">
        <f aca="false">IFERROR(INDEX(Alunni!$C$1:$C$1000,MATCH($A569,Alunni!$A$1:$A$1000,0))&amp;"","")</f>
        <v/>
      </c>
      <c r="C569" s="15"/>
      <c r="D569" s="35"/>
      <c r="E569" s="36"/>
      <c r="F569" s="36"/>
      <c r="G569" s="36"/>
      <c r="H569" s="36"/>
      <c r="I569" s="39" t="str">
        <f aca="false">IF(COUNT(E569:H569)=0,"",ROUND(AVERAGE(E569:H569),0))</f>
        <v/>
      </c>
      <c r="J569" s="38" t="str">
        <f aca="false">IF(I569="","",LOOKUP(I569,Impostazioni!$E$4:$E$9,Impostazioni!$F$4:$F$9))</f>
        <v/>
      </c>
      <c r="K569" s="36"/>
      <c r="L569" s="36"/>
      <c r="M569" s="36"/>
      <c r="N569" s="36"/>
      <c r="O569" s="39" t="str">
        <f aca="false">IF(COUNT(K569:N569)=0,"",ROUND(AVERAGE(K569:N569),0))</f>
        <v/>
      </c>
      <c r="P569" s="38" t="str">
        <f aca="false">IF(O569="","",LOOKUP(O569,Impostazioni!$E$4:$E$9,Impostazioni!$F$4:$F$9))</f>
        <v/>
      </c>
      <c r="Q569" s="36"/>
      <c r="R569" s="36"/>
      <c r="S569" s="36"/>
      <c r="T569" s="36"/>
      <c r="U569" s="39" t="str">
        <f aca="false">IF(COUNT(Q569:T569)=0,"",ROUND(AVERAGE(Q569:T569),0))</f>
        <v/>
      </c>
      <c r="V569" s="38" t="str">
        <f aca="false">IF(U569="","",LOOKUP(U569,Impostazioni!$E$4:$E$9,Impostazioni!$F$4:$F$9))</f>
        <v/>
      </c>
      <c r="W569" s="36"/>
      <c r="X569" s="36"/>
      <c r="Y569" s="36"/>
      <c r="Z569" s="36"/>
      <c r="AA569" s="39" t="str">
        <f aca="false">IF(COUNT(W569:Z569)=0,"",ROUND(AVERAGE(W569:Z569),0))</f>
        <v/>
      </c>
      <c r="AB569" s="38" t="str">
        <f aca="false">IF(AA569="","",LOOKUP(AA569,Impostazioni!$E$4:$E$9,Impostazioni!$F$4:$F$9))</f>
        <v/>
      </c>
    </row>
    <row r="570" customFormat="false" ht="21" hidden="false" customHeight="true" outlineLevel="0" collapsed="false">
      <c r="A570" s="33" t="n">
        <v>20</v>
      </c>
      <c r="B570" s="34" t="str">
        <f aca="false">IFERROR(INDEX(Alunni!$C$1:$C$1000,MATCH($A570,Alunni!$A$1:$A$1000,0))&amp;"","")</f>
        <v/>
      </c>
      <c r="C570" s="15"/>
      <c r="D570" s="35"/>
      <c r="E570" s="36"/>
      <c r="F570" s="36"/>
      <c r="G570" s="36"/>
      <c r="H570" s="36"/>
      <c r="I570" s="39" t="str">
        <f aca="false">IF(COUNT(E570:H570)=0,"",ROUND(AVERAGE(E570:H570),0))</f>
        <v/>
      </c>
      <c r="J570" s="38" t="str">
        <f aca="false">IF(I570="","",LOOKUP(I570,Impostazioni!$E$4:$E$9,Impostazioni!$F$4:$F$9))</f>
        <v/>
      </c>
      <c r="K570" s="36"/>
      <c r="L570" s="36"/>
      <c r="M570" s="36"/>
      <c r="N570" s="36"/>
      <c r="O570" s="39" t="str">
        <f aca="false">IF(COUNT(K570:N570)=0,"",ROUND(AVERAGE(K570:N570),0))</f>
        <v/>
      </c>
      <c r="P570" s="38" t="str">
        <f aca="false">IF(O570="","",LOOKUP(O570,Impostazioni!$E$4:$E$9,Impostazioni!$F$4:$F$9))</f>
        <v/>
      </c>
      <c r="Q570" s="36"/>
      <c r="R570" s="36"/>
      <c r="S570" s="36"/>
      <c r="T570" s="36"/>
      <c r="U570" s="39" t="str">
        <f aca="false">IF(COUNT(Q570:T570)=0,"",ROUND(AVERAGE(Q570:T570),0))</f>
        <v/>
      </c>
      <c r="V570" s="38" t="str">
        <f aca="false">IF(U570="","",LOOKUP(U570,Impostazioni!$E$4:$E$9,Impostazioni!$F$4:$F$9))</f>
        <v/>
      </c>
      <c r="W570" s="36"/>
      <c r="X570" s="36"/>
      <c r="Y570" s="36"/>
      <c r="Z570" s="36"/>
      <c r="AA570" s="39" t="str">
        <f aca="false">IF(COUNT(W570:Z570)=0,"",ROUND(AVERAGE(W570:Z570),0))</f>
        <v/>
      </c>
      <c r="AB570" s="38" t="str">
        <f aca="false">IF(AA570="","",LOOKUP(AA570,Impostazioni!$E$4:$E$9,Impostazioni!$F$4:$F$9))</f>
        <v/>
      </c>
    </row>
    <row r="571" customFormat="false" ht="21" hidden="false" customHeight="true" outlineLevel="0" collapsed="false">
      <c r="A571" s="33" t="n">
        <v>21</v>
      </c>
      <c r="B571" s="34" t="str">
        <f aca="false">IFERROR(INDEX(Alunni!$C$1:$C$1000,MATCH($A571,Alunni!$A$1:$A$1000,0))&amp;"","")</f>
        <v/>
      </c>
      <c r="C571" s="15"/>
      <c r="D571" s="35"/>
      <c r="E571" s="36"/>
      <c r="F571" s="36"/>
      <c r="G571" s="36"/>
      <c r="H571" s="36"/>
      <c r="I571" s="39" t="str">
        <f aca="false">IF(COUNT(E571:H571)=0,"",ROUND(AVERAGE(E571:H571),0))</f>
        <v/>
      </c>
      <c r="J571" s="38" t="str">
        <f aca="false">IF(I571="","",LOOKUP(I571,Impostazioni!$E$4:$E$9,Impostazioni!$F$4:$F$9))</f>
        <v/>
      </c>
      <c r="K571" s="36"/>
      <c r="L571" s="36"/>
      <c r="M571" s="36"/>
      <c r="N571" s="36"/>
      <c r="O571" s="39" t="str">
        <f aca="false">IF(COUNT(K571:N571)=0,"",ROUND(AVERAGE(K571:N571),0))</f>
        <v/>
      </c>
      <c r="P571" s="38" t="str">
        <f aca="false">IF(O571="","",LOOKUP(O571,Impostazioni!$E$4:$E$9,Impostazioni!$F$4:$F$9))</f>
        <v/>
      </c>
      <c r="Q571" s="36"/>
      <c r="R571" s="36"/>
      <c r="S571" s="36"/>
      <c r="T571" s="36"/>
      <c r="U571" s="39" t="str">
        <f aca="false">IF(COUNT(Q571:T571)=0,"",ROUND(AVERAGE(Q571:T571),0))</f>
        <v/>
      </c>
      <c r="V571" s="38" t="str">
        <f aca="false">IF(U571="","",LOOKUP(U571,Impostazioni!$E$4:$E$9,Impostazioni!$F$4:$F$9))</f>
        <v/>
      </c>
      <c r="W571" s="36"/>
      <c r="X571" s="36"/>
      <c r="Y571" s="36"/>
      <c r="Z571" s="36"/>
      <c r="AA571" s="39" t="str">
        <f aca="false">IF(COUNT(W571:Z571)=0,"",ROUND(AVERAGE(W571:Z571),0))</f>
        <v/>
      </c>
      <c r="AB571" s="38" t="str">
        <f aca="false">IF(AA571="","",LOOKUP(AA571,Impostazioni!$E$4:$E$9,Impostazioni!$F$4:$F$9))</f>
        <v/>
      </c>
    </row>
    <row r="572" customFormat="false" ht="21" hidden="false" customHeight="true" outlineLevel="0" collapsed="false">
      <c r="A572" s="33" t="n">
        <v>22</v>
      </c>
      <c r="B572" s="34" t="str">
        <f aca="false">IFERROR(INDEX(Alunni!$C$1:$C$1000,MATCH($A572,Alunni!$A$1:$A$1000,0))&amp;"","")</f>
        <v/>
      </c>
      <c r="C572" s="15"/>
      <c r="D572" s="35"/>
      <c r="E572" s="36"/>
      <c r="F572" s="36"/>
      <c r="G572" s="36"/>
      <c r="H572" s="36"/>
      <c r="I572" s="39" t="str">
        <f aca="false">IF(COUNT(E572:H572)=0,"",ROUND(AVERAGE(E572:H572),0))</f>
        <v/>
      </c>
      <c r="J572" s="38" t="str">
        <f aca="false">IF(I572="","",LOOKUP(I572,Impostazioni!$E$4:$E$9,Impostazioni!$F$4:$F$9))</f>
        <v/>
      </c>
      <c r="K572" s="36"/>
      <c r="L572" s="36"/>
      <c r="M572" s="36"/>
      <c r="N572" s="36"/>
      <c r="O572" s="39" t="str">
        <f aca="false">IF(COUNT(K572:N572)=0,"",ROUND(AVERAGE(K572:N572),0))</f>
        <v/>
      </c>
      <c r="P572" s="38" t="str">
        <f aca="false">IF(O572="","",LOOKUP(O572,Impostazioni!$E$4:$E$9,Impostazioni!$F$4:$F$9))</f>
        <v/>
      </c>
      <c r="Q572" s="36"/>
      <c r="R572" s="36"/>
      <c r="S572" s="36"/>
      <c r="T572" s="36"/>
      <c r="U572" s="39" t="str">
        <f aca="false">IF(COUNT(Q572:T572)=0,"",ROUND(AVERAGE(Q572:T572),0))</f>
        <v/>
      </c>
      <c r="V572" s="38" t="str">
        <f aca="false">IF(U572="","",LOOKUP(U572,Impostazioni!$E$4:$E$9,Impostazioni!$F$4:$F$9))</f>
        <v/>
      </c>
      <c r="W572" s="36"/>
      <c r="X572" s="36"/>
      <c r="Y572" s="36"/>
      <c r="Z572" s="36"/>
      <c r="AA572" s="39" t="str">
        <f aca="false">IF(COUNT(W572:Z572)=0,"",ROUND(AVERAGE(W572:Z572),0))</f>
        <v/>
      </c>
      <c r="AB572" s="38" t="str">
        <f aca="false">IF(AA572="","",LOOKUP(AA572,Impostazioni!$E$4:$E$9,Impostazioni!$F$4:$F$9))</f>
        <v/>
      </c>
    </row>
    <row r="573" customFormat="false" ht="21" hidden="false" customHeight="true" outlineLevel="0" collapsed="false">
      <c r="A573" s="33" t="n">
        <v>23</v>
      </c>
      <c r="B573" s="34" t="str">
        <f aca="false">IFERROR(INDEX(Alunni!$C$1:$C$1000,MATCH($A573,Alunni!$A$1:$A$1000,0))&amp;"","")</f>
        <v/>
      </c>
      <c r="C573" s="15"/>
      <c r="D573" s="35"/>
      <c r="E573" s="36"/>
      <c r="F573" s="36"/>
      <c r="G573" s="36"/>
      <c r="H573" s="36"/>
      <c r="I573" s="39" t="str">
        <f aca="false">IF(COUNT(E573:H573)=0,"",ROUND(AVERAGE(E573:H573),0))</f>
        <v/>
      </c>
      <c r="J573" s="38" t="str">
        <f aca="false">IF(I573="","",LOOKUP(I573,Impostazioni!$E$4:$E$9,Impostazioni!$F$4:$F$9))</f>
        <v/>
      </c>
      <c r="K573" s="36"/>
      <c r="L573" s="36"/>
      <c r="M573" s="36"/>
      <c r="N573" s="36"/>
      <c r="O573" s="39" t="str">
        <f aca="false">IF(COUNT(K573:N573)=0,"",ROUND(AVERAGE(K573:N573),0))</f>
        <v/>
      </c>
      <c r="P573" s="38" t="str">
        <f aca="false">IF(O573="","",LOOKUP(O573,Impostazioni!$E$4:$E$9,Impostazioni!$F$4:$F$9))</f>
        <v/>
      </c>
      <c r="Q573" s="36"/>
      <c r="R573" s="36"/>
      <c r="S573" s="36"/>
      <c r="T573" s="36"/>
      <c r="U573" s="39" t="str">
        <f aca="false">IF(COUNT(Q573:T573)=0,"",ROUND(AVERAGE(Q573:T573),0))</f>
        <v/>
      </c>
      <c r="V573" s="38" t="str">
        <f aca="false">IF(U573="","",LOOKUP(U573,Impostazioni!$E$4:$E$9,Impostazioni!$F$4:$F$9))</f>
        <v/>
      </c>
      <c r="W573" s="36"/>
      <c r="X573" s="36"/>
      <c r="Y573" s="36"/>
      <c r="Z573" s="36"/>
      <c r="AA573" s="39" t="str">
        <f aca="false">IF(COUNT(W573:Z573)=0,"",ROUND(AVERAGE(W573:Z573),0))</f>
        <v/>
      </c>
      <c r="AB573" s="38" t="str">
        <f aca="false">IF(AA573="","",LOOKUP(AA573,Impostazioni!$E$4:$E$9,Impostazioni!$F$4:$F$9))</f>
        <v/>
      </c>
    </row>
    <row r="574" customFormat="false" ht="21" hidden="false" customHeight="true" outlineLevel="0" collapsed="false">
      <c r="A574" s="33" t="n">
        <v>24</v>
      </c>
      <c r="B574" s="34" t="str">
        <f aca="false">IFERROR(INDEX(Alunni!$C$1:$C$1000,MATCH($A574,Alunni!$A$1:$A$1000,0))&amp;"","")</f>
        <v/>
      </c>
      <c r="C574" s="15"/>
      <c r="D574" s="35"/>
      <c r="E574" s="36"/>
      <c r="F574" s="36"/>
      <c r="G574" s="36"/>
      <c r="H574" s="36"/>
      <c r="I574" s="39" t="str">
        <f aca="false">IF(COUNT(E574:H574)=0,"",ROUND(AVERAGE(E574:H574),0))</f>
        <v/>
      </c>
      <c r="J574" s="38" t="str">
        <f aca="false">IF(I574="","",LOOKUP(I574,Impostazioni!$E$4:$E$9,Impostazioni!$F$4:$F$9))</f>
        <v/>
      </c>
      <c r="K574" s="36"/>
      <c r="L574" s="36"/>
      <c r="M574" s="36"/>
      <c r="N574" s="36"/>
      <c r="O574" s="39" t="str">
        <f aca="false">IF(COUNT(K574:N574)=0,"",ROUND(AVERAGE(K574:N574),0))</f>
        <v/>
      </c>
      <c r="P574" s="38" t="str">
        <f aca="false">IF(O574="","",LOOKUP(O574,Impostazioni!$E$4:$E$9,Impostazioni!$F$4:$F$9))</f>
        <v/>
      </c>
      <c r="Q574" s="36"/>
      <c r="R574" s="36"/>
      <c r="S574" s="36"/>
      <c r="T574" s="36"/>
      <c r="U574" s="39" t="str">
        <f aca="false">IF(COUNT(Q574:T574)=0,"",ROUND(AVERAGE(Q574:T574),0))</f>
        <v/>
      </c>
      <c r="V574" s="38" t="str">
        <f aca="false">IF(U574="","",LOOKUP(U574,Impostazioni!$E$4:$E$9,Impostazioni!$F$4:$F$9))</f>
        <v/>
      </c>
      <c r="W574" s="36"/>
      <c r="X574" s="36"/>
      <c r="Y574" s="36"/>
      <c r="Z574" s="36"/>
      <c r="AA574" s="39" t="str">
        <f aca="false">IF(COUNT(W574:Z574)=0,"",ROUND(AVERAGE(W574:Z574),0))</f>
        <v/>
      </c>
      <c r="AB574" s="38" t="str">
        <f aca="false">IF(AA574="","",LOOKUP(AA574,Impostazioni!$E$4:$E$9,Impostazioni!$F$4:$F$9))</f>
        <v/>
      </c>
    </row>
    <row r="575" customFormat="false" ht="21" hidden="false" customHeight="true" outlineLevel="0" collapsed="false">
      <c r="A575" s="33" t="n">
        <v>25</v>
      </c>
      <c r="B575" s="34" t="str">
        <f aca="false">IFERROR(INDEX(Alunni!$C$1:$C$1000,MATCH($A575,Alunni!$A$1:$A$1000,0))&amp;"","")</f>
        <v/>
      </c>
      <c r="C575" s="15"/>
      <c r="D575" s="35"/>
      <c r="E575" s="36"/>
      <c r="F575" s="36"/>
      <c r="G575" s="36"/>
      <c r="H575" s="36"/>
      <c r="I575" s="39" t="str">
        <f aca="false">IF(COUNT(E575:H575)=0,"",ROUND(AVERAGE(E575:H575),0))</f>
        <v/>
      </c>
      <c r="J575" s="38" t="str">
        <f aca="false">IF(I575="","",LOOKUP(I575,Impostazioni!$E$4:$E$9,Impostazioni!$F$4:$F$9))</f>
        <v/>
      </c>
      <c r="K575" s="36"/>
      <c r="L575" s="36"/>
      <c r="M575" s="36"/>
      <c r="N575" s="36"/>
      <c r="O575" s="39" t="str">
        <f aca="false">IF(COUNT(K575:N575)=0,"",ROUND(AVERAGE(K575:N575),0))</f>
        <v/>
      </c>
      <c r="P575" s="38" t="str">
        <f aca="false">IF(O575="","",LOOKUP(O575,Impostazioni!$E$4:$E$9,Impostazioni!$F$4:$F$9))</f>
        <v/>
      </c>
      <c r="Q575" s="36"/>
      <c r="R575" s="36"/>
      <c r="S575" s="36"/>
      <c r="T575" s="36"/>
      <c r="U575" s="39" t="str">
        <f aca="false">IF(COUNT(Q575:T575)=0,"",ROUND(AVERAGE(Q575:T575),0))</f>
        <v/>
      </c>
      <c r="V575" s="38" t="str">
        <f aca="false">IF(U575="","",LOOKUP(U575,Impostazioni!$E$4:$E$9,Impostazioni!$F$4:$F$9))</f>
        <v/>
      </c>
      <c r="W575" s="36"/>
      <c r="X575" s="36"/>
      <c r="Y575" s="36"/>
      <c r="Z575" s="36"/>
      <c r="AA575" s="39" t="str">
        <f aca="false">IF(COUNT(W575:Z575)=0,"",ROUND(AVERAGE(W575:Z575),0))</f>
        <v/>
      </c>
      <c r="AB575" s="38" t="str">
        <f aca="false">IF(AA575="","",LOOKUP(AA575,Impostazioni!$E$4:$E$9,Impostazioni!$F$4:$F$9))</f>
        <v/>
      </c>
    </row>
    <row r="576" customFormat="false" ht="21" hidden="false" customHeight="true" outlineLevel="0" collapsed="false">
      <c r="A576" s="33" t="n">
        <v>26</v>
      </c>
      <c r="B576" s="34" t="str">
        <f aca="false">IFERROR(INDEX(Alunni!$C$1:$C$1000,MATCH($A576,Alunni!$A$1:$A$1000,0))&amp;"","")</f>
        <v/>
      </c>
      <c r="C576" s="15"/>
      <c r="D576" s="35"/>
      <c r="E576" s="36"/>
      <c r="F576" s="36"/>
      <c r="G576" s="36"/>
      <c r="H576" s="36"/>
      <c r="I576" s="39" t="str">
        <f aca="false">IF(COUNT(E576:H576)=0,"",ROUND(AVERAGE(E576:H576),0))</f>
        <v/>
      </c>
      <c r="J576" s="38" t="str">
        <f aca="false">IF(I576="","",LOOKUP(I576,Impostazioni!$E$4:$E$9,Impostazioni!$F$4:$F$9))</f>
        <v/>
      </c>
      <c r="K576" s="36"/>
      <c r="L576" s="36"/>
      <c r="M576" s="36"/>
      <c r="N576" s="36"/>
      <c r="O576" s="39" t="str">
        <f aca="false">IF(COUNT(K576:N576)=0,"",ROUND(AVERAGE(K576:N576),0))</f>
        <v/>
      </c>
      <c r="P576" s="38" t="str">
        <f aca="false">IF(O576="","",LOOKUP(O576,Impostazioni!$E$4:$E$9,Impostazioni!$F$4:$F$9))</f>
        <v/>
      </c>
      <c r="Q576" s="36"/>
      <c r="R576" s="36"/>
      <c r="S576" s="36"/>
      <c r="T576" s="36"/>
      <c r="U576" s="39" t="str">
        <f aca="false">IF(COUNT(Q576:T576)=0,"",ROUND(AVERAGE(Q576:T576),0))</f>
        <v/>
      </c>
      <c r="V576" s="38" t="str">
        <f aca="false">IF(U576="","",LOOKUP(U576,Impostazioni!$E$4:$E$9,Impostazioni!$F$4:$F$9))</f>
        <v/>
      </c>
      <c r="W576" s="36"/>
      <c r="X576" s="36"/>
      <c r="Y576" s="36"/>
      <c r="Z576" s="36"/>
      <c r="AA576" s="39" t="str">
        <f aca="false">IF(COUNT(W576:Z576)=0,"",ROUND(AVERAGE(W576:Z576),0))</f>
        <v/>
      </c>
      <c r="AB576" s="38" t="str">
        <f aca="false">IF(AA576="","",LOOKUP(AA576,Impostazioni!$E$4:$E$9,Impostazioni!$F$4:$F$9))</f>
        <v/>
      </c>
    </row>
    <row r="577" customFormat="false" ht="21" hidden="false" customHeight="true" outlineLevel="0" collapsed="false">
      <c r="A577" s="33" t="n">
        <v>27</v>
      </c>
      <c r="B577" s="34" t="str">
        <f aca="false">IFERROR(INDEX(Alunni!$C$1:$C$1000,MATCH($A577,Alunni!$A$1:$A$1000,0))&amp;"","")</f>
        <v/>
      </c>
      <c r="C577" s="15"/>
      <c r="D577" s="35"/>
      <c r="E577" s="36"/>
      <c r="F577" s="36"/>
      <c r="G577" s="36"/>
      <c r="H577" s="36"/>
      <c r="I577" s="39" t="str">
        <f aca="false">IF(COUNT(E577:H577)=0,"",ROUND(AVERAGE(E577:H577),0))</f>
        <v/>
      </c>
      <c r="J577" s="38" t="str">
        <f aca="false">IF(I577="","",LOOKUP(I577,Impostazioni!$E$4:$E$9,Impostazioni!$F$4:$F$9))</f>
        <v/>
      </c>
      <c r="K577" s="36"/>
      <c r="L577" s="36"/>
      <c r="M577" s="36"/>
      <c r="N577" s="36"/>
      <c r="O577" s="39" t="str">
        <f aca="false">IF(COUNT(K577:N577)=0,"",ROUND(AVERAGE(K577:N577),0))</f>
        <v/>
      </c>
      <c r="P577" s="38" t="str">
        <f aca="false">IF(O577="","",LOOKUP(O577,Impostazioni!$E$4:$E$9,Impostazioni!$F$4:$F$9))</f>
        <v/>
      </c>
      <c r="Q577" s="36"/>
      <c r="R577" s="36"/>
      <c r="S577" s="36"/>
      <c r="T577" s="36"/>
      <c r="U577" s="39" t="str">
        <f aca="false">IF(COUNT(Q577:T577)=0,"",ROUND(AVERAGE(Q577:T577),0))</f>
        <v/>
      </c>
      <c r="V577" s="38" t="str">
        <f aca="false">IF(U577="","",LOOKUP(U577,Impostazioni!$E$4:$E$9,Impostazioni!$F$4:$F$9))</f>
        <v/>
      </c>
      <c r="W577" s="36"/>
      <c r="X577" s="36"/>
      <c r="Y577" s="36"/>
      <c r="Z577" s="36"/>
      <c r="AA577" s="39" t="str">
        <f aca="false">IF(COUNT(W577:Z577)=0,"",ROUND(AVERAGE(W577:Z577),0))</f>
        <v/>
      </c>
      <c r="AB577" s="38" t="str">
        <f aca="false">IF(AA577="","",LOOKUP(AA577,Impostazioni!$E$4:$E$9,Impostazioni!$F$4:$F$9))</f>
        <v/>
      </c>
    </row>
    <row r="578" customFormat="false" ht="21" hidden="false" customHeight="true" outlineLevel="0" collapsed="false">
      <c r="A578" s="33" t="n">
        <v>28</v>
      </c>
      <c r="B578" s="34" t="str">
        <f aca="false">IFERROR(INDEX(Alunni!$C$1:$C$1000,MATCH($A578,Alunni!$A$1:$A$1000,0))&amp;"","")</f>
        <v/>
      </c>
      <c r="C578" s="15"/>
      <c r="D578" s="35"/>
      <c r="E578" s="36"/>
      <c r="F578" s="36"/>
      <c r="G578" s="36"/>
      <c r="H578" s="36"/>
      <c r="I578" s="39" t="str">
        <f aca="false">IF(COUNT(E578:H578)=0,"",ROUND(AVERAGE(E578:H578),0))</f>
        <v/>
      </c>
      <c r="J578" s="38" t="str">
        <f aca="false">IF(I578="","",LOOKUP(I578,Impostazioni!$E$4:$E$9,Impostazioni!$F$4:$F$9))</f>
        <v/>
      </c>
      <c r="K578" s="36"/>
      <c r="L578" s="36"/>
      <c r="M578" s="36"/>
      <c r="N578" s="36"/>
      <c r="O578" s="39" t="str">
        <f aca="false">IF(COUNT(K578:N578)=0,"",ROUND(AVERAGE(K578:N578),0))</f>
        <v/>
      </c>
      <c r="P578" s="38" t="str">
        <f aca="false">IF(O578="","",LOOKUP(O578,Impostazioni!$E$4:$E$9,Impostazioni!$F$4:$F$9))</f>
        <v/>
      </c>
      <c r="Q578" s="36"/>
      <c r="R578" s="36"/>
      <c r="S578" s="36"/>
      <c r="T578" s="36"/>
      <c r="U578" s="39" t="str">
        <f aca="false">IF(COUNT(Q578:T578)=0,"",ROUND(AVERAGE(Q578:T578),0))</f>
        <v/>
      </c>
      <c r="V578" s="38" t="str">
        <f aca="false">IF(U578="","",LOOKUP(U578,Impostazioni!$E$4:$E$9,Impostazioni!$F$4:$F$9))</f>
        <v/>
      </c>
      <c r="W578" s="36"/>
      <c r="X578" s="36"/>
      <c r="Y578" s="36"/>
      <c r="Z578" s="36"/>
      <c r="AA578" s="39" t="str">
        <f aca="false">IF(COUNT(W578:Z578)=0,"",ROUND(AVERAGE(W578:Z578),0))</f>
        <v/>
      </c>
      <c r="AB578" s="38" t="str">
        <f aca="false">IF(AA578="","",LOOKUP(AA578,Impostazioni!$E$4:$E$9,Impostazioni!$F$4:$F$9))</f>
        <v/>
      </c>
    </row>
    <row r="579" customFormat="false" ht="21" hidden="false" customHeight="true" outlineLevel="0" collapsed="false">
      <c r="A579" s="33" t="n">
        <v>29</v>
      </c>
      <c r="B579" s="34" t="str">
        <f aca="false">IFERROR(INDEX(Alunni!$C$1:$C$1000,MATCH($A579,Alunni!$A$1:$A$1000,0))&amp;"","")</f>
        <v/>
      </c>
      <c r="C579" s="15"/>
      <c r="D579" s="35"/>
      <c r="E579" s="36"/>
      <c r="F579" s="36"/>
      <c r="G579" s="36"/>
      <c r="H579" s="36"/>
      <c r="I579" s="39" t="str">
        <f aca="false">IF(COUNT(E579:H579)=0,"",ROUND(AVERAGE(E579:H579),0))</f>
        <v/>
      </c>
      <c r="J579" s="38" t="str">
        <f aca="false">IF(I579="","",LOOKUP(I579,Impostazioni!$E$4:$E$9,Impostazioni!$F$4:$F$9))</f>
        <v/>
      </c>
      <c r="K579" s="36"/>
      <c r="L579" s="36"/>
      <c r="M579" s="36"/>
      <c r="N579" s="36"/>
      <c r="O579" s="39" t="str">
        <f aca="false">IF(COUNT(K579:N579)=0,"",ROUND(AVERAGE(K579:N579),0))</f>
        <v/>
      </c>
      <c r="P579" s="38" t="str">
        <f aca="false">IF(O579="","",LOOKUP(O579,Impostazioni!$E$4:$E$9,Impostazioni!$F$4:$F$9))</f>
        <v/>
      </c>
      <c r="Q579" s="36"/>
      <c r="R579" s="36"/>
      <c r="S579" s="36"/>
      <c r="T579" s="36"/>
      <c r="U579" s="39" t="str">
        <f aca="false">IF(COUNT(Q579:T579)=0,"",ROUND(AVERAGE(Q579:T579),0))</f>
        <v/>
      </c>
      <c r="V579" s="38" t="str">
        <f aca="false">IF(U579="","",LOOKUP(U579,Impostazioni!$E$4:$E$9,Impostazioni!$F$4:$F$9))</f>
        <v/>
      </c>
      <c r="W579" s="36"/>
      <c r="X579" s="36"/>
      <c r="Y579" s="36"/>
      <c r="Z579" s="36"/>
      <c r="AA579" s="39" t="str">
        <f aca="false">IF(COUNT(W579:Z579)=0,"",ROUND(AVERAGE(W579:Z579),0))</f>
        <v/>
      </c>
      <c r="AB579" s="38" t="str">
        <f aca="false">IF(AA579="","",LOOKUP(AA579,Impostazioni!$E$4:$E$9,Impostazioni!$F$4:$F$9))</f>
        <v/>
      </c>
    </row>
    <row r="580" customFormat="false" ht="21" hidden="false" customHeight="true" outlineLevel="0" collapsed="false">
      <c r="A580" s="33" t="n">
        <v>30</v>
      </c>
      <c r="B580" s="34" t="str">
        <f aca="false">IFERROR(INDEX(Alunni!$C$1:$C$1000,MATCH($A580,Alunni!$A$1:$A$1000,0))&amp;"","")</f>
        <v/>
      </c>
      <c r="C580" s="15"/>
      <c r="D580" s="35"/>
      <c r="E580" s="36"/>
      <c r="F580" s="36"/>
      <c r="G580" s="36"/>
      <c r="H580" s="36"/>
      <c r="I580" s="39" t="str">
        <f aca="false">IF(COUNT(E580:H580)=0,"",ROUND(AVERAGE(E580:H580),0))</f>
        <v/>
      </c>
      <c r="J580" s="38" t="str">
        <f aca="false">IF(I580="","",LOOKUP(I580,Impostazioni!$E$4:$E$9,Impostazioni!$F$4:$F$9))</f>
        <v/>
      </c>
      <c r="K580" s="36"/>
      <c r="L580" s="36"/>
      <c r="M580" s="36"/>
      <c r="N580" s="36"/>
      <c r="O580" s="39" t="str">
        <f aca="false">IF(COUNT(K580:N580)=0,"",ROUND(AVERAGE(K580:N580),0))</f>
        <v/>
      </c>
      <c r="P580" s="38" t="str">
        <f aca="false">IF(O580="","",LOOKUP(O580,Impostazioni!$E$4:$E$9,Impostazioni!$F$4:$F$9))</f>
        <v/>
      </c>
      <c r="Q580" s="36"/>
      <c r="R580" s="36"/>
      <c r="S580" s="36"/>
      <c r="T580" s="36"/>
      <c r="U580" s="39" t="str">
        <f aca="false">IF(COUNT(Q580:T580)=0,"",ROUND(AVERAGE(Q580:T580),0))</f>
        <v/>
      </c>
      <c r="V580" s="38" t="str">
        <f aca="false">IF(U580="","",LOOKUP(U580,Impostazioni!$E$4:$E$9,Impostazioni!$F$4:$F$9))</f>
        <v/>
      </c>
      <c r="W580" s="36"/>
      <c r="X580" s="36"/>
      <c r="Y580" s="36"/>
      <c r="Z580" s="36"/>
      <c r="AA580" s="39" t="str">
        <f aca="false">IF(COUNT(W580:Z580)=0,"",ROUND(AVERAGE(W580:Z580),0))</f>
        <v/>
      </c>
      <c r="AB580" s="38" t="str">
        <f aca="false">IF(AA580="","",LOOKUP(AA580,Impostazioni!$E$4:$E$9,Impostazioni!$F$4:$F$9))</f>
        <v/>
      </c>
    </row>
    <row r="582" customFormat="false" ht="25.5" hidden="false" customHeight="true" outlineLevel="0" collapsed="false">
      <c r="A582" s="40" t="str">
        <f aca="false">Calendario!B23&amp;"   ·   "&amp;IF(Calendario!G23="","(descrizione da Calendario)",Calendario!G23)&amp;"   ·   "&amp;IF(Calendario!E23="","data da fissare",CHOOSE(WEEKDAY(Calendario!E23,2),"lunedì","martedì","mercoledì","giovedì","venerdì","sabato","domenica")&amp;" "&amp;TEXT(DAY(Calendario!E23),"00")&amp;"/"&amp;TEXT(MONTH(Calendario!E23),"00")&amp;"/"&amp;YEAR(Calendario!E23))</f>
        <v>Q2-G07   ·   (descrizione da Calendario)   ·   data da fissare</v>
      </c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</row>
    <row r="583" customFormat="false" ht="15" hidden="false" customHeight="true" outlineLevel="0" collapsed="false">
      <c r="A583" s="25" t="s">
        <v>80</v>
      </c>
      <c r="B583" s="25"/>
      <c r="C583" s="25"/>
      <c r="D583" s="25"/>
      <c r="E583" s="26" t="str">
        <f aca="false">IF(Calendario!$H$23="","— libero —",Calendario!$H$23&amp;"  "&amp;IFERROR(VLOOKUP(Calendario!$H$23,Impostazioni!$A$25:$J$36,3,FALSE()),""))</f>
        <v>— libero —</v>
      </c>
      <c r="F583" s="26"/>
      <c r="G583" s="26"/>
      <c r="H583" s="26"/>
      <c r="I583" s="26"/>
      <c r="J583" s="26"/>
      <c r="K583" s="26" t="str">
        <f aca="false">IF(Calendario!$I$23="","— libero —",Calendario!$I$23&amp;"  "&amp;IFERROR(VLOOKUP(Calendario!$I$23,Impostazioni!$A$25:$J$36,3,FALSE()),""))</f>
        <v>— libero —</v>
      </c>
      <c r="L583" s="26"/>
      <c r="M583" s="26"/>
      <c r="N583" s="26"/>
      <c r="O583" s="26"/>
      <c r="P583" s="26"/>
      <c r="Q583" s="26" t="str">
        <f aca="false">IF(Calendario!$J$23="","— libero —",Calendario!$J$23&amp;"  "&amp;IFERROR(VLOOKUP(Calendario!$J$23,Impostazioni!$A$25:$J$36,3,FALSE()),""))</f>
        <v>— libero —</v>
      </c>
      <c r="R583" s="26"/>
      <c r="S583" s="26"/>
      <c r="T583" s="26"/>
      <c r="U583" s="26"/>
      <c r="V583" s="26"/>
      <c r="W583" s="26" t="str">
        <f aca="false">IF(Calendario!$K$23="","— libero —",Calendario!$K$23&amp;"  "&amp;IFERROR(VLOOKUP(Calendario!$K$23,Impostazioni!$A$25:$J$36,3,FALSE()),""))</f>
        <v>— libero —</v>
      </c>
      <c r="X583" s="26"/>
      <c r="Y583" s="26"/>
      <c r="Z583" s="26"/>
      <c r="AA583" s="26"/>
      <c r="AB583" s="26"/>
    </row>
    <row r="584" customFormat="false" ht="15" hidden="false" customHeight="true" outlineLevel="0" collapsed="false">
      <c r="A584" s="25" t="s">
        <v>81</v>
      </c>
      <c r="B584" s="25"/>
      <c r="C584" s="25"/>
      <c r="D584" s="25"/>
      <c r="E584" s="27" t="str">
        <f aca="false">IF(Calendario!$H$23="","","Ob. "&amp;IFERROR(VLOOKUP(Calendario!$H$23,Impostazioni!$A$25:$J$36,6,FALSE()),"?")&amp;" · peso "&amp;IF(Calendario!$F$23=2,Impostazioni!$B$11,Impostazioni!$B$10))</f>
        <v/>
      </c>
      <c r="F584" s="27"/>
      <c r="G584" s="27"/>
      <c r="H584" s="27"/>
      <c r="I584" s="27"/>
      <c r="J584" s="27"/>
      <c r="K584" s="27" t="str">
        <f aca="false">IF(Calendario!$I$23="","","Ob. "&amp;IFERROR(VLOOKUP(Calendario!$I$23,Impostazioni!$A$25:$J$36,6,FALSE()),"?")&amp;" · peso "&amp;IF(Calendario!$F$23=2,Impostazioni!$B$11,Impostazioni!$B$10))</f>
        <v/>
      </c>
      <c r="L584" s="27"/>
      <c r="M584" s="27"/>
      <c r="N584" s="27"/>
      <c r="O584" s="27"/>
      <c r="P584" s="27"/>
      <c r="Q584" s="27" t="str">
        <f aca="false">IF(Calendario!$J$23="","","Ob. "&amp;IFERROR(VLOOKUP(Calendario!$J$23,Impostazioni!$A$25:$J$36,6,FALSE()),"?")&amp;" · peso "&amp;IF(Calendario!$F$23=2,Impostazioni!$B$11,Impostazioni!$B$10))</f>
        <v/>
      </c>
      <c r="R584" s="27"/>
      <c r="S584" s="27"/>
      <c r="T584" s="27"/>
      <c r="U584" s="27"/>
      <c r="V584" s="27"/>
      <c r="W584" s="27" t="str">
        <f aca="false">IF(Calendario!$K$23="","","Ob. "&amp;IFERROR(VLOOKUP(Calendario!$K$23,Impostazioni!$A$25:$J$36,6,FALSE()),"?")&amp;" · peso "&amp;IF(Calendario!$F$23=2,Impostazioni!$B$11,Impostazioni!$B$10))</f>
        <v/>
      </c>
      <c r="X584" s="27"/>
      <c r="Y584" s="27"/>
      <c r="Z584" s="27"/>
      <c r="AA584" s="27"/>
      <c r="AB584" s="27"/>
    </row>
    <row r="585" customFormat="false" ht="33.75" hidden="false" customHeight="true" outlineLevel="0" collapsed="false">
      <c r="A585" s="25" t="s">
        <v>82</v>
      </c>
      <c r="B585" s="25"/>
      <c r="C585" s="25"/>
      <c r="D585" s="25"/>
      <c r="E585" s="28" t="str">
        <f aca="false">IF(Calendario!$H$23="","",IFERROR(HYPERLINK("#Rubriche!C"&amp;(MATCH(Calendario!$H$23,Rubriche!$A$1:$A$1000,0)+0),VLOOKUP(Calendario!$H$23,Impostazioni!$A$25:$J$36,7,FALSE())),""))</f>
        <v/>
      </c>
      <c r="F585" s="28" t="str">
        <f aca="false">IF(Calendario!$H$23="","",IFERROR(HYPERLINK("#Rubriche!C"&amp;(MATCH(Calendario!$H$23,Rubriche!$A$1:$A$1000,0)+1),VLOOKUP(Calendario!$H$23,Impostazioni!$A$25:$J$36,8,FALSE())),""))</f>
        <v/>
      </c>
      <c r="G585" s="28" t="str">
        <f aca="false">IF(Calendario!$H$23="","",IFERROR(HYPERLINK("#Rubriche!C"&amp;(MATCH(Calendario!$H$23,Rubriche!$A$1:$A$1000,0)+2),VLOOKUP(Calendario!$H$23,Impostazioni!$A$25:$J$36,9,FALSE())),""))</f>
        <v/>
      </c>
      <c r="H585" s="28" t="str">
        <f aca="false">IF(Calendario!$H$23="","",IFERROR(HYPERLINK("#Rubriche!C"&amp;(MATCH(Calendario!$H$23,Rubriche!$A$1:$A$1000,0)+3),VLOOKUP(Calendario!$H$23,Impostazioni!$A$25:$J$36,10,FALSE())),""))</f>
        <v/>
      </c>
      <c r="I585" s="29"/>
      <c r="J585" s="29"/>
      <c r="K585" s="28" t="str">
        <f aca="false">IF(Calendario!$I$23="","",IFERROR(HYPERLINK("#Rubriche!C"&amp;(MATCH(Calendario!$I$23,Rubriche!$A$1:$A$1000,0)+0),VLOOKUP(Calendario!$I$23,Impostazioni!$A$25:$J$36,7,FALSE())),""))</f>
        <v/>
      </c>
      <c r="L585" s="28" t="str">
        <f aca="false">IF(Calendario!$I$23="","",IFERROR(HYPERLINK("#Rubriche!C"&amp;(MATCH(Calendario!$I$23,Rubriche!$A$1:$A$1000,0)+1),VLOOKUP(Calendario!$I$23,Impostazioni!$A$25:$J$36,8,FALSE())),""))</f>
        <v/>
      </c>
      <c r="M585" s="28" t="str">
        <f aca="false">IF(Calendario!$I$23="","",IFERROR(HYPERLINK("#Rubriche!C"&amp;(MATCH(Calendario!$I$23,Rubriche!$A$1:$A$1000,0)+2),VLOOKUP(Calendario!$I$23,Impostazioni!$A$25:$J$36,9,FALSE())),""))</f>
        <v/>
      </c>
      <c r="N585" s="28" t="str">
        <f aca="false">IF(Calendario!$I$23="","",IFERROR(HYPERLINK("#Rubriche!C"&amp;(MATCH(Calendario!$I$23,Rubriche!$A$1:$A$1000,0)+3),VLOOKUP(Calendario!$I$23,Impostazioni!$A$25:$J$36,10,FALSE())),""))</f>
        <v/>
      </c>
      <c r="O585" s="29"/>
      <c r="P585" s="29"/>
      <c r="Q585" s="28" t="str">
        <f aca="false">IF(Calendario!$J$23="","",IFERROR(HYPERLINK("#Rubriche!C"&amp;(MATCH(Calendario!$J$23,Rubriche!$A$1:$A$1000,0)+0),VLOOKUP(Calendario!$J$23,Impostazioni!$A$25:$J$36,7,FALSE())),""))</f>
        <v/>
      </c>
      <c r="R585" s="28" t="str">
        <f aca="false">IF(Calendario!$J$23="","",IFERROR(HYPERLINK("#Rubriche!C"&amp;(MATCH(Calendario!$J$23,Rubriche!$A$1:$A$1000,0)+1),VLOOKUP(Calendario!$J$23,Impostazioni!$A$25:$J$36,8,FALSE())),""))</f>
        <v/>
      </c>
      <c r="S585" s="28" t="str">
        <f aca="false">IF(Calendario!$J$23="","",IFERROR(HYPERLINK("#Rubriche!C"&amp;(MATCH(Calendario!$J$23,Rubriche!$A$1:$A$1000,0)+2),VLOOKUP(Calendario!$J$23,Impostazioni!$A$25:$J$36,9,FALSE())),""))</f>
        <v/>
      </c>
      <c r="T585" s="28" t="str">
        <f aca="false">IF(Calendario!$J$23="","",IFERROR(HYPERLINK("#Rubriche!C"&amp;(MATCH(Calendario!$J$23,Rubriche!$A$1:$A$1000,0)+3),VLOOKUP(Calendario!$J$23,Impostazioni!$A$25:$J$36,10,FALSE())),""))</f>
        <v/>
      </c>
      <c r="U585" s="29"/>
      <c r="V585" s="29"/>
      <c r="W585" s="28" t="str">
        <f aca="false">IF(Calendario!$K$23="","",IFERROR(HYPERLINK("#Rubriche!C"&amp;(MATCH(Calendario!$K$23,Rubriche!$A$1:$A$1000,0)+0),VLOOKUP(Calendario!$K$23,Impostazioni!$A$25:$J$36,7,FALSE())),""))</f>
        <v/>
      </c>
      <c r="X585" s="28" t="str">
        <f aca="false">IF(Calendario!$K$23="","",IFERROR(HYPERLINK("#Rubriche!C"&amp;(MATCH(Calendario!$K$23,Rubriche!$A$1:$A$1000,0)+1),VLOOKUP(Calendario!$K$23,Impostazioni!$A$25:$J$36,8,FALSE())),""))</f>
        <v/>
      </c>
      <c r="Y585" s="28" t="str">
        <f aca="false">IF(Calendario!$K$23="","",IFERROR(HYPERLINK("#Rubriche!C"&amp;(MATCH(Calendario!$K$23,Rubriche!$A$1:$A$1000,0)+2),VLOOKUP(Calendario!$K$23,Impostazioni!$A$25:$J$36,9,FALSE())),""))</f>
        <v/>
      </c>
      <c r="Z585" s="28" t="str">
        <f aca="false">IF(Calendario!$K$23="","",IFERROR(HYPERLINK("#Rubriche!C"&amp;(MATCH(Calendario!$K$23,Rubriche!$A$1:$A$1000,0)+3),VLOOKUP(Calendario!$K$23,Impostazioni!$A$25:$J$36,10,FALSE())),""))</f>
        <v/>
      </c>
      <c r="AA585" s="29"/>
      <c r="AB585" s="29"/>
    </row>
    <row r="586" customFormat="false" ht="25.5" hidden="false" customHeight="true" outlineLevel="0" collapsed="false">
      <c r="A586" s="8" t="s">
        <v>65</v>
      </c>
      <c r="B586" s="8" t="s">
        <v>83</v>
      </c>
      <c r="C586" s="8" t="s">
        <v>68</v>
      </c>
      <c r="D586" s="8" t="s">
        <v>84</v>
      </c>
      <c r="E586" s="30" t="s">
        <v>85</v>
      </c>
      <c r="F586" s="30" t="s">
        <v>86</v>
      </c>
      <c r="G586" s="30" t="s">
        <v>87</v>
      </c>
      <c r="H586" s="30" t="s">
        <v>88</v>
      </c>
      <c r="I586" s="31" t="s">
        <v>89</v>
      </c>
      <c r="J586" s="32" t="s">
        <v>90</v>
      </c>
      <c r="K586" s="30" t="s">
        <v>85</v>
      </c>
      <c r="L586" s="30" t="s">
        <v>86</v>
      </c>
      <c r="M586" s="30" t="s">
        <v>87</v>
      </c>
      <c r="N586" s="30" t="s">
        <v>88</v>
      </c>
      <c r="O586" s="31" t="s">
        <v>89</v>
      </c>
      <c r="P586" s="32" t="s">
        <v>90</v>
      </c>
      <c r="Q586" s="30" t="s">
        <v>85</v>
      </c>
      <c r="R586" s="30" t="s">
        <v>86</v>
      </c>
      <c r="S586" s="30" t="s">
        <v>87</v>
      </c>
      <c r="T586" s="30" t="s">
        <v>88</v>
      </c>
      <c r="U586" s="31" t="s">
        <v>89</v>
      </c>
      <c r="V586" s="32" t="s">
        <v>90</v>
      </c>
      <c r="W586" s="30" t="s">
        <v>85</v>
      </c>
      <c r="X586" s="30" t="s">
        <v>86</v>
      </c>
      <c r="Y586" s="30" t="s">
        <v>87</v>
      </c>
      <c r="Z586" s="30" t="s">
        <v>88</v>
      </c>
      <c r="AA586" s="31" t="s">
        <v>89</v>
      </c>
      <c r="AB586" s="32" t="s">
        <v>90</v>
      </c>
    </row>
    <row r="587" customFormat="false" ht="21" hidden="false" customHeight="true" outlineLevel="0" collapsed="false">
      <c r="A587" s="33" t="n">
        <v>1</v>
      </c>
      <c r="B587" s="34" t="str">
        <f aca="false">IFERROR(INDEX(Alunni!$C$1:$C$1000,MATCH($A587,Alunni!$A$1:$A$1000,0))&amp;"","")</f>
        <v>Rossi Mario (esempio)</v>
      </c>
      <c r="C587" s="15"/>
      <c r="D587" s="35"/>
      <c r="E587" s="36"/>
      <c r="F587" s="36"/>
      <c r="G587" s="36"/>
      <c r="H587" s="36"/>
      <c r="I587" s="39" t="str">
        <f aca="false">IF(COUNT(E587:H587)=0,"",ROUND(AVERAGE(E587:H587),0))</f>
        <v/>
      </c>
      <c r="J587" s="38" t="str">
        <f aca="false">IF(I587="","",LOOKUP(I587,Impostazioni!$E$4:$E$9,Impostazioni!$F$4:$F$9))</f>
        <v/>
      </c>
      <c r="K587" s="36"/>
      <c r="L587" s="36"/>
      <c r="M587" s="36"/>
      <c r="N587" s="36"/>
      <c r="O587" s="39" t="str">
        <f aca="false">IF(COUNT(K587:N587)=0,"",ROUND(AVERAGE(K587:N587),0))</f>
        <v/>
      </c>
      <c r="P587" s="38" t="str">
        <f aca="false">IF(O587="","",LOOKUP(O587,Impostazioni!$E$4:$E$9,Impostazioni!$F$4:$F$9))</f>
        <v/>
      </c>
      <c r="Q587" s="36"/>
      <c r="R587" s="36"/>
      <c r="S587" s="36"/>
      <c r="T587" s="36"/>
      <c r="U587" s="39" t="str">
        <f aca="false">IF(COUNT(Q587:T587)=0,"",ROUND(AVERAGE(Q587:T587),0))</f>
        <v/>
      </c>
      <c r="V587" s="38" t="str">
        <f aca="false">IF(U587="","",LOOKUP(U587,Impostazioni!$E$4:$E$9,Impostazioni!$F$4:$F$9))</f>
        <v/>
      </c>
      <c r="W587" s="36"/>
      <c r="X587" s="36"/>
      <c r="Y587" s="36"/>
      <c r="Z587" s="36"/>
      <c r="AA587" s="39" t="str">
        <f aca="false">IF(COUNT(W587:Z587)=0,"",ROUND(AVERAGE(W587:Z587),0))</f>
        <v/>
      </c>
      <c r="AB587" s="38" t="str">
        <f aca="false">IF(AA587="","",LOOKUP(AA587,Impostazioni!$E$4:$E$9,Impostazioni!$F$4:$F$9))</f>
        <v/>
      </c>
    </row>
    <row r="588" customFormat="false" ht="21" hidden="false" customHeight="true" outlineLevel="0" collapsed="false">
      <c r="A588" s="33" t="n">
        <v>2</v>
      </c>
      <c r="B588" s="34" t="str">
        <f aca="false">IFERROR(INDEX(Alunni!$C$1:$C$1000,MATCH($A588,Alunni!$A$1:$A$1000,0))&amp;"","")</f>
        <v>Bianchi Anna (esempio)</v>
      </c>
      <c r="C588" s="15"/>
      <c r="D588" s="35"/>
      <c r="E588" s="36"/>
      <c r="F588" s="36"/>
      <c r="G588" s="36"/>
      <c r="H588" s="36"/>
      <c r="I588" s="39" t="str">
        <f aca="false">IF(COUNT(E588:H588)=0,"",ROUND(AVERAGE(E588:H588),0))</f>
        <v/>
      </c>
      <c r="J588" s="38" t="str">
        <f aca="false">IF(I588="","",LOOKUP(I588,Impostazioni!$E$4:$E$9,Impostazioni!$F$4:$F$9))</f>
        <v/>
      </c>
      <c r="K588" s="36"/>
      <c r="L588" s="36"/>
      <c r="M588" s="36"/>
      <c r="N588" s="36"/>
      <c r="O588" s="39" t="str">
        <f aca="false">IF(COUNT(K588:N588)=0,"",ROUND(AVERAGE(K588:N588),0))</f>
        <v/>
      </c>
      <c r="P588" s="38" t="str">
        <f aca="false">IF(O588="","",LOOKUP(O588,Impostazioni!$E$4:$E$9,Impostazioni!$F$4:$F$9))</f>
        <v/>
      </c>
      <c r="Q588" s="36"/>
      <c r="R588" s="36"/>
      <c r="S588" s="36"/>
      <c r="T588" s="36"/>
      <c r="U588" s="39" t="str">
        <f aca="false">IF(COUNT(Q588:T588)=0,"",ROUND(AVERAGE(Q588:T588),0))</f>
        <v/>
      </c>
      <c r="V588" s="38" t="str">
        <f aca="false">IF(U588="","",LOOKUP(U588,Impostazioni!$E$4:$E$9,Impostazioni!$F$4:$F$9))</f>
        <v/>
      </c>
      <c r="W588" s="36"/>
      <c r="X588" s="36"/>
      <c r="Y588" s="36"/>
      <c r="Z588" s="36"/>
      <c r="AA588" s="39" t="str">
        <f aca="false">IF(COUNT(W588:Z588)=0,"",ROUND(AVERAGE(W588:Z588),0))</f>
        <v/>
      </c>
      <c r="AB588" s="38" t="str">
        <f aca="false">IF(AA588="","",LOOKUP(AA588,Impostazioni!$E$4:$E$9,Impostazioni!$F$4:$F$9))</f>
        <v/>
      </c>
    </row>
    <row r="589" customFormat="false" ht="21" hidden="false" customHeight="true" outlineLevel="0" collapsed="false">
      <c r="A589" s="33" t="n">
        <v>3</v>
      </c>
      <c r="B589" s="34" t="str">
        <f aca="false">IFERROR(INDEX(Alunni!$C$1:$C$1000,MATCH($A589,Alunni!$A$1:$A$1000,0))&amp;"","")</f>
        <v>Verdi Luca (esempio)</v>
      </c>
      <c r="C589" s="15"/>
      <c r="D589" s="35"/>
      <c r="E589" s="36"/>
      <c r="F589" s="36"/>
      <c r="G589" s="36"/>
      <c r="H589" s="36"/>
      <c r="I589" s="39" t="str">
        <f aca="false">IF(COUNT(E589:H589)=0,"",ROUND(AVERAGE(E589:H589),0))</f>
        <v/>
      </c>
      <c r="J589" s="38" t="str">
        <f aca="false">IF(I589="","",LOOKUP(I589,Impostazioni!$E$4:$E$9,Impostazioni!$F$4:$F$9))</f>
        <v/>
      </c>
      <c r="K589" s="36"/>
      <c r="L589" s="36"/>
      <c r="M589" s="36"/>
      <c r="N589" s="36"/>
      <c r="O589" s="39" t="str">
        <f aca="false">IF(COUNT(K589:N589)=0,"",ROUND(AVERAGE(K589:N589),0))</f>
        <v/>
      </c>
      <c r="P589" s="38" t="str">
        <f aca="false">IF(O589="","",LOOKUP(O589,Impostazioni!$E$4:$E$9,Impostazioni!$F$4:$F$9))</f>
        <v/>
      </c>
      <c r="Q589" s="36"/>
      <c r="R589" s="36"/>
      <c r="S589" s="36"/>
      <c r="T589" s="36"/>
      <c r="U589" s="39" t="str">
        <f aca="false">IF(COUNT(Q589:T589)=0,"",ROUND(AVERAGE(Q589:T589),0))</f>
        <v/>
      </c>
      <c r="V589" s="38" t="str">
        <f aca="false">IF(U589="","",LOOKUP(U589,Impostazioni!$E$4:$E$9,Impostazioni!$F$4:$F$9))</f>
        <v/>
      </c>
      <c r="W589" s="36"/>
      <c r="X589" s="36"/>
      <c r="Y589" s="36"/>
      <c r="Z589" s="36"/>
      <c r="AA589" s="39" t="str">
        <f aca="false">IF(COUNT(W589:Z589)=0,"",ROUND(AVERAGE(W589:Z589),0))</f>
        <v/>
      </c>
      <c r="AB589" s="38" t="str">
        <f aca="false">IF(AA589="","",LOOKUP(AA589,Impostazioni!$E$4:$E$9,Impostazioni!$F$4:$F$9))</f>
        <v/>
      </c>
    </row>
    <row r="590" customFormat="false" ht="21" hidden="false" customHeight="true" outlineLevel="0" collapsed="false">
      <c r="A590" s="33" t="n">
        <v>4</v>
      </c>
      <c r="B590" s="34" t="str">
        <f aca="false">IFERROR(INDEX(Alunni!$C$1:$C$1000,MATCH($A590,Alunni!$A$1:$A$1000,0))&amp;"","")</f>
        <v/>
      </c>
      <c r="C590" s="15"/>
      <c r="D590" s="35"/>
      <c r="E590" s="36"/>
      <c r="F590" s="36"/>
      <c r="G590" s="36"/>
      <c r="H590" s="36"/>
      <c r="I590" s="39" t="str">
        <f aca="false">IF(COUNT(E590:H590)=0,"",ROUND(AVERAGE(E590:H590),0))</f>
        <v/>
      </c>
      <c r="J590" s="38" t="str">
        <f aca="false">IF(I590="","",LOOKUP(I590,Impostazioni!$E$4:$E$9,Impostazioni!$F$4:$F$9))</f>
        <v/>
      </c>
      <c r="K590" s="36"/>
      <c r="L590" s="36"/>
      <c r="M590" s="36"/>
      <c r="N590" s="36"/>
      <c r="O590" s="39" t="str">
        <f aca="false">IF(COUNT(K590:N590)=0,"",ROUND(AVERAGE(K590:N590),0))</f>
        <v/>
      </c>
      <c r="P590" s="38" t="str">
        <f aca="false">IF(O590="","",LOOKUP(O590,Impostazioni!$E$4:$E$9,Impostazioni!$F$4:$F$9))</f>
        <v/>
      </c>
      <c r="Q590" s="36"/>
      <c r="R590" s="36"/>
      <c r="S590" s="36"/>
      <c r="T590" s="36"/>
      <c r="U590" s="39" t="str">
        <f aca="false">IF(COUNT(Q590:T590)=0,"",ROUND(AVERAGE(Q590:T590),0))</f>
        <v/>
      </c>
      <c r="V590" s="38" t="str">
        <f aca="false">IF(U590="","",LOOKUP(U590,Impostazioni!$E$4:$E$9,Impostazioni!$F$4:$F$9))</f>
        <v/>
      </c>
      <c r="W590" s="36"/>
      <c r="X590" s="36"/>
      <c r="Y590" s="36"/>
      <c r="Z590" s="36"/>
      <c r="AA590" s="39" t="str">
        <f aca="false">IF(COUNT(W590:Z590)=0,"",ROUND(AVERAGE(W590:Z590),0))</f>
        <v/>
      </c>
      <c r="AB590" s="38" t="str">
        <f aca="false">IF(AA590="","",LOOKUP(AA590,Impostazioni!$E$4:$E$9,Impostazioni!$F$4:$F$9))</f>
        <v/>
      </c>
    </row>
    <row r="591" customFormat="false" ht="21" hidden="false" customHeight="true" outlineLevel="0" collapsed="false">
      <c r="A591" s="33" t="n">
        <v>5</v>
      </c>
      <c r="B591" s="34" t="str">
        <f aca="false">IFERROR(INDEX(Alunni!$C$1:$C$1000,MATCH($A591,Alunni!$A$1:$A$1000,0))&amp;"","")</f>
        <v/>
      </c>
      <c r="C591" s="15"/>
      <c r="D591" s="35"/>
      <c r="E591" s="36"/>
      <c r="F591" s="36"/>
      <c r="G591" s="36"/>
      <c r="H591" s="36"/>
      <c r="I591" s="39" t="str">
        <f aca="false">IF(COUNT(E591:H591)=0,"",ROUND(AVERAGE(E591:H591),0))</f>
        <v/>
      </c>
      <c r="J591" s="38" t="str">
        <f aca="false">IF(I591="","",LOOKUP(I591,Impostazioni!$E$4:$E$9,Impostazioni!$F$4:$F$9))</f>
        <v/>
      </c>
      <c r="K591" s="36"/>
      <c r="L591" s="36"/>
      <c r="M591" s="36"/>
      <c r="N591" s="36"/>
      <c r="O591" s="39" t="str">
        <f aca="false">IF(COUNT(K591:N591)=0,"",ROUND(AVERAGE(K591:N591),0))</f>
        <v/>
      </c>
      <c r="P591" s="38" t="str">
        <f aca="false">IF(O591="","",LOOKUP(O591,Impostazioni!$E$4:$E$9,Impostazioni!$F$4:$F$9))</f>
        <v/>
      </c>
      <c r="Q591" s="36"/>
      <c r="R591" s="36"/>
      <c r="S591" s="36"/>
      <c r="T591" s="36"/>
      <c r="U591" s="39" t="str">
        <f aca="false">IF(COUNT(Q591:T591)=0,"",ROUND(AVERAGE(Q591:T591),0))</f>
        <v/>
      </c>
      <c r="V591" s="38" t="str">
        <f aca="false">IF(U591="","",LOOKUP(U591,Impostazioni!$E$4:$E$9,Impostazioni!$F$4:$F$9))</f>
        <v/>
      </c>
      <c r="W591" s="36"/>
      <c r="X591" s="36"/>
      <c r="Y591" s="36"/>
      <c r="Z591" s="36"/>
      <c r="AA591" s="39" t="str">
        <f aca="false">IF(COUNT(W591:Z591)=0,"",ROUND(AVERAGE(W591:Z591),0))</f>
        <v/>
      </c>
      <c r="AB591" s="38" t="str">
        <f aca="false">IF(AA591="","",LOOKUP(AA591,Impostazioni!$E$4:$E$9,Impostazioni!$F$4:$F$9))</f>
        <v/>
      </c>
    </row>
    <row r="592" customFormat="false" ht="21" hidden="false" customHeight="true" outlineLevel="0" collapsed="false">
      <c r="A592" s="33" t="n">
        <v>6</v>
      </c>
      <c r="B592" s="34" t="str">
        <f aca="false">IFERROR(INDEX(Alunni!$C$1:$C$1000,MATCH($A592,Alunni!$A$1:$A$1000,0))&amp;"","")</f>
        <v/>
      </c>
      <c r="C592" s="15"/>
      <c r="D592" s="35"/>
      <c r="E592" s="36"/>
      <c r="F592" s="36"/>
      <c r="G592" s="36"/>
      <c r="H592" s="36"/>
      <c r="I592" s="39" t="str">
        <f aca="false">IF(COUNT(E592:H592)=0,"",ROUND(AVERAGE(E592:H592),0))</f>
        <v/>
      </c>
      <c r="J592" s="38" t="str">
        <f aca="false">IF(I592="","",LOOKUP(I592,Impostazioni!$E$4:$E$9,Impostazioni!$F$4:$F$9))</f>
        <v/>
      </c>
      <c r="K592" s="36"/>
      <c r="L592" s="36"/>
      <c r="M592" s="36"/>
      <c r="N592" s="36"/>
      <c r="O592" s="39" t="str">
        <f aca="false">IF(COUNT(K592:N592)=0,"",ROUND(AVERAGE(K592:N592),0))</f>
        <v/>
      </c>
      <c r="P592" s="38" t="str">
        <f aca="false">IF(O592="","",LOOKUP(O592,Impostazioni!$E$4:$E$9,Impostazioni!$F$4:$F$9))</f>
        <v/>
      </c>
      <c r="Q592" s="36"/>
      <c r="R592" s="36"/>
      <c r="S592" s="36"/>
      <c r="T592" s="36"/>
      <c r="U592" s="39" t="str">
        <f aca="false">IF(COUNT(Q592:T592)=0,"",ROUND(AVERAGE(Q592:T592),0))</f>
        <v/>
      </c>
      <c r="V592" s="38" t="str">
        <f aca="false">IF(U592="","",LOOKUP(U592,Impostazioni!$E$4:$E$9,Impostazioni!$F$4:$F$9))</f>
        <v/>
      </c>
      <c r="W592" s="36"/>
      <c r="X592" s="36"/>
      <c r="Y592" s="36"/>
      <c r="Z592" s="36"/>
      <c r="AA592" s="39" t="str">
        <f aca="false">IF(COUNT(W592:Z592)=0,"",ROUND(AVERAGE(W592:Z592),0))</f>
        <v/>
      </c>
      <c r="AB592" s="38" t="str">
        <f aca="false">IF(AA592="","",LOOKUP(AA592,Impostazioni!$E$4:$E$9,Impostazioni!$F$4:$F$9))</f>
        <v/>
      </c>
    </row>
    <row r="593" customFormat="false" ht="21" hidden="false" customHeight="true" outlineLevel="0" collapsed="false">
      <c r="A593" s="33" t="n">
        <v>7</v>
      </c>
      <c r="B593" s="34" t="str">
        <f aca="false">IFERROR(INDEX(Alunni!$C$1:$C$1000,MATCH($A593,Alunni!$A$1:$A$1000,0))&amp;"","")</f>
        <v/>
      </c>
      <c r="C593" s="15"/>
      <c r="D593" s="35"/>
      <c r="E593" s="36"/>
      <c r="F593" s="36"/>
      <c r="G593" s="36"/>
      <c r="H593" s="36"/>
      <c r="I593" s="39" t="str">
        <f aca="false">IF(COUNT(E593:H593)=0,"",ROUND(AVERAGE(E593:H593),0))</f>
        <v/>
      </c>
      <c r="J593" s="38" t="str">
        <f aca="false">IF(I593="","",LOOKUP(I593,Impostazioni!$E$4:$E$9,Impostazioni!$F$4:$F$9))</f>
        <v/>
      </c>
      <c r="K593" s="36"/>
      <c r="L593" s="36"/>
      <c r="M593" s="36"/>
      <c r="N593" s="36"/>
      <c r="O593" s="39" t="str">
        <f aca="false">IF(COUNT(K593:N593)=0,"",ROUND(AVERAGE(K593:N593),0))</f>
        <v/>
      </c>
      <c r="P593" s="38" t="str">
        <f aca="false">IF(O593="","",LOOKUP(O593,Impostazioni!$E$4:$E$9,Impostazioni!$F$4:$F$9))</f>
        <v/>
      </c>
      <c r="Q593" s="36"/>
      <c r="R593" s="36"/>
      <c r="S593" s="36"/>
      <c r="T593" s="36"/>
      <c r="U593" s="39" t="str">
        <f aca="false">IF(COUNT(Q593:T593)=0,"",ROUND(AVERAGE(Q593:T593),0))</f>
        <v/>
      </c>
      <c r="V593" s="38" t="str">
        <f aca="false">IF(U593="","",LOOKUP(U593,Impostazioni!$E$4:$E$9,Impostazioni!$F$4:$F$9))</f>
        <v/>
      </c>
      <c r="W593" s="36"/>
      <c r="X593" s="36"/>
      <c r="Y593" s="36"/>
      <c r="Z593" s="36"/>
      <c r="AA593" s="39" t="str">
        <f aca="false">IF(COUNT(W593:Z593)=0,"",ROUND(AVERAGE(W593:Z593),0))</f>
        <v/>
      </c>
      <c r="AB593" s="38" t="str">
        <f aca="false">IF(AA593="","",LOOKUP(AA593,Impostazioni!$E$4:$E$9,Impostazioni!$F$4:$F$9))</f>
        <v/>
      </c>
    </row>
    <row r="594" customFormat="false" ht="21" hidden="false" customHeight="true" outlineLevel="0" collapsed="false">
      <c r="A594" s="33" t="n">
        <v>8</v>
      </c>
      <c r="B594" s="34" t="str">
        <f aca="false">IFERROR(INDEX(Alunni!$C$1:$C$1000,MATCH($A594,Alunni!$A$1:$A$1000,0))&amp;"","")</f>
        <v/>
      </c>
      <c r="C594" s="15"/>
      <c r="D594" s="35"/>
      <c r="E594" s="36"/>
      <c r="F594" s="36"/>
      <c r="G594" s="36"/>
      <c r="H594" s="36"/>
      <c r="I594" s="39" t="str">
        <f aca="false">IF(COUNT(E594:H594)=0,"",ROUND(AVERAGE(E594:H594),0))</f>
        <v/>
      </c>
      <c r="J594" s="38" t="str">
        <f aca="false">IF(I594="","",LOOKUP(I594,Impostazioni!$E$4:$E$9,Impostazioni!$F$4:$F$9))</f>
        <v/>
      </c>
      <c r="K594" s="36"/>
      <c r="L594" s="36"/>
      <c r="M594" s="36"/>
      <c r="N594" s="36"/>
      <c r="O594" s="39" t="str">
        <f aca="false">IF(COUNT(K594:N594)=0,"",ROUND(AVERAGE(K594:N594),0))</f>
        <v/>
      </c>
      <c r="P594" s="38" t="str">
        <f aca="false">IF(O594="","",LOOKUP(O594,Impostazioni!$E$4:$E$9,Impostazioni!$F$4:$F$9))</f>
        <v/>
      </c>
      <c r="Q594" s="36"/>
      <c r="R594" s="36"/>
      <c r="S594" s="36"/>
      <c r="T594" s="36"/>
      <c r="U594" s="39" t="str">
        <f aca="false">IF(COUNT(Q594:T594)=0,"",ROUND(AVERAGE(Q594:T594),0))</f>
        <v/>
      </c>
      <c r="V594" s="38" t="str">
        <f aca="false">IF(U594="","",LOOKUP(U594,Impostazioni!$E$4:$E$9,Impostazioni!$F$4:$F$9))</f>
        <v/>
      </c>
      <c r="W594" s="36"/>
      <c r="X594" s="36"/>
      <c r="Y594" s="36"/>
      <c r="Z594" s="36"/>
      <c r="AA594" s="39" t="str">
        <f aca="false">IF(COUNT(W594:Z594)=0,"",ROUND(AVERAGE(W594:Z594),0))</f>
        <v/>
      </c>
      <c r="AB594" s="38" t="str">
        <f aca="false">IF(AA594="","",LOOKUP(AA594,Impostazioni!$E$4:$E$9,Impostazioni!$F$4:$F$9))</f>
        <v/>
      </c>
    </row>
    <row r="595" customFormat="false" ht="21" hidden="false" customHeight="true" outlineLevel="0" collapsed="false">
      <c r="A595" s="33" t="n">
        <v>9</v>
      </c>
      <c r="B595" s="34" t="str">
        <f aca="false">IFERROR(INDEX(Alunni!$C$1:$C$1000,MATCH($A595,Alunni!$A$1:$A$1000,0))&amp;"","")</f>
        <v/>
      </c>
      <c r="C595" s="15"/>
      <c r="D595" s="35"/>
      <c r="E595" s="36"/>
      <c r="F595" s="36"/>
      <c r="G595" s="36"/>
      <c r="H595" s="36"/>
      <c r="I595" s="39" t="str">
        <f aca="false">IF(COUNT(E595:H595)=0,"",ROUND(AVERAGE(E595:H595),0))</f>
        <v/>
      </c>
      <c r="J595" s="38" t="str">
        <f aca="false">IF(I595="","",LOOKUP(I595,Impostazioni!$E$4:$E$9,Impostazioni!$F$4:$F$9))</f>
        <v/>
      </c>
      <c r="K595" s="36"/>
      <c r="L595" s="36"/>
      <c r="M595" s="36"/>
      <c r="N595" s="36"/>
      <c r="O595" s="39" t="str">
        <f aca="false">IF(COUNT(K595:N595)=0,"",ROUND(AVERAGE(K595:N595),0))</f>
        <v/>
      </c>
      <c r="P595" s="38" t="str">
        <f aca="false">IF(O595="","",LOOKUP(O595,Impostazioni!$E$4:$E$9,Impostazioni!$F$4:$F$9))</f>
        <v/>
      </c>
      <c r="Q595" s="36"/>
      <c r="R595" s="36"/>
      <c r="S595" s="36"/>
      <c r="T595" s="36"/>
      <c r="U595" s="39" t="str">
        <f aca="false">IF(COUNT(Q595:T595)=0,"",ROUND(AVERAGE(Q595:T595),0))</f>
        <v/>
      </c>
      <c r="V595" s="38" t="str">
        <f aca="false">IF(U595="","",LOOKUP(U595,Impostazioni!$E$4:$E$9,Impostazioni!$F$4:$F$9))</f>
        <v/>
      </c>
      <c r="W595" s="36"/>
      <c r="X595" s="36"/>
      <c r="Y595" s="36"/>
      <c r="Z595" s="36"/>
      <c r="AA595" s="39" t="str">
        <f aca="false">IF(COUNT(W595:Z595)=0,"",ROUND(AVERAGE(W595:Z595),0))</f>
        <v/>
      </c>
      <c r="AB595" s="38" t="str">
        <f aca="false">IF(AA595="","",LOOKUP(AA595,Impostazioni!$E$4:$E$9,Impostazioni!$F$4:$F$9))</f>
        <v/>
      </c>
    </row>
    <row r="596" customFormat="false" ht="21" hidden="false" customHeight="true" outlineLevel="0" collapsed="false">
      <c r="A596" s="33" t="n">
        <v>10</v>
      </c>
      <c r="B596" s="34" t="str">
        <f aca="false">IFERROR(INDEX(Alunni!$C$1:$C$1000,MATCH($A596,Alunni!$A$1:$A$1000,0))&amp;"","")</f>
        <v/>
      </c>
      <c r="C596" s="15"/>
      <c r="D596" s="35"/>
      <c r="E596" s="36"/>
      <c r="F596" s="36"/>
      <c r="G596" s="36"/>
      <c r="H596" s="36"/>
      <c r="I596" s="39" t="str">
        <f aca="false">IF(COUNT(E596:H596)=0,"",ROUND(AVERAGE(E596:H596),0))</f>
        <v/>
      </c>
      <c r="J596" s="38" t="str">
        <f aca="false">IF(I596="","",LOOKUP(I596,Impostazioni!$E$4:$E$9,Impostazioni!$F$4:$F$9))</f>
        <v/>
      </c>
      <c r="K596" s="36"/>
      <c r="L596" s="36"/>
      <c r="M596" s="36"/>
      <c r="N596" s="36"/>
      <c r="O596" s="39" t="str">
        <f aca="false">IF(COUNT(K596:N596)=0,"",ROUND(AVERAGE(K596:N596),0))</f>
        <v/>
      </c>
      <c r="P596" s="38" t="str">
        <f aca="false">IF(O596="","",LOOKUP(O596,Impostazioni!$E$4:$E$9,Impostazioni!$F$4:$F$9))</f>
        <v/>
      </c>
      <c r="Q596" s="36"/>
      <c r="R596" s="36"/>
      <c r="S596" s="36"/>
      <c r="T596" s="36"/>
      <c r="U596" s="39" t="str">
        <f aca="false">IF(COUNT(Q596:T596)=0,"",ROUND(AVERAGE(Q596:T596),0))</f>
        <v/>
      </c>
      <c r="V596" s="38" t="str">
        <f aca="false">IF(U596="","",LOOKUP(U596,Impostazioni!$E$4:$E$9,Impostazioni!$F$4:$F$9))</f>
        <v/>
      </c>
      <c r="W596" s="36"/>
      <c r="X596" s="36"/>
      <c r="Y596" s="36"/>
      <c r="Z596" s="36"/>
      <c r="AA596" s="39" t="str">
        <f aca="false">IF(COUNT(W596:Z596)=0,"",ROUND(AVERAGE(W596:Z596),0))</f>
        <v/>
      </c>
      <c r="AB596" s="38" t="str">
        <f aca="false">IF(AA596="","",LOOKUP(AA596,Impostazioni!$E$4:$E$9,Impostazioni!$F$4:$F$9))</f>
        <v/>
      </c>
    </row>
    <row r="597" customFormat="false" ht="21" hidden="false" customHeight="true" outlineLevel="0" collapsed="false">
      <c r="A597" s="33" t="n">
        <v>11</v>
      </c>
      <c r="B597" s="34" t="str">
        <f aca="false">IFERROR(INDEX(Alunni!$C$1:$C$1000,MATCH($A597,Alunni!$A$1:$A$1000,0))&amp;"","")</f>
        <v/>
      </c>
      <c r="C597" s="15"/>
      <c r="D597" s="35"/>
      <c r="E597" s="36"/>
      <c r="F597" s="36"/>
      <c r="G597" s="36"/>
      <c r="H597" s="36"/>
      <c r="I597" s="39" t="str">
        <f aca="false">IF(COUNT(E597:H597)=0,"",ROUND(AVERAGE(E597:H597),0))</f>
        <v/>
      </c>
      <c r="J597" s="38" t="str">
        <f aca="false">IF(I597="","",LOOKUP(I597,Impostazioni!$E$4:$E$9,Impostazioni!$F$4:$F$9))</f>
        <v/>
      </c>
      <c r="K597" s="36"/>
      <c r="L597" s="36"/>
      <c r="M597" s="36"/>
      <c r="N597" s="36"/>
      <c r="O597" s="39" t="str">
        <f aca="false">IF(COUNT(K597:N597)=0,"",ROUND(AVERAGE(K597:N597),0))</f>
        <v/>
      </c>
      <c r="P597" s="38" t="str">
        <f aca="false">IF(O597="","",LOOKUP(O597,Impostazioni!$E$4:$E$9,Impostazioni!$F$4:$F$9))</f>
        <v/>
      </c>
      <c r="Q597" s="36"/>
      <c r="R597" s="36"/>
      <c r="S597" s="36"/>
      <c r="T597" s="36"/>
      <c r="U597" s="39" t="str">
        <f aca="false">IF(COUNT(Q597:T597)=0,"",ROUND(AVERAGE(Q597:T597),0))</f>
        <v/>
      </c>
      <c r="V597" s="38" t="str">
        <f aca="false">IF(U597="","",LOOKUP(U597,Impostazioni!$E$4:$E$9,Impostazioni!$F$4:$F$9))</f>
        <v/>
      </c>
      <c r="W597" s="36"/>
      <c r="X597" s="36"/>
      <c r="Y597" s="36"/>
      <c r="Z597" s="36"/>
      <c r="AA597" s="39" t="str">
        <f aca="false">IF(COUNT(W597:Z597)=0,"",ROUND(AVERAGE(W597:Z597),0))</f>
        <v/>
      </c>
      <c r="AB597" s="38" t="str">
        <f aca="false">IF(AA597="","",LOOKUP(AA597,Impostazioni!$E$4:$E$9,Impostazioni!$F$4:$F$9))</f>
        <v/>
      </c>
    </row>
    <row r="598" customFormat="false" ht="21" hidden="false" customHeight="true" outlineLevel="0" collapsed="false">
      <c r="A598" s="33" t="n">
        <v>12</v>
      </c>
      <c r="B598" s="34" t="str">
        <f aca="false">IFERROR(INDEX(Alunni!$C$1:$C$1000,MATCH($A598,Alunni!$A$1:$A$1000,0))&amp;"","")</f>
        <v/>
      </c>
      <c r="C598" s="15"/>
      <c r="D598" s="35"/>
      <c r="E598" s="36"/>
      <c r="F598" s="36"/>
      <c r="G598" s="36"/>
      <c r="H598" s="36"/>
      <c r="I598" s="39" t="str">
        <f aca="false">IF(COUNT(E598:H598)=0,"",ROUND(AVERAGE(E598:H598),0))</f>
        <v/>
      </c>
      <c r="J598" s="38" t="str">
        <f aca="false">IF(I598="","",LOOKUP(I598,Impostazioni!$E$4:$E$9,Impostazioni!$F$4:$F$9))</f>
        <v/>
      </c>
      <c r="K598" s="36"/>
      <c r="L598" s="36"/>
      <c r="M598" s="36"/>
      <c r="N598" s="36"/>
      <c r="O598" s="39" t="str">
        <f aca="false">IF(COUNT(K598:N598)=0,"",ROUND(AVERAGE(K598:N598),0))</f>
        <v/>
      </c>
      <c r="P598" s="38" t="str">
        <f aca="false">IF(O598="","",LOOKUP(O598,Impostazioni!$E$4:$E$9,Impostazioni!$F$4:$F$9))</f>
        <v/>
      </c>
      <c r="Q598" s="36"/>
      <c r="R598" s="36"/>
      <c r="S598" s="36"/>
      <c r="T598" s="36"/>
      <c r="U598" s="39" t="str">
        <f aca="false">IF(COUNT(Q598:T598)=0,"",ROUND(AVERAGE(Q598:T598),0))</f>
        <v/>
      </c>
      <c r="V598" s="38" t="str">
        <f aca="false">IF(U598="","",LOOKUP(U598,Impostazioni!$E$4:$E$9,Impostazioni!$F$4:$F$9))</f>
        <v/>
      </c>
      <c r="W598" s="36"/>
      <c r="X598" s="36"/>
      <c r="Y598" s="36"/>
      <c r="Z598" s="36"/>
      <c r="AA598" s="39" t="str">
        <f aca="false">IF(COUNT(W598:Z598)=0,"",ROUND(AVERAGE(W598:Z598),0))</f>
        <v/>
      </c>
      <c r="AB598" s="38" t="str">
        <f aca="false">IF(AA598="","",LOOKUP(AA598,Impostazioni!$E$4:$E$9,Impostazioni!$F$4:$F$9))</f>
        <v/>
      </c>
    </row>
    <row r="599" customFormat="false" ht="21" hidden="false" customHeight="true" outlineLevel="0" collapsed="false">
      <c r="A599" s="33" t="n">
        <v>13</v>
      </c>
      <c r="B599" s="34" t="str">
        <f aca="false">IFERROR(INDEX(Alunni!$C$1:$C$1000,MATCH($A599,Alunni!$A$1:$A$1000,0))&amp;"","")</f>
        <v/>
      </c>
      <c r="C599" s="15"/>
      <c r="D599" s="35"/>
      <c r="E599" s="36"/>
      <c r="F599" s="36"/>
      <c r="G599" s="36"/>
      <c r="H599" s="36"/>
      <c r="I599" s="39" t="str">
        <f aca="false">IF(COUNT(E599:H599)=0,"",ROUND(AVERAGE(E599:H599),0))</f>
        <v/>
      </c>
      <c r="J599" s="38" t="str">
        <f aca="false">IF(I599="","",LOOKUP(I599,Impostazioni!$E$4:$E$9,Impostazioni!$F$4:$F$9))</f>
        <v/>
      </c>
      <c r="K599" s="36"/>
      <c r="L599" s="36"/>
      <c r="M599" s="36"/>
      <c r="N599" s="36"/>
      <c r="O599" s="39" t="str">
        <f aca="false">IF(COUNT(K599:N599)=0,"",ROUND(AVERAGE(K599:N599),0))</f>
        <v/>
      </c>
      <c r="P599" s="38" t="str">
        <f aca="false">IF(O599="","",LOOKUP(O599,Impostazioni!$E$4:$E$9,Impostazioni!$F$4:$F$9))</f>
        <v/>
      </c>
      <c r="Q599" s="36"/>
      <c r="R599" s="36"/>
      <c r="S599" s="36"/>
      <c r="T599" s="36"/>
      <c r="U599" s="39" t="str">
        <f aca="false">IF(COUNT(Q599:T599)=0,"",ROUND(AVERAGE(Q599:T599),0))</f>
        <v/>
      </c>
      <c r="V599" s="38" t="str">
        <f aca="false">IF(U599="","",LOOKUP(U599,Impostazioni!$E$4:$E$9,Impostazioni!$F$4:$F$9))</f>
        <v/>
      </c>
      <c r="W599" s="36"/>
      <c r="X599" s="36"/>
      <c r="Y599" s="36"/>
      <c r="Z599" s="36"/>
      <c r="AA599" s="39" t="str">
        <f aca="false">IF(COUNT(W599:Z599)=0,"",ROUND(AVERAGE(W599:Z599),0))</f>
        <v/>
      </c>
      <c r="AB599" s="38" t="str">
        <f aca="false">IF(AA599="","",LOOKUP(AA599,Impostazioni!$E$4:$E$9,Impostazioni!$F$4:$F$9))</f>
        <v/>
      </c>
    </row>
    <row r="600" customFormat="false" ht="21" hidden="false" customHeight="true" outlineLevel="0" collapsed="false">
      <c r="A600" s="33" t="n">
        <v>14</v>
      </c>
      <c r="B600" s="34" t="str">
        <f aca="false">IFERROR(INDEX(Alunni!$C$1:$C$1000,MATCH($A600,Alunni!$A$1:$A$1000,0))&amp;"","")</f>
        <v/>
      </c>
      <c r="C600" s="15"/>
      <c r="D600" s="35"/>
      <c r="E600" s="36"/>
      <c r="F600" s="36"/>
      <c r="G600" s="36"/>
      <c r="H600" s="36"/>
      <c r="I600" s="39" t="str">
        <f aca="false">IF(COUNT(E600:H600)=0,"",ROUND(AVERAGE(E600:H600),0))</f>
        <v/>
      </c>
      <c r="J600" s="38" t="str">
        <f aca="false">IF(I600="","",LOOKUP(I600,Impostazioni!$E$4:$E$9,Impostazioni!$F$4:$F$9))</f>
        <v/>
      </c>
      <c r="K600" s="36"/>
      <c r="L600" s="36"/>
      <c r="M600" s="36"/>
      <c r="N600" s="36"/>
      <c r="O600" s="39" t="str">
        <f aca="false">IF(COUNT(K600:N600)=0,"",ROUND(AVERAGE(K600:N600),0))</f>
        <v/>
      </c>
      <c r="P600" s="38" t="str">
        <f aca="false">IF(O600="","",LOOKUP(O600,Impostazioni!$E$4:$E$9,Impostazioni!$F$4:$F$9))</f>
        <v/>
      </c>
      <c r="Q600" s="36"/>
      <c r="R600" s="36"/>
      <c r="S600" s="36"/>
      <c r="T600" s="36"/>
      <c r="U600" s="39" t="str">
        <f aca="false">IF(COUNT(Q600:T600)=0,"",ROUND(AVERAGE(Q600:T600),0))</f>
        <v/>
      </c>
      <c r="V600" s="38" t="str">
        <f aca="false">IF(U600="","",LOOKUP(U600,Impostazioni!$E$4:$E$9,Impostazioni!$F$4:$F$9))</f>
        <v/>
      </c>
      <c r="W600" s="36"/>
      <c r="X600" s="36"/>
      <c r="Y600" s="36"/>
      <c r="Z600" s="36"/>
      <c r="AA600" s="39" t="str">
        <f aca="false">IF(COUNT(W600:Z600)=0,"",ROUND(AVERAGE(W600:Z600),0))</f>
        <v/>
      </c>
      <c r="AB600" s="38" t="str">
        <f aca="false">IF(AA600="","",LOOKUP(AA600,Impostazioni!$E$4:$E$9,Impostazioni!$F$4:$F$9))</f>
        <v/>
      </c>
    </row>
    <row r="601" customFormat="false" ht="21" hidden="false" customHeight="true" outlineLevel="0" collapsed="false">
      <c r="A601" s="33" t="n">
        <v>15</v>
      </c>
      <c r="B601" s="34" t="str">
        <f aca="false">IFERROR(INDEX(Alunni!$C$1:$C$1000,MATCH($A601,Alunni!$A$1:$A$1000,0))&amp;"","")</f>
        <v/>
      </c>
      <c r="C601" s="15"/>
      <c r="D601" s="35"/>
      <c r="E601" s="36"/>
      <c r="F601" s="36"/>
      <c r="G601" s="36"/>
      <c r="H601" s="36"/>
      <c r="I601" s="39" t="str">
        <f aca="false">IF(COUNT(E601:H601)=0,"",ROUND(AVERAGE(E601:H601),0))</f>
        <v/>
      </c>
      <c r="J601" s="38" t="str">
        <f aca="false">IF(I601="","",LOOKUP(I601,Impostazioni!$E$4:$E$9,Impostazioni!$F$4:$F$9))</f>
        <v/>
      </c>
      <c r="K601" s="36"/>
      <c r="L601" s="36"/>
      <c r="M601" s="36"/>
      <c r="N601" s="36"/>
      <c r="O601" s="39" t="str">
        <f aca="false">IF(COUNT(K601:N601)=0,"",ROUND(AVERAGE(K601:N601),0))</f>
        <v/>
      </c>
      <c r="P601" s="38" t="str">
        <f aca="false">IF(O601="","",LOOKUP(O601,Impostazioni!$E$4:$E$9,Impostazioni!$F$4:$F$9))</f>
        <v/>
      </c>
      <c r="Q601" s="36"/>
      <c r="R601" s="36"/>
      <c r="S601" s="36"/>
      <c r="T601" s="36"/>
      <c r="U601" s="39" t="str">
        <f aca="false">IF(COUNT(Q601:T601)=0,"",ROUND(AVERAGE(Q601:T601),0))</f>
        <v/>
      </c>
      <c r="V601" s="38" t="str">
        <f aca="false">IF(U601="","",LOOKUP(U601,Impostazioni!$E$4:$E$9,Impostazioni!$F$4:$F$9))</f>
        <v/>
      </c>
      <c r="W601" s="36"/>
      <c r="X601" s="36"/>
      <c r="Y601" s="36"/>
      <c r="Z601" s="36"/>
      <c r="AA601" s="39" t="str">
        <f aca="false">IF(COUNT(W601:Z601)=0,"",ROUND(AVERAGE(W601:Z601),0))</f>
        <v/>
      </c>
      <c r="AB601" s="38" t="str">
        <f aca="false">IF(AA601="","",LOOKUP(AA601,Impostazioni!$E$4:$E$9,Impostazioni!$F$4:$F$9))</f>
        <v/>
      </c>
    </row>
    <row r="602" customFormat="false" ht="21" hidden="false" customHeight="true" outlineLevel="0" collapsed="false">
      <c r="A602" s="33" t="n">
        <v>16</v>
      </c>
      <c r="B602" s="34" t="str">
        <f aca="false">IFERROR(INDEX(Alunni!$C$1:$C$1000,MATCH($A602,Alunni!$A$1:$A$1000,0))&amp;"","")</f>
        <v/>
      </c>
      <c r="C602" s="15"/>
      <c r="D602" s="35"/>
      <c r="E602" s="36"/>
      <c r="F602" s="36"/>
      <c r="G602" s="36"/>
      <c r="H602" s="36"/>
      <c r="I602" s="39" t="str">
        <f aca="false">IF(COUNT(E602:H602)=0,"",ROUND(AVERAGE(E602:H602),0))</f>
        <v/>
      </c>
      <c r="J602" s="38" t="str">
        <f aca="false">IF(I602="","",LOOKUP(I602,Impostazioni!$E$4:$E$9,Impostazioni!$F$4:$F$9))</f>
        <v/>
      </c>
      <c r="K602" s="36"/>
      <c r="L602" s="36"/>
      <c r="M602" s="36"/>
      <c r="N602" s="36"/>
      <c r="O602" s="39" t="str">
        <f aca="false">IF(COUNT(K602:N602)=0,"",ROUND(AVERAGE(K602:N602),0))</f>
        <v/>
      </c>
      <c r="P602" s="38" t="str">
        <f aca="false">IF(O602="","",LOOKUP(O602,Impostazioni!$E$4:$E$9,Impostazioni!$F$4:$F$9))</f>
        <v/>
      </c>
      <c r="Q602" s="36"/>
      <c r="R602" s="36"/>
      <c r="S602" s="36"/>
      <c r="T602" s="36"/>
      <c r="U602" s="39" t="str">
        <f aca="false">IF(COUNT(Q602:T602)=0,"",ROUND(AVERAGE(Q602:T602),0))</f>
        <v/>
      </c>
      <c r="V602" s="38" t="str">
        <f aca="false">IF(U602="","",LOOKUP(U602,Impostazioni!$E$4:$E$9,Impostazioni!$F$4:$F$9))</f>
        <v/>
      </c>
      <c r="W602" s="36"/>
      <c r="X602" s="36"/>
      <c r="Y602" s="36"/>
      <c r="Z602" s="36"/>
      <c r="AA602" s="39" t="str">
        <f aca="false">IF(COUNT(W602:Z602)=0,"",ROUND(AVERAGE(W602:Z602),0))</f>
        <v/>
      </c>
      <c r="AB602" s="38" t="str">
        <f aca="false">IF(AA602="","",LOOKUP(AA602,Impostazioni!$E$4:$E$9,Impostazioni!$F$4:$F$9))</f>
        <v/>
      </c>
    </row>
    <row r="603" customFormat="false" ht="21" hidden="false" customHeight="true" outlineLevel="0" collapsed="false">
      <c r="A603" s="33" t="n">
        <v>17</v>
      </c>
      <c r="B603" s="34" t="str">
        <f aca="false">IFERROR(INDEX(Alunni!$C$1:$C$1000,MATCH($A603,Alunni!$A$1:$A$1000,0))&amp;"","")</f>
        <v/>
      </c>
      <c r="C603" s="15"/>
      <c r="D603" s="35"/>
      <c r="E603" s="36"/>
      <c r="F603" s="36"/>
      <c r="G603" s="36"/>
      <c r="H603" s="36"/>
      <c r="I603" s="39" t="str">
        <f aca="false">IF(COUNT(E603:H603)=0,"",ROUND(AVERAGE(E603:H603),0))</f>
        <v/>
      </c>
      <c r="J603" s="38" t="str">
        <f aca="false">IF(I603="","",LOOKUP(I603,Impostazioni!$E$4:$E$9,Impostazioni!$F$4:$F$9))</f>
        <v/>
      </c>
      <c r="K603" s="36"/>
      <c r="L603" s="36"/>
      <c r="M603" s="36"/>
      <c r="N603" s="36"/>
      <c r="O603" s="39" t="str">
        <f aca="false">IF(COUNT(K603:N603)=0,"",ROUND(AVERAGE(K603:N603),0))</f>
        <v/>
      </c>
      <c r="P603" s="38" t="str">
        <f aca="false">IF(O603="","",LOOKUP(O603,Impostazioni!$E$4:$E$9,Impostazioni!$F$4:$F$9))</f>
        <v/>
      </c>
      <c r="Q603" s="36"/>
      <c r="R603" s="36"/>
      <c r="S603" s="36"/>
      <c r="T603" s="36"/>
      <c r="U603" s="39" t="str">
        <f aca="false">IF(COUNT(Q603:T603)=0,"",ROUND(AVERAGE(Q603:T603),0))</f>
        <v/>
      </c>
      <c r="V603" s="38" t="str">
        <f aca="false">IF(U603="","",LOOKUP(U603,Impostazioni!$E$4:$E$9,Impostazioni!$F$4:$F$9))</f>
        <v/>
      </c>
      <c r="W603" s="36"/>
      <c r="X603" s="36"/>
      <c r="Y603" s="36"/>
      <c r="Z603" s="36"/>
      <c r="AA603" s="39" t="str">
        <f aca="false">IF(COUNT(W603:Z603)=0,"",ROUND(AVERAGE(W603:Z603),0))</f>
        <v/>
      </c>
      <c r="AB603" s="38" t="str">
        <f aca="false">IF(AA603="","",LOOKUP(AA603,Impostazioni!$E$4:$E$9,Impostazioni!$F$4:$F$9))</f>
        <v/>
      </c>
    </row>
    <row r="604" customFormat="false" ht="21" hidden="false" customHeight="true" outlineLevel="0" collapsed="false">
      <c r="A604" s="33" t="n">
        <v>18</v>
      </c>
      <c r="B604" s="34" t="str">
        <f aca="false">IFERROR(INDEX(Alunni!$C$1:$C$1000,MATCH($A604,Alunni!$A$1:$A$1000,0))&amp;"","")</f>
        <v/>
      </c>
      <c r="C604" s="15"/>
      <c r="D604" s="35"/>
      <c r="E604" s="36"/>
      <c r="F604" s="36"/>
      <c r="G604" s="36"/>
      <c r="H604" s="36"/>
      <c r="I604" s="39" t="str">
        <f aca="false">IF(COUNT(E604:H604)=0,"",ROUND(AVERAGE(E604:H604),0))</f>
        <v/>
      </c>
      <c r="J604" s="38" t="str">
        <f aca="false">IF(I604="","",LOOKUP(I604,Impostazioni!$E$4:$E$9,Impostazioni!$F$4:$F$9))</f>
        <v/>
      </c>
      <c r="K604" s="36"/>
      <c r="L604" s="36"/>
      <c r="M604" s="36"/>
      <c r="N604" s="36"/>
      <c r="O604" s="39" t="str">
        <f aca="false">IF(COUNT(K604:N604)=0,"",ROUND(AVERAGE(K604:N604),0))</f>
        <v/>
      </c>
      <c r="P604" s="38" t="str">
        <f aca="false">IF(O604="","",LOOKUP(O604,Impostazioni!$E$4:$E$9,Impostazioni!$F$4:$F$9))</f>
        <v/>
      </c>
      <c r="Q604" s="36"/>
      <c r="R604" s="36"/>
      <c r="S604" s="36"/>
      <c r="T604" s="36"/>
      <c r="U604" s="39" t="str">
        <f aca="false">IF(COUNT(Q604:T604)=0,"",ROUND(AVERAGE(Q604:T604),0))</f>
        <v/>
      </c>
      <c r="V604" s="38" t="str">
        <f aca="false">IF(U604="","",LOOKUP(U604,Impostazioni!$E$4:$E$9,Impostazioni!$F$4:$F$9))</f>
        <v/>
      </c>
      <c r="W604" s="36"/>
      <c r="X604" s="36"/>
      <c r="Y604" s="36"/>
      <c r="Z604" s="36"/>
      <c r="AA604" s="39" t="str">
        <f aca="false">IF(COUNT(W604:Z604)=0,"",ROUND(AVERAGE(W604:Z604),0))</f>
        <v/>
      </c>
      <c r="AB604" s="38" t="str">
        <f aca="false">IF(AA604="","",LOOKUP(AA604,Impostazioni!$E$4:$E$9,Impostazioni!$F$4:$F$9))</f>
        <v/>
      </c>
    </row>
    <row r="605" customFormat="false" ht="21" hidden="false" customHeight="true" outlineLevel="0" collapsed="false">
      <c r="A605" s="33" t="n">
        <v>19</v>
      </c>
      <c r="B605" s="34" t="str">
        <f aca="false">IFERROR(INDEX(Alunni!$C$1:$C$1000,MATCH($A605,Alunni!$A$1:$A$1000,0))&amp;"","")</f>
        <v/>
      </c>
      <c r="C605" s="15"/>
      <c r="D605" s="35"/>
      <c r="E605" s="36"/>
      <c r="F605" s="36"/>
      <c r="G605" s="36"/>
      <c r="H605" s="36"/>
      <c r="I605" s="39" t="str">
        <f aca="false">IF(COUNT(E605:H605)=0,"",ROUND(AVERAGE(E605:H605),0))</f>
        <v/>
      </c>
      <c r="J605" s="38" t="str">
        <f aca="false">IF(I605="","",LOOKUP(I605,Impostazioni!$E$4:$E$9,Impostazioni!$F$4:$F$9))</f>
        <v/>
      </c>
      <c r="K605" s="36"/>
      <c r="L605" s="36"/>
      <c r="M605" s="36"/>
      <c r="N605" s="36"/>
      <c r="O605" s="39" t="str">
        <f aca="false">IF(COUNT(K605:N605)=0,"",ROUND(AVERAGE(K605:N605),0))</f>
        <v/>
      </c>
      <c r="P605" s="38" t="str">
        <f aca="false">IF(O605="","",LOOKUP(O605,Impostazioni!$E$4:$E$9,Impostazioni!$F$4:$F$9))</f>
        <v/>
      </c>
      <c r="Q605" s="36"/>
      <c r="R605" s="36"/>
      <c r="S605" s="36"/>
      <c r="T605" s="36"/>
      <c r="U605" s="39" t="str">
        <f aca="false">IF(COUNT(Q605:T605)=0,"",ROUND(AVERAGE(Q605:T605),0))</f>
        <v/>
      </c>
      <c r="V605" s="38" t="str">
        <f aca="false">IF(U605="","",LOOKUP(U605,Impostazioni!$E$4:$E$9,Impostazioni!$F$4:$F$9))</f>
        <v/>
      </c>
      <c r="W605" s="36"/>
      <c r="X605" s="36"/>
      <c r="Y605" s="36"/>
      <c r="Z605" s="36"/>
      <c r="AA605" s="39" t="str">
        <f aca="false">IF(COUNT(W605:Z605)=0,"",ROUND(AVERAGE(W605:Z605),0))</f>
        <v/>
      </c>
      <c r="AB605" s="38" t="str">
        <f aca="false">IF(AA605="","",LOOKUP(AA605,Impostazioni!$E$4:$E$9,Impostazioni!$F$4:$F$9))</f>
        <v/>
      </c>
    </row>
    <row r="606" customFormat="false" ht="21" hidden="false" customHeight="true" outlineLevel="0" collapsed="false">
      <c r="A606" s="33" t="n">
        <v>20</v>
      </c>
      <c r="B606" s="34" t="str">
        <f aca="false">IFERROR(INDEX(Alunni!$C$1:$C$1000,MATCH($A606,Alunni!$A$1:$A$1000,0))&amp;"","")</f>
        <v/>
      </c>
      <c r="C606" s="15"/>
      <c r="D606" s="35"/>
      <c r="E606" s="36"/>
      <c r="F606" s="36"/>
      <c r="G606" s="36"/>
      <c r="H606" s="36"/>
      <c r="I606" s="39" t="str">
        <f aca="false">IF(COUNT(E606:H606)=0,"",ROUND(AVERAGE(E606:H606),0))</f>
        <v/>
      </c>
      <c r="J606" s="38" t="str">
        <f aca="false">IF(I606="","",LOOKUP(I606,Impostazioni!$E$4:$E$9,Impostazioni!$F$4:$F$9))</f>
        <v/>
      </c>
      <c r="K606" s="36"/>
      <c r="L606" s="36"/>
      <c r="M606" s="36"/>
      <c r="N606" s="36"/>
      <c r="O606" s="39" t="str">
        <f aca="false">IF(COUNT(K606:N606)=0,"",ROUND(AVERAGE(K606:N606),0))</f>
        <v/>
      </c>
      <c r="P606" s="38" t="str">
        <f aca="false">IF(O606="","",LOOKUP(O606,Impostazioni!$E$4:$E$9,Impostazioni!$F$4:$F$9))</f>
        <v/>
      </c>
      <c r="Q606" s="36"/>
      <c r="R606" s="36"/>
      <c r="S606" s="36"/>
      <c r="T606" s="36"/>
      <c r="U606" s="39" t="str">
        <f aca="false">IF(COUNT(Q606:T606)=0,"",ROUND(AVERAGE(Q606:T606),0))</f>
        <v/>
      </c>
      <c r="V606" s="38" t="str">
        <f aca="false">IF(U606="","",LOOKUP(U606,Impostazioni!$E$4:$E$9,Impostazioni!$F$4:$F$9))</f>
        <v/>
      </c>
      <c r="W606" s="36"/>
      <c r="X606" s="36"/>
      <c r="Y606" s="36"/>
      <c r="Z606" s="36"/>
      <c r="AA606" s="39" t="str">
        <f aca="false">IF(COUNT(W606:Z606)=0,"",ROUND(AVERAGE(W606:Z606),0))</f>
        <v/>
      </c>
      <c r="AB606" s="38" t="str">
        <f aca="false">IF(AA606="","",LOOKUP(AA606,Impostazioni!$E$4:$E$9,Impostazioni!$F$4:$F$9))</f>
        <v/>
      </c>
    </row>
    <row r="607" customFormat="false" ht="21" hidden="false" customHeight="true" outlineLevel="0" collapsed="false">
      <c r="A607" s="33" t="n">
        <v>21</v>
      </c>
      <c r="B607" s="34" t="str">
        <f aca="false">IFERROR(INDEX(Alunni!$C$1:$C$1000,MATCH($A607,Alunni!$A$1:$A$1000,0))&amp;"","")</f>
        <v/>
      </c>
      <c r="C607" s="15"/>
      <c r="D607" s="35"/>
      <c r="E607" s="36"/>
      <c r="F607" s="36"/>
      <c r="G607" s="36"/>
      <c r="H607" s="36"/>
      <c r="I607" s="39" t="str">
        <f aca="false">IF(COUNT(E607:H607)=0,"",ROUND(AVERAGE(E607:H607),0))</f>
        <v/>
      </c>
      <c r="J607" s="38" t="str">
        <f aca="false">IF(I607="","",LOOKUP(I607,Impostazioni!$E$4:$E$9,Impostazioni!$F$4:$F$9))</f>
        <v/>
      </c>
      <c r="K607" s="36"/>
      <c r="L607" s="36"/>
      <c r="M607" s="36"/>
      <c r="N607" s="36"/>
      <c r="O607" s="39" t="str">
        <f aca="false">IF(COUNT(K607:N607)=0,"",ROUND(AVERAGE(K607:N607),0))</f>
        <v/>
      </c>
      <c r="P607" s="38" t="str">
        <f aca="false">IF(O607="","",LOOKUP(O607,Impostazioni!$E$4:$E$9,Impostazioni!$F$4:$F$9))</f>
        <v/>
      </c>
      <c r="Q607" s="36"/>
      <c r="R607" s="36"/>
      <c r="S607" s="36"/>
      <c r="T607" s="36"/>
      <c r="U607" s="39" t="str">
        <f aca="false">IF(COUNT(Q607:T607)=0,"",ROUND(AVERAGE(Q607:T607),0))</f>
        <v/>
      </c>
      <c r="V607" s="38" t="str">
        <f aca="false">IF(U607="","",LOOKUP(U607,Impostazioni!$E$4:$E$9,Impostazioni!$F$4:$F$9))</f>
        <v/>
      </c>
      <c r="W607" s="36"/>
      <c r="X607" s="36"/>
      <c r="Y607" s="36"/>
      <c r="Z607" s="36"/>
      <c r="AA607" s="39" t="str">
        <f aca="false">IF(COUNT(W607:Z607)=0,"",ROUND(AVERAGE(W607:Z607),0))</f>
        <v/>
      </c>
      <c r="AB607" s="38" t="str">
        <f aca="false">IF(AA607="","",LOOKUP(AA607,Impostazioni!$E$4:$E$9,Impostazioni!$F$4:$F$9))</f>
        <v/>
      </c>
    </row>
    <row r="608" customFormat="false" ht="21" hidden="false" customHeight="true" outlineLevel="0" collapsed="false">
      <c r="A608" s="33" t="n">
        <v>22</v>
      </c>
      <c r="B608" s="34" t="str">
        <f aca="false">IFERROR(INDEX(Alunni!$C$1:$C$1000,MATCH($A608,Alunni!$A$1:$A$1000,0))&amp;"","")</f>
        <v/>
      </c>
      <c r="C608" s="15"/>
      <c r="D608" s="35"/>
      <c r="E608" s="36"/>
      <c r="F608" s="36"/>
      <c r="G608" s="36"/>
      <c r="H608" s="36"/>
      <c r="I608" s="39" t="str">
        <f aca="false">IF(COUNT(E608:H608)=0,"",ROUND(AVERAGE(E608:H608),0))</f>
        <v/>
      </c>
      <c r="J608" s="38" t="str">
        <f aca="false">IF(I608="","",LOOKUP(I608,Impostazioni!$E$4:$E$9,Impostazioni!$F$4:$F$9))</f>
        <v/>
      </c>
      <c r="K608" s="36"/>
      <c r="L608" s="36"/>
      <c r="M608" s="36"/>
      <c r="N608" s="36"/>
      <c r="O608" s="39" t="str">
        <f aca="false">IF(COUNT(K608:N608)=0,"",ROUND(AVERAGE(K608:N608),0))</f>
        <v/>
      </c>
      <c r="P608" s="38" t="str">
        <f aca="false">IF(O608="","",LOOKUP(O608,Impostazioni!$E$4:$E$9,Impostazioni!$F$4:$F$9))</f>
        <v/>
      </c>
      <c r="Q608" s="36"/>
      <c r="R608" s="36"/>
      <c r="S608" s="36"/>
      <c r="T608" s="36"/>
      <c r="U608" s="39" t="str">
        <f aca="false">IF(COUNT(Q608:T608)=0,"",ROUND(AVERAGE(Q608:T608),0))</f>
        <v/>
      </c>
      <c r="V608" s="38" t="str">
        <f aca="false">IF(U608="","",LOOKUP(U608,Impostazioni!$E$4:$E$9,Impostazioni!$F$4:$F$9))</f>
        <v/>
      </c>
      <c r="W608" s="36"/>
      <c r="X608" s="36"/>
      <c r="Y608" s="36"/>
      <c r="Z608" s="36"/>
      <c r="AA608" s="39" t="str">
        <f aca="false">IF(COUNT(W608:Z608)=0,"",ROUND(AVERAGE(W608:Z608),0))</f>
        <v/>
      </c>
      <c r="AB608" s="38" t="str">
        <f aca="false">IF(AA608="","",LOOKUP(AA608,Impostazioni!$E$4:$E$9,Impostazioni!$F$4:$F$9))</f>
        <v/>
      </c>
    </row>
    <row r="609" customFormat="false" ht="21" hidden="false" customHeight="true" outlineLevel="0" collapsed="false">
      <c r="A609" s="33" t="n">
        <v>23</v>
      </c>
      <c r="B609" s="34" t="str">
        <f aca="false">IFERROR(INDEX(Alunni!$C$1:$C$1000,MATCH($A609,Alunni!$A$1:$A$1000,0))&amp;"","")</f>
        <v/>
      </c>
      <c r="C609" s="15"/>
      <c r="D609" s="35"/>
      <c r="E609" s="36"/>
      <c r="F609" s="36"/>
      <c r="G609" s="36"/>
      <c r="H609" s="36"/>
      <c r="I609" s="39" t="str">
        <f aca="false">IF(COUNT(E609:H609)=0,"",ROUND(AVERAGE(E609:H609),0))</f>
        <v/>
      </c>
      <c r="J609" s="38" t="str">
        <f aca="false">IF(I609="","",LOOKUP(I609,Impostazioni!$E$4:$E$9,Impostazioni!$F$4:$F$9))</f>
        <v/>
      </c>
      <c r="K609" s="36"/>
      <c r="L609" s="36"/>
      <c r="M609" s="36"/>
      <c r="N609" s="36"/>
      <c r="O609" s="39" t="str">
        <f aca="false">IF(COUNT(K609:N609)=0,"",ROUND(AVERAGE(K609:N609),0))</f>
        <v/>
      </c>
      <c r="P609" s="38" t="str">
        <f aca="false">IF(O609="","",LOOKUP(O609,Impostazioni!$E$4:$E$9,Impostazioni!$F$4:$F$9))</f>
        <v/>
      </c>
      <c r="Q609" s="36"/>
      <c r="R609" s="36"/>
      <c r="S609" s="36"/>
      <c r="T609" s="36"/>
      <c r="U609" s="39" t="str">
        <f aca="false">IF(COUNT(Q609:T609)=0,"",ROUND(AVERAGE(Q609:T609),0))</f>
        <v/>
      </c>
      <c r="V609" s="38" t="str">
        <f aca="false">IF(U609="","",LOOKUP(U609,Impostazioni!$E$4:$E$9,Impostazioni!$F$4:$F$9))</f>
        <v/>
      </c>
      <c r="W609" s="36"/>
      <c r="X609" s="36"/>
      <c r="Y609" s="36"/>
      <c r="Z609" s="36"/>
      <c r="AA609" s="39" t="str">
        <f aca="false">IF(COUNT(W609:Z609)=0,"",ROUND(AVERAGE(W609:Z609),0))</f>
        <v/>
      </c>
      <c r="AB609" s="38" t="str">
        <f aca="false">IF(AA609="","",LOOKUP(AA609,Impostazioni!$E$4:$E$9,Impostazioni!$F$4:$F$9))</f>
        <v/>
      </c>
    </row>
    <row r="610" customFormat="false" ht="21" hidden="false" customHeight="true" outlineLevel="0" collapsed="false">
      <c r="A610" s="33" t="n">
        <v>24</v>
      </c>
      <c r="B610" s="34" t="str">
        <f aca="false">IFERROR(INDEX(Alunni!$C$1:$C$1000,MATCH($A610,Alunni!$A$1:$A$1000,0))&amp;"","")</f>
        <v/>
      </c>
      <c r="C610" s="15"/>
      <c r="D610" s="35"/>
      <c r="E610" s="36"/>
      <c r="F610" s="36"/>
      <c r="G610" s="36"/>
      <c r="H610" s="36"/>
      <c r="I610" s="39" t="str">
        <f aca="false">IF(COUNT(E610:H610)=0,"",ROUND(AVERAGE(E610:H610),0))</f>
        <v/>
      </c>
      <c r="J610" s="38" t="str">
        <f aca="false">IF(I610="","",LOOKUP(I610,Impostazioni!$E$4:$E$9,Impostazioni!$F$4:$F$9))</f>
        <v/>
      </c>
      <c r="K610" s="36"/>
      <c r="L610" s="36"/>
      <c r="M610" s="36"/>
      <c r="N610" s="36"/>
      <c r="O610" s="39" t="str">
        <f aca="false">IF(COUNT(K610:N610)=0,"",ROUND(AVERAGE(K610:N610),0))</f>
        <v/>
      </c>
      <c r="P610" s="38" t="str">
        <f aca="false">IF(O610="","",LOOKUP(O610,Impostazioni!$E$4:$E$9,Impostazioni!$F$4:$F$9))</f>
        <v/>
      </c>
      <c r="Q610" s="36"/>
      <c r="R610" s="36"/>
      <c r="S610" s="36"/>
      <c r="T610" s="36"/>
      <c r="U610" s="39" t="str">
        <f aca="false">IF(COUNT(Q610:T610)=0,"",ROUND(AVERAGE(Q610:T610),0))</f>
        <v/>
      </c>
      <c r="V610" s="38" t="str">
        <f aca="false">IF(U610="","",LOOKUP(U610,Impostazioni!$E$4:$E$9,Impostazioni!$F$4:$F$9))</f>
        <v/>
      </c>
      <c r="W610" s="36"/>
      <c r="X610" s="36"/>
      <c r="Y610" s="36"/>
      <c r="Z610" s="36"/>
      <c r="AA610" s="39" t="str">
        <f aca="false">IF(COUNT(W610:Z610)=0,"",ROUND(AVERAGE(W610:Z610),0))</f>
        <v/>
      </c>
      <c r="AB610" s="38" t="str">
        <f aca="false">IF(AA610="","",LOOKUP(AA610,Impostazioni!$E$4:$E$9,Impostazioni!$F$4:$F$9))</f>
        <v/>
      </c>
    </row>
    <row r="611" customFormat="false" ht="21" hidden="false" customHeight="true" outlineLevel="0" collapsed="false">
      <c r="A611" s="33" t="n">
        <v>25</v>
      </c>
      <c r="B611" s="34" t="str">
        <f aca="false">IFERROR(INDEX(Alunni!$C$1:$C$1000,MATCH($A611,Alunni!$A$1:$A$1000,0))&amp;"","")</f>
        <v/>
      </c>
      <c r="C611" s="15"/>
      <c r="D611" s="35"/>
      <c r="E611" s="36"/>
      <c r="F611" s="36"/>
      <c r="G611" s="36"/>
      <c r="H611" s="36"/>
      <c r="I611" s="39" t="str">
        <f aca="false">IF(COUNT(E611:H611)=0,"",ROUND(AVERAGE(E611:H611),0))</f>
        <v/>
      </c>
      <c r="J611" s="38" t="str">
        <f aca="false">IF(I611="","",LOOKUP(I611,Impostazioni!$E$4:$E$9,Impostazioni!$F$4:$F$9))</f>
        <v/>
      </c>
      <c r="K611" s="36"/>
      <c r="L611" s="36"/>
      <c r="M611" s="36"/>
      <c r="N611" s="36"/>
      <c r="O611" s="39" t="str">
        <f aca="false">IF(COUNT(K611:N611)=0,"",ROUND(AVERAGE(K611:N611),0))</f>
        <v/>
      </c>
      <c r="P611" s="38" t="str">
        <f aca="false">IF(O611="","",LOOKUP(O611,Impostazioni!$E$4:$E$9,Impostazioni!$F$4:$F$9))</f>
        <v/>
      </c>
      <c r="Q611" s="36"/>
      <c r="R611" s="36"/>
      <c r="S611" s="36"/>
      <c r="T611" s="36"/>
      <c r="U611" s="39" t="str">
        <f aca="false">IF(COUNT(Q611:T611)=0,"",ROUND(AVERAGE(Q611:T611),0))</f>
        <v/>
      </c>
      <c r="V611" s="38" t="str">
        <f aca="false">IF(U611="","",LOOKUP(U611,Impostazioni!$E$4:$E$9,Impostazioni!$F$4:$F$9))</f>
        <v/>
      </c>
      <c r="W611" s="36"/>
      <c r="X611" s="36"/>
      <c r="Y611" s="36"/>
      <c r="Z611" s="36"/>
      <c r="AA611" s="39" t="str">
        <f aca="false">IF(COUNT(W611:Z611)=0,"",ROUND(AVERAGE(W611:Z611),0))</f>
        <v/>
      </c>
      <c r="AB611" s="38" t="str">
        <f aca="false">IF(AA611="","",LOOKUP(AA611,Impostazioni!$E$4:$E$9,Impostazioni!$F$4:$F$9))</f>
        <v/>
      </c>
    </row>
    <row r="612" customFormat="false" ht="21" hidden="false" customHeight="true" outlineLevel="0" collapsed="false">
      <c r="A612" s="33" t="n">
        <v>26</v>
      </c>
      <c r="B612" s="34" t="str">
        <f aca="false">IFERROR(INDEX(Alunni!$C$1:$C$1000,MATCH($A612,Alunni!$A$1:$A$1000,0))&amp;"","")</f>
        <v/>
      </c>
      <c r="C612" s="15"/>
      <c r="D612" s="35"/>
      <c r="E612" s="36"/>
      <c r="F612" s="36"/>
      <c r="G612" s="36"/>
      <c r="H612" s="36"/>
      <c r="I612" s="39" t="str">
        <f aca="false">IF(COUNT(E612:H612)=0,"",ROUND(AVERAGE(E612:H612),0))</f>
        <v/>
      </c>
      <c r="J612" s="38" t="str">
        <f aca="false">IF(I612="","",LOOKUP(I612,Impostazioni!$E$4:$E$9,Impostazioni!$F$4:$F$9))</f>
        <v/>
      </c>
      <c r="K612" s="36"/>
      <c r="L612" s="36"/>
      <c r="M612" s="36"/>
      <c r="N612" s="36"/>
      <c r="O612" s="39" t="str">
        <f aca="false">IF(COUNT(K612:N612)=0,"",ROUND(AVERAGE(K612:N612),0))</f>
        <v/>
      </c>
      <c r="P612" s="38" t="str">
        <f aca="false">IF(O612="","",LOOKUP(O612,Impostazioni!$E$4:$E$9,Impostazioni!$F$4:$F$9))</f>
        <v/>
      </c>
      <c r="Q612" s="36"/>
      <c r="R612" s="36"/>
      <c r="S612" s="36"/>
      <c r="T612" s="36"/>
      <c r="U612" s="39" t="str">
        <f aca="false">IF(COUNT(Q612:T612)=0,"",ROUND(AVERAGE(Q612:T612),0))</f>
        <v/>
      </c>
      <c r="V612" s="38" t="str">
        <f aca="false">IF(U612="","",LOOKUP(U612,Impostazioni!$E$4:$E$9,Impostazioni!$F$4:$F$9))</f>
        <v/>
      </c>
      <c r="W612" s="36"/>
      <c r="X612" s="36"/>
      <c r="Y612" s="36"/>
      <c r="Z612" s="36"/>
      <c r="AA612" s="39" t="str">
        <f aca="false">IF(COUNT(W612:Z612)=0,"",ROUND(AVERAGE(W612:Z612),0))</f>
        <v/>
      </c>
      <c r="AB612" s="38" t="str">
        <f aca="false">IF(AA612="","",LOOKUP(AA612,Impostazioni!$E$4:$E$9,Impostazioni!$F$4:$F$9))</f>
        <v/>
      </c>
    </row>
    <row r="613" customFormat="false" ht="21" hidden="false" customHeight="true" outlineLevel="0" collapsed="false">
      <c r="A613" s="33" t="n">
        <v>27</v>
      </c>
      <c r="B613" s="34" t="str">
        <f aca="false">IFERROR(INDEX(Alunni!$C$1:$C$1000,MATCH($A613,Alunni!$A$1:$A$1000,0))&amp;"","")</f>
        <v/>
      </c>
      <c r="C613" s="15"/>
      <c r="D613" s="35"/>
      <c r="E613" s="36"/>
      <c r="F613" s="36"/>
      <c r="G613" s="36"/>
      <c r="H613" s="36"/>
      <c r="I613" s="39" t="str">
        <f aca="false">IF(COUNT(E613:H613)=0,"",ROUND(AVERAGE(E613:H613),0))</f>
        <v/>
      </c>
      <c r="J613" s="38" t="str">
        <f aca="false">IF(I613="","",LOOKUP(I613,Impostazioni!$E$4:$E$9,Impostazioni!$F$4:$F$9))</f>
        <v/>
      </c>
      <c r="K613" s="36"/>
      <c r="L613" s="36"/>
      <c r="M613" s="36"/>
      <c r="N613" s="36"/>
      <c r="O613" s="39" t="str">
        <f aca="false">IF(COUNT(K613:N613)=0,"",ROUND(AVERAGE(K613:N613),0))</f>
        <v/>
      </c>
      <c r="P613" s="38" t="str">
        <f aca="false">IF(O613="","",LOOKUP(O613,Impostazioni!$E$4:$E$9,Impostazioni!$F$4:$F$9))</f>
        <v/>
      </c>
      <c r="Q613" s="36"/>
      <c r="R613" s="36"/>
      <c r="S613" s="36"/>
      <c r="T613" s="36"/>
      <c r="U613" s="39" t="str">
        <f aca="false">IF(COUNT(Q613:T613)=0,"",ROUND(AVERAGE(Q613:T613),0))</f>
        <v/>
      </c>
      <c r="V613" s="38" t="str">
        <f aca="false">IF(U613="","",LOOKUP(U613,Impostazioni!$E$4:$E$9,Impostazioni!$F$4:$F$9))</f>
        <v/>
      </c>
      <c r="W613" s="36"/>
      <c r="X613" s="36"/>
      <c r="Y613" s="36"/>
      <c r="Z613" s="36"/>
      <c r="AA613" s="39" t="str">
        <f aca="false">IF(COUNT(W613:Z613)=0,"",ROUND(AVERAGE(W613:Z613),0))</f>
        <v/>
      </c>
      <c r="AB613" s="38" t="str">
        <f aca="false">IF(AA613="","",LOOKUP(AA613,Impostazioni!$E$4:$E$9,Impostazioni!$F$4:$F$9))</f>
        <v/>
      </c>
    </row>
    <row r="614" customFormat="false" ht="21" hidden="false" customHeight="true" outlineLevel="0" collapsed="false">
      <c r="A614" s="33" t="n">
        <v>28</v>
      </c>
      <c r="B614" s="34" t="str">
        <f aca="false">IFERROR(INDEX(Alunni!$C$1:$C$1000,MATCH($A614,Alunni!$A$1:$A$1000,0))&amp;"","")</f>
        <v/>
      </c>
      <c r="C614" s="15"/>
      <c r="D614" s="35"/>
      <c r="E614" s="36"/>
      <c r="F614" s="36"/>
      <c r="G614" s="36"/>
      <c r="H614" s="36"/>
      <c r="I614" s="39" t="str">
        <f aca="false">IF(COUNT(E614:H614)=0,"",ROUND(AVERAGE(E614:H614),0))</f>
        <v/>
      </c>
      <c r="J614" s="38" t="str">
        <f aca="false">IF(I614="","",LOOKUP(I614,Impostazioni!$E$4:$E$9,Impostazioni!$F$4:$F$9))</f>
        <v/>
      </c>
      <c r="K614" s="36"/>
      <c r="L614" s="36"/>
      <c r="M614" s="36"/>
      <c r="N614" s="36"/>
      <c r="O614" s="39" t="str">
        <f aca="false">IF(COUNT(K614:N614)=0,"",ROUND(AVERAGE(K614:N614),0))</f>
        <v/>
      </c>
      <c r="P614" s="38" t="str">
        <f aca="false">IF(O614="","",LOOKUP(O614,Impostazioni!$E$4:$E$9,Impostazioni!$F$4:$F$9))</f>
        <v/>
      </c>
      <c r="Q614" s="36"/>
      <c r="R614" s="36"/>
      <c r="S614" s="36"/>
      <c r="T614" s="36"/>
      <c r="U614" s="39" t="str">
        <f aca="false">IF(COUNT(Q614:T614)=0,"",ROUND(AVERAGE(Q614:T614),0))</f>
        <v/>
      </c>
      <c r="V614" s="38" t="str">
        <f aca="false">IF(U614="","",LOOKUP(U614,Impostazioni!$E$4:$E$9,Impostazioni!$F$4:$F$9))</f>
        <v/>
      </c>
      <c r="W614" s="36"/>
      <c r="X614" s="36"/>
      <c r="Y614" s="36"/>
      <c r="Z614" s="36"/>
      <c r="AA614" s="39" t="str">
        <f aca="false">IF(COUNT(W614:Z614)=0,"",ROUND(AVERAGE(W614:Z614),0))</f>
        <v/>
      </c>
      <c r="AB614" s="38" t="str">
        <f aca="false">IF(AA614="","",LOOKUP(AA614,Impostazioni!$E$4:$E$9,Impostazioni!$F$4:$F$9))</f>
        <v/>
      </c>
    </row>
    <row r="615" customFormat="false" ht="21" hidden="false" customHeight="true" outlineLevel="0" collapsed="false">
      <c r="A615" s="33" t="n">
        <v>29</v>
      </c>
      <c r="B615" s="34" t="str">
        <f aca="false">IFERROR(INDEX(Alunni!$C$1:$C$1000,MATCH($A615,Alunni!$A$1:$A$1000,0))&amp;"","")</f>
        <v/>
      </c>
      <c r="C615" s="15"/>
      <c r="D615" s="35"/>
      <c r="E615" s="36"/>
      <c r="F615" s="36"/>
      <c r="G615" s="36"/>
      <c r="H615" s="36"/>
      <c r="I615" s="39" t="str">
        <f aca="false">IF(COUNT(E615:H615)=0,"",ROUND(AVERAGE(E615:H615),0))</f>
        <v/>
      </c>
      <c r="J615" s="38" t="str">
        <f aca="false">IF(I615="","",LOOKUP(I615,Impostazioni!$E$4:$E$9,Impostazioni!$F$4:$F$9))</f>
        <v/>
      </c>
      <c r="K615" s="36"/>
      <c r="L615" s="36"/>
      <c r="M615" s="36"/>
      <c r="N615" s="36"/>
      <c r="O615" s="39" t="str">
        <f aca="false">IF(COUNT(K615:N615)=0,"",ROUND(AVERAGE(K615:N615),0))</f>
        <v/>
      </c>
      <c r="P615" s="38" t="str">
        <f aca="false">IF(O615="","",LOOKUP(O615,Impostazioni!$E$4:$E$9,Impostazioni!$F$4:$F$9))</f>
        <v/>
      </c>
      <c r="Q615" s="36"/>
      <c r="R615" s="36"/>
      <c r="S615" s="36"/>
      <c r="T615" s="36"/>
      <c r="U615" s="39" t="str">
        <f aca="false">IF(COUNT(Q615:T615)=0,"",ROUND(AVERAGE(Q615:T615),0))</f>
        <v/>
      </c>
      <c r="V615" s="38" t="str">
        <f aca="false">IF(U615="","",LOOKUP(U615,Impostazioni!$E$4:$E$9,Impostazioni!$F$4:$F$9))</f>
        <v/>
      </c>
      <c r="W615" s="36"/>
      <c r="X615" s="36"/>
      <c r="Y615" s="36"/>
      <c r="Z615" s="36"/>
      <c r="AA615" s="39" t="str">
        <f aca="false">IF(COUNT(W615:Z615)=0,"",ROUND(AVERAGE(W615:Z615),0))</f>
        <v/>
      </c>
      <c r="AB615" s="38" t="str">
        <f aca="false">IF(AA615="","",LOOKUP(AA615,Impostazioni!$E$4:$E$9,Impostazioni!$F$4:$F$9))</f>
        <v/>
      </c>
    </row>
    <row r="616" customFormat="false" ht="21" hidden="false" customHeight="true" outlineLevel="0" collapsed="false">
      <c r="A616" s="33" t="n">
        <v>30</v>
      </c>
      <c r="B616" s="34" t="str">
        <f aca="false">IFERROR(INDEX(Alunni!$C$1:$C$1000,MATCH($A616,Alunni!$A$1:$A$1000,0))&amp;"","")</f>
        <v/>
      </c>
      <c r="C616" s="15"/>
      <c r="D616" s="35"/>
      <c r="E616" s="36"/>
      <c r="F616" s="36"/>
      <c r="G616" s="36"/>
      <c r="H616" s="36"/>
      <c r="I616" s="39" t="str">
        <f aca="false">IF(COUNT(E616:H616)=0,"",ROUND(AVERAGE(E616:H616),0))</f>
        <v/>
      </c>
      <c r="J616" s="38" t="str">
        <f aca="false">IF(I616="","",LOOKUP(I616,Impostazioni!$E$4:$E$9,Impostazioni!$F$4:$F$9))</f>
        <v/>
      </c>
      <c r="K616" s="36"/>
      <c r="L616" s="36"/>
      <c r="M616" s="36"/>
      <c r="N616" s="36"/>
      <c r="O616" s="39" t="str">
        <f aca="false">IF(COUNT(K616:N616)=0,"",ROUND(AVERAGE(K616:N616),0))</f>
        <v/>
      </c>
      <c r="P616" s="38" t="str">
        <f aca="false">IF(O616="","",LOOKUP(O616,Impostazioni!$E$4:$E$9,Impostazioni!$F$4:$F$9))</f>
        <v/>
      </c>
      <c r="Q616" s="36"/>
      <c r="R616" s="36"/>
      <c r="S616" s="36"/>
      <c r="T616" s="36"/>
      <c r="U616" s="39" t="str">
        <f aca="false">IF(COUNT(Q616:T616)=0,"",ROUND(AVERAGE(Q616:T616),0))</f>
        <v/>
      </c>
      <c r="V616" s="38" t="str">
        <f aca="false">IF(U616="","",LOOKUP(U616,Impostazioni!$E$4:$E$9,Impostazioni!$F$4:$F$9))</f>
        <v/>
      </c>
      <c r="W616" s="36"/>
      <c r="X616" s="36"/>
      <c r="Y616" s="36"/>
      <c r="Z616" s="36"/>
      <c r="AA616" s="39" t="str">
        <f aca="false">IF(COUNT(W616:Z616)=0,"",ROUND(AVERAGE(W616:Z616),0))</f>
        <v/>
      </c>
      <c r="AB616" s="38" t="str">
        <f aca="false">IF(AA616="","",LOOKUP(AA616,Impostazioni!$E$4:$E$9,Impostazioni!$F$4:$F$9))</f>
        <v/>
      </c>
    </row>
    <row r="618" customFormat="false" ht="25.5" hidden="false" customHeight="true" outlineLevel="0" collapsed="false">
      <c r="A618" s="40" t="str">
        <f aca="false">Calendario!B24&amp;"   ·   "&amp;IF(Calendario!G24="","(descrizione da Calendario)",Calendario!G24)&amp;"   ·   "&amp;IF(Calendario!E24="","data da fissare",CHOOSE(WEEKDAY(Calendario!E24,2),"lunedì","martedì","mercoledì","giovedì","venerdì","sabato","domenica")&amp;" "&amp;TEXT(DAY(Calendario!E24),"00")&amp;"/"&amp;TEXT(MONTH(Calendario!E24),"00")&amp;"/"&amp;YEAR(Calendario!E24))</f>
        <v>Q2-G08   ·   (descrizione da Calendario)   ·   data da fissare</v>
      </c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</row>
    <row r="619" customFormat="false" ht="15" hidden="false" customHeight="true" outlineLevel="0" collapsed="false">
      <c r="A619" s="25" t="s">
        <v>80</v>
      </c>
      <c r="B619" s="25"/>
      <c r="C619" s="25"/>
      <c r="D619" s="25"/>
      <c r="E619" s="26" t="str">
        <f aca="false">IF(Calendario!$H$24="","— libero —",Calendario!$H$24&amp;"  "&amp;IFERROR(VLOOKUP(Calendario!$H$24,Impostazioni!$A$25:$J$36,3,FALSE()),""))</f>
        <v>— libero —</v>
      </c>
      <c r="F619" s="26"/>
      <c r="G619" s="26"/>
      <c r="H619" s="26"/>
      <c r="I619" s="26"/>
      <c r="J619" s="26"/>
      <c r="K619" s="26" t="str">
        <f aca="false">IF(Calendario!$I$24="","— libero —",Calendario!$I$24&amp;"  "&amp;IFERROR(VLOOKUP(Calendario!$I$24,Impostazioni!$A$25:$J$36,3,FALSE()),""))</f>
        <v>— libero —</v>
      </c>
      <c r="L619" s="26"/>
      <c r="M619" s="26"/>
      <c r="N619" s="26"/>
      <c r="O619" s="26"/>
      <c r="P619" s="26"/>
      <c r="Q619" s="26" t="str">
        <f aca="false">IF(Calendario!$J$24="","— libero —",Calendario!$J$24&amp;"  "&amp;IFERROR(VLOOKUP(Calendario!$J$24,Impostazioni!$A$25:$J$36,3,FALSE()),""))</f>
        <v>— libero —</v>
      </c>
      <c r="R619" s="26"/>
      <c r="S619" s="26"/>
      <c r="T619" s="26"/>
      <c r="U619" s="26"/>
      <c r="V619" s="26"/>
      <c r="W619" s="26" t="str">
        <f aca="false">IF(Calendario!$K$24="","— libero —",Calendario!$K$24&amp;"  "&amp;IFERROR(VLOOKUP(Calendario!$K$24,Impostazioni!$A$25:$J$36,3,FALSE()),""))</f>
        <v>— libero —</v>
      </c>
      <c r="X619" s="26"/>
      <c r="Y619" s="26"/>
      <c r="Z619" s="26"/>
      <c r="AA619" s="26"/>
      <c r="AB619" s="26"/>
    </row>
    <row r="620" customFormat="false" ht="15" hidden="false" customHeight="true" outlineLevel="0" collapsed="false">
      <c r="A620" s="25" t="s">
        <v>81</v>
      </c>
      <c r="B620" s="25"/>
      <c r="C620" s="25"/>
      <c r="D620" s="25"/>
      <c r="E620" s="27" t="str">
        <f aca="false">IF(Calendario!$H$24="","","Ob. "&amp;IFERROR(VLOOKUP(Calendario!$H$24,Impostazioni!$A$25:$J$36,6,FALSE()),"?")&amp;" · peso "&amp;IF(Calendario!$F$24=2,Impostazioni!$B$11,Impostazioni!$B$10))</f>
        <v/>
      </c>
      <c r="F620" s="27"/>
      <c r="G620" s="27"/>
      <c r="H620" s="27"/>
      <c r="I620" s="27"/>
      <c r="J620" s="27"/>
      <c r="K620" s="27" t="str">
        <f aca="false">IF(Calendario!$I$24="","","Ob. "&amp;IFERROR(VLOOKUP(Calendario!$I$24,Impostazioni!$A$25:$J$36,6,FALSE()),"?")&amp;" · peso "&amp;IF(Calendario!$F$24=2,Impostazioni!$B$11,Impostazioni!$B$10))</f>
        <v/>
      </c>
      <c r="L620" s="27"/>
      <c r="M620" s="27"/>
      <c r="N620" s="27"/>
      <c r="O620" s="27"/>
      <c r="P620" s="27"/>
      <c r="Q620" s="27" t="str">
        <f aca="false">IF(Calendario!$J$24="","","Ob. "&amp;IFERROR(VLOOKUP(Calendario!$J$24,Impostazioni!$A$25:$J$36,6,FALSE()),"?")&amp;" · peso "&amp;IF(Calendario!$F$24=2,Impostazioni!$B$11,Impostazioni!$B$10))</f>
        <v/>
      </c>
      <c r="R620" s="27"/>
      <c r="S620" s="27"/>
      <c r="T620" s="27"/>
      <c r="U620" s="27"/>
      <c r="V620" s="27"/>
      <c r="W620" s="27" t="str">
        <f aca="false">IF(Calendario!$K$24="","","Ob. "&amp;IFERROR(VLOOKUP(Calendario!$K$24,Impostazioni!$A$25:$J$36,6,FALSE()),"?")&amp;" · peso "&amp;IF(Calendario!$F$24=2,Impostazioni!$B$11,Impostazioni!$B$10))</f>
        <v/>
      </c>
      <c r="X620" s="27"/>
      <c r="Y620" s="27"/>
      <c r="Z620" s="27"/>
      <c r="AA620" s="27"/>
      <c r="AB620" s="27"/>
    </row>
    <row r="621" customFormat="false" ht="33.75" hidden="false" customHeight="true" outlineLevel="0" collapsed="false">
      <c r="A621" s="25" t="s">
        <v>82</v>
      </c>
      <c r="B621" s="25"/>
      <c r="C621" s="25"/>
      <c r="D621" s="25"/>
      <c r="E621" s="28" t="str">
        <f aca="false">IF(Calendario!$H$24="","",IFERROR(HYPERLINK("#Rubriche!C"&amp;(MATCH(Calendario!$H$24,Rubriche!$A$1:$A$1000,0)+0),VLOOKUP(Calendario!$H$24,Impostazioni!$A$25:$J$36,7,FALSE())),""))</f>
        <v/>
      </c>
      <c r="F621" s="28" t="str">
        <f aca="false">IF(Calendario!$H$24="","",IFERROR(HYPERLINK("#Rubriche!C"&amp;(MATCH(Calendario!$H$24,Rubriche!$A$1:$A$1000,0)+1),VLOOKUP(Calendario!$H$24,Impostazioni!$A$25:$J$36,8,FALSE())),""))</f>
        <v/>
      </c>
      <c r="G621" s="28" t="str">
        <f aca="false">IF(Calendario!$H$24="","",IFERROR(HYPERLINK("#Rubriche!C"&amp;(MATCH(Calendario!$H$24,Rubriche!$A$1:$A$1000,0)+2),VLOOKUP(Calendario!$H$24,Impostazioni!$A$25:$J$36,9,FALSE())),""))</f>
        <v/>
      </c>
      <c r="H621" s="28" t="str">
        <f aca="false">IF(Calendario!$H$24="","",IFERROR(HYPERLINK("#Rubriche!C"&amp;(MATCH(Calendario!$H$24,Rubriche!$A$1:$A$1000,0)+3),VLOOKUP(Calendario!$H$24,Impostazioni!$A$25:$J$36,10,FALSE())),""))</f>
        <v/>
      </c>
      <c r="I621" s="29"/>
      <c r="J621" s="29"/>
      <c r="K621" s="28" t="str">
        <f aca="false">IF(Calendario!$I$24="","",IFERROR(HYPERLINK("#Rubriche!C"&amp;(MATCH(Calendario!$I$24,Rubriche!$A$1:$A$1000,0)+0),VLOOKUP(Calendario!$I$24,Impostazioni!$A$25:$J$36,7,FALSE())),""))</f>
        <v/>
      </c>
      <c r="L621" s="28" t="str">
        <f aca="false">IF(Calendario!$I$24="","",IFERROR(HYPERLINK("#Rubriche!C"&amp;(MATCH(Calendario!$I$24,Rubriche!$A$1:$A$1000,0)+1),VLOOKUP(Calendario!$I$24,Impostazioni!$A$25:$J$36,8,FALSE())),""))</f>
        <v/>
      </c>
      <c r="M621" s="28" t="str">
        <f aca="false">IF(Calendario!$I$24="","",IFERROR(HYPERLINK("#Rubriche!C"&amp;(MATCH(Calendario!$I$24,Rubriche!$A$1:$A$1000,0)+2),VLOOKUP(Calendario!$I$24,Impostazioni!$A$25:$J$36,9,FALSE())),""))</f>
        <v/>
      </c>
      <c r="N621" s="28" t="str">
        <f aca="false">IF(Calendario!$I$24="","",IFERROR(HYPERLINK("#Rubriche!C"&amp;(MATCH(Calendario!$I$24,Rubriche!$A$1:$A$1000,0)+3),VLOOKUP(Calendario!$I$24,Impostazioni!$A$25:$J$36,10,FALSE())),""))</f>
        <v/>
      </c>
      <c r="O621" s="29"/>
      <c r="P621" s="29"/>
      <c r="Q621" s="28" t="str">
        <f aca="false">IF(Calendario!$J$24="","",IFERROR(HYPERLINK("#Rubriche!C"&amp;(MATCH(Calendario!$J$24,Rubriche!$A$1:$A$1000,0)+0),VLOOKUP(Calendario!$J$24,Impostazioni!$A$25:$J$36,7,FALSE())),""))</f>
        <v/>
      </c>
      <c r="R621" s="28" t="str">
        <f aca="false">IF(Calendario!$J$24="","",IFERROR(HYPERLINK("#Rubriche!C"&amp;(MATCH(Calendario!$J$24,Rubriche!$A$1:$A$1000,0)+1),VLOOKUP(Calendario!$J$24,Impostazioni!$A$25:$J$36,8,FALSE())),""))</f>
        <v/>
      </c>
      <c r="S621" s="28" t="str">
        <f aca="false">IF(Calendario!$J$24="","",IFERROR(HYPERLINK("#Rubriche!C"&amp;(MATCH(Calendario!$J$24,Rubriche!$A$1:$A$1000,0)+2),VLOOKUP(Calendario!$J$24,Impostazioni!$A$25:$J$36,9,FALSE())),""))</f>
        <v/>
      </c>
      <c r="T621" s="28" t="str">
        <f aca="false">IF(Calendario!$J$24="","",IFERROR(HYPERLINK("#Rubriche!C"&amp;(MATCH(Calendario!$J$24,Rubriche!$A$1:$A$1000,0)+3),VLOOKUP(Calendario!$J$24,Impostazioni!$A$25:$J$36,10,FALSE())),""))</f>
        <v/>
      </c>
      <c r="U621" s="29"/>
      <c r="V621" s="29"/>
      <c r="W621" s="28" t="str">
        <f aca="false">IF(Calendario!$K$24="","",IFERROR(HYPERLINK("#Rubriche!C"&amp;(MATCH(Calendario!$K$24,Rubriche!$A$1:$A$1000,0)+0),VLOOKUP(Calendario!$K$24,Impostazioni!$A$25:$J$36,7,FALSE())),""))</f>
        <v/>
      </c>
      <c r="X621" s="28" t="str">
        <f aca="false">IF(Calendario!$K$24="","",IFERROR(HYPERLINK("#Rubriche!C"&amp;(MATCH(Calendario!$K$24,Rubriche!$A$1:$A$1000,0)+1),VLOOKUP(Calendario!$K$24,Impostazioni!$A$25:$J$36,8,FALSE())),""))</f>
        <v/>
      </c>
      <c r="Y621" s="28" t="str">
        <f aca="false">IF(Calendario!$K$24="","",IFERROR(HYPERLINK("#Rubriche!C"&amp;(MATCH(Calendario!$K$24,Rubriche!$A$1:$A$1000,0)+2),VLOOKUP(Calendario!$K$24,Impostazioni!$A$25:$J$36,9,FALSE())),""))</f>
        <v/>
      </c>
      <c r="Z621" s="28" t="str">
        <f aca="false">IF(Calendario!$K$24="","",IFERROR(HYPERLINK("#Rubriche!C"&amp;(MATCH(Calendario!$K$24,Rubriche!$A$1:$A$1000,0)+3),VLOOKUP(Calendario!$K$24,Impostazioni!$A$25:$J$36,10,FALSE())),""))</f>
        <v/>
      </c>
      <c r="AA621" s="29"/>
      <c r="AB621" s="29"/>
    </row>
    <row r="622" customFormat="false" ht="25.5" hidden="false" customHeight="true" outlineLevel="0" collapsed="false">
      <c r="A622" s="8" t="s">
        <v>65</v>
      </c>
      <c r="B622" s="8" t="s">
        <v>83</v>
      </c>
      <c r="C622" s="8" t="s">
        <v>68</v>
      </c>
      <c r="D622" s="8" t="s">
        <v>84</v>
      </c>
      <c r="E622" s="30" t="s">
        <v>85</v>
      </c>
      <c r="F622" s="30" t="s">
        <v>86</v>
      </c>
      <c r="G622" s="30" t="s">
        <v>87</v>
      </c>
      <c r="H622" s="30" t="s">
        <v>88</v>
      </c>
      <c r="I622" s="31" t="s">
        <v>89</v>
      </c>
      <c r="J622" s="32" t="s">
        <v>90</v>
      </c>
      <c r="K622" s="30" t="s">
        <v>85</v>
      </c>
      <c r="L622" s="30" t="s">
        <v>86</v>
      </c>
      <c r="M622" s="30" t="s">
        <v>87</v>
      </c>
      <c r="N622" s="30" t="s">
        <v>88</v>
      </c>
      <c r="O622" s="31" t="s">
        <v>89</v>
      </c>
      <c r="P622" s="32" t="s">
        <v>90</v>
      </c>
      <c r="Q622" s="30" t="s">
        <v>85</v>
      </c>
      <c r="R622" s="30" t="s">
        <v>86</v>
      </c>
      <c r="S622" s="30" t="s">
        <v>87</v>
      </c>
      <c r="T622" s="30" t="s">
        <v>88</v>
      </c>
      <c r="U622" s="31" t="s">
        <v>89</v>
      </c>
      <c r="V622" s="32" t="s">
        <v>90</v>
      </c>
      <c r="W622" s="30" t="s">
        <v>85</v>
      </c>
      <c r="X622" s="30" t="s">
        <v>86</v>
      </c>
      <c r="Y622" s="30" t="s">
        <v>87</v>
      </c>
      <c r="Z622" s="30" t="s">
        <v>88</v>
      </c>
      <c r="AA622" s="31" t="s">
        <v>89</v>
      </c>
      <c r="AB622" s="32" t="s">
        <v>90</v>
      </c>
    </row>
    <row r="623" customFormat="false" ht="21" hidden="false" customHeight="true" outlineLevel="0" collapsed="false">
      <c r="A623" s="33" t="n">
        <v>1</v>
      </c>
      <c r="B623" s="34" t="str">
        <f aca="false">IFERROR(INDEX(Alunni!$C$1:$C$1000,MATCH($A623,Alunni!$A$1:$A$1000,0))&amp;"","")</f>
        <v>Rossi Mario (esempio)</v>
      </c>
      <c r="C623" s="15"/>
      <c r="D623" s="35"/>
      <c r="E623" s="36"/>
      <c r="F623" s="36"/>
      <c r="G623" s="36"/>
      <c r="H623" s="36"/>
      <c r="I623" s="39" t="str">
        <f aca="false">IF(COUNT(E623:H623)=0,"",ROUND(AVERAGE(E623:H623),0))</f>
        <v/>
      </c>
      <c r="J623" s="38" t="str">
        <f aca="false">IF(I623="","",LOOKUP(I623,Impostazioni!$E$4:$E$9,Impostazioni!$F$4:$F$9))</f>
        <v/>
      </c>
      <c r="K623" s="36"/>
      <c r="L623" s="36"/>
      <c r="M623" s="36"/>
      <c r="N623" s="36"/>
      <c r="O623" s="39" t="str">
        <f aca="false">IF(COUNT(K623:N623)=0,"",ROUND(AVERAGE(K623:N623),0))</f>
        <v/>
      </c>
      <c r="P623" s="38" t="str">
        <f aca="false">IF(O623="","",LOOKUP(O623,Impostazioni!$E$4:$E$9,Impostazioni!$F$4:$F$9))</f>
        <v/>
      </c>
      <c r="Q623" s="36"/>
      <c r="R623" s="36"/>
      <c r="S623" s="36"/>
      <c r="T623" s="36"/>
      <c r="U623" s="39" t="str">
        <f aca="false">IF(COUNT(Q623:T623)=0,"",ROUND(AVERAGE(Q623:T623),0))</f>
        <v/>
      </c>
      <c r="V623" s="38" t="str">
        <f aca="false">IF(U623="","",LOOKUP(U623,Impostazioni!$E$4:$E$9,Impostazioni!$F$4:$F$9))</f>
        <v/>
      </c>
      <c r="W623" s="36"/>
      <c r="X623" s="36"/>
      <c r="Y623" s="36"/>
      <c r="Z623" s="36"/>
      <c r="AA623" s="39" t="str">
        <f aca="false">IF(COUNT(W623:Z623)=0,"",ROUND(AVERAGE(W623:Z623),0))</f>
        <v/>
      </c>
      <c r="AB623" s="38" t="str">
        <f aca="false">IF(AA623="","",LOOKUP(AA623,Impostazioni!$E$4:$E$9,Impostazioni!$F$4:$F$9))</f>
        <v/>
      </c>
    </row>
    <row r="624" customFormat="false" ht="21" hidden="false" customHeight="true" outlineLevel="0" collapsed="false">
      <c r="A624" s="33" t="n">
        <v>2</v>
      </c>
      <c r="B624" s="34" t="str">
        <f aca="false">IFERROR(INDEX(Alunni!$C$1:$C$1000,MATCH($A624,Alunni!$A$1:$A$1000,0))&amp;"","")</f>
        <v>Bianchi Anna (esempio)</v>
      </c>
      <c r="C624" s="15"/>
      <c r="D624" s="35"/>
      <c r="E624" s="36"/>
      <c r="F624" s="36"/>
      <c r="G624" s="36"/>
      <c r="H624" s="36"/>
      <c r="I624" s="39" t="str">
        <f aca="false">IF(COUNT(E624:H624)=0,"",ROUND(AVERAGE(E624:H624),0))</f>
        <v/>
      </c>
      <c r="J624" s="38" t="str">
        <f aca="false">IF(I624="","",LOOKUP(I624,Impostazioni!$E$4:$E$9,Impostazioni!$F$4:$F$9))</f>
        <v/>
      </c>
      <c r="K624" s="36"/>
      <c r="L624" s="36"/>
      <c r="M624" s="36"/>
      <c r="N624" s="36"/>
      <c r="O624" s="39" t="str">
        <f aca="false">IF(COUNT(K624:N624)=0,"",ROUND(AVERAGE(K624:N624),0))</f>
        <v/>
      </c>
      <c r="P624" s="38" t="str">
        <f aca="false">IF(O624="","",LOOKUP(O624,Impostazioni!$E$4:$E$9,Impostazioni!$F$4:$F$9))</f>
        <v/>
      </c>
      <c r="Q624" s="36"/>
      <c r="R624" s="36"/>
      <c r="S624" s="36"/>
      <c r="T624" s="36"/>
      <c r="U624" s="39" t="str">
        <f aca="false">IF(COUNT(Q624:T624)=0,"",ROUND(AVERAGE(Q624:T624),0))</f>
        <v/>
      </c>
      <c r="V624" s="38" t="str">
        <f aca="false">IF(U624="","",LOOKUP(U624,Impostazioni!$E$4:$E$9,Impostazioni!$F$4:$F$9))</f>
        <v/>
      </c>
      <c r="W624" s="36"/>
      <c r="X624" s="36"/>
      <c r="Y624" s="36"/>
      <c r="Z624" s="36"/>
      <c r="AA624" s="39" t="str">
        <f aca="false">IF(COUNT(W624:Z624)=0,"",ROUND(AVERAGE(W624:Z624),0))</f>
        <v/>
      </c>
      <c r="AB624" s="38" t="str">
        <f aca="false">IF(AA624="","",LOOKUP(AA624,Impostazioni!$E$4:$E$9,Impostazioni!$F$4:$F$9))</f>
        <v/>
      </c>
    </row>
    <row r="625" customFormat="false" ht="21" hidden="false" customHeight="true" outlineLevel="0" collapsed="false">
      <c r="A625" s="33" t="n">
        <v>3</v>
      </c>
      <c r="B625" s="34" t="str">
        <f aca="false">IFERROR(INDEX(Alunni!$C$1:$C$1000,MATCH($A625,Alunni!$A$1:$A$1000,0))&amp;"","")</f>
        <v>Verdi Luca (esempio)</v>
      </c>
      <c r="C625" s="15"/>
      <c r="D625" s="35"/>
      <c r="E625" s="36"/>
      <c r="F625" s="36"/>
      <c r="G625" s="36"/>
      <c r="H625" s="36"/>
      <c r="I625" s="39" t="str">
        <f aca="false">IF(COUNT(E625:H625)=0,"",ROUND(AVERAGE(E625:H625),0))</f>
        <v/>
      </c>
      <c r="J625" s="38" t="str">
        <f aca="false">IF(I625="","",LOOKUP(I625,Impostazioni!$E$4:$E$9,Impostazioni!$F$4:$F$9))</f>
        <v/>
      </c>
      <c r="K625" s="36"/>
      <c r="L625" s="36"/>
      <c r="M625" s="36"/>
      <c r="N625" s="36"/>
      <c r="O625" s="39" t="str">
        <f aca="false">IF(COUNT(K625:N625)=0,"",ROUND(AVERAGE(K625:N625),0))</f>
        <v/>
      </c>
      <c r="P625" s="38" t="str">
        <f aca="false">IF(O625="","",LOOKUP(O625,Impostazioni!$E$4:$E$9,Impostazioni!$F$4:$F$9))</f>
        <v/>
      </c>
      <c r="Q625" s="36"/>
      <c r="R625" s="36"/>
      <c r="S625" s="36"/>
      <c r="T625" s="36"/>
      <c r="U625" s="39" t="str">
        <f aca="false">IF(COUNT(Q625:T625)=0,"",ROUND(AVERAGE(Q625:T625),0))</f>
        <v/>
      </c>
      <c r="V625" s="38" t="str">
        <f aca="false">IF(U625="","",LOOKUP(U625,Impostazioni!$E$4:$E$9,Impostazioni!$F$4:$F$9))</f>
        <v/>
      </c>
      <c r="W625" s="36"/>
      <c r="X625" s="36"/>
      <c r="Y625" s="36"/>
      <c r="Z625" s="36"/>
      <c r="AA625" s="39" t="str">
        <f aca="false">IF(COUNT(W625:Z625)=0,"",ROUND(AVERAGE(W625:Z625),0))</f>
        <v/>
      </c>
      <c r="AB625" s="38" t="str">
        <f aca="false">IF(AA625="","",LOOKUP(AA625,Impostazioni!$E$4:$E$9,Impostazioni!$F$4:$F$9))</f>
        <v/>
      </c>
    </row>
    <row r="626" customFormat="false" ht="21" hidden="false" customHeight="true" outlineLevel="0" collapsed="false">
      <c r="A626" s="33" t="n">
        <v>4</v>
      </c>
      <c r="B626" s="34" t="str">
        <f aca="false">IFERROR(INDEX(Alunni!$C$1:$C$1000,MATCH($A626,Alunni!$A$1:$A$1000,0))&amp;"","")</f>
        <v/>
      </c>
      <c r="C626" s="15"/>
      <c r="D626" s="35"/>
      <c r="E626" s="36"/>
      <c r="F626" s="36"/>
      <c r="G626" s="36"/>
      <c r="H626" s="36"/>
      <c r="I626" s="39" t="str">
        <f aca="false">IF(COUNT(E626:H626)=0,"",ROUND(AVERAGE(E626:H626),0))</f>
        <v/>
      </c>
      <c r="J626" s="38" t="str">
        <f aca="false">IF(I626="","",LOOKUP(I626,Impostazioni!$E$4:$E$9,Impostazioni!$F$4:$F$9))</f>
        <v/>
      </c>
      <c r="K626" s="36"/>
      <c r="L626" s="36"/>
      <c r="M626" s="36"/>
      <c r="N626" s="36"/>
      <c r="O626" s="39" t="str">
        <f aca="false">IF(COUNT(K626:N626)=0,"",ROUND(AVERAGE(K626:N626),0))</f>
        <v/>
      </c>
      <c r="P626" s="38" t="str">
        <f aca="false">IF(O626="","",LOOKUP(O626,Impostazioni!$E$4:$E$9,Impostazioni!$F$4:$F$9))</f>
        <v/>
      </c>
      <c r="Q626" s="36"/>
      <c r="R626" s="36"/>
      <c r="S626" s="36"/>
      <c r="T626" s="36"/>
      <c r="U626" s="39" t="str">
        <f aca="false">IF(COUNT(Q626:T626)=0,"",ROUND(AVERAGE(Q626:T626),0))</f>
        <v/>
      </c>
      <c r="V626" s="38" t="str">
        <f aca="false">IF(U626="","",LOOKUP(U626,Impostazioni!$E$4:$E$9,Impostazioni!$F$4:$F$9))</f>
        <v/>
      </c>
      <c r="W626" s="36"/>
      <c r="X626" s="36"/>
      <c r="Y626" s="36"/>
      <c r="Z626" s="36"/>
      <c r="AA626" s="39" t="str">
        <f aca="false">IF(COUNT(W626:Z626)=0,"",ROUND(AVERAGE(W626:Z626),0))</f>
        <v/>
      </c>
      <c r="AB626" s="38" t="str">
        <f aca="false">IF(AA626="","",LOOKUP(AA626,Impostazioni!$E$4:$E$9,Impostazioni!$F$4:$F$9))</f>
        <v/>
      </c>
    </row>
    <row r="627" customFormat="false" ht="21" hidden="false" customHeight="true" outlineLevel="0" collapsed="false">
      <c r="A627" s="33" t="n">
        <v>5</v>
      </c>
      <c r="B627" s="34" t="str">
        <f aca="false">IFERROR(INDEX(Alunni!$C$1:$C$1000,MATCH($A627,Alunni!$A$1:$A$1000,0))&amp;"","")</f>
        <v/>
      </c>
      <c r="C627" s="15"/>
      <c r="D627" s="35"/>
      <c r="E627" s="36"/>
      <c r="F627" s="36"/>
      <c r="G627" s="36"/>
      <c r="H627" s="36"/>
      <c r="I627" s="39" t="str">
        <f aca="false">IF(COUNT(E627:H627)=0,"",ROUND(AVERAGE(E627:H627),0))</f>
        <v/>
      </c>
      <c r="J627" s="38" t="str">
        <f aca="false">IF(I627="","",LOOKUP(I627,Impostazioni!$E$4:$E$9,Impostazioni!$F$4:$F$9))</f>
        <v/>
      </c>
      <c r="K627" s="36"/>
      <c r="L627" s="36"/>
      <c r="M627" s="36"/>
      <c r="N627" s="36"/>
      <c r="O627" s="39" t="str">
        <f aca="false">IF(COUNT(K627:N627)=0,"",ROUND(AVERAGE(K627:N627),0))</f>
        <v/>
      </c>
      <c r="P627" s="38" t="str">
        <f aca="false">IF(O627="","",LOOKUP(O627,Impostazioni!$E$4:$E$9,Impostazioni!$F$4:$F$9))</f>
        <v/>
      </c>
      <c r="Q627" s="36"/>
      <c r="R627" s="36"/>
      <c r="S627" s="36"/>
      <c r="T627" s="36"/>
      <c r="U627" s="39" t="str">
        <f aca="false">IF(COUNT(Q627:T627)=0,"",ROUND(AVERAGE(Q627:T627),0))</f>
        <v/>
      </c>
      <c r="V627" s="38" t="str">
        <f aca="false">IF(U627="","",LOOKUP(U627,Impostazioni!$E$4:$E$9,Impostazioni!$F$4:$F$9))</f>
        <v/>
      </c>
      <c r="W627" s="36"/>
      <c r="X627" s="36"/>
      <c r="Y627" s="36"/>
      <c r="Z627" s="36"/>
      <c r="AA627" s="39" t="str">
        <f aca="false">IF(COUNT(W627:Z627)=0,"",ROUND(AVERAGE(W627:Z627),0))</f>
        <v/>
      </c>
      <c r="AB627" s="38" t="str">
        <f aca="false">IF(AA627="","",LOOKUP(AA627,Impostazioni!$E$4:$E$9,Impostazioni!$F$4:$F$9))</f>
        <v/>
      </c>
    </row>
    <row r="628" customFormat="false" ht="21" hidden="false" customHeight="true" outlineLevel="0" collapsed="false">
      <c r="A628" s="33" t="n">
        <v>6</v>
      </c>
      <c r="B628" s="34" t="str">
        <f aca="false">IFERROR(INDEX(Alunni!$C$1:$C$1000,MATCH($A628,Alunni!$A$1:$A$1000,0))&amp;"","")</f>
        <v/>
      </c>
      <c r="C628" s="15"/>
      <c r="D628" s="35"/>
      <c r="E628" s="36"/>
      <c r="F628" s="36"/>
      <c r="G628" s="36"/>
      <c r="H628" s="36"/>
      <c r="I628" s="39" t="str">
        <f aca="false">IF(COUNT(E628:H628)=0,"",ROUND(AVERAGE(E628:H628),0))</f>
        <v/>
      </c>
      <c r="J628" s="38" t="str">
        <f aca="false">IF(I628="","",LOOKUP(I628,Impostazioni!$E$4:$E$9,Impostazioni!$F$4:$F$9))</f>
        <v/>
      </c>
      <c r="K628" s="36"/>
      <c r="L628" s="36"/>
      <c r="M628" s="36"/>
      <c r="N628" s="36"/>
      <c r="O628" s="39" t="str">
        <f aca="false">IF(COUNT(K628:N628)=0,"",ROUND(AVERAGE(K628:N628),0))</f>
        <v/>
      </c>
      <c r="P628" s="38" t="str">
        <f aca="false">IF(O628="","",LOOKUP(O628,Impostazioni!$E$4:$E$9,Impostazioni!$F$4:$F$9))</f>
        <v/>
      </c>
      <c r="Q628" s="36"/>
      <c r="R628" s="36"/>
      <c r="S628" s="36"/>
      <c r="T628" s="36"/>
      <c r="U628" s="39" t="str">
        <f aca="false">IF(COUNT(Q628:T628)=0,"",ROUND(AVERAGE(Q628:T628),0))</f>
        <v/>
      </c>
      <c r="V628" s="38" t="str">
        <f aca="false">IF(U628="","",LOOKUP(U628,Impostazioni!$E$4:$E$9,Impostazioni!$F$4:$F$9))</f>
        <v/>
      </c>
      <c r="W628" s="36"/>
      <c r="X628" s="36"/>
      <c r="Y628" s="36"/>
      <c r="Z628" s="36"/>
      <c r="AA628" s="39" t="str">
        <f aca="false">IF(COUNT(W628:Z628)=0,"",ROUND(AVERAGE(W628:Z628),0))</f>
        <v/>
      </c>
      <c r="AB628" s="38" t="str">
        <f aca="false">IF(AA628="","",LOOKUP(AA628,Impostazioni!$E$4:$E$9,Impostazioni!$F$4:$F$9))</f>
        <v/>
      </c>
    </row>
    <row r="629" customFormat="false" ht="21" hidden="false" customHeight="true" outlineLevel="0" collapsed="false">
      <c r="A629" s="33" t="n">
        <v>7</v>
      </c>
      <c r="B629" s="34" t="str">
        <f aca="false">IFERROR(INDEX(Alunni!$C$1:$C$1000,MATCH($A629,Alunni!$A$1:$A$1000,0))&amp;"","")</f>
        <v/>
      </c>
      <c r="C629" s="15"/>
      <c r="D629" s="35"/>
      <c r="E629" s="36"/>
      <c r="F629" s="36"/>
      <c r="G629" s="36"/>
      <c r="H629" s="36"/>
      <c r="I629" s="39" t="str">
        <f aca="false">IF(COUNT(E629:H629)=0,"",ROUND(AVERAGE(E629:H629),0))</f>
        <v/>
      </c>
      <c r="J629" s="38" t="str">
        <f aca="false">IF(I629="","",LOOKUP(I629,Impostazioni!$E$4:$E$9,Impostazioni!$F$4:$F$9))</f>
        <v/>
      </c>
      <c r="K629" s="36"/>
      <c r="L629" s="36"/>
      <c r="M629" s="36"/>
      <c r="N629" s="36"/>
      <c r="O629" s="39" t="str">
        <f aca="false">IF(COUNT(K629:N629)=0,"",ROUND(AVERAGE(K629:N629),0))</f>
        <v/>
      </c>
      <c r="P629" s="38" t="str">
        <f aca="false">IF(O629="","",LOOKUP(O629,Impostazioni!$E$4:$E$9,Impostazioni!$F$4:$F$9))</f>
        <v/>
      </c>
      <c r="Q629" s="36"/>
      <c r="R629" s="36"/>
      <c r="S629" s="36"/>
      <c r="T629" s="36"/>
      <c r="U629" s="39" t="str">
        <f aca="false">IF(COUNT(Q629:T629)=0,"",ROUND(AVERAGE(Q629:T629),0))</f>
        <v/>
      </c>
      <c r="V629" s="38" t="str">
        <f aca="false">IF(U629="","",LOOKUP(U629,Impostazioni!$E$4:$E$9,Impostazioni!$F$4:$F$9))</f>
        <v/>
      </c>
      <c r="W629" s="36"/>
      <c r="X629" s="36"/>
      <c r="Y629" s="36"/>
      <c r="Z629" s="36"/>
      <c r="AA629" s="39" t="str">
        <f aca="false">IF(COUNT(W629:Z629)=0,"",ROUND(AVERAGE(W629:Z629),0))</f>
        <v/>
      </c>
      <c r="AB629" s="38" t="str">
        <f aca="false">IF(AA629="","",LOOKUP(AA629,Impostazioni!$E$4:$E$9,Impostazioni!$F$4:$F$9))</f>
        <v/>
      </c>
    </row>
    <row r="630" customFormat="false" ht="21" hidden="false" customHeight="true" outlineLevel="0" collapsed="false">
      <c r="A630" s="33" t="n">
        <v>8</v>
      </c>
      <c r="B630" s="34" t="str">
        <f aca="false">IFERROR(INDEX(Alunni!$C$1:$C$1000,MATCH($A630,Alunni!$A$1:$A$1000,0))&amp;"","")</f>
        <v/>
      </c>
      <c r="C630" s="15"/>
      <c r="D630" s="35"/>
      <c r="E630" s="36"/>
      <c r="F630" s="36"/>
      <c r="G630" s="36"/>
      <c r="H630" s="36"/>
      <c r="I630" s="39" t="str">
        <f aca="false">IF(COUNT(E630:H630)=0,"",ROUND(AVERAGE(E630:H630),0))</f>
        <v/>
      </c>
      <c r="J630" s="38" t="str">
        <f aca="false">IF(I630="","",LOOKUP(I630,Impostazioni!$E$4:$E$9,Impostazioni!$F$4:$F$9))</f>
        <v/>
      </c>
      <c r="K630" s="36"/>
      <c r="L630" s="36"/>
      <c r="M630" s="36"/>
      <c r="N630" s="36"/>
      <c r="O630" s="39" t="str">
        <f aca="false">IF(COUNT(K630:N630)=0,"",ROUND(AVERAGE(K630:N630),0))</f>
        <v/>
      </c>
      <c r="P630" s="38" t="str">
        <f aca="false">IF(O630="","",LOOKUP(O630,Impostazioni!$E$4:$E$9,Impostazioni!$F$4:$F$9))</f>
        <v/>
      </c>
      <c r="Q630" s="36"/>
      <c r="R630" s="36"/>
      <c r="S630" s="36"/>
      <c r="T630" s="36"/>
      <c r="U630" s="39" t="str">
        <f aca="false">IF(COUNT(Q630:T630)=0,"",ROUND(AVERAGE(Q630:T630),0))</f>
        <v/>
      </c>
      <c r="V630" s="38" t="str">
        <f aca="false">IF(U630="","",LOOKUP(U630,Impostazioni!$E$4:$E$9,Impostazioni!$F$4:$F$9))</f>
        <v/>
      </c>
      <c r="W630" s="36"/>
      <c r="X630" s="36"/>
      <c r="Y630" s="36"/>
      <c r="Z630" s="36"/>
      <c r="AA630" s="39" t="str">
        <f aca="false">IF(COUNT(W630:Z630)=0,"",ROUND(AVERAGE(W630:Z630),0))</f>
        <v/>
      </c>
      <c r="AB630" s="38" t="str">
        <f aca="false">IF(AA630="","",LOOKUP(AA630,Impostazioni!$E$4:$E$9,Impostazioni!$F$4:$F$9))</f>
        <v/>
      </c>
    </row>
    <row r="631" customFormat="false" ht="21" hidden="false" customHeight="true" outlineLevel="0" collapsed="false">
      <c r="A631" s="33" t="n">
        <v>9</v>
      </c>
      <c r="B631" s="34" t="str">
        <f aca="false">IFERROR(INDEX(Alunni!$C$1:$C$1000,MATCH($A631,Alunni!$A$1:$A$1000,0))&amp;"","")</f>
        <v/>
      </c>
      <c r="C631" s="15"/>
      <c r="D631" s="35"/>
      <c r="E631" s="36"/>
      <c r="F631" s="36"/>
      <c r="G631" s="36"/>
      <c r="H631" s="36"/>
      <c r="I631" s="39" t="str">
        <f aca="false">IF(COUNT(E631:H631)=0,"",ROUND(AVERAGE(E631:H631),0))</f>
        <v/>
      </c>
      <c r="J631" s="38" t="str">
        <f aca="false">IF(I631="","",LOOKUP(I631,Impostazioni!$E$4:$E$9,Impostazioni!$F$4:$F$9))</f>
        <v/>
      </c>
      <c r="K631" s="36"/>
      <c r="L631" s="36"/>
      <c r="M631" s="36"/>
      <c r="N631" s="36"/>
      <c r="O631" s="39" t="str">
        <f aca="false">IF(COUNT(K631:N631)=0,"",ROUND(AVERAGE(K631:N631),0))</f>
        <v/>
      </c>
      <c r="P631" s="38" t="str">
        <f aca="false">IF(O631="","",LOOKUP(O631,Impostazioni!$E$4:$E$9,Impostazioni!$F$4:$F$9))</f>
        <v/>
      </c>
      <c r="Q631" s="36"/>
      <c r="R631" s="36"/>
      <c r="S631" s="36"/>
      <c r="T631" s="36"/>
      <c r="U631" s="39" t="str">
        <f aca="false">IF(COUNT(Q631:T631)=0,"",ROUND(AVERAGE(Q631:T631),0))</f>
        <v/>
      </c>
      <c r="V631" s="38" t="str">
        <f aca="false">IF(U631="","",LOOKUP(U631,Impostazioni!$E$4:$E$9,Impostazioni!$F$4:$F$9))</f>
        <v/>
      </c>
      <c r="W631" s="36"/>
      <c r="X631" s="36"/>
      <c r="Y631" s="36"/>
      <c r="Z631" s="36"/>
      <c r="AA631" s="39" t="str">
        <f aca="false">IF(COUNT(W631:Z631)=0,"",ROUND(AVERAGE(W631:Z631),0))</f>
        <v/>
      </c>
      <c r="AB631" s="38" t="str">
        <f aca="false">IF(AA631="","",LOOKUP(AA631,Impostazioni!$E$4:$E$9,Impostazioni!$F$4:$F$9))</f>
        <v/>
      </c>
    </row>
    <row r="632" customFormat="false" ht="21" hidden="false" customHeight="true" outlineLevel="0" collapsed="false">
      <c r="A632" s="33" t="n">
        <v>10</v>
      </c>
      <c r="B632" s="34" t="str">
        <f aca="false">IFERROR(INDEX(Alunni!$C$1:$C$1000,MATCH($A632,Alunni!$A$1:$A$1000,0))&amp;"","")</f>
        <v/>
      </c>
      <c r="C632" s="15"/>
      <c r="D632" s="35"/>
      <c r="E632" s="36"/>
      <c r="F632" s="36"/>
      <c r="G632" s="36"/>
      <c r="H632" s="36"/>
      <c r="I632" s="39" t="str">
        <f aca="false">IF(COUNT(E632:H632)=0,"",ROUND(AVERAGE(E632:H632),0))</f>
        <v/>
      </c>
      <c r="J632" s="38" t="str">
        <f aca="false">IF(I632="","",LOOKUP(I632,Impostazioni!$E$4:$E$9,Impostazioni!$F$4:$F$9))</f>
        <v/>
      </c>
      <c r="K632" s="36"/>
      <c r="L632" s="36"/>
      <c r="M632" s="36"/>
      <c r="N632" s="36"/>
      <c r="O632" s="39" t="str">
        <f aca="false">IF(COUNT(K632:N632)=0,"",ROUND(AVERAGE(K632:N632),0))</f>
        <v/>
      </c>
      <c r="P632" s="38" t="str">
        <f aca="false">IF(O632="","",LOOKUP(O632,Impostazioni!$E$4:$E$9,Impostazioni!$F$4:$F$9))</f>
        <v/>
      </c>
      <c r="Q632" s="36"/>
      <c r="R632" s="36"/>
      <c r="S632" s="36"/>
      <c r="T632" s="36"/>
      <c r="U632" s="39" t="str">
        <f aca="false">IF(COUNT(Q632:T632)=0,"",ROUND(AVERAGE(Q632:T632),0))</f>
        <v/>
      </c>
      <c r="V632" s="38" t="str">
        <f aca="false">IF(U632="","",LOOKUP(U632,Impostazioni!$E$4:$E$9,Impostazioni!$F$4:$F$9))</f>
        <v/>
      </c>
      <c r="W632" s="36"/>
      <c r="X632" s="36"/>
      <c r="Y632" s="36"/>
      <c r="Z632" s="36"/>
      <c r="AA632" s="39" t="str">
        <f aca="false">IF(COUNT(W632:Z632)=0,"",ROUND(AVERAGE(W632:Z632),0))</f>
        <v/>
      </c>
      <c r="AB632" s="38" t="str">
        <f aca="false">IF(AA632="","",LOOKUP(AA632,Impostazioni!$E$4:$E$9,Impostazioni!$F$4:$F$9))</f>
        <v/>
      </c>
    </row>
    <row r="633" customFormat="false" ht="21" hidden="false" customHeight="true" outlineLevel="0" collapsed="false">
      <c r="A633" s="33" t="n">
        <v>11</v>
      </c>
      <c r="B633" s="34" t="str">
        <f aca="false">IFERROR(INDEX(Alunni!$C$1:$C$1000,MATCH($A633,Alunni!$A$1:$A$1000,0))&amp;"","")</f>
        <v/>
      </c>
      <c r="C633" s="15"/>
      <c r="D633" s="35"/>
      <c r="E633" s="36"/>
      <c r="F633" s="36"/>
      <c r="G633" s="36"/>
      <c r="H633" s="36"/>
      <c r="I633" s="39" t="str">
        <f aca="false">IF(COUNT(E633:H633)=0,"",ROUND(AVERAGE(E633:H633),0))</f>
        <v/>
      </c>
      <c r="J633" s="38" t="str">
        <f aca="false">IF(I633="","",LOOKUP(I633,Impostazioni!$E$4:$E$9,Impostazioni!$F$4:$F$9))</f>
        <v/>
      </c>
      <c r="K633" s="36"/>
      <c r="L633" s="36"/>
      <c r="M633" s="36"/>
      <c r="N633" s="36"/>
      <c r="O633" s="39" t="str">
        <f aca="false">IF(COUNT(K633:N633)=0,"",ROUND(AVERAGE(K633:N633),0))</f>
        <v/>
      </c>
      <c r="P633" s="38" t="str">
        <f aca="false">IF(O633="","",LOOKUP(O633,Impostazioni!$E$4:$E$9,Impostazioni!$F$4:$F$9))</f>
        <v/>
      </c>
      <c r="Q633" s="36"/>
      <c r="R633" s="36"/>
      <c r="S633" s="36"/>
      <c r="T633" s="36"/>
      <c r="U633" s="39" t="str">
        <f aca="false">IF(COUNT(Q633:T633)=0,"",ROUND(AVERAGE(Q633:T633),0))</f>
        <v/>
      </c>
      <c r="V633" s="38" t="str">
        <f aca="false">IF(U633="","",LOOKUP(U633,Impostazioni!$E$4:$E$9,Impostazioni!$F$4:$F$9))</f>
        <v/>
      </c>
      <c r="W633" s="36"/>
      <c r="X633" s="36"/>
      <c r="Y633" s="36"/>
      <c r="Z633" s="36"/>
      <c r="AA633" s="39" t="str">
        <f aca="false">IF(COUNT(W633:Z633)=0,"",ROUND(AVERAGE(W633:Z633),0))</f>
        <v/>
      </c>
      <c r="AB633" s="38" t="str">
        <f aca="false">IF(AA633="","",LOOKUP(AA633,Impostazioni!$E$4:$E$9,Impostazioni!$F$4:$F$9))</f>
        <v/>
      </c>
    </row>
    <row r="634" customFormat="false" ht="21" hidden="false" customHeight="true" outlineLevel="0" collapsed="false">
      <c r="A634" s="33" t="n">
        <v>12</v>
      </c>
      <c r="B634" s="34" t="str">
        <f aca="false">IFERROR(INDEX(Alunni!$C$1:$C$1000,MATCH($A634,Alunni!$A$1:$A$1000,0))&amp;"","")</f>
        <v/>
      </c>
      <c r="C634" s="15"/>
      <c r="D634" s="35"/>
      <c r="E634" s="36"/>
      <c r="F634" s="36"/>
      <c r="G634" s="36"/>
      <c r="H634" s="36"/>
      <c r="I634" s="39" t="str">
        <f aca="false">IF(COUNT(E634:H634)=0,"",ROUND(AVERAGE(E634:H634),0))</f>
        <v/>
      </c>
      <c r="J634" s="38" t="str">
        <f aca="false">IF(I634="","",LOOKUP(I634,Impostazioni!$E$4:$E$9,Impostazioni!$F$4:$F$9))</f>
        <v/>
      </c>
      <c r="K634" s="36"/>
      <c r="L634" s="36"/>
      <c r="M634" s="36"/>
      <c r="N634" s="36"/>
      <c r="O634" s="39" t="str">
        <f aca="false">IF(COUNT(K634:N634)=0,"",ROUND(AVERAGE(K634:N634),0))</f>
        <v/>
      </c>
      <c r="P634" s="38" t="str">
        <f aca="false">IF(O634="","",LOOKUP(O634,Impostazioni!$E$4:$E$9,Impostazioni!$F$4:$F$9))</f>
        <v/>
      </c>
      <c r="Q634" s="36"/>
      <c r="R634" s="36"/>
      <c r="S634" s="36"/>
      <c r="T634" s="36"/>
      <c r="U634" s="39" t="str">
        <f aca="false">IF(COUNT(Q634:T634)=0,"",ROUND(AVERAGE(Q634:T634),0))</f>
        <v/>
      </c>
      <c r="V634" s="38" t="str">
        <f aca="false">IF(U634="","",LOOKUP(U634,Impostazioni!$E$4:$E$9,Impostazioni!$F$4:$F$9))</f>
        <v/>
      </c>
      <c r="W634" s="36"/>
      <c r="X634" s="36"/>
      <c r="Y634" s="36"/>
      <c r="Z634" s="36"/>
      <c r="AA634" s="39" t="str">
        <f aca="false">IF(COUNT(W634:Z634)=0,"",ROUND(AVERAGE(W634:Z634),0))</f>
        <v/>
      </c>
      <c r="AB634" s="38" t="str">
        <f aca="false">IF(AA634="","",LOOKUP(AA634,Impostazioni!$E$4:$E$9,Impostazioni!$F$4:$F$9))</f>
        <v/>
      </c>
    </row>
    <row r="635" customFormat="false" ht="21" hidden="false" customHeight="true" outlineLevel="0" collapsed="false">
      <c r="A635" s="33" t="n">
        <v>13</v>
      </c>
      <c r="B635" s="34" t="str">
        <f aca="false">IFERROR(INDEX(Alunni!$C$1:$C$1000,MATCH($A635,Alunni!$A$1:$A$1000,0))&amp;"","")</f>
        <v/>
      </c>
      <c r="C635" s="15"/>
      <c r="D635" s="35"/>
      <c r="E635" s="36"/>
      <c r="F635" s="36"/>
      <c r="G635" s="36"/>
      <c r="H635" s="36"/>
      <c r="I635" s="39" t="str">
        <f aca="false">IF(COUNT(E635:H635)=0,"",ROUND(AVERAGE(E635:H635),0))</f>
        <v/>
      </c>
      <c r="J635" s="38" t="str">
        <f aca="false">IF(I635="","",LOOKUP(I635,Impostazioni!$E$4:$E$9,Impostazioni!$F$4:$F$9))</f>
        <v/>
      </c>
      <c r="K635" s="36"/>
      <c r="L635" s="36"/>
      <c r="M635" s="36"/>
      <c r="N635" s="36"/>
      <c r="O635" s="39" t="str">
        <f aca="false">IF(COUNT(K635:N635)=0,"",ROUND(AVERAGE(K635:N635),0))</f>
        <v/>
      </c>
      <c r="P635" s="38" t="str">
        <f aca="false">IF(O635="","",LOOKUP(O635,Impostazioni!$E$4:$E$9,Impostazioni!$F$4:$F$9))</f>
        <v/>
      </c>
      <c r="Q635" s="36"/>
      <c r="R635" s="36"/>
      <c r="S635" s="36"/>
      <c r="T635" s="36"/>
      <c r="U635" s="39" t="str">
        <f aca="false">IF(COUNT(Q635:T635)=0,"",ROUND(AVERAGE(Q635:T635),0))</f>
        <v/>
      </c>
      <c r="V635" s="38" t="str">
        <f aca="false">IF(U635="","",LOOKUP(U635,Impostazioni!$E$4:$E$9,Impostazioni!$F$4:$F$9))</f>
        <v/>
      </c>
      <c r="W635" s="36"/>
      <c r="X635" s="36"/>
      <c r="Y635" s="36"/>
      <c r="Z635" s="36"/>
      <c r="AA635" s="39" t="str">
        <f aca="false">IF(COUNT(W635:Z635)=0,"",ROUND(AVERAGE(W635:Z635),0))</f>
        <v/>
      </c>
      <c r="AB635" s="38" t="str">
        <f aca="false">IF(AA635="","",LOOKUP(AA635,Impostazioni!$E$4:$E$9,Impostazioni!$F$4:$F$9))</f>
        <v/>
      </c>
    </row>
    <row r="636" customFormat="false" ht="21" hidden="false" customHeight="true" outlineLevel="0" collapsed="false">
      <c r="A636" s="33" t="n">
        <v>14</v>
      </c>
      <c r="B636" s="34" t="str">
        <f aca="false">IFERROR(INDEX(Alunni!$C$1:$C$1000,MATCH($A636,Alunni!$A$1:$A$1000,0))&amp;"","")</f>
        <v/>
      </c>
      <c r="C636" s="15"/>
      <c r="D636" s="35"/>
      <c r="E636" s="36"/>
      <c r="F636" s="36"/>
      <c r="G636" s="36"/>
      <c r="H636" s="36"/>
      <c r="I636" s="39" t="str">
        <f aca="false">IF(COUNT(E636:H636)=0,"",ROUND(AVERAGE(E636:H636),0))</f>
        <v/>
      </c>
      <c r="J636" s="38" t="str">
        <f aca="false">IF(I636="","",LOOKUP(I636,Impostazioni!$E$4:$E$9,Impostazioni!$F$4:$F$9))</f>
        <v/>
      </c>
      <c r="K636" s="36"/>
      <c r="L636" s="36"/>
      <c r="M636" s="36"/>
      <c r="N636" s="36"/>
      <c r="O636" s="39" t="str">
        <f aca="false">IF(COUNT(K636:N636)=0,"",ROUND(AVERAGE(K636:N636),0))</f>
        <v/>
      </c>
      <c r="P636" s="38" t="str">
        <f aca="false">IF(O636="","",LOOKUP(O636,Impostazioni!$E$4:$E$9,Impostazioni!$F$4:$F$9))</f>
        <v/>
      </c>
      <c r="Q636" s="36"/>
      <c r="R636" s="36"/>
      <c r="S636" s="36"/>
      <c r="T636" s="36"/>
      <c r="U636" s="39" t="str">
        <f aca="false">IF(COUNT(Q636:T636)=0,"",ROUND(AVERAGE(Q636:T636),0))</f>
        <v/>
      </c>
      <c r="V636" s="38" t="str">
        <f aca="false">IF(U636="","",LOOKUP(U636,Impostazioni!$E$4:$E$9,Impostazioni!$F$4:$F$9))</f>
        <v/>
      </c>
      <c r="W636" s="36"/>
      <c r="X636" s="36"/>
      <c r="Y636" s="36"/>
      <c r="Z636" s="36"/>
      <c r="AA636" s="39" t="str">
        <f aca="false">IF(COUNT(W636:Z636)=0,"",ROUND(AVERAGE(W636:Z636),0))</f>
        <v/>
      </c>
      <c r="AB636" s="38" t="str">
        <f aca="false">IF(AA636="","",LOOKUP(AA636,Impostazioni!$E$4:$E$9,Impostazioni!$F$4:$F$9))</f>
        <v/>
      </c>
    </row>
    <row r="637" customFormat="false" ht="21" hidden="false" customHeight="true" outlineLevel="0" collapsed="false">
      <c r="A637" s="33" t="n">
        <v>15</v>
      </c>
      <c r="B637" s="34" t="str">
        <f aca="false">IFERROR(INDEX(Alunni!$C$1:$C$1000,MATCH($A637,Alunni!$A$1:$A$1000,0))&amp;"","")</f>
        <v/>
      </c>
      <c r="C637" s="15"/>
      <c r="D637" s="35"/>
      <c r="E637" s="36"/>
      <c r="F637" s="36"/>
      <c r="G637" s="36"/>
      <c r="H637" s="36"/>
      <c r="I637" s="39" t="str">
        <f aca="false">IF(COUNT(E637:H637)=0,"",ROUND(AVERAGE(E637:H637),0))</f>
        <v/>
      </c>
      <c r="J637" s="38" t="str">
        <f aca="false">IF(I637="","",LOOKUP(I637,Impostazioni!$E$4:$E$9,Impostazioni!$F$4:$F$9))</f>
        <v/>
      </c>
      <c r="K637" s="36"/>
      <c r="L637" s="36"/>
      <c r="M637" s="36"/>
      <c r="N637" s="36"/>
      <c r="O637" s="39" t="str">
        <f aca="false">IF(COUNT(K637:N637)=0,"",ROUND(AVERAGE(K637:N637),0))</f>
        <v/>
      </c>
      <c r="P637" s="38" t="str">
        <f aca="false">IF(O637="","",LOOKUP(O637,Impostazioni!$E$4:$E$9,Impostazioni!$F$4:$F$9))</f>
        <v/>
      </c>
      <c r="Q637" s="36"/>
      <c r="R637" s="36"/>
      <c r="S637" s="36"/>
      <c r="T637" s="36"/>
      <c r="U637" s="39" t="str">
        <f aca="false">IF(COUNT(Q637:T637)=0,"",ROUND(AVERAGE(Q637:T637),0))</f>
        <v/>
      </c>
      <c r="V637" s="38" t="str">
        <f aca="false">IF(U637="","",LOOKUP(U637,Impostazioni!$E$4:$E$9,Impostazioni!$F$4:$F$9))</f>
        <v/>
      </c>
      <c r="W637" s="36"/>
      <c r="X637" s="36"/>
      <c r="Y637" s="36"/>
      <c r="Z637" s="36"/>
      <c r="AA637" s="39" t="str">
        <f aca="false">IF(COUNT(W637:Z637)=0,"",ROUND(AVERAGE(W637:Z637),0))</f>
        <v/>
      </c>
      <c r="AB637" s="38" t="str">
        <f aca="false">IF(AA637="","",LOOKUP(AA637,Impostazioni!$E$4:$E$9,Impostazioni!$F$4:$F$9))</f>
        <v/>
      </c>
    </row>
    <row r="638" customFormat="false" ht="21" hidden="false" customHeight="true" outlineLevel="0" collapsed="false">
      <c r="A638" s="33" t="n">
        <v>16</v>
      </c>
      <c r="B638" s="34" t="str">
        <f aca="false">IFERROR(INDEX(Alunni!$C$1:$C$1000,MATCH($A638,Alunni!$A$1:$A$1000,0))&amp;"","")</f>
        <v/>
      </c>
      <c r="C638" s="15"/>
      <c r="D638" s="35"/>
      <c r="E638" s="36"/>
      <c r="F638" s="36"/>
      <c r="G638" s="36"/>
      <c r="H638" s="36"/>
      <c r="I638" s="39" t="str">
        <f aca="false">IF(COUNT(E638:H638)=0,"",ROUND(AVERAGE(E638:H638),0))</f>
        <v/>
      </c>
      <c r="J638" s="38" t="str">
        <f aca="false">IF(I638="","",LOOKUP(I638,Impostazioni!$E$4:$E$9,Impostazioni!$F$4:$F$9))</f>
        <v/>
      </c>
      <c r="K638" s="36"/>
      <c r="L638" s="36"/>
      <c r="M638" s="36"/>
      <c r="N638" s="36"/>
      <c r="O638" s="39" t="str">
        <f aca="false">IF(COUNT(K638:N638)=0,"",ROUND(AVERAGE(K638:N638),0))</f>
        <v/>
      </c>
      <c r="P638" s="38" t="str">
        <f aca="false">IF(O638="","",LOOKUP(O638,Impostazioni!$E$4:$E$9,Impostazioni!$F$4:$F$9))</f>
        <v/>
      </c>
      <c r="Q638" s="36"/>
      <c r="R638" s="36"/>
      <c r="S638" s="36"/>
      <c r="T638" s="36"/>
      <c r="U638" s="39" t="str">
        <f aca="false">IF(COUNT(Q638:T638)=0,"",ROUND(AVERAGE(Q638:T638),0))</f>
        <v/>
      </c>
      <c r="V638" s="38" t="str">
        <f aca="false">IF(U638="","",LOOKUP(U638,Impostazioni!$E$4:$E$9,Impostazioni!$F$4:$F$9))</f>
        <v/>
      </c>
      <c r="W638" s="36"/>
      <c r="X638" s="36"/>
      <c r="Y638" s="36"/>
      <c r="Z638" s="36"/>
      <c r="AA638" s="39" t="str">
        <f aca="false">IF(COUNT(W638:Z638)=0,"",ROUND(AVERAGE(W638:Z638),0))</f>
        <v/>
      </c>
      <c r="AB638" s="38" t="str">
        <f aca="false">IF(AA638="","",LOOKUP(AA638,Impostazioni!$E$4:$E$9,Impostazioni!$F$4:$F$9))</f>
        <v/>
      </c>
    </row>
    <row r="639" customFormat="false" ht="21" hidden="false" customHeight="true" outlineLevel="0" collapsed="false">
      <c r="A639" s="33" t="n">
        <v>17</v>
      </c>
      <c r="B639" s="34" t="str">
        <f aca="false">IFERROR(INDEX(Alunni!$C$1:$C$1000,MATCH($A639,Alunni!$A$1:$A$1000,0))&amp;"","")</f>
        <v/>
      </c>
      <c r="C639" s="15"/>
      <c r="D639" s="35"/>
      <c r="E639" s="36"/>
      <c r="F639" s="36"/>
      <c r="G639" s="36"/>
      <c r="H639" s="36"/>
      <c r="I639" s="39" t="str">
        <f aca="false">IF(COUNT(E639:H639)=0,"",ROUND(AVERAGE(E639:H639),0))</f>
        <v/>
      </c>
      <c r="J639" s="38" t="str">
        <f aca="false">IF(I639="","",LOOKUP(I639,Impostazioni!$E$4:$E$9,Impostazioni!$F$4:$F$9))</f>
        <v/>
      </c>
      <c r="K639" s="36"/>
      <c r="L639" s="36"/>
      <c r="M639" s="36"/>
      <c r="N639" s="36"/>
      <c r="O639" s="39" t="str">
        <f aca="false">IF(COUNT(K639:N639)=0,"",ROUND(AVERAGE(K639:N639),0))</f>
        <v/>
      </c>
      <c r="P639" s="38" t="str">
        <f aca="false">IF(O639="","",LOOKUP(O639,Impostazioni!$E$4:$E$9,Impostazioni!$F$4:$F$9))</f>
        <v/>
      </c>
      <c r="Q639" s="36"/>
      <c r="R639" s="36"/>
      <c r="S639" s="36"/>
      <c r="T639" s="36"/>
      <c r="U639" s="39" t="str">
        <f aca="false">IF(COUNT(Q639:T639)=0,"",ROUND(AVERAGE(Q639:T639),0))</f>
        <v/>
      </c>
      <c r="V639" s="38" t="str">
        <f aca="false">IF(U639="","",LOOKUP(U639,Impostazioni!$E$4:$E$9,Impostazioni!$F$4:$F$9))</f>
        <v/>
      </c>
      <c r="W639" s="36"/>
      <c r="X639" s="36"/>
      <c r="Y639" s="36"/>
      <c r="Z639" s="36"/>
      <c r="AA639" s="39" t="str">
        <f aca="false">IF(COUNT(W639:Z639)=0,"",ROUND(AVERAGE(W639:Z639),0))</f>
        <v/>
      </c>
      <c r="AB639" s="38" t="str">
        <f aca="false">IF(AA639="","",LOOKUP(AA639,Impostazioni!$E$4:$E$9,Impostazioni!$F$4:$F$9))</f>
        <v/>
      </c>
    </row>
    <row r="640" customFormat="false" ht="21" hidden="false" customHeight="true" outlineLevel="0" collapsed="false">
      <c r="A640" s="33" t="n">
        <v>18</v>
      </c>
      <c r="B640" s="34" t="str">
        <f aca="false">IFERROR(INDEX(Alunni!$C$1:$C$1000,MATCH($A640,Alunni!$A$1:$A$1000,0))&amp;"","")</f>
        <v/>
      </c>
      <c r="C640" s="15"/>
      <c r="D640" s="35"/>
      <c r="E640" s="36"/>
      <c r="F640" s="36"/>
      <c r="G640" s="36"/>
      <c r="H640" s="36"/>
      <c r="I640" s="39" t="str">
        <f aca="false">IF(COUNT(E640:H640)=0,"",ROUND(AVERAGE(E640:H640),0))</f>
        <v/>
      </c>
      <c r="J640" s="38" t="str">
        <f aca="false">IF(I640="","",LOOKUP(I640,Impostazioni!$E$4:$E$9,Impostazioni!$F$4:$F$9))</f>
        <v/>
      </c>
      <c r="K640" s="36"/>
      <c r="L640" s="36"/>
      <c r="M640" s="36"/>
      <c r="N640" s="36"/>
      <c r="O640" s="39" t="str">
        <f aca="false">IF(COUNT(K640:N640)=0,"",ROUND(AVERAGE(K640:N640),0))</f>
        <v/>
      </c>
      <c r="P640" s="38" t="str">
        <f aca="false">IF(O640="","",LOOKUP(O640,Impostazioni!$E$4:$E$9,Impostazioni!$F$4:$F$9))</f>
        <v/>
      </c>
      <c r="Q640" s="36"/>
      <c r="R640" s="36"/>
      <c r="S640" s="36"/>
      <c r="T640" s="36"/>
      <c r="U640" s="39" t="str">
        <f aca="false">IF(COUNT(Q640:T640)=0,"",ROUND(AVERAGE(Q640:T640),0))</f>
        <v/>
      </c>
      <c r="V640" s="38" t="str">
        <f aca="false">IF(U640="","",LOOKUP(U640,Impostazioni!$E$4:$E$9,Impostazioni!$F$4:$F$9))</f>
        <v/>
      </c>
      <c r="W640" s="36"/>
      <c r="X640" s="36"/>
      <c r="Y640" s="36"/>
      <c r="Z640" s="36"/>
      <c r="AA640" s="39" t="str">
        <f aca="false">IF(COUNT(W640:Z640)=0,"",ROUND(AVERAGE(W640:Z640),0))</f>
        <v/>
      </c>
      <c r="AB640" s="38" t="str">
        <f aca="false">IF(AA640="","",LOOKUP(AA640,Impostazioni!$E$4:$E$9,Impostazioni!$F$4:$F$9))</f>
        <v/>
      </c>
    </row>
    <row r="641" customFormat="false" ht="21" hidden="false" customHeight="true" outlineLevel="0" collapsed="false">
      <c r="A641" s="33" t="n">
        <v>19</v>
      </c>
      <c r="B641" s="34" t="str">
        <f aca="false">IFERROR(INDEX(Alunni!$C$1:$C$1000,MATCH($A641,Alunni!$A$1:$A$1000,0))&amp;"","")</f>
        <v/>
      </c>
      <c r="C641" s="15"/>
      <c r="D641" s="35"/>
      <c r="E641" s="36"/>
      <c r="F641" s="36"/>
      <c r="G641" s="36"/>
      <c r="H641" s="36"/>
      <c r="I641" s="39" t="str">
        <f aca="false">IF(COUNT(E641:H641)=0,"",ROUND(AVERAGE(E641:H641),0))</f>
        <v/>
      </c>
      <c r="J641" s="38" t="str">
        <f aca="false">IF(I641="","",LOOKUP(I641,Impostazioni!$E$4:$E$9,Impostazioni!$F$4:$F$9))</f>
        <v/>
      </c>
      <c r="K641" s="36"/>
      <c r="L641" s="36"/>
      <c r="M641" s="36"/>
      <c r="N641" s="36"/>
      <c r="O641" s="39" t="str">
        <f aca="false">IF(COUNT(K641:N641)=0,"",ROUND(AVERAGE(K641:N641),0))</f>
        <v/>
      </c>
      <c r="P641" s="38" t="str">
        <f aca="false">IF(O641="","",LOOKUP(O641,Impostazioni!$E$4:$E$9,Impostazioni!$F$4:$F$9))</f>
        <v/>
      </c>
      <c r="Q641" s="36"/>
      <c r="R641" s="36"/>
      <c r="S641" s="36"/>
      <c r="T641" s="36"/>
      <c r="U641" s="39" t="str">
        <f aca="false">IF(COUNT(Q641:T641)=0,"",ROUND(AVERAGE(Q641:T641),0))</f>
        <v/>
      </c>
      <c r="V641" s="38" t="str">
        <f aca="false">IF(U641="","",LOOKUP(U641,Impostazioni!$E$4:$E$9,Impostazioni!$F$4:$F$9))</f>
        <v/>
      </c>
      <c r="W641" s="36"/>
      <c r="X641" s="36"/>
      <c r="Y641" s="36"/>
      <c r="Z641" s="36"/>
      <c r="AA641" s="39" t="str">
        <f aca="false">IF(COUNT(W641:Z641)=0,"",ROUND(AVERAGE(W641:Z641),0))</f>
        <v/>
      </c>
      <c r="AB641" s="38" t="str">
        <f aca="false">IF(AA641="","",LOOKUP(AA641,Impostazioni!$E$4:$E$9,Impostazioni!$F$4:$F$9))</f>
        <v/>
      </c>
    </row>
    <row r="642" customFormat="false" ht="21" hidden="false" customHeight="true" outlineLevel="0" collapsed="false">
      <c r="A642" s="33" t="n">
        <v>20</v>
      </c>
      <c r="B642" s="34" t="str">
        <f aca="false">IFERROR(INDEX(Alunni!$C$1:$C$1000,MATCH($A642,Alunni!$A$1:$A$1000,0))&amp;"","")</f>
        <v/>
      </c>
      <c r="C642" s="15"/>
      <c r="D642" s="35"/>
      <c r="E642" s="36"/>
      <c r="F642" s="36"/>
      <c r="G642" s="36"/>
      <c r="H642" s="36"/>
      <c r="I642" s="39" t="str">
        <f aca="false">IF(COUNT(E642:H642)=0,"",ROUND(AVERAGE(E642:H642),0))</f>
        <v/>
      </c>
      <c r="J642" s="38" t="str">
        <f aca="false">IF(I642="","",LOOKUP(I642,Impostazioni!$E$4:$E$9,Impostazioni!$F$4:$F$9))</f>
        <v/>
      </c>
      <c r="K642" s="36"/>
      <c r="L642" s="36"/>
      <c r="M642" s="36"/>
      <c r="N642" s="36"/>
      <c r="O642" s="39" t="str">
        <f aca="false">IF(COUNT(K642:N642)=0,"",ROUND(AVERAGE(K642:N642),0))</f>
        <v/>
      </c>
      <c r="P642" s="38" t="str">
        <f aca="false">IF(O642="","",LOOKUP(O642,Impostazioni!$E$4:$E$9,Impostazioni!$F$4:$F$9))</f>
        <v/>
      </c>
      <c r="Q642" s="36"/>
      <c r="R642" s="36"/>
      <c r="S642" s="36"/>
      <c r="T642" s="36"/>
      <c r="U642" s="39" t="str">
        <f aca="false">IF(COUNT(Q642:T642)=0,"",ROUND(AVERAGE(Q642:T642),0))</f>
        <v/>
      </c>
      <c r="V642" s="38" t="str">
        <f aca="false">IF(U642="","",LOOKUP(U642,Impostazioni!$E$4:$E$9,Impostazioni!$F$4:$F$9))</f>
        <v/>
      </c>
      <c r="W642" s="36"/>
      <c r="X642" s="36"/>
      <c r="Y642" s="36"/>
      <c r="Z642" s="36"/>
      <c r="AA642" s="39" t="str">
        <f aca="false">IF(COUNT(W642:Z642)=0,"",ROUND(AVERAGE(W642:Z642),0))</f>
        <v/>
      </c>
      <c r="AB642" s="38" t="str">
        <f aca="false">IF(AA642="","",LOOKUP(AA642,Impostazioni!$E$4:$E$9,Impostazioni!$F$4:$F$9))</f>
        <v/>
      </c>
    </row>
    <row r="643" customFormat="false" ht="21" hidden="false" customHeight="true" outlineLevel="0" collapsed="false">
      <c r="A643" s="33" t="n">
        <v>21</v>
      </c>
      <c r="B643" s="34" t="str">
        <f aca="false">IFERROR(INDEX(Alunni!$C$1:$C$1000,MATCH($A643,Alunni!$A$1:$A$1000,0))&amp;"","")</f>
        <v/>
      </c>
      <c r="C643" s="15"/>
      <c r="D643" s="35"/>
      <c r="E643" s="36"/>
      <c r="F643" s="36"/>
      <c r="G643" s="36"/>
      <c r="H643" s="36"/>
      <c r="I643" s="39" t="str">
        <f aca="false">IF(COUNT(E643:H643)=0,"",ROUND(AVERAGE(E643:H643),0))</f>
        <v/>
      </c>
      <c r="J643" s="38" t="str">
        <f aca="false">IF(I643="","",LOOKUP(I643,Impostazioni!$E$4:$E$9,Impostazioni!$F$4:$F$9))</f>
        <v/>
      </c>
      <c r="K643" s="36"/>
      <c r="L643" s="36"/>
      <c r="M643" s="36"/>
      <c r="N643" s="36"/>
      <c r="O643" s="39" t="str">
        <f aca="false">IF(COUNT(K643:N643)=0,"",ROUND(AVERAGE(K643:N643),0))</f>
        <v/>
      </c>
      <c r="P643" s="38" t="str">
        <f aca="false">IF(O643="","",LOOKUP(O643,Impostazioni!$E$4:$E$9,Impostazioni!$F$4:$F$9))</f>
        <v/>
      </c>
      <c r="Q643" s="36"/>
      <c r="R643" s="36"/>
      <c r="S643" s="36"/>
      <c r="T643" s="36"/>
      <c r="U643" s="39" t="str">
        <f aca="false">IF(COUNT(Q643:T643)=0,"",ROUND(AVERAGE(Q643:T643),0))</f>
        <v/>
      </c>
      <c r="V643" s="38" t="str">
        <f aca="false">IF(U643="","",LOOKUP(U643,Impostazioni!$E$4:$E$9,Impostazioni!$F$4:$F$9))</f>
        <v/>
      </c>
      <c r="W643" s="36"/>
      <c r="X643" s="36"/>
      <c r="Y643" s="36"/>
      <c r="Z643" s="36"/>
      <c r="AA643" s="39" t="str">
        <f aca="false">IF(COUNT(W643:Z643)=0,"",ROUND(AVERAGE(W643:Z643),0))</f>
        <v/>
      </c>
      <c r="AB643" s="38" t="str">
        <f aca="false">IF(AA643="","",LOOKUP(AA643,Impostazioni!$E$4:$E$9,Impostazioni!$F$4:$F$9))</f>
        <v/>
      </c>
    </row>
    <row r="644" customFormat="false" ht="21" hidden="false" customHeight="true" outlineLevel="0" collapsed="false">
      <c r="A644" s="33" t="n">
        <v>22</v>
      </c>
      <c r="B644" s="34" t="str">
        <f aca="false">IFERROR(INDEX(Alunni!$C$1:$C$1000,MATCH($A644,Alunni!$A$1:$A$1000,0))&amp;"","")</f>
        <v/>
      </c>
      <c r="C644" s="15"/>
      <c r="D644" s="35"/>
      <c r="E644" s="36"/>
      <c r="F644" s="36"/>
      <c r="G644" s="36"/>
      <c r="H644" s="36"/>
      <c r="I644" s="39" t="str">
        <f aca="false">IF(COUNT(E644:H644)=0,"",ROUND(AVERAGE(E644:H644),0))</f>
        <v/>
      </c>
      <c r="J644" s="38" t="str">
        <f aca="false">IF(I644="","",LOOKUP(I644,Impostazioni!$E$4:$E$9,Impostazioni!$F$4:$F$9))</f>
        <v/>
      </c>
      <c r="K644" s="36"/>
      <c r="L644" s="36"/>
      <c r="M644" s="36"/>
      <c r="N644" s="36"/>
      <c r="O644" s="39" t="str">
        <f aca="false">IF(COUNT(K644:N644)=0,"",ROUND(AVERAGE(K644:N644),0))</f>
        <v/>
      </c>
      <c r="P644" s="38" t="str">
        <f aca="false">IF(O644="","",LOOKUP(O644,Impostazioni!$E$4:$E$9,Impostazioni!$F$4:$F$9))</f>
        <v/>
      </c>
      <c r="Q644" s="36"/>
      <c r="R644" s="36"/>
      <c r="S644" s="36"/>
      <c r="T644" s="36"/>
      <c r="U644" s="39" t="str">
        <f aca="false">IF(COUNT(Q644:T644)=0,"",ROUND(AVERAGE(Q644:T644),0))</f>
        <v/>
      </c>
      <c r="V644" s="38" t="str">
        <f aca="false">IF(U644="","",LOOKUP(U644,Impostazioni!$E$4:$E$9,Impostazioni!$F$4:$F$9))</f>
        <v/>
      </c>
      <c r="W644" s="36"/>
      <c r="X644" s="36"/>
      <c r="Y644" s="36"/>
      <c r="Z644" s="36"/>
      <c r="AA644" s="39" t="str">
        <f aca="false">IF(COUNT(W644:Z644)=0,"",ROUND(AVERAGE(W644:Z644),0))</f>
        <v/>
      </c>
      <c r="AB644" s="38" t="str">
        <f aca="false">IF(AA644="","",LOOKUP(AA644,Impostazioni!$E$4:$E$9,Impostazioni!$F$4:$F$9))</f>
        <v/>
      </c>
    </row>
    <row r="645" customFormat="false" ht="21" hidden="false" customHeight="true" outlineLevel="0" collapsed="false">
      <c r="A645" s="33" t="n">
        <v>23</v>
      </c>
      <c r="B645" s="34" t="str">
        <f aca="false">IFERROR(INDEX(Alunni!$C$1:$C$1000,MATCH($A645,Alunni!$A$1:$A$1000,0))&amp;"","")</f>
        <v/>
      </c>
      <c r="C645" s="15"/>
      <c r="D645" s="35"/>
      <c r="E645" s="36"/>
      <c r="F645" s="36"/>
      <c r="G645" s="36"/>
      <c r="H645" s="36"/>
      <c r="I645" s="39" t="str">
        <f aca="false">IF(COUNT(E645:H645)=0,"",ROUND(AVERAGE(E645:H645),0))</f>
        <v/>
      </c>
      <c r="J645" s="38" t="str">
        <f aca="false">IF(I645="","",LOOKUP(I645,Impostazioni!$E$4:$E$9,Impostazioni!$F$4:$F$9))</f>
        <v/>
      </c>
      <c r="K645" s="36"/>
      <c r="L645" s="36"/>
      <c r="M645" s="36"/>
      <c r="N645" s="36"/>
      <c r="O645" s="39" t="str">
        <f aca="false">IF(COUNT(K645:N645)=0,"",ROUND(AVERAGE(K645:N645),0))</f>
        <v/>
      </c>
      <c r="P645" s="38" t="str">
        <f aca="false">IF(O645="","",LOOKUP(O645,Impostazioni!$E$4:$E$9,Impostazioni!$F$4:$F$9))</f>
        <v/>
      </c>
      <c r="Q645" s="36"/>
      <c r="R645" s="36"/>
      <c r="S645" s="36"/>
      <c r="T645" s="36"/>
      <c r="U645" s="39" t="str">
        <f aca="false">IF(COUNT(Q645:T645)=0,"",ROUND(AVERAGE(Q645:T645),0))</f>
        <v/>
      </c>
      <c r="V645" s="38" t="str">
        <f aca="false">IF(U645="","",LOOKUP(U645,Impostazioni!$E$4:$E$9,Impostazioni!$F$4:$F$9))</f>
        <v/>
      </c>
      <c r="W645" s="36"/>
      <c r="X645" s="36"/>
      <c r="Y645" s="36"/>
      <c r="Z645" s="36"/>
      <c r="AA645" s="39" t="str">
        <f aca="false">IF(COUNT(W645:Z645)=0,"",ROUND(AVERAGE(W645:Z645),0))</f>
        <v/>
      </c>
      <c r="AB645" s="38" t="str">
        <f aca="false">IF(AA645="","",LOOKUP(AA645,Impostazioni!$E$4:$E$9,Impostazioni!$F$4:$F$9))</f>
        <v/>
      </c>
    </row>
    <row r="646" customFormat="false" ht="21" hidden="false" customHeight="true" outlineLevel="0" collapsed="false">
      <c r="A646" s="33" t="n">
        <v>24</v>
      </c>
      <c r="B646" s="34" t="str">
        <f aca="false">IFERROR(INDEX(Alunni!$C$1:$C$1000,MATCH($A646,Alunni!$A$1:$A$1000,0))&amp;"","")</f>
        <v/>
      </c>
      <c r="C646" s="15"/>
      <c r="D646" s="35"/>
      <c r="E646" s="36"/>
      <c r="F646" s="36"/>
      <c r="G646" s="36"/>
      <c r="H646" s="36"/>
      <c r="I646" s="39" t="str">
        <f aca="false">IF(COUNT(E646:H646)=0,"",ROUND(AVERAGE(E646:H646),0))</f>
        <v/>
      </c>
      <c r="J646" s="38" t="str">
        <f aca="false">IF(I646="","",LOOKUP(I646,Impostazioni!$E$4:$E$9,Impostazioni!$F$4:$F$9))</f>
        <v/>
      </c>
      <c r="K646" s="36"/>
      <c r="L646" s="36"/>
      <c r="M646" s="36"/>
      <c r="N646" s="36"/>
      <c r="O646" s="39" t="str">
        <f aca="false">IF(COUNT(K646:N646)=0,"",ROUND(AVERAGE(K646:N646),0))</f>
        <v/>
      </c>
      <c r="P646" s="38" t="str">
        <f aca="false">IF(O646="","",LOOKUP(O646,Impostazioni!$E$4:$E$9,Impostazioni!$F$4:$F$9))</f>
        <v/>
      </c>
      <c r="Q646" s="36"/>
      <c r="R646" s="36"/>
      <c r="S646" s="36"/>
      <c r="T646" s="36"/>
      <c r="U646" s="39" t="str">
        <f aca="false">IF(COUNT(Q646:T646)=0,"",ROUND(AVERAGE(Q646:T646),0))</f>
        <v/>
      </c>
      <c r="V646" s="38" t="str">
        <f aca="false">IF(U646="","",LOOKUP(U646,Impostazioni!$E$4:$E$9,Impostazioni!$F$4:$F$9))</f>
        <v/>
      </c>
      <c r="W646" s="36"/>
      <c r="X646" s="36"/>
      <c r="Y646" s="36"/>
      <c r="Z646" s="36"/>
      <c r="AA646" s="39" t="str">
        <f aca="false">IF(COUNT(W646:Z646)=0,"",ROUND(AVERAGE(W646:Z646),0))</f>
        <v/>
      </c>
      <c r="AB646" s="38" t="str">
        <f aca="false">IF(AA646="","",LOOKUP(AA646,Impostazioni!$E$4:$E$9,Impostazioni!$F$4:$F$9))</f>
        <v/>
      </c>
    </row>
    <row r="647" customFormat="false" ht="21" hidden="false" customHeight="true" outlineLevel="0" collapsed="false">
      <c r="A647" s="33" t="n">
        <v>25</v>
      </c>
      <c r="B647" s="34" t="str">
        <f aca="false">IFERROR(INDEX(Alunni!$C$1:$C$1000,MATCH($A647,Alunni!$A$1:$A$1000,0))&amp;"","")</f>
        <v/>
      </c>
      <c r="C647" s="15"/>
      <c r="D647" s="35"/>
      <c r="E647" s="36"/>
      <c r="F647" s="36"/>
      <c r="G647" s="36"/>
      <c r="H647" s="36"/>
      <c r="I647" s="39" t="str">
        <f aca="false">IF(COUNT(E647:H647)=0,"",ROUND(AVERAGE(E647:H647),0))</f>
        <v/>
      </c>
      <c r="J647" s="38" t="str">
        <f aca="false">IF(I647="","",LOOKUP(I647,Impostazioni!$E$4:$E$9,Impostazioni!$F$4:$F$9))</f>
        <v/>
      </c>
      <c r="K647" s="36"/>
      <c r="L647" s="36"/>
      <c r="M647" s="36"/>
      <c r="N647" s="36"/>
      <c r="O647" s="39" t="str">
        <f aca="false">IF(COUNT(K647:N647)=0,"",ROUND(AVERAGE(K647:N647),0))</f>
        <v/>
      </c>
      <c r="P647" s="38" t="str">
        <f aca="false">IF(O647="","",LOOKUP(O647,Impostazioni!$E$4:$E$9,Impostazioni!$F$4:$F$9))</f>
        <v/>
      </c>
      <c r="Q647" s="36"/>
      <c r="R647" s="36"/>
      <c r="S647" s="36"/>
      <c r="T647" s="36"/>
      <c r="U647" s="39" t="str">
        <f aca="false">IF(COUNT(Q647:T647)=0,"",ROUND(AVERAGE(Q647:T647),0))</f>
        <v/>
      </c>
      <c r="V647" s="38" t="str">
        <f aca="false">IF(U647="","",LOOKUP(U647,Impostazioni!$E$4:$E$9,Impostazioni!$F$4:$F$9))</f>
        <v/>
      </c>
      <c r="W647" s="36"/>
      <c r="X647" s="36"/>
      <c r="Y647" s="36"/>
      <c r="Z647" s="36"/>
      <c r="AA647" s="39" t="str">
        <f aca="false">IF(COUNT(W647:Z647)=0,"",ROUND(AVERAGE(W647:Z647),0))</f>
        <v/>
      </c>
      <c r="AB647" s="38" t="str">
        <f aca="false">IF(AA647="","",LOOKUP(AA647,Impostazioni!$E$4:$E$9,Impostazioni!$F$4:$F$9))</f>
        <v/>
      </c>
    </row>
    <row r="648" customFormat="false" ht="21" hidden="false" customHeight="true" outlineLevel="0" collapsed="false">
      <c r="A648" s="33" t="n">
        <v>26</v>
      </c>
      <c r="B648" s="34" t="str">
        <f aca="false">IFERROR(INDEX(Alunni!$C$1:$C$1000,MATCH($A648,Alunni!$A$1:$A$1000,0))&amp;"","")</f>
        <v/>
      </c>
      <c r="C648" s="15"/>
      <c r="D648" s="35"/>
      <c r="E648" s="36"/>
      <c r="F648" s="36"/>
      <c r="G648" s="36"/>
      <c r="H648" s="36"/>
      <c r="I648" s="39" t="str">
        <f aca="false">IF(COUNT(E648:H648)=0,"",ROUND(AVERAGE(E648:H648),0))</f>
        <v/>
      </c>
      <c r="J648" s="38" t="str">
        <f aca="false">IF(I648="","",LOOKUP(I648,Impostazioni!$E$4:$E$9,Impostazioni!$F$4:$F$9))</f>
        <v/>
      </c>
      <c r="K648" s="36"/>
      <c r="L648" s="36"/>
      <c r="M648" s="36"/>
      <c r="N648" s="36"/>
      <c r="O648" s="39" t="str">
        <f aca="false">IF(COUNT(K648:N648)=0,"",ROUND(AVERAGE(K648:N648),0))</f>
        <v/>
      </c>
      <c r="P648" s="38" t="str">
        <f aca="false">IF(O648="","",LOOKUP(O648,Impostazioni!$E$4:$E$9,Impostazioni!$F$4:$F$9))</f>
        <v/>
      </c>
      <c r="Q648" s="36"/>
      <c r="R648" s="36"/>
      <c r="S648" s="36"/>
      <c r="T648" s="36"/>
      <c r="U648" s="39" t="str">
        <f aca="false">IF(COUNT(Q648:T648)=0,"",ROUND(AVERAGE(Q648:T648),0))</f>
        <v/>
      </c>
      <c r="V648" s="38" t="str">
        <f aca="false">IF(U648="","",LOOKUP(U648,Impostazioni!$E$4:$E$9,Impostazioni!$F$4:$F$9))</f>
        <v/>
      </c>
      <c r="W648" s="36"/>
      <c r="X648" s="36"/>
      <c r="Y648" s="36"/>
      <c r="Z648" s="36"/>
      <c r="AA648" s="39" t="str">
        <f aca="false">IF(COUNT(W648:Z648)=0,"",ROUND(AVERAGE(W648:Z648),0))</f>
        <v/>
      </c>
      <c r="AB648" s="38" t="str">
        <f aca="false">IF(AA648="","",LOOKUP(AA648,Impostazioni!$E$4:$E$9,Impostazioni!$F$4:$F$9))</f>
        <v/>
      </c>
    </row>
    <row r="649" customFormat="false" ht="21" hidden="false" customHeight="true" outlineLevel="0" collapsed="false">
      <c r="A649" s="33" t="n">
        <v>27</v>
      </c>
      <c r="B649" s="34" t="str">
        <f aca="false">IFERROR(INDEX(Alunni!$C$1:$C$1000,MATCH($A649,Alunni!$A$1:$A$1000,0))&amp;"","")</f>
        <v/>
      </c>
      <c r="C649" s="15"/>
      <c r="D649" s="35"/>
      <c r="E649" s="36"/>
      <c r="F649" s="36"/>
      <c r="G649" s="36"/>
      <c r="H649" s="36"/>
      <c r="I649" s="39" t="str">
        <f aca="false">IF(COUNT(E649:H649)=0,"",ROUND(AVERAGE(E649:H649),0))</f>
        <v/>
      </c>
      <c r="J649" s="38" t="str">
        <f aca="false">IF(I649="","",LOOKUP(I649,Impostazioni!$E$4:$E$9,Impostazioni!$F$4:$F$9))</f>
        <v/>
      </c>
      <c r="K649" s="36"/>
      <c r="L649" s="36"/>
      <c r="M649" s="36"/>
      <c r="N649" s="36"/>
      <c r="O649" s="39" t="str">
        <f aca="false">IF(COUNT(K649:N649)=0,"",ROUND(AVERAGE(K649:N649),0))</f>
        <v/>
      </c>
      <c r="P649" s="38" t="str">
        <f aca="false">IF(O649="","",LOOKUP(O649,Impostazioni!$E$4:$E$9,Impostazioni!$F$4:$F$9))</f>
        <v/>
      </c>
      <c r="Q649" s="36"/>
      <c r="R649" s="36"/>
      <c r="S649" s="36"/>
      <c r="T649" s="36"/>
      <c r="U649" s="39" t="str">
        <f aca="false">IF(COUNT(Q649:T649)=0,"",ROUND(AVERAGE(Q649:T649),0))</f>
        <v/>
      </c>
      <c r="V649" s="38" t="str">
        <f aca="false">IF(U649="","",LOOKUP(U649,Impostazioni!$E$4:$E$9,Impostazioni!$F$4:$F$9))</f>
        <v/>
      </c>
      <c r="W649" s="36"/>
      <c r="X649" s="36"/>
      <c r="Y649" s="36"/>
      <c r="Z649" s="36"/>
      <c r="AA649" s="39" t="str">
        <f aca="false">IF(COUNT(W649:Z649)=0,"",ROUND(AVERAGE(W649:Z649),0))</f>
        <v/>
      </c>
      <c r="AB649" s="38" t="str">
        <f aca="false">IF(AA649="","",LOOKUP(AA649,Impostazioni!$E$4:$E$9,Impostazioni!$F$4:$F$9))</f>
        <v/>
      </c>
    </row>
    <row r="650" customFormat="false" ht="21" hidden="false" customHeight="true" outlineLevel="0" collapsed="false">
      <c r="A650" s="33" t="n">
        <v>28</v>
      </c>
      <c r="B650" s="34" t="str">
        <f aca="false">IFERROR(INDEX(Alunni!$C$1:$C$1000,MATCH($A650,Alunni!$A$1:$A$1000,0))&amp;"","")</f>
        <v/>
      </c>
      <c r="C650" s="15"/>
      <c r="D650" s="35"/>
      <c r="E650" s="36"/>
      <c r="F650" s="36"/>
      <c r="G650" s="36"/>
      <c r="H650" s="36"/>
      <c r="I650" s="39" t="str">
        <f aca="false">IF(COUNT(E650:H650)=0,"",ROUND(AVERAGE(E650:H650),0))</f>
        <v/>
      </c>
      <c r="J650" s="38" t="str">
        <f aca="false">IF(I650="","",LOOKUP(I650,Impostazioni!$E$4:$E$9,Impostazioni!$F$4:$F$9))</f>
        <v/>
      </c>
      <c r="K650" s="36"/>
      <c r="L650" s="36"/>
      <c r="M650" s="36"/>
      <c r="N650" s="36"/>
      <c r="O650" s="39" t="str">
        <f aca="false">IF(COUNT(K650:N650)=0,"",ROUND(AVERAGE(K650:N650),0))</f>
        <v/>
      </c>
      <c r="P650" s="38" t="str">
        <f aca="false">IF(O650="","",LOOKUP(O650,Impostazioni!$E$4:$E$9,Impostazioni!$F$4:$F$9))</f>
        <v/>
      </c>
      <c r="Q650" s="36"/>
      <c r="R650" s="36"/>
      <c r="S650" s="36"/>
      <c r="T650" s="36"/>
      <c r="U650" s="39" t="str">
        <f aca="false">IF(COUNT(Q650:T650)=0,"",ROUND(AVERAGE(Q650:T650),0))</f>
        <v/>
      </c>
      <c r="V650" s="38" t="str">
        <f aca="false">IF(U650="","",LOOKUP(U650,Impostazioni!$E$4:$E$9,Impostazioni!$F$4:$F$9))</f>
        <v/>
      </c>
      <c r="W650" s="36"/>
      <c r="X650" s="36"/>
      <c r="Y650" s="36"/>
      <c r="Z650" s="36"/>
      <c r="AA650" s="39" t="str">
        <f aca="false">IF(COUNT(W650:Z650)=0,"",ROUND(AVERAGE(W650:Z650),0))</f>
        <v/>
      </c>
      <c r="AB650" s="38" t="str">
        <f aca="false">IF(AA650="","",LOOKUP(AA650,Impostazioni!$E$4:$E$9,Impostazioni!$F$4:$F$9))</f>
        <v/>
      </c>
    </row>
    <row r="651" customFormat="false" ht="21" hidden="false" customHeight="true" outlineLevel="0" collapsed="false">
      <c r="A651" s="33" t="n">
        <v>29</v>
      </c>
      <c r="B651" s="34" t="str">
        <f aca="false">IFERROR(INDEX(Alunni!$C$1:$C$1000,MATCH($A651,Alunni!$A$1:$A$1000,0))&amp;"","")</f>
        <v/>
      </c>
      <c r="C651" s="15"/>
      <c r="D651" s="35"/>
      <c r="E651" s="36"/>
      <c r="F651" s="36"/>
      <c r="G651" s="36"/>
      <c r="H651" s="36"/>
      <c r="I651" s="39" t="str">
        <f aca="false">IF(COUNT(E651:H651)=0,"",ROUND(AVERAGE(E651:H651),0))</f>
        <v/>
      </c>
      <c r="J651" s="38" t="str">
        <f aca="false">IF(I651="","",LOOKUP(I651,Impostazioni!$E$4:$E$9,Impostazioni!$F$4:$F$9))</f>
        <v/>
      </c>
      <c r="K651" s="36"/>
      <c r="L651" s="36"/>
      <c r="M651" s="36"/>
      <c r="N651" s="36"/>
      <c r="O651" s="39" t="str">
        <f aca="false">IF(COUNT(K651:N651)=0,"",ROUND(AVERAGE(K651:N651),0))</f>
        <v/>
      </c>
      <c r="P651" s="38" t="str">
        <f aca="false">IF(O651="","",LOOKUP(O651,Impostazioni!$E$4:$E$9,Impostazioni!$F$4:$F$9))</f>
        <v/>
      </c>
      <c r="Q651" s="36"/>
      <c r="R651" s="36"/>
      <c r="S651" s="36"/>
      <c r="T651" s="36"/>
      <c r="U651" s="39" t="str">
        <f aca="false">IF(COUNT(Q651:T651)=0,"",ROUND(AVERAGE(Q651:T651),0))</f>
        <v/>
      </c>
      <c r="V651" s="38" t="str">
        <f aca="false">IF(U651="","",LOOKUP(U651,Impostazioni!$E$4:$E$9,Impostazioni!$F$4:$F$9))</f>
        <v/>
      </c>
      <c r="W651" s="36"/>
      <c r="X651" s="36"/>
      <c r="Y651" s="36"/>
      <c r="Z651" s="36"/>
      <c r="AA651" s="39" t="str">
        <f aca="false">IF(COUNT(W651:Z651)=0,"",ROUND(AVERAGE(W651:Z651),0))</f>
        <v/>
      </c>
      <c r="AB651" s="38" t="str">
        <f aca="false">IF(AA651="","",LOOKUP(AA651,Impostazioni!$E$4:$E$9,Impostazioni!$F$4:$F$9))</f>
        <v/>
      </c>
    </row>
    <row r="652" customFormat="false" ht="21" hidden="false" customHeight="true" outlineLevel="0" collapsed="false">
      <c r="A652" s="33" t="n">
        <v>30</v>
      </c>
      <c r="B652" s="34" t="str">
        <f aca="false">IFERROR(INDEX(Alunni!$C$1:$C$1000,MATCH($A652,Alunni!$A$1:$A$1000,0))&amp;"","")</f>
        <v/>
      </c>
      <c r="C652" s="15"/>
      <c r="D652" s="35"/>
      <c r="E652" s="36"/>
      <c r="F652" s="36"/>
      <c r="G652" s="36"/>
      <c r="H652" s="36"/>
      <c r="I652" s="39" t="str">
        <f aca="false">IF(COUNT(E652:H652)=0,"",ROUND(AVERAGE(E652:H652),0))</f>
        <v/>
      </c>
      <c r="J652" s="38" t="str">
        <f aca="false">IF(I652="","",LOOKUP(I652,Impostazioni!$E$4:$E$9,Impostazioni!$F$4:$F$9))</f>
        <v/>
      </c>
      <c r="K652" s="36"/>
      <c r="L652" s="36"/>
      <c r="M652" s="36"/>
      <c r="N652" s="36"/>
      <c r="O652" s="39" t="str">
        <f aca="false">IF(COUNT(K652:N652)=0,"",ROUND(AVERAGE(K652:N652),0))</f>
        <v/>
      </c>
      <c r="P652" s="38" t="str">
        <f aca="false">IF(O652="","",LOOKUP(O652,Impostazioni!$E$4:$E$9,Impostazioni!$F$4:$F$9))</f>
        <v/>
      </c>
      <c r="Q652" s="36"/>
      <c r="R652" s="36"/>
      <c r="S652" s="36"/>
      <c r="T652" s="36"/>
      <c r="U652" s="39" t="str">
        <f aca="false">IF(COUNT(Q652:T652)=0,"",ROUND(AVERAGE(Q652:T652),0))</f>
        <v/>
      </c>
      <c r="V652" s="38" t="str">
        <f aca="false">IF(U652="","",LOOKUP(U652,Impostazioni!$E$4:$E$9,Impostazioni!$F$4:$F$9))</f>
        <v/>
      </c>
      <c r="W652" s="36"/>
      <c r="X652" s="36"/>
      <c r="Y652" s="36"/>
      <c r="Z652" s="36"/>
      <c r="AA652" s="39" t="str">
        <f aca="false">IF(COUNT(W652:Z652)=0,"",ROUND(AVERAGE(W652:Z652),0))</f>
        <v/>
      </c>
      <c r="AB652" s="38" t="str">
        <f aca="false">IF(AA652="","",LOOKUP(AA652,Impostazioni!$E$4:$E$9,Impostazioni!$F$4:$F$9))</f>
        <v/>
      </c>
    </row>
    <row r="654" customFormat="false" ht="25.5" hidden="false" customHeight="true" outlineLevel="0" collapsed="false">
      <c r="A654" s="40" t="str">
        <f aca="false">Calendario!B25&amp;"   ·   "&amp;IF(Calendario!G25="","(descrizione da Calendario)",Calendario!G25)&amp;"   ·   "&amp;IF(Calendario!E25="","data da fissare",CHOOSE(WEEKDAY(Calendario!E25,2),"lunedì","martedì","mercoledì","giovedì","venerdì","sabato","domenica")&amp;" "&amp;TEXT(DAY(Calendario!E25),"00")&amp;"/"&amp;TEXT(MONTH(Calendario!E25),"00")&amp;"/"&amp;YEAR(Calendario!E25))</f>
        <v>Q2-G09   ·   (descrizione da Calendario)   ·   data da fissare</v>
      </c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</row>
    <row r="655" customFormat="false" ht="15" hidden="false" customHeight="true" outlineLevel="0" collapsed="false">
      <c r="A655" s="25" t="s">
        <v>80</v>
      </c>
      <c r="B655" s="25"/>
      <c r="C655" s="25"/>
      <c r="D655" s="25"/>
      <c r="E655" s="26" t="str">
        <f aca="false">IF(Calendario!$H$25="","— libero —",Calendario!$H$25&amp;"  "&amp;IFERROR(VLOOKUP(Calendario!$H$25,Impostazioni!$A$25:$J$36,3,FALSE()),""))</f>
        <v>— libero —</v>
      </c>
      <c r="F655" s="26"/>
      <c r="G655" s="26"/>
      <c r="H655" s="26"/>
      <c r="I655" s="26"/>
      <c r="J655" s="26"/>
      <c r="K655" s="26" t="str">
        <f aca="false">IF(Calendario!$I$25="","— libero —",Calendario!$I$25&amp;"  "&amp;IFERROR(VLOOKUP(Calendario!$I$25,Impostazioni!$A$25:$J$36,3,FALSE()),""))</f>
        <v>— libero —</v>
      </c>
      <c r="L655" s="26"/>
      <c r="M655" s="26"/>
      <c r="N655" s="26"/>
      <c r="O655" s="26"/>
      <c r="P655" s="26"/>
      <c r="Q655" s="26" t="str">
        <f aca="false">IF(Calendario!$J$25="","— libero —",Calendario!$J$25&amp;"  "&amp;IFERROR(VLOOKUP(Calendario!$J$25,Impostazioni!$A$25:$J$36,3,FALSE()),""))</f>
        <v>— libero —</v>
      </c>
      <c r="R655" s="26"/>
      <c r="S655" s="26"/>
      <c r="T655" s="26"/>
      <c r="U655" s="26"/>
      <c r="V655" s="26"/>
      <c r="W655" s="26" t="str">
        <f aca="false">IF(Calendario!$K$25="","— libero —",Calendario!$K$25&amp;"  "&amp;IFERROR(VLOOKUP(Calendario!$K$25,Impostazioni!$A$25:$J$36,3,FALSE()),""))</f>
        <v>— libero —</v>
      </c>
      <c r="X655" s="26"/>
      <c r="Y655" s="26"/>
      <c r="Z655" s="26"/>
      <c r="AA655" s="26"/>
      <c r="AB655" s="26"/>
    </row>
    <row r="656" customFormat="false" ht="15" hidden="false" customHeight="true" outlineLevel="0" collapsed="false">
      <c r="A656" s="25" t="s">
        <v>81</v>
      </c>
      <c r="B656" s="25"/>
      <c r="C656" s="25"/>
      <c r="D656" s="25"/>
      <c r="E656" s="27" t="str">
        <f aca="false">IF(Calendario!$H$25="","","Ob. "&amp;IFERROR(VLOOKUP(Calendario!$H$25,Impostazioni!$A$25:$J$36,6,FALSE()),"?")&amp;" · peso "&amp;IF(Calendario!$F$25=2,Impostazioni!$B$11,Impostazioni!$B$10))</f>
        <v/>
      </c>
      <c r="F656" s="27"/>
      <c r="G656" s="27"/>
      <c r="H656" s="27"/>
      <c r="I656" s="27"/>
      <c r="J656" s="27"/>
      <c r="K656" s="27" t="str">
        <f aca="false">IF(Calendario!$I$25="","","Ob. "&amp;IFERROR(VLOOKUP(Calendario!$I$25,Impostazioni!$A$25:$J$36,6,FALSE()),"?")&amp;" · peso "&amp;IF(Calendario!$F$25=2,Impostazioni!$B$11,Impostazioni!$B$10))</f>
        <v/>
      </c>
      <c r="L656" s="27"/>
      <c r="M656" s="27"/>
      <c r="N656" s="27"/>
      <c r="O656" s="27"/>
      <c r="P656" s="27"/>
      <c r="Q656" s="27" t="str">
        <f aca="false">IF(Calendario!$J$25="","","Ob. "&amp;IFERROR(VLOOKUP(Calendario!$J$25,Impostazioni!$A$25:$J$36,6,FALSE()),"?")&amp;" · peso "&amp;IF(Calendario!$F$25=2,Impostazioni!$B$11,Impostazioni!$B$10))</f>
        <v/>
      </c>
      <c r="R656" s="27"/>
      <c r="S656" s="27"/>
      <c r="T656" s="27"/>
      <c r="U656" s="27"/>
      <c r="V656" s="27"/>
      <c r="W656" s="27" t="str">
        <f aca="false">IF(Calendario!$K$25="","","Ob. "&amp;IFERROR(VLOOKUP(Calendario!$K$25,Impostazioni!$A$25:$J$36,6,FALSE()),"?")&amp;" · peso "&amp;IF(Calendario!$F$25=2,Impostazioni!$B$11,Impostazioni!$B$10))</f>
        <v/>
      </c>
      <c r="X656" s="27"/>
      <c r="Y656" s="27"/>
      <c r="Z656" s="27"/>
      <c r="AA656" s="27"/>
      <c r="AB656" s="27"/>
    </row>
    <row r="657" customFormat="false" ht="33.75" hidden="false" customHeight="true" outlineLevel="0" collapsed="false">
      <c r="A657" s="25" t="s">
        <v>82</v>
      </c>
      <c r="B657" s="25"/>
      <c r="C657" s="25"/>
      <c r="D657" s="25"/>
      <c r="E657" s="28" t="str">
        <f aca="false">IF(Calendario!$H$25="","",IFERROR(HYPERLINK("#Rubriche!C"&amp;(MATCH(Calendario!$H$25,Rubriche!$A$1:$A$1000,0)+0),VLOOKUP(Calendario!$H$25,Impostazioni!$A$25:$J$36,7,FALSE())),""))</f>
        <v/>
      </c>
      <c r="F657" s="28" t="str">
        <f aca="false">IF(Calendario!$H$25="","",IFERROR(HYPERLINK("#Rubriche!C"&amp;(MATCH(Calendario!$H$25,Rubriche!$A$1:$A$1000,0)+1),VLOOKUP(Calendario!$H$25,Impostazioni!$A$25:$J$36,8,FALSE())),""))</f>
        <v/>
      </c>
      <c r="G657" s="28" t="str">
        <f aca="false">IF(Calendario!$H$25="","",IFERROR(HYPERLINK("#Rubriche!C"&amp;(MATCH(Calendario!$H$25,Rubriche!$A$1:$A$1000,0)+2),VLOOKUP(Calendario!$H$25,Impostazioni!$A$25:$J$36,9,FALSE())),""))</f>
        <v/>
      </c>
      <c r="H657" s="28" t="str">
        <f aca="false">IF(Calendario!$H$25="","",IFERROR(HYPERLINK("#Rubriche!C"&amp;(MATCH(Calendario!$H$25,Rubriche!$A$1:$A$1000,0)+3),VLOOKUP(Calendario!$H$25,Impostazioni!$A$25:$J$36,10,FALSE())),""))</f>
        <v/>
      </c>
      <c r="I657" s="29"/>
      <c r="J657" s="29"/>
      <c r="K657" s="28" t="str">
        <f aca="false">IF(Calendario!$I$25="","",IFERROR(HYPERLINK("#Rubriche!C"&amp;(MATCH(Calendario!$I$25,Rubriche!$A$1:$A$1000,0)+0),VLOOKUP(Calendario!$I$25,Impostazioni!$A$25:$J$36,7,FALSE())),""))</f>
        <v/>
      </c>
      <c r="L657" s="28" t="str">
        <f aca="false">IF(Calendario!$I$25="","",IFERROR(HYPERLINK("#Rubriche!C"&amp;(MATCH(Calendario!$I$25,Rubriche!$A$1:$A$1000,0)+1),VLOOKUP(Calendario!$I$25,Impostazioni!$A$25:$J$36,8,FALSE())),""))</f>
        <v/>
      </c>
      <c r="M657" s="28" t="str">
        <f aca="false">IF(Calendario!$I$25="","",IFERROR(HYPERLINK("#Rubriche!C"&amp;(MATCH(Calendario!$I$25,Rubriche!$A$1:$A$1000,0)+2),VLOOKUP(Calendario!$I$25,Impostazioni!$A$25:$J$36,9,FALSE())),""))</f>
        <v/>
      </c>
      <c r="N657" s="28" t="str">
        <f aca="false">IF(Calendario!$I$25="","",IFERROR(HYPERLINK("#Rubriche!C"&amp;(MATCH(Calendario!$I$25,Rubriche!$A$1:$A$1000,0)+3),VLOOKUP(Calendario!$I$25,Impostazioni!$A$25:$J$36,10,FALSE())),""))</f>
        <v/>
      </c>
      <c r="O657" s="29"/>
      <c r="P657" s="29"/>
      <c r="Q657" s="28" t="str">
        <f aca="false">IF(Calendario!$J$25="","",IFERROR(HYPERLINK("#Rubriche!C"&amp;(MATCH(Calendario!$J$25,Rubriche!$A$1:$A$1000,0)+0),VLOOKUP(Calendario!$J$25,Impostazioni!$A$25:$J$36,7,FALSE())),""))</f>
        <v/>
      </c>
      <c r="R657" s="28" t="str">
        <f aca="false">IF(Calendario!$J$25="","",IFERROR(HYPERLINK("#Rubriche!C"&amp;(MATCH(Calendario!$J$25,Rubriche!$A$1:$A$1000,0)+1),VLOOKUP(Calendario!$J$25,Impostazioni!$A$25:$J$36,8,FALSE())),""))</f>
        <v/>
      </c>
      <c r="S657" s="28" t="str">
        <f aca="false">IF(Calendario!$J$25="","",IFERROR(HYPERLINK("#Rubriche!C"&amp;(MATCH(Calendario!$J$25,Rubriche!$A$1:$A$1000,0)+2),VLOOKUP(Calendario!$J$25,Impostazioni!$A$25:$J$36,9,FALSE())),""))</f>
        <v/>
      </c>
      <c r="T657" s="28" t="str">
        <f aca="false">IF(Calendario!$J$25="","",IFERROR(HYPERLINK("#Rubriche!C"&amp;(MATCH(Calendario!$J$25,Rubriche!$A$1:$A$1000,0)+3),VLOOKUP(Calendario!$J$25,Impostazioni!$A$25:$J$36,10,FALSE())),""))</f>
        <v/>
      </c>
      <c r="U657" s="29"/>
      <c r="V657" s="29"/>
      <c r="W657" s="28" t="str">
        <f aca="false">IF(Calendario!$K$25="","",IFERROR(HYPERLINK("#Rubriche!C"&amp;(MATCH(Calendario!$K$25,Rubriche!$A$1:$A$1000,0)+0),VLOOKUP(Calendario!$K$25,Impostazioni!$A$25:$J$36,7,FALSE())),""))</f>
        <v/>
      </c>
      <c r="X657" s="28" t="str">
        <f aca="false">IF(Calendario!$K$25="","",IFERROR(HYPERLINK("#Rubriche!C"&amp;(MATCH(Calendario!$K$25,Rubriche!$A$1:$A$1000,0)+1),VLOOKUP(Calendario!$K$25,Impostazioni!$A$25:$J$36,8,FALSE())),""))</f>
        <v/>
      </c>
      <c r="Y657" s="28" t="str">
        <f aca="false">IF(Calendario!$K$25="","",IFERROR(HYPERLINK("#Rubriche!C"&amp;(MATCH(Calendario!$K$25,Rubriche!$A$1:$A$1000,0)+2),VLOOKUP(Calendario!$K$25,Impostazioni!$A$25:$J$36,9,FALSE())),""))</f>
        <v/>
      </c>
      <c r="Z657" s="28" t="str">
        <f aca="false">IF(Calendario!$K$25="","",IFERROR(HYPERLINK("#Rubriche!C"&amp;(MATCH(Calendario!$K$25,Rubriche!$A$1:$A$1000,0)+3),VLOOKUP(Calendario!$K$25,Impostazioni!$A$25:$J$36,10,FALSE())),""))</f>
        <v/>
      </c>
      <c r="AA657" s="29"/>
      <c r="AB657" s="29"/>
    </row>
    <row r="658" customFormat="false" ht="25.5" hidden="false" customHeight="true" outlineLevel="0" collapsed="false">
      <c r="A658" s="8" t="s">
        <v>65</v>
      </c>
      <c r="B658" s="8" t="s">
        <v>83</v>
      </c>
      <c r="C658" s="8" t="s">
        <v>68</v>
      </c>
      <c r="D658" s="8" t="s">
        <v>84</v>
      </c>
      <c r="E658" s="30" t="s">
        <v>85</v>
      </c>
      <c r="F658" s="30" t="s">
        <v>86</v>
      </c>
      <c r="G658" s="30" t="s">
        <v>87</v>
      </c>
      <c r="H658" s="30" t="s">
        <v>88</v>
      </c>
      <c r="I658" s="31" t="s">
        <v>89</v>
      </c>
      <c r="J658" s="32" t="s">
        <v>90</v>
      </c>
      <c r="K658" s="30" t="s">
        <v>85</v>
      </c>
      <c r="L658" s="30" t="s">
        <v>86</v>
      </c>
      <c r="M658" s="30" t="s">
        <v>87</v>
      </c>
      <c r="N658" s="30" t="s">
        <v>88</v>
      </c>
      <c r="O658" s="31" t="s">
        <v>89</v>
      </c>
      <c r="P658" s="32" t="s">
        <v>90</v>
      </c>
      <c r="Q658" s="30" t="s">
        <v>85</v>
      </c>
      <c r="R658" s="30" t="s">
        <v>86</v>
      </c>
      <c r="S658" s="30" t="s">
        <v>87</v>
      </c>
      <c r="T658" s="30" t="s">
        <v>88</v>
      </c>
      <c r="U658" s="31" t="s">
        <v>89</v>
      </c>
      <c r="V658" s="32" t="s">
        <v>90</v>
      </c>
      <c r="W658" s="30" t="s">
        <v>85</v>
      </c>
      <c r="X658" s="30" t="s">
        <v>86</v>
      </c>
      <c r="Y658" s="30" t="s">
        <v>87</v>
      </c>
      <c r="Z658" s="30" t="s">
        <v>88</v>
      </c>
      <c r="AA658" s="31" t="s">
        <v>89</v>
      </c>
      <c r="AB658" s="32" t="s">
        <v>90</v>
      </c>
    </row>
    <row r="659" customFormat="false" ht="21" hidden="false" customHeight="true" outlineLevel="0" collapsed="false">
      <c r="A659" s="33" t="n">
        <v>1</v>
      </c>
      <c r="B659" s="34" t="str">
        <f aca="false">IFERROR(INDEX(Alunni!$C$1:$C$1000,MATCH($A659,Alunni!$A$1:$A$1000,0))&amp;"","")</f>
        <v>Rossi Mario (esempio)</v>
      </c>
      <c r="C659" s="15"/>
      <c r="D659" s="35"/>
      <c r="E659" s="36"/>
      <c r="F659" s="36"/>
      <c r="G659" s="36"/>
      <c r="H659" s="36"/>
      <c r="I659" s="39" t="str">
        <f aca="false">IF(COUNT(E659:H659)=0,"",ROUND(AVERAGE(E659:H659),0))</f>
        <v/>
      </c>
      <c r="J659" s="38" t="str">
        <f aca="false">IF(I659="","",LOOKUP(I659,Impostazioni!$E$4:$E$9,Impostazioni!$F$4:$F$9))</f>
        <v/>
      </c>
      <c r="K659" s="36"/>
      <c r="L659" s="36"/>
      <c r="M659" s="36"/>
      <c r="N659" s="36"/>
      <c r="O659" s="39" t="str">
        <f aca="false">IF(COUNT(K659:N659)=0,"",ROUND(AVERAGE(K659:N659),0))</f>
        <v/>
      </c>
      <c r="P659" s="38" t="str">
        <f aca="false">IF(O659="","",LOOKUP(O659,Impostazioni!$E$4:$E$9,Impostazioni!$F$4:$F$9))</f>
        <v/>
      </c>
      <c r="Q659" s="36"/>
      <c r="R659" s="36"/>
      <c r="S659" s="36"/>
      <c r="T659" s="36"/>
      <c r="U659" s="39" t="str">
        <f aca="false">IF(COUNT(Q659:T659)=0,"",ROUND(AVERAGE(Q659:T659),0))</f>
        <v/>
      </c>
      <c r="V659" s="38" t="str">
        <f aca="false">IF(U659="","",LOOKUP(U659,Impostazioni!$E$4:$E$9,Impostazioni!$F$4:$F$9))</f>
        <v/>
      </c>
      <c r="W659" s="36"/>
      <c r="X659" s="36"/>
      <c r="Y659" s="36"/>
      <c r="Z659" s="36"/>
      <c r="AA659" s="39" t="str">
        <f aca="false">IF(COUNT(W659:Z659)=0,"",ROUND(AVERAGE(W659:Z659),0))</f>
        <v/>
      </c>
      <c r="AB659" s="38" t="str">
        <f aca="false">IF(AA659="","",LOOKUP(AA659,Impostazioni!$E$4:$E$9,Impostazioni!$F$4:$F$9))</f>
        <v/>
      </c>
    </row>
    <row r="660" customFormat="false" ht="21" hidden="false" customHeight="true" outlineLevel="0" collapsed="false">
      <c r="A660" s="33" t="n">
        <v>2</v>
      </c>
      <c r="B660" s="34" t="str">
        <f aca="false">IFERROR(INDEX(Alunni!$C$1:$C$1000,MATCH($A660,Alunni!$A$1:$A$1000,0))&amp;"","")</f>
        <v>Bianchi Anna (esempio)</v>
      </c>
      <c r="C660" s="15"/>
      <c r="D660" s="35"/>
      <c r="E660" s="36"/>
      <c r="F660" s="36"/>
      <c r="G660" s="36"/>
      <c r="H660" s="36"/>
      <c r="I660" s="39" t="str">
        <f aca="false">IF(COUNT(E660:H660)=0,"",ROUND(AVERAGE(E660:H660),0))</f>
        <v/>
      </c>
      <c r="J660" s="38" t="str">
        <f aca="false">IF(I660="","",LOOKUP(I660,Impostazioni!$E$4:$E$9,Impostazioni!$F$4:$F$9))</f>
        <v/>
      </c>
      <c r="K660" s="36"/>
      <c r="L660" s="36"/>
      <c r="M660" s="36"/>
      <c r="N660" s="36"/>
      <c r="O660" s="39" t="str">
        <f aca="false">IF(COUNT(K660:N660)=0,"",ROUND(AVERAGE(K660:N660),0))</f>
        <v/>
      </c>
      <c r="P660" s="38" t="str">
        <f aca="false">IF(O660="","",LOOKUP(O660,Impostazioni!$E$4:$E$9,Impostazioni!$F$4:$F$9))</f>
        <v/>
      </c>
      <c r="Q660" s="36"/>
      <c r="R660" s="36"/>
      <c r="S660" s="36"/>
      <c r="T660" s="36"/>
      <c r="U660" s="39" t="str">
        <f aca="false">IF(COUNT(Q660:T660)=0,"",ROUND(AVERAGE(Q660:T660),0))</f>
        <v/>
      </c>
      <c r="V660" s="38" t="str">
        <f aca="false">IF(U660="","",LOOKUP(U660,Impostazioni!$E$4:$E$9,Impostazioni!$F$4:$F$9))</f>
        <v/>
      </c>
      <c r="W660" s="36"/>
      <c r="X660" s="36"/>
      <c r="Y660" s="36"/>
      <c r="Z660" s="36"/>
      <c r="AA660" s="39" t="str">
        <f aca="false">IF(COUNT(W660:Z660)=0,"",ROUND(AVERAGE(W660:Z660),0))</f>
        <v/>
      </c>
      <c r="AB660" s="38" t="str">
        <f aca="false">IF(AA660="","",LOOKUP(AA660,Impostazioni!$E$4:$E$9,Impostazioni!$F$4:$F$9))</f>
        <v/>
      </c>
    </row>
    <row r="661" customFormat="false" ht="21" hidden="false" customHeight="true" outlineLevel="0" collapsed="false">
      <c r="A661" s="33" t="n">
        <v>3</v>
      </c>
      <c r="B661" s="34" t="str">
        <f aca="false">IFERROR(INDEX(Alunni!$C$1:$C$1000,MATCH($A661,Alunni!$A$1:$A$1000,0))&amp;"","")</f>
        <v>Verdi Luca (esempio)</v>
      </c>
      <c r="C661" s="15"/>
      <c r="D661" s="35"/>
      <c r="E661" s="36"/>
      <c r="F661" s="36"/>
      <c r="G661" s="36"/>
      <c r="H661" s="36"/>
      <c r="I661" s="39" t="str">
        <f aca="false">IF(COUNT(E661:H661)=0,"",ROUND(AVERAGE(E661:H661),0))</f>
        <v/>
      </c>
      <c r="J661" s="38" t="str">
        <f aca="false">IF(I661="","",LOOKUP(I661,Impostazioni!$E$4:$E$9,Impostazioni!$F$4:$F$9))</f>
        <v/>
      </c>
      <c r="K661" s="36"/>
      <c r="L661" s="36"/>
      <c r="M661" s="36"/>
      <c r="N661" s="36"/>
      <c r="O661" s="39" t="str">
        <f aca="false">IF(COUNT(K661:N661)=0,"",ROUND(AVERAGE(K661:N661),0))</f>
        <v/>
      </c>
      <c r="P661" s="38" t="str">
        <f aca="false">IF(O661="","",LOOKUP(O661,Impostazioni!$E$4:$E$9,Impostazioni!$F$4:$F$9))</f>
        <v/>
      </c>
      <c r="Q661" s="36"/>
      <c r="R661" s="36"/>
      <c r="S661" s="36"/>
      <c r="T661" s="36"/>
      <c r="U661" s="39" t="str">
        <f aca="false">IF(COUNT(Q661:T661)=0,"",ROUND(AVERAGE(Q661:T661),0))</f>
        <v/>
      </c>
      <c r="V661" s="38" t="str">
        <f aca="false">IF(U661="","",LOOKUP(U661,Impostazioni!$E$4:$E$9,Impostazioni!$F$4:$F$9))</f>
        <v/>
      </c>
      <c r="W661" s="36"/>
      <c r="X661" s="36"/>
      <c r="Y661" s="36"/>
      <c r="Z661" s="36"/>
      <c r="AA661" s="39" t="str">
        <f aca="false">IF(COUNT(W661:Z661)=0,"",ROUND(AVERAGE(W661:Z661),0))</f>
        <v/>
      </c>
      <c r="AB661" s="38" t="str">
        <f aca="false">IF(AA661="","",LOOKUP(AA661,Impostazioni!$E$4:$E$9,Impostazioni!$F$4:$F$9))</f>
        <v/>
      </c>
    </row>
    <row r="662" customFormat="false" ht="21" hidden="false" customHeight="true" outlineLevel="0" collapsed="false">
      <c r="A662" s="33" t="n">
        <v>4</v>
      </c>
      <c r="B662" s="34" t="str">
        <f aca="false">IFERROR(INDEX(Alunni!$C$1:$C$1000,MATCH($A662,Alunni!$A$1:$A$1000,0))&amp;"","")</f>
        <v/>
      </c>
      <c r="C662" s="15"/>
      <c r="D662" s="35"/>
      <c r="E662" s="36"/>
      <c r="F662" s="36"/>
      <c r="G662" s="36"/>
      <c r="H662" s="36"/>
      <c r="I662" s="39" t="str">
        <f aca="false">IF(COUNT(E662:H662)=0,"",ROUND(AVERAGE(E662:H662),0))</f>
        <v/>
      </c>
      <c r="J662" s="38" t="str">
        <f aca="false">IF(I662="","",LOOKUP(I662,Impostazioni!$E$4:$E$9,Impostazioni!$F$4:$F$9))</f>
        <v/>
      </c>
      <c r="K662" s="36"/>
      <c r="L662" s="36"/>
      <c r="M662" s="36"/>
      <c r="N662" s="36"/>
      <c r="O662" s="39" t="str">
        <f aca="false">IF(COUNT(K662:N662)=0,"",ROUND(AVERAGE(K662:N662),0))</f>
        <v/>
      </c>
      <c r="P662" s="38" t="str">
        <f aca="false">IF(O662="","",LOOKUP(O662,Impostazioni!$E$4:$E$9,Impostazioni!$F$4:$F$9))</f>
        <v/>
      </c>
      <c r="Q662" s="36"/>
      <c r="R662" s="36"/>
      <c r="S662" s="36"/>
      <c r="T662" s="36"/>
      <c r="U662" s="39" t="str">
        <f aca="false">IF(COUNT(Q662:T662)=0,"",ROUND(AVERAGE(Q662:T662),0))</f>
        <v/>
      </c>
      <c r="V662" s="38" t="str">
        <f aca="false">IF(U662="","",LOOKUP(U662,Impostazioni!$E$4:$E$9,Impostazioni!$F$4:$F$9))</f>
        <v/>
      </c>
      <c r="W662" s="36"/>
      <c r="X662" s="36"/>
      <c r="Y662" s="36"/>
      <c r="Z662" s="36"/>
      <c r="AA662" s="39" t="str">
        <f aca="false">IF(COUNT(W662:Z662)=0,"",ROUND(AVERAGE(W662:Z662),0))</f>
        <v/>
      </c>
      <c r="AB662" s="38" t="str">
        <f aca="false">IF(AA662="","",LOOKUP(AA662,Impostazioni!$E$4:$E$9,Impostazioni!$F$4:$F$9))</f>
        <v/>
      </c>
    </row>
    <row r="663" customFormat="false" ht="21" hidden="false" customHeight="true" outlineLevel="0" collapsed="false">
      <c r="A663" s="33" t="n">
        <v>5</v>
      </c>
      <c r="B663" s="34" t="str">
        <f aca="false">IFERROR(INDEX(Alunni!$C$1:$C$1000,MATCH($A663,Alunni!$A$1:$A$1000,0))&amp;"","")</f>
        <v/>
      </c>
      <c r="C663" s="15"/>
      <c r="D663" s="35"/>
      <c r="E663" s="36"/>
      <c r="F663" s="36"/>
      <c r="G663" s="36"/>
      <c r="H663" s="36"/>
      <c r="I663" s="39" t="str">
        <f aca="false">IF(COUNT(E663:H663)=0,"",ROUND(AVERAGE(E663:H663),0))</f>
        <v/>
      </c>
      <c r="J663" s="38" t="str">
        <f aca="false">IF(I663="","",LOOKUP(I663,Impostazioni!$E$4:$E$9,Impostazioni!$F$4:$F$9))</f>
        <v/>
      </c>
      <c r="K663" s="36"/>
      <c r="L663" s="36"/>
      <c r="M663" s="36"/>
      <c r="N663" s="36"/>
      <c r="O663" s="39" t="str">
        <f aca="false">IF(COUNT(K663:N663)=0,"",ROUND(AVERAGE(K663:N663),0))</f>
        <v/>
      </c>
      <c r="P663" s="38" t="str">
        <f aca="false">IF(O663="","",LOOKUP(O663,Impostazioni!$E$4:$E$9,Impostazioni!$F$4:$F$9))</f>
        <v/>
      </c>
      <c r="Q663" s="36"/>
      <c r="R663" s="36"/>
      <c r="S663" s="36"/>
      <c r="T663" s="36"/>
      <c r="U663" s="39" t="str">
        <f aca="false">IF(COUNT(Q663:T663)=0,"",ROUND(AVERAGE(Q663:T663),0))</f>
        <v/>
      </c>
      <c r="V663" s="38" t="str">
        <f aca="false">IF(U663="","",LOOKUP(U663,Impostazioni!$E$4:$E$9,Impostazioni!$F$4:$F$9))</f>
        <v/>
      </c>
      <c r="W663" s="36"/>
      <c r="X663" s="36"/>
      <c r="Y663" s="36"/>
      <c r="Z663" s="36"/>
      <c r="AA663" s="39" t="str">
        <f aca="false">IF(COUNT(W663:Z663)=0,"",ROUND(AVERAGE(W663:Z663),0))</f>
        <v/>
      </c>
      <c r="AB663" s="38" t="str">
        <f aca="false">IF(AA663="","",LOOKUP(AA663,Impostazioni!$E$4:$E$9,Impostazioni!$F$4:$F$9))</f>
        <v/>
      </c>
    </row>
    <row r="664" customFormat="false" ht="21" hidden="false" customHeight="true" outlineLevel="0" collapsed="false">
      <c r="A664" s="33" t="n">
        <v>6</v>
      </c>
      <c r="B664" s="34" t="str">
        <f aca="false">IFERROR(INDEX(Alunni!$C$1:$C$1000,MATCH($A664,Alunni!$A$1:$A$1000,0))&amp;"","")</f>
        <v/>
      </c>
      <c r="C664" s="15"/>
      <c r="D664" s="35"/>
      <c r="E664" s="36"/>
      <c r="F664" s="36"/>
      <c r="G664" s="36"/>
      <c r="H664" s="36"/>
      <c r="I664" s="39" t="str">
        <f aca="false">IF(COUNT(E664:H664)=0,"",ROUND(AVERAGE(E664:H664),0))</f>
        <v/>
      </c>
      <c r="J664" s="38" t="str">
        <f aca="false">IF(I664="","",LOOKUP(I664,Impostazioni!$E$4:$E$9,Impostazioni!$F$4:$F$9))</f>
        <v/>
      </c>
      <c r="K664" s="36"/>
      <c r="L664" s="36"/>
      <c r="M664" s="36"/>
      <c r="N664" s="36"/>
      <c r="O664" s="39" t="str">
        <f aca="false">IF(COUNT(K664:N664)=0,"",ROUND(AVERAGE(K664:N664),0))</f>
        <v/>
      </c>
      <c r="P664" s="38" t="str">
        <f aca="false">IF(O664="","",LOOKUP(O664,Impostazioni!$E$4:$E$9,Impostazioni!$F$4:$F$9))</f>
        <v/>
      </c>
      <c r="Q664" s="36"/>
      <c r="R664" s="36"/>
      <c r="S664" s="36"/>
      <c r="T664" s="36"/>
      <c r="U664" s="39" t="str">
        <f aca="false">IF(COUNT(Q664:T664)=0,"",ROUND(AVERAGE(Q664:T664),0))</f>
        <v/>
      </c>
      <c r="V664" s="38" t="str">
        <f aca="false">IF(U664="","",LOOKUP(U664,Impostazioni!$E$4:$E$9,Impostazioni!$F$4:$F$9))</f>
        <v/>
      </c>
      <c r="W664" s="36"/>
      <c r="X664" s="36"/>
      <c r="Y664" s="36"/>
      <c r="Z664" s="36"/>
      <c r="AA664" s="39" t="str">
        <f aca="false">IF(COUNT(W664:Z664)=0,"",ROUND(AVERAGE(W664:Z664),0))</f>
        <v/>
      </c>
      <c r="AB664" s="38" t="str">
        <f aca="false">IF(AA664="","",LOOKUP(AA664,Impostazioni!$E$4:$E$9,Impostazioni!$F$4:$F$9))</f>
        <v/>
      </c>
    </row>
    <row r="665" customFormat="false" ht="21" hidden="false" customHeight="true" outlineLevel="0" collapsed="false">
      <c r="A665" s="33" t="n">
        <v>7</v>
      </c>
      <c r="B665" s="34" t="str">
        <f aca="false">IFERROR(INDEX(Alunni!$C$1:$C$1000,MATCH($A665,Alunni!$A$1:$A$1000,0))&amp;"","")</f>
        <v/>
      </c>
      <c r="C665" s="15"/>
      <c r="D665" s="35"/>
      <c r="E665" s="36"/>
      <c r="F665" s="36"/>
      <c r="G665" s="36"/>
      <c r="H665" s="36"/>
      <c r="I665" s="39" t="str">
        <f aca="false">IF(COUNT(E665:H665)=0,"",ROUND(AVERAGE(E665:H665),0))</f>
        <v/>
      </c>
      <c r="J665" s="38" t="str">
        <f aca="false">IF(I665="","",LOOKUP(I665,Impostazioni!$E$4:$E$9,Impostazioni!$F$4:$F$9))</f>
        <v/>
      </c>
      <c r="K665" s="36"/>
      <c r="L665" s="36"/>
      <c r="M665" s="36"/>
      <c r="N665" s="36"/>
      <c r="O665" s="39" t="str">
        <f aca="false">IF(COUNT(K665:N665)=0,"",ROUND(AVERAGE(K665:N665),0))</f>
        <v/>
      </c>
      <c r="P665" s="38" t="str">
        <f aca="false">IF(O665="","",LOOKUP(O665,Impostazioni!$E$4:$E$9,Impostazioni!$F$4:$F$9))</f>
        <v/>
      </c>
      <c r="Q665" s="36"/>
      <c r="R665" s="36"/>
      <c r="S665" s="36"/>
      <c r="T665" s="36"/>
      <c r="U665" s="39" t="str">
        <f aca="false">IF(COUNT(Q665:T665)=0,"",ROUND(AVERAGE(Q665:T665),0))</f>
        <v/>
      </c>
      <c r="V665" s="38" t="str">
        <f aca="false">IF(U665="","",LOOKUP(U665,Impostazioni!$E$4:$E$9,Impostazioni!$F$4:$F$9))</f>
        <v/>
      </c>
      <c r="W665" s="36"/>
      <c r="X665" s="36"/>
      <c r="Y665" s="36"/>
      <c r="Z665" s="36"/>
      <c r="AA665" s="39" t="str">
        <f aca="false">IF(COUNT(W665:Z665)=0,"",ROUND(AVERAGE(W665:Z665),0))</f>
        <v/>
      </c>
      <c r="AB665" s="38" t="str">
        <f aca="false">IF(AA665="","",LOOKUP(AA665,Impostazioni!$E$4:$E$9,Impostazioni!$F$4:$F$9))</f>
        <v/>
      </c>
    </row>
    <row r="666" customFormat="false" ht="21" hidden="false" customHeight="true" outlineLevel="0" collapsed="false">
      <c r="A666" s="33" t="n">
        <v>8</v>
      </c>
      <c r="B666" s="34" t="str">
        <f aca="false">IFERROR(INDEX(Alunni!$C$1:$C$1000,MATCH($A666,Alunni!$A$1:$A$1000,0))&amp;"","")</f>
        <v/>
      </c>
      <c r="C666" s="15"/>
      <c r="D666" s="35"/>
      <c r="E666" s="36"/>
      <c r="F666" s="36"/>
      <c r="G666" s="36"/>
      <c r="H666" s="36"/>
      <c r="I666" s="39" t="str">
        <f aca="false">IF(COUNT(E666:H666)=0,"",ROUND(AVERAGE(E666:H666),0))</f>
        <v/>
      </c>
      <c r="J666" s="38" t="str">
        <f aca="false">IF(I666="","",LOOKUP(I666,Impostazioni!$E$4:$E$9,Impostazioni!$F$4:$F$9))</f>
        <v/>
      </c>
      <c r="K666" s="36"/>
      <c r="L666" s="36"/>
      <c r="M666" s="36"/>
      <c r="N666" s="36"/>
      <c r="O666" s="39" t="str">
        <f aca="false">IF(COUNT(K666:N666)=0,"",ROUND(AVERAGE(K666:N666),0))</f>
        <v/>
      </c>
      <c r="P666" s="38" t="str">
        <f aca="false">IF(O666="","",LOOKUP(O666,Impostazioni!$E$4:$E$9,Impostazioni!$F$4:$F$9))</f>
        <v/>
      </c>
      <c r="Q666" s="36"/>
      <c r="R666" s="36"/>
      <c r="S666" s="36"/>
      <c r="T666" s="36"/>
      <c r="U666" s="39" t="str">
        <f aca="false">IF(COUNT(Q666:T666)=0,"",ROUND(AVERAGE(Q666:T666),0))</f>
        <v/>
      </c>
      <c r="V666" s="38" t="str">
        <f aca="false">IF(U666="","",LOOKUP(U666,Impostazioni!$E$4:$E$9,Impostazioni!$F$4:$F$9))</f>
        <v/>
      </c>
      <c r="W666" s="36"/>
      <c r="X666" s="36"/>
      <c r="Y666" s="36"/>
      <c r="Z666" s="36"/>
      <c r="AA666" s="39" t="str">
        <f aca="false">IF(COUNT(W666:Z666)=0,"",ROUND(AVERAGE(W666:Z666),0))</f>
        <v/>
      </c>
      <c r="AB666" s="38" t="str">
        <f aca="false">IF(AA666="","",LOOKUP(AA666,Impostazioni!$E$4:$E$9,Impostazioni!$F$4:$F$9))</f>
        <v/>
      </c>
    </row>
    <row r="667" customFormat="false" ht="21" hidden="false" customHeight="true" outlineLevel="0" collapsed="false">
      <c r="A667" s="33" t="n">
        <v>9</v>
      </c>
      <c r="B667" s="34" t="str">
        <f aca="false">IFERROR(INDEX(Alunni!$C$1:$C$1000,MATCH($A667,Alunni!$A$1:$A$1000,0))&amp;"","")</f>
        <v/>
      </c>
      <c r="C667" s="15"/>
      <c r="D667" s="35"/>
      <c r="E667" s="36"/>
      <c r="F667" s="36"/>
      <c r="G667" s="36"/>
      <c r="H667" s="36"/>
      <c r="I667" s="39" t="str">
        <f aca="false">IF(COUNT(E667:H667)=0,"",ROUND(AVERAGE(E667:H667),0))</f>
        <v/>
      </c>
      <c r="J667" s="38" t="str">
        <f aca="false">IF(I667="","",LOOKUP(I667,Impostazioni!$E$4:$E$9,Impostazioni!$F$4:$F$9))</f>
        <v/>
      </c>
      <c r="K667" s="36"/>
      <c r="L667" s="36"/>
      <c r="M667" s="36"/>
      <c r="N667" s="36"/>
      <c r="O667" s="39" t="str">
        <f aca="false">IF(COUNT(K667:N667)=0,"",ROUND(AVERAGE(K667:N667),0))</f>
        <v/>
      </c>
      <c r="P667" s="38" t="str">
        <f aca="false">IF(O667="","",LOOKUP(O667,Impostazioni!$E$4:$E$9,Impostazioni!$F$4:$F$9))</f>
        <v/>
      </c>
      <c r="Q667" s="36"/>
      <c r="R667" s="36"/>
      <c r="S667" s="36"/>
      <c r="T667" s="36"/>
      <c r="U667" s="39" t="str">
        <f aca="false">IF(COUNT(Q667:T667)=0,"",ROUND(AVERAGE(Q667:T667),0))</f>
        <v/>
      </c>
      <c r="V667" s="38" t="str">
        <f aca="false">IF(U667="","",LOOKUP(U667,Impostazioni!$E$4:$E$9,Impostazioni!$F$4:$F$9))</f>
        <v/>
      </c>
      <c r="W667" s="36"/>
      <c r="X667" s="36"/>
      <c r="Y667" s="36"/>
      <c r="Z667" s="36"/>
      <c r="AA667" s="39" t="str">
        <f aca="false">IF(COUNT(W667:Z667)=0,"",ROUND(AVERAGE(W667:Z667),0))</f>
        <v/>
      </c>
      <c r="AB667" s="38" t="str">
        <f aca="false">IF(AA667="","",LOOKUP(AA667,Impostazioni!$E$4:$E$9,Impostazioni!$F$4:$F$9))</f>
        <v/>
      </c>
    </row>
    <row r="668" customFormat="false" ht="21" hidden="false" customHeight="true" outlineLevel="0" collapsed="false">
      <c r="A668" s="33" t="n">
        <v>10</v>
      </c>
      <c r="B668" s="34" t="str">
        <f aca="false">IFERROR(INDEX(Alunni!$C$1:$C$1000,MATCH($A668,Alunni!$A$1:$A$1000,0))&amp;"","")</f>
        <v/>
      </c>
      <c r="C668" s="15"/>
      <c r="D668" s="35"/>
      <c r="E668" s="36"/>
      <c r="F668" s="36"/>
      <c r="G668" s="36"/>
      <c r="H668" s="36"/>
      <c r="I668" s="39" t="str">
        <f aca="false">IF(COUNT(E668:H668)=0,"",ROUND(AVERAGE(E668:H668),0))</f>
        <v/>
      </c>
      <c r="J668" s="38" t="str">
        <f aca="false">IF(I668="","",LOOKUP(I668,Impostazioni!$E$4:$E$9,Impostazioni!$F$4:$F$9))</f>
        <v/>
      </c>
      <c r="K668" s="36"/>
      <c r="L668" s="36"/>
      <c r="M668" s="36"/>
      <c r="N668" s="36"/>
      <c r="O668" s="39" t="str">
        <f aca="false">IF(COUNT(K668:N668)=0,"",ROUND(AVERAGE(K668:N668),0))</f>
        <v/>
      </c>
      <c r="P668" s="38" t="str">
        <f aca="false">IF(O668="","",LOOKUP(O668,Impostazioni!$E$4:$E$9,Impostazioni!$F$4:$F$9))</f>
        <v/>
      </c>
      <c r="Q668" s="36"/>
      <c r="R668" s="36"/>
      <c r="S668" s="36"/>
      <c r="T668" s="36"/>
      <c r="U668" s="39" t="str">
        <f aca="false">IF(COUNT(Q668:T668)=0,"",ROUND(AVERAGE(Q668:T668),0))</f>
        <v/>
      </c>
      <c r="V668" s="38" t="str">
        <f aca="false">IF(U668="","",LOOKUP(U668,Impostazioni!$E$4:$E$9,Impostazioni!$F$4:$F$9))</f>
        <v/>
      </c>
      <c r="W668" s="36"/>
      <c r="X668" s="36"/>
      <c r="Y668" s="36"/>
      <c r="Z668" s="36"/>
      <c r="AA668" s="39" t="str">
        <f aca="false">IF(COUNT(W668:Z668)=0,"",ROUND(AVERAGE(W668:Z668),0))</f>
        <v/>
      </c>
      <c r="AB668" s="38" t="str">
        <f aca="false">IF(AA668="","",LOOKUP(AA668,Impostazioni!$E$4:$E$9,Impostazioni!$F$4:$F$9))</f>
        <v/>
      </c>
    </row>
    <row r="669" customFormat="false" ht="21" hidden="false" customHeight="true" outlineLevel="0" collapsed="false">
      <c r="A669" s="33" t="n">
        <v>11</v>
      </c>
      <c r="B669" s="34" t="str">
        <f aca="false">IFERROR(INDEX(Alunni!$C$1:$C$1000,MATCH($A669,Alunni!$A$1:$A$1000,0))&amp;"","")</f>
        <v/>
      </c>
      <c r="C669" s="15"/>
      <c r="D669" s="35"/>
      <c r="E669" s="36"/>
      <c r="F669" s="36"/>
      <c r="G669" s="36"/>
      <c r="H669" s="36"/>
      <c r="I669" s="39" t="str">
        <f aca="false">IF(COUNT(E669:H669)=0,"",ROUND(AVERAGE(E669:H669),0))</f>
        <v/>
      </c>
      <c r="J669" s="38" t="str">
        <f aca="false">IF(I669="","",LOOKUP(I669,Impostazioni!$E$4:$E$9,Impostazioni!$F$4:$F$9))</f>
        <v/>
      </c>
      <c r="K669" s="36"/>
      <c r="L669" s="36"/>
      <c r="M669" s="36"/>
      <c r="N669" s="36"/>
      <c r="O669" s="39" t="str">
        <f aca="false">IF(COUNT(K669:N669)=0,"",ROUND(AVERAGE(K669:N669),0))</f>
        <v/>
      </c>
      <c r="P669" s="38" t="str">
        <f aca="false">IF(O669="","",LOOKUP(O669,Impostazioni!$E$4:$E$9,Impostazioni!$F$4:$F$9))</f>
        <v/>
      </c>
      <c r="Q669" s="36"/>
      <c r="R669" s="36"/>
      <c r="S669" s="36"/>
      <c r="T669" s="36"/>
      <c r="U669" s="39" t="str">
        <f aca="false">IF(COUNT(Q669:T669)=0,"",ROUND(AVERAGE(Q669:T669),0))</f>
        <v/>
      </c>
      <c r="V669" s="38" t="str">
        <f aca="false">IF(U669="","",LOOKUP(U669,Impostazioni!$E$4:$E$9,Impostazioni!$F$4:$F$9))</f>
        <v/>
      </c>
      <c r="W669" s="36"/>
      <c r="X669" s="36"/>
      <c r="Y669" s="36"/>
      <c r="Z669" s="36"/>
      <c r="AA669" s="39" t="str">
        <f aca="false">IF(COUNT(W669:Z669)=0,"",ROUND(AVERAGE(W669:Z669),0))</f>
        <v/>
      </c>
      <c r="AB669" s="38" t="str">
        <f aca="false">IF(AA669="","",LOOKUP(AA669,Impostazioni!$E$4:$E$9,Impostazioni!$F$4:$F$9))</f>
        <v/>
      </c>
    </row>
    <row r="670" customFormat="false" ht="21" hidden="false" customHeight="true" outlineLevel="0" collapsed="false">
      <c r="A670" s="33" t="n">
        <v>12</v>
      </c>
      <c r="B670" s="34" t="str">
        <f aca="false">IFERROR(INDEX(Alunni!$C$1:$C$1000,MATCH($A670,Alunni!$A$1:$A$1000,0))&amp;"","")</f>
        <v/>
      </c>
      <c r="C670" s="15"/>
      <c r="D670" s="35"/>
      <c r="E670" s="36"/>
      <c r="F670" s="36"/>
      <c r="G670" s="36"/>
      <c r="H670" s="36"/>
      <c r="I670" s="39" t="str">
        <f aca="false">IF(COUNT(E670:H670)=0,"",ROUND(AVERAGE(E670:H670),0))</f>
        <v/>
      </c>
      <c r="J670" s="38" t="str">
        <f aca="false">IF(I670="","",LOOKUP(I670,Impostazioni!$E$4:$E$9,Impostazioni!$F$4:$F$9))</f>
        <v/>
      </c>
      <c r="K670" s="36"/>
      <c r="L670" s="36"/>
      <c r="M670" s="36"/>
      <c r="N670" s="36"/>
      <c r="O670" s="39" t="str">
        <f aca="false">IF(COUNT(K670:N670)=0,"",ROUND(AVERAGE(K670:N670),0))</f>
        <v/>
      </c>
      <c r="P670" s="38" t="str">
        <f aca="false">IF(O670="","",LOOKUP(O670,Impostazioni!$E$4:$E$9,Impostazioni!$F$4:$F$9))</f>
        <v/>
      </c>
      <c r="Q670" s="36"/>
      <c r="R670" s="36"/>
      <c r="S670" s="36"/>
      <c r="T670" s="36"/>
      <c r="U670" s="39" t="str">
        <f aca="false">IF(COUNT(Q670:T670)=0,"",ROUND(AVERAGE(Q670:T670),0))</f>
        <v/>
      </c>
      <c r="V670" s="38" t="str">
        <f aca="false">IF(U670="","",LOOKUP(U670,Impostazioni!$E$4:$E$9,Impostazioni!$F$4:$F$9))</f>
        <v/>
      </c>
      <c r="W670" s="36"/>
      <c r="X670" s="36"/>
      <c r="Y670" s="36"/>
      <c r="Z670" s="36"/>
      <c r="AA670" s="39" t="str">
        <f aca="false">IF(COUNT(W670:Z670)=0,"",ROUND(AVERAGE(W670:Z670),0))</f>
        <v/>
      </c>
      <c r="AB670" s="38" t="str">
        <f aca="false">IF(AA670="","",LOOKUP(AA670,Impostazioni!$E$4:$E$9,Impostazioni!$F$4:$F$9))</f>
        <v/>
      </c>
    </row>
    <row r="671" customFormat="false" ht="21" hidden="false" customHeight="true" outlineLevel="0" collapsed="false">
      <c r="A671" s="33" t="n">
        <v>13</v>
      </c>
      <c r="B671" s="34" t="str">
        <f aca="false">IFERROR(INDEX(Alunni!$C$1:$C$1000,MATCH($A671,Alunni!$A$1:$A$1000,0))&amp;"","")</f>
        <v/>
      </c>
      <c r="C671" s="15"/>
      <c r="D671" s="35"/>
      <c r="E671" s="36"/>
      <c r="F671" s="36"/>
      <c r="G671" s="36"/>
      <c r="H671" s="36"/>
      <c r="I671" s="39" t="str">
        <f aca="false">IF(COUNT(E671:H671)=0,"",ROUND(AVERAGE(E671:H671),0))</f>
        <v/>
      </c>
      <c r="J671" s="38" t="str">
        <f aca="false">IF(I671="","",LOOKUP(I671,Impostazioni!$E$4:$E$9,Impostazioni!$F$4:$F$9))</f>
        <v/>
      </c>
      <c r="K671" s="36"/>
      <c r="L671" s="36"/>
      <c r="M671" s="36"/>
      <c r="N671" s="36"/>
      <c r="O671" s="39" t="str">
        <f aca="false">IF(COUNT(K671:N671)=0,"",ROUND(AVERAGE(K671:N671),0))</f>
        <v/>
      </c>
      <c r="P671" s="38" t="str">
        <f aca="false">IF(O671="","",LOOKUP(O671,Impostazioni!$E$4:$E$9,Impostazioni!$F$4:$F$9))</f>
        <v/>
      </c>
      <c r="Q671" s="36"/>
      <c r="R671" s="36"/>
      <c r="S671" s="36"/>
      <c r="T671" s="36"/>
      <c r="U671" s="39" t="str">
        <f aca="false">IF(COUNT(Q671:T671)=0,"",ROUND(AVERAGE(Q671:T671),0))</f>
        <v/>
      </c>
      <c r="V671" s="38" t="str">
        <f aca="false">IF(U671="","",LOOKUP(U671,Impostazioni!$E$4:$E$9,Impostazioni!$F$4:$F$9))</f>
        <v/>
      </c>
      <c r="W671" s="36"/>
      <c r="X671" s="36"/>
      <c r="Y671" s="36"/>
      <c r="Z671" s="36"/>
      <c r="AA671" s="39" t="str">
        <f aca="false">IF(COUNT(W671:Z671)=0,"",ROUND(AVERAGE(W671:Z671),0))</f>
        <v/>
      </c>
      <c r="AB671" s="38" t="str">
        <f aca="false">IF(AA671="","",LOOKUP(AA671,Impostazioni!$E$4:$E$9,Impostazioni!$F$4:$F$9))</f>
        <v/>
      </c>
    </row>
    <row r="672" customFormat="false" ht="21" hidden="false" customHeight="true" outlineLevel="0" collapsed="false">
      <c r="A672" s="33" t="n">
        <v>14</v>
      </c>
      <c r="B672" s="34" t="str">
        <f aca="false">IFERROR(INDEX(Alunni!$C$1:$C$1000,MATCH($A672,Alunni!$A$1:$A$1000,0))&amp;"","")</f>
        <v/>
      </c>
      <c r="C672" s="15"/>
      <c r="D672" s="35"/>
      <c r="E672" s="36"/>
      <c r="F672" s="36"/>
      <c r="G672" s="36"/>
      <c r="H672" s="36"/>
      <c r="I672" s="39" t="str">
        <f aca="false">IF(COUNT(E672:H672)=0,"",ROUND(AVERAGE(E672:H672),0))</f>
        <v/>
      </c>
      <c r="J672" s="38" t="str">
        <f aca="false">IF(I672="","",LOOKUP(I672,Impostazioni!$E$4:$E$9,Impostazioni!$F$4:$F$9))</f>
        <v/>
      </c>
      <c r="K672" s="36"/>
      <c r="L672" s="36"/>
      <c r="M672" s="36"/>
      <c r="N672" s="36"/>
      <c r="O672" s="39" t="str">
        <f aca="false">IF(COUNT(K672:N672)=0,"",ROUND(AVERAGE(K672:N672),0))</f>
        <v/>
      </c>
      <c r="P672" s="38" t="str">
        <f aca="false">IF(O672="","",LOOKUP(O672,Impostazioni!$E$4:$E$9,Impostazioni!$F$4:$F$9))</f>
        <v/>
      </c>
      <c r="Q672" s="36"/>
      <c r="R672" s="36"/>
      <c r="S672" s="36"/>
      <c r="T672" s="36"/>
      <c r="U672" s="39" t="str">
        <f aca="false">IF(COUNT(Q672:T672)=0,"",ROUND(AVERAGE(Q672:T672),0))</f>
        <v/>
      </c>
      <c r="V672" s="38" t="str">
        <f aca="false">IF(U672="","",LOOKUP(U672,Impostazioni!$E$4:$E$9,Impostazioni!$F$4:$F$9))</f>
        <v/>
      </c>
      <c r="W672" s="36"/>
      <c r="X672" s="36"/>
      <c r="Y672" s="36"/>
      <c r="Z672" s="36"/>
      <c r="AA672" s="39" t="str">
        <f aca="false">IF(COUNT(W672:Z672)=0,"",ROUND(AVERAGE(W672:Z672),0))</f>
        <v/>
      </c>
      <c r="AB672" s="38" t="str">
        <f aca="false">IF(AA672="","",LOOKUP(AA672,Impostazioni!$E$4:$E$9,Impostazioni!$F$4:$F$9))</f>
        <v/>
      </c>
    </row>
    <row r="673" customFormat="false" ht="21" hidden="false" customHeight="true" outlineLevel="0" collapsed="false">
      <c r="A673" s="33" t="n">
        <v>15</v>
      </c>
      <c r="B673" s="34" t="str">
        <f aca="false">IFERROR(INDEX(Alunni!$C$1:$C$1000,MATCH($A673,Alunni!$A$1:$A$1000,0))&amp;"","")</f>
        <v/>
      </c>
      <c r="C673" s="15"/>
      <c r="D673" s="35"/>
      <c r="E673" s="36"/>
      <c r="F673" s="36"/>
      <c r="G673" s="36"/>
      <c r="H673" s="36"/>
      <c r="I673" s="39" t="str">
        <f aca="false">IF(COUNT(E673:H673)=0,"",ROUND(AVERAGE(E673:H673),0))</f>
        <v/>
      </c>
      <c r="J673" s="38" t="str">
        <f aca="false">IF(I673="","",LOOKUP(I673,Impostazioni!$E$4:$E$9,Impostazioni!$F$4:$F$9))</f>
        <v/>
      </c>
      <c r="K673" s="36"/>
      <c r="L673" s="36"/>
      <c r="M673" s="36"/>
      <c r="N673" s="36"/>
      <c r="O673" s="39" t="str">
        <f aca="false">IF(COUNT(K673:N673)=0,"",ROUND(AVERAGE(K673:N673),0))</f>
        <v/>
      </c>
      <c r="P673" s="38" t="str">
        <f aca="false">IF(O673="","",LOOKUP(O673,Impostazioni!$E$4:$E$9,Impostazioni!$F$4:$F$9))</f>
        <v/>
      </c>
      <c r="Q673" s="36"/>
      <c r="R673" s="36"/>
      <c r="S673" s="36"/>
      <c r="T673" s="36"/>
      <c r="U673" s="39" t="str">
        <f aca="false">IF(COUNT(Q673:T673)=0,"",ROUND(AVERAGE(Q673:T673),0))</f>
        <v/>
      </c>
      <c r="V673" s="38" t="str">
        <f aca="false">IF(U673="","",LOOKUP(U673,Impostazioni!$E$4:$E$9,Impostazioni!$F$4:$F$9))</f>
        <v/>
      </c>
      <c r="W673" s="36"/>
      <c r="X673" s="36"/>
      <c r="Y673" s="36"/>
      <c r="Z673" s="36"/>
      <c r="AA673" s="39" t="str">
        <f aca="false">IF(COUNT(W673:Z673)=0,"",ROUND(AVERAGE(W673:Z673),0))</f>
        <v/>
      </c>
      <c r="AB673" s="38" t="str">
        <f aca="false">IF(AA673="","",LOOKUP(AA673,Impostazioni!$E$4:$E$9,Impostazioni!$F$4:$F$9))</f>
        <v/>
      </c>
    </row>
    <row r="674" customFormat="false" ht="21" hidden="false" customHeight="true" outlineLevel="0" collapsed="false">
      <c r="A674" s="33" t="n">
        <v>16</v>
      </c>
      <c r="B674" s="34" t="str">
        <f aca="false">IFERROR(INDEX(Alunni!$C$1:$C$1000,MATCH($A674,Alunni!$A$1:$A$1000,0))&amp;"","")</f>
        <v/>
      </c>
      <c r="C674" s="15"/>
      <c r="D674" s="35"/>
      <c r="E674" s="36"/>
      <c r="F674" s="36"/>
      <c r="G674" s="36"/>
      <c r="H674" s="36"/>
      <c r="I674" s="39" t="str">
        <f aca="false">IF(COUNT(E674:H674)=0,"",ROUND(AVERAGE(E674:H674),0))</f>
        <v/>
      </c>
      <c r="J674" s="38" t="str">
        <f aca="false">IF(I674="","",LOOKUP(I674,Impostazioni!$E$4:$E$9,Impostazioni!$F$4:$F$9))</f>
        <v/>
      </c>
      <c r="K674" s="36"/>
      <c r="L674" s="36"/>
      <c r="M674" s="36"/>
      <c r="N674" s="36"/>
      <c r="O674" s="39" t="str">
        <f aca="false">IF(COUNT(K674:N674)=0,"",ROUND(AVERAGE(K674:N674),0))</f>
        <v/>
      </c>
      <c r="P674" s="38" t="str">
        <f aca="false">IF(O674="","",LOOKUP(O674,Impostazioni!$E$4:$E$9,Impostazioni!$F$4:$F$9))</f>
        <v/>
      </c>
      <c r="Q674" s="36"/>
      <c r="R674" s="36"/>
      <c r="S674" s="36"/>
      <c r="T674" s="36"/>
      <c r="U674" s="39" t="str">
        <f aca="false">IF(COUNT(Q674:T674)=0,"",ROUND(AVERAGE(Q674:T674),0))</f>
        <v/>
      </c>
      <c r="V674" s="38" t="str">
        <f aca="false">IF(U674="","",LOOKUP(U674,Impostazioni!$E$4:$E$9,Impostazioni!$F$4:$F$9))</f>
        <v/>
      </c>
      <c r="W674" s="36"/>
      <c r="X674" s="36"/>
      <c r="Y674" s="36"/>
      <c r="Z674" s="36"/>
      <c r="AA674" s="39" t="str">
        <f aca="false">IF(COUNT(W674:Z674)=0,"",ROUND(AVERAGE(W674:Z674),0))</f>
        <v/>
      </c>
      <c r="AB674" s="38" t="str">
        <f aca="false">IF(AA674="","",LOOKUP(AA674,Impostazioni!$E$4:$E$9,Impostazioni!$F$4:$F$9))</f>
        <v/>
      </c>
    </row>
    <row r="675" customFormat="false" ht="21" hidden="false" customHeight="true" outlineLevel="0" collapsed="false">
      <c r="A675" s="33" t="n">
        <v>17</v>
      </c>
      <c r="B675" s="34" t="str">
        <f aca="false">IFERROR(INDEX(Alunni!$C$1:$C$1000,MATCH($A675,Alunni!$A$1:$A$1000,0))&amp;"","")</f>
        <v/>
      </c>
      <c r="C675" s="15"/>
      <c r="D675" s="35"/>
      <c r="E675" s="36"/>
      <c r="F675" s="36"/>
      <c r="G675" s="36"/>
      <c r="H675" s="36"/>
      <c r="I675" s="39" t="str">
        <f aca="false">IF(COUNT(E675:H675)=0,"",ROUND(AVERAGE(E675:H675),0))</f>
        <v/>
      </c>
      <c r="J675" s="38" t="str">
        <f aca="false">IF(I675="","",LOOKUP(I675,Impostazioni!$E$4:$E$9,Impostazioni!$F$4:$F$9))</f>
        <v/>
      </c>
      <c r="K675" s="36"/>
      <c r="L675" s="36"/>
      <c r="M675" s="36"/>
      <c r="N675" s="36"/>
      <c r="O675" s="39" t="str">
        <f aca="false">IF(COUNT(K675:N675)=0,"",ROUND(AVERAGE(K675:N675),0))</f>
        <v/>
      </c>
      <c r="P675" s="38" t="str">
        <f aca="false">IF(O675="","",LOOKUP(O675,Impostazioni!$E$4:$E$9,Impostazioni!$F$4:$F$9))</f>
        <v/>
      </c>
      <c r="Q675" s="36"/>
      <c r="R675" s="36"/>
      <c r="S675" s="36"/>
      <c r="T675" s="36"/>
      <c r="U675" s="39" t="str">
        <f aca="false">IF(COUNT(Q675:T675)=0,"",ROUND(AVERAGE(Q675:T675),0))</f>
        <v/>
      </c>
      <c r="V675" s="38" t="str">
        <f aca="false">IF(U675="","",LOOKUP(U675,Impostazioni!$E$4:$E$9,Impostazioni!$F$4:$F$9))</f>
        <v/>
      </c>
      <c r="W675" s="36"/>
      <c r="X675" s="36"/>
      <c r="Y675" s="36"/>
      <c r="Z675" s="36"/>
      <c r="AA675" s="39" t="str">
        <f aca="false">IF(COUNT(W675:Z675)=0,"",ROUND(AVERAGE(W675:Z675),0))</f>
        <v/>
      </c>
      <c r="AB675" s="38" t="str">
        <f aca="false">IF(AA675="","",LOOKUP(AA675,Impostazioni!$E$4:$E$9,Impostazioni!$F$4:$F$9))</f>
        <v/>
      </c>
    </row>
    <row r="676" customFormat="false" ht="21" hidden="false" customHeight="true" outlineLevel="0" collapsed="false">
      <c r="A676" s="33" t="n">
        <v>18</v>
      </c>
      <c r="B676" s="34" t="str">
        <f aca="false">IFERROR(INDEX(Alunni!$C$1:$C$1000,MATCH($A676,Alunni!$A$1:$A$1000,0))&amp;"","")</f>
        <v/>
      </c>
      <c r="C676" s="15"/>
      <c r="D676" s="35"/>
      <c r="E676" s="36"/>
      <c r="F676" s="36"/>
      <c r="G676" s="36"/>
      <c r="H676" s="36"/>
      <c r="I676" s="39" t="str">
        <f aca="false">IF(COUNT(E676:H676)=0,"",ROUND(AVERAGE(E676:H676),0))</f>
        <v/>
      </c>
      <c r="J676" s="38" t="str">
        <f aca="false">IF(I676="","",LOOKUP(I676,Impostazioni!$E$4:$E$9,Impostazioni!$F$4:$F$9))</f>
        <v/>
      </c>
      <c r="K676" s="36"/>
      <c r="L676" s="36"/>
      <c r="M676" s="36"/>
      <c r="N676" s="36"/>
      <c r="O676" s="39" t="str">
        <f aca="false">IF(COUNT(K676:N676)=0,"",ROUND(AVERAGE(K676:N676),0))</f>
        <v/>
      </c>
      <c r="P676" s="38" t="str">
        <f aca="false">IF(O676="","",LOOKUP(O676,Impostazioni!$E$4:$E$9,Impostazioni!$F$4:$F$9))</f>
        <v/>
      </c>
      <c r="Q676" s="36"/>
      <c r="R676" s="36"/>
      <c r="S676" s="36"/>
      <c r="T676" s="36"/>
      <c r="U676" s="39" t="str">
        <f aca="false">IF(COUNT(Q676:T676)=0,"",ROUND(AVERAGE(Q676:T676),0))</f>
        <v/>
      </c>
      <c r="V676" s="38" t="str">
        <f aca="false">IF(U676="","",LOOKUP(U676,Impostazioni!$E$4:$E$9,Impostazioni!$F$4:$F$9))</f>
        <v/>
      </c>
      <c r="W676" s="36"/>
      <c r="X676" s="36"/>
      <c r="Y676" s="36"/>
      <c r="Z676" s="36"/>
      <c r="AA676" s="39" t="str">
        <f aca="false">IF(COUNT(W676:Z676)=0,"",ROUND(AVERAGE(W676:Z676),0))</f>
        <v/>
      </c>
      <c r="AB676" s="38" t="str">
        <f aca="false">IF(AA676="","",LOOKUP(AA676,Impostazioni!$E$4:$E$9,Impostazioni!$F$4:$F$9))</f>
        <v/>
      </c>
    </row>
    <row r="677" customFormat="false" ht="21" hidden="false" customHeight="true" outlineLevel="0" collapsed="false">
      <c r="A677" s="33" t="n">
        <v>19</v>
      </c>
      <c r="B677" s="34" t="str">
        <f aca="false">IFERROR(INDEX(Alunni!$C$1:$C$1000,MATCH($A677,Alunni!$A$1:$A$1000,0))&amp;"","")</f>
        <v/>
      </c>
      <c r="C677" s="15"/>
      <c r="D677" s="35"/>
      <c r="E677" s="36"/>
      <c r="F677" s="36"/>
      <c r="G677" s="36"/>
      <c r="H677" s="36"/>
      <c r="I677" s="39" t="str">
        <f aca="false">IF(COUNT(E677:H677)=0,"",ROUND(AVERAGE(E677:H677),0))</f>
        <v/>
      </c>
      <c r="J677" s="38" t="str">
        <f aca="false">IF(I677="","",LOOKUP(I677,Impostazioni!$E$4:$E$9,Impostazioni!$F$4:$F$9))</f>
        <v/>
      </c>
      <c r="K677" s="36"/>
      <c r="L677" s="36"/>
      <c r="M677" s="36"/>
      <c r="N677" s="36"/>
      <c r="O677" s="39" t="str">
        <f aca="false">IF(COUNT(K677:N677)=0,"",ROUND(AVERAGE(K677:N677),0))</f>
        <v/>
      </c>
      <c r="P677" s="38" t="str">
        <f aca="false">IF(O677="","",LOOKUP(O677,Impostazioni!$E$4:$E$9,Impostazioni!$F$4:$F$9))</f>
        <v/>
      </c>
      <c r="Q677" s="36"/>
      <c r="R677" s="36"/>
      <c r="S677" s="36"/>
      <c r="T677" s="36"/>
      <c r="U677" s="39" t="str">
        <f aca="false">IF(COUNT(Q677:T677)=0,"",ROUND(AVERAGE(Q677:T677),0))</f>
        <v/>
      </c>
      <c r="V677" s="38" t="str">
        <f aca="false">IF(U677="","",LOOKUP(U677,Impostazioni!$E$4:$E$9,Impostazioni!$F$4:$F$9))</f>
        <v/>
      </c>
      <c r="W677" s="36"/>
      <c r="X677" s="36"/>
      <c r="Y677" s="36"/>
      <c r="Z677" s="36"/>
      <c r="AA677" s="39" t="str">
        <f aca="false">IF(COUNT(W677:Z677)=0,"",ROUND(AVERAGE(W677:Z677),0))</f>
        <v/>
      </c>
      <c r="AB677" s="38" t="str">
        <f aca="false">IF(AA677="","",LOOKUP(AA677,Impostazioni!$E$4:$E$9,Impostazioni!$F$4:$F$9))</f>
        <v/>
      </c>
    </row>
    <row r="678" customFormat="false" ht="21" hidden="false" customHeight="true" outlineLevel="0" collapsed="false">
      <c r="A678" s="33" t="n">
        <v>20</v>
      </c>
      <c r="B678" s="34" t="str">
        <f aca="false">IFERROR(INDEX(Alunni!$C$1:$C$1000,MATCH($A678,Alunni!$A$1:$A$1000,0))&amp;"","")</f>
        <v/>
      </c>
      <c r="C678" s="15"/>
      <c r="D678" s="35"/>
      <c r="E678" s="36"/>
      <c r="F678" s="36"/>
      <c r="G678" s="36"/>
      <c r="H678" s="36"/>
      <c r="I678" s="39" t="str">
        <f aca="false">IF(COUNT(E678:H678)=0,"",ROUND(AVERAGE(E678:H678),0))</f>
        <v/>
      </c>
      <c r="J678" s="38" t="str">
        <f aca="false">IF(I678="","",LOOKUP(I678,Impostazioni!$E$4:$E$9,Impostazioni!$F$4:$F$9))</f>
        <v/>
      </c>
      <c r="K678" s="36"/>
      <c r="L678" s="36"/>
      <c r="M678" s="36"/>
      <c r="N678" s="36"/>
      <c r="O678" s="39" t="str">
        <f aca="false">IF(COUNT(K678:N678)=0,"",ROUND(AVERAGE(K678:N678),0))</f>
        <v/>
      </c>
      <c r="P678" s="38" t="str">
        <f aca="false">IF(O678="","",LOOKUP(O678,Impostazioni!$E$4:$E$9,Impostazioni!$F$4:$F$9))</f>
        <v/>
      </c>
      <c r="Q678" s="36"/>
      <c r="R678" s="36"/>
      <c r="S678" s="36"/>
      <c r="T678" s="36"/>
      <c r="U678" s="39" t="str">
        <f aca="false">IF(COUNT(Q678:T678)=0,"",ROUND(AVERAGE(Q678:T678),0))</f>
        <v/>
      </c>
      <c r="V678" s="38" t="str">
        <f aca="false">IF(U678="","",LOOKUP(U678,Impostazioni!$E$4:$E$9,Impostazioni!$F$4:$F$9))</f>
        <v/>
      </c>
      <c r="W678" s="36"/>
      <c r="X678" s="36"/>
      <c r="Y678" s="36"/>
      <c r="Z678" s="36"/>
      <c r="AA678" s="39" t="str">
        <f aca="false">IF(COUNT(W678:Z678)=0,"",ROUND(AVERAGE(W678:Z678),0))</f>
        <v/>
      </c>
      <c r="AB678" s="38" t="str">
        <f aca="false">IF(AA678="","",LOOKUP(AA678,Impostazioni!$E$4:$E$9,Impostazioni!$F$4:$F$9))</f>
        <v/>
      </c>
    </row>
    <row r="679" customFormat="false" ht="21" hidden="false" customHeight="true" outlineLevel="0" collapsed="false">
      <c r="A679" s="33" t="n">
        <v>21</v>
      </c>
      <c r="B679" s="34" t="str">
        <f aca="false">IFERROR(INDEX(Alunni!$C$1:$C$1000,MATCH($A679,Alunni!$A$1:$A$1000,0))&amp;"","")</f>
        <v/>
      </c>
      <c r="C679" s="15"/>
      <c r="D679" s="35"/>
      <c r="E679" s="36"/>
      <c r="F679" s="36"/>
      <c r="G679" s="36"/>
      <c r="H679" s="36"/>
      <c r="I679" s="39" t="str">
        <f aca="false">IF(COUNT(E679:H679)=0,"",ROUND(AVERAGE(E679:H679),0))</f>
        <v/>
      </c>
      <c r="J679" s="38" t="str">
        <f aca="false">IF(I679="","",LOOKUP(I679,Impostazioni!$E$4:$E$9,Impostazioni!$F$4:$F$9))</f>
        <v/>
      </c>
      <c r="K679" s="36"/>
      <c r="L679" s="36"/>
      <c r="M679" s="36"/>
      <c r="N679" s="36"/>
      <c r="O679" s="39" t="str">
        <f aca="false">IF(COUNT(K679:N679)=0,"",ROUND(AVERAGE(K679:N679),0))</f>
        <v/>
      </c>
      <c r="P679" s="38" t="str">
        <f aca="false">IF(O679="","",LOOKUP(O679,Impostazioni!$E$4:$E$9,Impostazioni!$F$4:$F$9))</f>
        <v/>
      </c>
      <c r="Q679" s="36"/>
      <c r="R679" s="36"/>
      <c r="S679" s="36"/>
      <c r="T679" s="36"/>
      <c r="U679" s="39" t="str">
        <f aca="false">IF(COUNT(Q679:T679)=0,"",ROUND(AVERAGE(Q679:T679),0))</f>
        <v/>
      </c>
      <c r="V679" s="38" t="str">
        <f aca="false">IF(U679="","",LOOKUP(U679,Impostazioni!$E$4:$E$9,Impostazioni!$F$4:$F$9))</f>
        <v/>
      </c>
      <c r="W679" s="36"/>
      <c r="X679" s="36"/>
      <c r="Y679" s="36"/>
      <c r="Z679" s="36"/>
      <c r="AA679" s="39" t="str">
        <f aca="false">IF(COUNT(W679:Z679)=0,"",ROUND(AVERAGE(W679:Z679),0))</f>
        <v/>
      </c>
      <c r="AB679" s="38" t="str">
        <f aca="false">IF(AA679="","",LOOKUP(AA679,Impostazioni!$E$4:$E$9,Impostazioni!$F$4:$F$9))</f>
        <v/>
      </c>
    </row>
    <row r="680" customFormat="false" ht="21" hidden="false" customHeight="true" outlineLevel="0" collapsed="false">
      <c r="A680" s="33" t="n">
        <v>22</v>
      </c>
      <c r="B680" s="34" t="str">
        <f aca="false">IFERROR(INDEX(Alunni!$C$1:$C$1000,MATCH($A680,Alunni!$A$1:$A$1000,0))&amp;"","")</f>
        <v/>
      </c>
      <c r="C680" s="15"/>
      <c r="D680" s="35"/>
      <c r="E680" s="36"/>
      <c r="F680" s="36"/>
      <c r="G680" s="36"/>
      <c r="H680" s="36"/>
      <c r="I680" s="39" t="str">
        <f aca="false">IF(COUNT(E680:H680)=0,"",ROUND(AVERAGE(E680:H680),0))</f>
        <v/>
      </c>
      <c r="J680" s="38" t="str">
        <f aca="false">IF(I680="","",LOOKUP(I680,Impostazioni!$E$4:$E$9,Impostazioni!$F$4:$F$9))</f>
        <v/>
      </c>
      <c r="K680" s="36"/>
      <c r="L680" s="36"/>
      <c r="M680" s="36"/>
      <c r="N680" s="36"/>
      <c r="O680" s="39" t="str">
        <f aca="false">IF(COUNT(K680:N680)=0,"",ROUND(AVERAGE(K680:N680),0))</f>
        <v/>
      </c>
      <c r="P680" s="38" t="str">
        <f aca="false">IF(O680="","",LOOKUP(O680,Impostazioni!$E$4:$E$9,Impostazioni!$F$4:$F$9))</f>
        <v/>
      </c>
      <c r="Q680" s="36"/>
      <c r="R680" s="36"/>
      <c r="S680" s="36"/>
      <c r="T680" s="36"/>
      <c r="U680" s="39" t="str">
        <f aca="false">IF(COUNT(Q680:T680)=0,"",ROUND(AVERAGE(Q680:T680),0))</f>
        <v/>
      </c>
      <c r="V680" s="38" t="str">
        <f aca="false">IF(U680="","",LOOKUP(U680,Impostazioni!$E$4:$E$9,Impostazioni!$F$4:$F$9))</f>
        <v/>
      </c>
      <c r="W680" s="36"/>
      <c r="X680" s="36"/>
      <c r="Y680" s="36"/>
      <c r="Z680" s="36"/>
      <c r="AA680" s="39" t="str">
        <f aca="false">IF(COUNT(W680:Z680)=0,"",ROUND(AVERAGE(W680:Z680),0))</f>
        <v/>
      </c>
      <c r="AB680" s="38" t="str">
        <f aca="false">IF(AA680="","",LOOKUP(AA680,Impostazioni!$E$4:$E$9,Impostazioni!$F$4:$F$9))</f>
        <v/>
      </c>
    </row>
    <row r="681" customFormat="false" ht="21" hidden="false" customHeight="true" outlineLevel="0" collapsed="false">
      <c r="A681" s="33" t="n">
        <v>23</v>
      </c>
      <c r="B681" s="34" t="str">
        <f aca="false">IFERROR(INDEX(Alunni!$C$1:$C$1000,MATCH($A681,Alunni!$A$1:$A$1000,0))&amp;"","")</f>
        <v/>
      </c>
      <c r="C681" s="15"/>
      <c r="D681" s="35"/>
      <c r="E681" s="36"/>
      <c r="F681" s="36"/>
      <c r="G681" s="36"/>
      <c r="H681" s="36"/>
      <c r="I681" s="39" t="str">
        <f aca="false">IF(COUNT(E681:H681)=0,"",ROUND(AVERAGE(E681:H681),0))</f>
        <v/>
      </c>
      <c r="J681" s="38" t="str">
        <f aca="false">IF(I681="","",LOOKUP(I681,Impostazioni!$E$4:$E$9,Impostazioni!$F$4:$F$9))</f>
        <v/>
      </c>
      <c r="K681" s="36"/>
      <c r="L681" s="36"/>
      <c r="M681" s="36"/>
      <c r="N681" s="36"/>
      <c r="O681" s="39" t="str">
        <f aca="false">IF(COUNT(K681:N681)=0,"",ROUND(AVERAGE(K681:N681),0))</f>
        <v/>
      </c>
      <c r="P681" s="38" t="str">
        <f aca="false">IF(O681="","",LOOKUP(O681,Impostazioni!$E$4:$E$9,Impostazioni!$F$4:$F$9))</f>
        <v/>
      </c>
      <c r="Q681" s="36"/>
      <c r="R681" s="36"/>
      <c r="S681" s="36"/>
      <c r="T681" s="36"/>
      <c r="U681" s="39" t="str">
        <f aca="false">IF(COUNT(Q681:T681)=0,"",ROUND(AVERAGE(Q681:T681),0))</f>
        <v/>
      </c>
      <c r="V681" s="38" t="str">
        <f aca="false">IF(U681="","",LOOKUP(U681,Impostazioni!$E$4:$E$9,Impostazioni!$F$4:$F$9))</f>
        <v/>
      </c>
      <c r="W681" s="36"/>
      <c r="X681" s="36"/>
      <c r="Y681" s="36"/>
      <c r="Z681" s="36"/>
      <c r="AA681" s="39" t="str">
        <f aca="false">IF(COUNT(W681:Z681)=0,"",ROUND(AVERAGE(W681:Z681),0))</f>
        <v/>
      </c>
      <c r="AB681" s="38" t="str">
        <f aca="false">IF(AA681="","",LOOKUP(AA681,Impostazioni!$E$4:$E$9,Impostazioni!$F$4:$F$9))</f>
        <v/>
      </c>
    </row>
    <row r="682" customFormat="false" ht="21" hidden="false" customHeight="true" outlineLevel="0" collapsed="false">
      <c r="A682" s="33" t="n">
        <v>24</v>
      </c>
      <c r="B682" s="34" t="str">
        <f aca="false">IFERROR(INDEX(Alunni!$C$1:$C$1000,MATCH($A682,Alunni!$A$1:$A$1000,0))&amp;"","")</f>
        <v/>
      </c>
      <c r="C682" s="15"/>
      <c r="D682" s="35"/>
      <c r="E682" s="36"/>
      <c r="F682" s="36"/>
      <c r="G682" s="36"/>
      <c r="H682" s="36"/>
      <c r="I682" s="39" t="str">
        <f aca="false">IF(COUNT(E682:H682)=0,"",ROUND(AVERAGE(E682:H682),0))</f>
        <v/>
      </c>
      <c r="J682" s="38" t="str">
        <f aca="false">IF(I682="","",LOOKUP(I682,Impostazioni!$E$4:$E$9,Impostazioni!$F$4:$F$9))</f>
        <v/>
      </c>
      <c r="K682" s="36"/>
      <c r="L682" s="36"/>
      <c r="M682" s="36"/>
      <c r="N682" s="36"/>
      <c r="O682" s="39" t="str">
        <f aca="false">IF(COUNT(K682:N682)=0,"",ROUND(AVERAGE(K682:N682),0))</f>
        <v/>
      </c>
      <c r="P682" s="38" t="str">
        <f aca="false">IF(O682="","",LOOKUP(O682,Impostazioni!$E$4:$E$9,Impostazioni!$F$4:$F$9))</f>
        <v/>
      </c>
      <c r="Q682" s="36"/>
      <c r="R682" s="36"/>
      <c r="S682" s="36"/>
      <c r="T682" s="36"/>
      <c r="U682" s="39" t="str">
        <f aca="false">IF(COUNT(Q682:T682)=0,"",ROUND(AVERAGE(Q682:T682),0))</f>
        <v/>
      </c>
      <c r="V682" s="38" t="str">
        <f aca="false">IF(U682="","",LOOKUP(U682,Impostazioni!$E$4:$E$9,Impostazioni!$F$4:$F$9))</f>
        <v/>
      </c>
      <c r="W682" s="36"/>
      <c r="X682" s="36"/>
      <c r="Y682" s="36"/>
      <c r="Z682" s="36"/>
      <c r="AA682" s="39" t="str">
        <f aca="false">IF(COUNT(W682:Z682)=0,"",ROUND(AVERAGE(W682:Z682),0))</f>
        <v/>
      </c>
      <c r="AB682" s="38" t="str">
        <f aca="false">IF(AA682="","",LOOKUP(AA682,Impostazioni!$E$4:$E$9,Impostazioni!$F$4:$F$9))</f>
        <v/>
      </c>
    </row>
    <row r="683" customFormat="false" ht="21" hidden="false" customHeight="true" outlineLevel="0" collapsed="false">
      <c r="A683" s="33" t="n">
        <v>25</v>
      </c>
      <c r="B683" s="34" t="str">
        <f aca="false">IFERROR(INDEX(Alunni!$C$1:$C$1000,MATCH($A683,Alunni!$A$1:$A$1000,0))&amp;"","")</f>
        <v/>
      </c>
      <c r="C683" s="15"/>
      <c r="D683" s="35"/>
      <c r="E683" s="36"/>
      <c r="F683" s="36"/>
      <c r="G683" s="36"/>
      <c r="H683" s="36"/>
      <c r="I683" s="39" t="str">
        <f aca="false">IF(COUNT(E683:H683)=0,"",ROUND(AVERAGE(E683:H683),0))</f>
        <v/>
      </c>
      <c r="J683" s="38" t="str">
        <f aca="false">IF(I683="","",LOOKUP(I683,Impostazioni!$E$4:$E$9,Impostazioni!$F$4:$F$9))</f>
        <v/>
      </c>
      <c r="K683" s="36"/>
      <c r="L683" s="36"/>
      <c r="M683" s="36"/>
      <c r="N683" s="36"/>
      <c r="O683" s="39" t="str">
        <f aca="false">IF(COUNT(K683:N683)=0,"",ROUND(AVERAGE(K683:N683),0))</f>
        <v/>
      </c>
      <c r="P683" s="38" t="str">
        <f aca="false">IF(O683="","",LOOKUP(O683,Impostazioni!$E$4:$E$9,Impostazioni!$F$4:$F$9))</f>
        <v/>
      </c>
      <c r="Q683" s="36"/>
      <c r="R683" s="36"/>
      <c r="S683" s="36"/>
      <c r="T683" s="36"/>
      <c r="U683" s="39" t="str">
        <f aca="false">IF(COUNT(Q683:T683)=0,"",ROUND(AVERAGE(Q683:T683),0))</f>
        <v/>
      </c>
      <c r="V683" s="38" t="str">
        <f aca="false">IF(U683="","",LOOKUP(U683,Impostazioni!$E$4:$E$9,Impostazioni!$F$4:$F$9))</f>
        <v/>
      </c>
      <c r="W683" s="36"/>
      <c r="X683" s="36"/>
      <c r="Y683" s="36"/>
      <c r="Z683" s="36"/>
      <c r="AA683" s="39" t="str">
        <f aca="false">IF(COUNT(W683:Z683)=0,"",ROUND(AVERAGE(W683:Z683),0))</f>
        <v/>
      </c>
      <c r="AB683" s="38" t="str">
        <f aca="false">IF(AA683="","",LOOKUP(AA683,Impostazioni!$E$4:$E$9,Impostazioni!$F$4:$F$9))</f>
        <v/>
      </c>
    </row>
    <row r="684" customFormat="false" ht="21" hidden="false" customHeight="true" outlineLevel="0" collapsed="false">
      <c r="A684" s="33" t="n">
        <v>26</v>
      </c>
      <c r="B684" s="34" t="str">
        <f aca="false">IFERROR(INDEX(Alunni!$C$1:$C$1000,MATCH($A684,Alunni!$A$1:$A$1000,0))&amp;"","")</f>
        <v/>
      </c>
      <c r="C684" s="15"/>
      <c r="D684" s="35"/>
      <c r="E684" s="36"/>
      <c r="F684" s="36"/>
      <c r="G684" s="36"/>
      <c r="H684" s="36"/>
      <c r="I684" s="39" t="str">
        <f aca="false">IF(COUNT(E684:H684)=0,"",ROUND(AVERAGE(E684:H684),0))</f>
        <v/>
      </c>
      <c r="J684" s="38" t="str">
        <f aca="false">IF(I684="","",LOOKUP(I684,Impostazioni!$E$4:$E$9,Impostazioni!$F$4:$F$9))</f>
        <v/>
      </c>
      <c r="K684" s="36"/>
      <c r="L684" s="36"/>
      <c r="M684" s="36"/>
      <c r="N684" s="36"/>
      <c r="O684" s="39" t="str">
        <f aca="false">IF(COUNT(K684:N684)=0,"",ROUND(AVERAGE(K684:N684),0))</f>
        <v/>
      </c>
      <c r="P684" s="38" t="str">
        <f aca="false">IF(O684="","",LOOKUP(O684,Impostazioni!$E$4:$E$9,Impostazioni!$F$4:$F$9))</f>
        <v/>
      </c>
      <c r="Q684" s="36"/>
      <c r="R684" s="36"/>
      <c r="S684" s="36"/>
      <c r="T684" s="36"/>
      <c r="U684" s="39" t="str">
        <f aca="false">IF(COUNT(Q684:T684)=0,"",ROUND(AVERAGE(Q684:T684),0))</f>
        <v/>
      </c>
      <c r="V684" s="38" t="str">
        <f aca="false">IF(U684="","",LOOKUP(U684,Impostazioni!$E$4:$E$9,Impostazioni!$F$4:$F$9))</f>
        <v/>
      </c>
      <c r="W684" s="36"/>
      <c r="X684" s="36"/>
      <c r="Y684" s="36"/>
      <c r="Z684" s="36"/>
      <c r="AA684" s="39" t="str">
        <f aca="false">IF(COUNT(W684:Z684)=0,"",ROUND(AVERAGE(W684:Z684),0))</f>
        <v/>
      </c>
      <c r="AB684" s="38" t="str">
        <f aca="false">IF(AA684="","",LOOKUP(AA684,Impostazioni!$E$4:$E$9,Impostazioni!$F$4:$F$9))</f>
        <v/>
      </c>
    </row>
    <row r="685" customFormat="false" ht="21" hidden="false" customHeight="true" outlineLevel="0" collapsed="false">
      <c r="A685" s="33" t="n">
        <v>27</v>
      </c>
      <c r="B685" s="34" t="str">
        <f aca="false">IFERROR(INDEX(Alunni!$C$1:$C$1000,MATCH($A685,Alunni!$A$1:$A$1000,0))&amp;"","")</f>
        <v/>
      </c>
      <c r="C685" s="15"/>
      <c r="D685" s="35"/>
      <c r="E685" s="36"/>
      <c r="F685" s="36"/>
      <c r="G685" s="36"/>
      <c r="H685" s="36"/>
      <c r="I685" s="39" t="str">
        <f aca="false">IF(COUNT(E685:H685)=0,"",ROUND(AVERAGE(E685:H685),0))</f>
        <v/>
      </c>
      <c r="J685" s="38" t="str">
        <f aca="false">IF(I685="","",LOOKUP(I685,Impostazioni!$E$4:$E$9,Impostazioni!$F$4:$F$9))</f>
        <v/>
      </c>
      <c r="K685" s="36"/>
      <c r="L685" s="36"/>
      <c r="M685" s="36"/>
      <c r="N685" s="36"/>
      <c r="O685" s="39" t="str">
        <f aca="false">IF(COUNT(K685:N685)=0,"",ROUND(AVERAGE(K685:N685),0))</f>
        <v/>
      </c>
      <c r="P685" s="38" t="str">
        <f aca="false">IF(O685="","",LOOKUP(O685,Impostazioni!$E$4:$E$9,Impostazioni!$F$4:$F$9))</f>
        <v/>
      </c>
      <c r="Q685" s="36"/>
      <c r="R685" s="36"/>
      <c r="S685" s="36"/>
      <c r="T685" s="36"/>
      <c r="U685" s="39" t="str">
        <f aca="false">IF(COUNT(Q685:T685)=0,"",ROUND(AVERAGE(Q685:T685),0))</f>
        <v/>
      </c>
      <c r="V685" s="38" t="str">
        <f aca="false">IF(U685="","",LOOKUP(U685,Impostazioni!$E$4:$E$9,Impostazioni!$F$4:$F$9))</f>
        <v/>
      </c>
      <c r="W685" s="36"/>
      <c r="X685" s="36"/>
      <c r="Y685" s="36"/>
      <c r="Z685" s="36"/>
      <c r="AA685" s="39" t="str">
        <f aca="false">IF(COUNT(W685:Z685)=0,"",ROUND(AVERAGE(W685:Z685),0))</f>
        <v/>
      </c>
      <c r="AB685" s="38" t="str">
        <f aca="false">IF(AA685="","",LOOKUP(AA685,Impostazioni!$E$4:$E$9,Impostazioni!$F$4:$F$9))</f>
        <v/>
      </c>
    </row>
    <row r="686" customFormat="false" ht="21" hidden="false" customHeight="true" outlineLevel="0" collapsed="false">
      <c r="A686" s="33" t="n">
        <v>28</v>
      </c>
      <c r="B686" s="34" t="str">
        <f aca="false">IFERROR(INDEX(Alunni!$C$1:$C$1000,MATCH($A686,Alunni!$A$1:$A$1000,0))&amp;"","")</f>
        <v/>
      </c>
      <c r="C686" s="15"/>
      <c r="D686" s="35"/>
      <c r="E686" s="36"/>
      <c r="F686" s="36"/>
      <c r="G686" s="36"/>
      <c r="H686" s="36"/>
      <c r="I686" s="39" t="str">
        <f aca="false">IF(COUNT(E686:H686)=0,"",ROUND(AVERAGE(E686:H686),0))</f>
        <v/>
      </c>
      <c r="J686" s="38" t="str">
        <f aca="false">IF(I686="","",LOOKUP(I686,Impostazioni!$E$4:$E$9,Impostazioni!$F$4:$F$9))</f>
        <v/>
      </c>
      <c r="K686" s="36"/>
      <c r="L686" s="36"/>
      <c r="M686" s="36"/>
      <c r="N686" s="36"/>
      <c r="O686" s="39" t="str">
        <f aca="false">IF(COUNT(K686:N686)=0,"",ROUND(AVERAGE(K686:N686),0))</f>
        <v/>
      </c>
      <c r="P686" s="38" t="str">
        <f aca="false">IF(O686="","",LOOKUP(O686,Impostazioni!$E$4:$E$9,Impostazioni!$F$4:$F$9))</f>
        <v/>
      </c>
      <c r="Q686" s="36"/>
      <c r="R686" s="36"/>
      <c r="S686" s="36"/>
      <c r="T686" s="36"/>
      <c r="U686" s="39" t="str">
        <f aca="false">IF(COUNT(Q686:T686)=0,"",ROUND(AVERAGE(Q686:T686),0))</f>
        <v/>
      </c>
      <c r="V686" s="38" t="str">
        <f aca="false">IF(U686="","",LOOKUP(U686,Impostazioni!$E$4:$E$9,Impostazioni!$F$4:$F$9))</f>
        <v/>
      </c>
      <c r="W686" s="36"/>
      <c r="X686" s="36"/>
      <c r="Y686" s="36"/>
      <c r="Z686" s="36"/>
      <c r="AA686" s="39" t="str">
        <f aca="false">IF(COUNT(W686:Z686)=0,"",ROUND(AVERAGE(W686:Z686),0))</f>
        <v/>
      </c>
      <c r="AB686" s="38" t="str">
        <f aca="false">IF(AA686="","",LOOKUP(AA686,Impostazioni!$E$4:$E$9,Impostazioni!$F$4:$F$9))</f>
        <v/>
      </c>
    </row>
    <row r="687" customFormat="false" ht="21" hidden="false" customHeight="true" outlineLevel="0" collapsed="false">
      <c r="A687" s="33" t="n">
        <v>29</v>
      </c>
      <c r="B687" s="34" t="str">
        <f aca="false">IFERROR(INDEX(Alunni!$C$1:$C$1000,MATCH($A687,Alunni!$A$1:$A$1000,0))&amp;"","")</f>
        <v/>
      </c>
      <c r="C687" s="15"/>
      <c r="D687" s="35"/>
      <c r="E687" s="36"/>
      <c r="F687" s="36"/>
      <c r="G687" s="36"/>
      <c r="H687" s="36"/>
      <c r="I687" s="39" t="str">
        <f aca="false">IF(COUNT(E687:H687)=0,"",ROUND(AVERAGE(E687:H687),0))</f>
        <v/>
      </c>
      <c r="J687" s="38" t="str">
        <f aca="false">IF(I687="","",LOOKUP(I687,Impostazioni!$E$4:$E$9,Impostazioni!$F$4:$F$9))</f>
        <v/>
      </c>
      <c r="K687" s="36"/>
      <c r="L687" s="36"/>
      <c r="M687" s="36"/>
      <c r="N687" s="36"/>
      <c r="O687" s="39" t="str">
        <f aca="false">IF(COUNT(K687:N687)=0,"",ROUND(AVERAGE(K687:N687),0))</f>
        <v/>
      </c>
      <c r="P687" s="38" t="str">
        <f aca="false">IF(O687="","",LOOKUP(O687,Impostazioni!$E$4:$E$9,Impostazioni!$F$4:$F$9))</f>
        <v/>
      </c>
      <c r="Q687" s="36"/>
      <c r="R687" s="36"/>
      <c r="S687" s="36"/>
      <c r="T687" s="36"/>
      <c r="U687" s="39" t="str">
        <f aca="false">IF(COUNT(Q687:T687)=0,"",ROUND(AVERAGE(Q687:T687),0))</f>
        <v/>
      </c>
      <c r="V687" s="38" t="str">
        <f aca="false">IF(U687="","",LOOKUP(U687,Impostazioni!$E$4:$E$9,Impostazioni!$F$4:$F$9))</f>
        <v/>
      </c>
      <c r="W687" s="36"/>
      <c r="X687" s="36"/>
      <c r="Y687" s="36"/>
      <c r="Z687" s="36"/>
      <c r="AA687" s="39" t="str">
        <f aca="false">IF(COUNT(W687:Z687)=0,"",ROUND(AVERAGE(W687:Z687),0))</f>
        <v/>
      </c>
      <c r="AB687" s="38" t="str">
        <f aca="false">IF(AA687="","",LOOKUP(AA687,Impostazioni!$E$4:$E$9,Impostazioni!$F$4:$F$9))</f>
        <v/>
      </c>
    </row>
    <row r="688" customFormat="false" ht="21" hidden="false" customHeight="true" outlineLevel="0" collapsed="false">
      <c r="A688" s="33" t="n">
        <v>30</v>
      </c>
      <c r="B688" s="34" t="str">
        <f aca="false">IFERROR(INDEX(Alunni!$C$1:$C$1000,MATCH($A688,Alunni!$A$1:$A$1000,0))&amp;"","")</f>
        <v/>
      </c>
      <c r="C688" s="15"/>
      <c r="D688" s="35"/>
      <c r="E688" s="36"/>
      <c r="F688" s="36"/>
      <c r="G688" s="36"/>
      <c r="H688" s="36"/>
      <c r="I688" s="39" t="str">
        <f aca="false">IF(COUNT(E688:H688)=0,"",ROUND(AVERAGE(E688:H688),0))</f>
        <v/>
      </c>
      <c r="J688" s="38" t="str">
        <f aca="false">IF(I688="","",LOOKUP(I688,Impostazioni!$E$4:$E$9,Impostazioni!$F$4:$F$9))</f>
        <v/>
      </c>
      <c r="K688" s="36"/>
      <c r="L688" s="36"/>
      <c r="M688" s="36"/>
      <c r="N688" s="36"/>
      <c r="O688" s="39" t="str">
        <f aca="false">IF(COUNT(K688:N688)=0,"",ROUND(AVERAGE(K688:N688),0))</f>
        <v/>
      </c>
      <c r="P688" s="38" t="str">
        <f aca="false">IF(O688="","",LOOKUP(O688,Impostazioni!$E$4:$E$9,Impostazioni!$F$4:$F$9))</f>
        <v/>
      </c>
      <c r="Q688" s="36"/>
      <c r="R688" s="36"/>
      <c r="S688" s="36"/>
      <c r="T688" s="36"/>
      <c r="U688" s="39" t="str">
        <f aca="false">IF(COUNT(Q688:T688)=0,"",ROUND(AVERAGE(Q688:T688),0))</f>
        <v/>
      </c>
      <c r="V688" s="38" t="str">
        <f aca="false">IF(U688="","",LOOKUP(U688,Impostazioni!$E$4:$E$9,Impostazioni!$F$4:$F$9))</f>
        <v/>
      </c>
      <c r="W688" s="36"/>
      <c r="X688" s="36"/>
      <c r="Y688" s="36"/>
      <c r="Z688" s="36"/>
      <c r="AA688" s="39" t="str">
        <f aca="false">IF(COUNT(W688:Z688)=0,"",ROUND(AVERAGE(W688:Z688),0))</f>
        <v/>
      </c>
      <c r="AB688" s="38" t="str">
        <f aca="false">IF(AA688="","",LOOKUP(AA688,Impostazioni!$E$4:$E$9,Impostazioni!$F$4:$F$9))</f>
        <v/>
      </c>
    </row>
    <row r="690" customFormat="false" ht="25.5" hidden="false" customHeight="true" outlineLevel="0" collapsed="false">
      <c r="A690" s="40" t="str">
        <f aca="false">Calendario!B26&amp;"   ·   "&amp;IF(Calendario!G26="","(descrizione da Calendario)",Calendario!G26)&amp;"   ·   "&amp;IF(Calendario!E26="","data da fissare",CHOOSE(WEEKDAY(Calendario!E26,2),"lunedì","martedì","mercoledì","giovedì","venerdì","sabato","domenica")&amp;" "&amp;TEXT(DAY(Calendario!E26),"00")&amp;"/"&amp;TEXT(MONTH(Calendario!E26),"00")&amp;"/"&amp;YEAR(Calendario!E26))</f>
        <v>Q2-G10   ·   (descrizione da Calendario)   ·   data da fissare</v>
      </c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</row>
    <row r="691" customFormat="false" ht="15" hidden="false" customHeight="true" outlineLevel="0" collapsed="false">
      <c r="A691" s="25" t="s">
        <v>80</v>
      </c>
      <c r="B691" s="25"/>
      <c r="C691" s="25"/>
      <c r="D691" s="25"/>
      <c r="E691" s="26" t="str">
        <f aca="false">IF(Calendario!$H$26="","— libero —",Calendario!$H$26&amp;"  "&amp;IFERROR(VLOOKUP(Calendario!$H$26,Impostazioni!$A$25:$J$36,3,FALSE()),""))</f>
        <v>— libero —</v>
      </c>
      <c r="F691" s="26"/>
      <c r="G691" s="26"/>
      <c r="H691" s="26"/>
      <c r="I691" s="26"/>
      <c r="J691" s="26"/>
      <c r="K691" s="26" t="str">
        <f aca="false">IF(Calendario!$I$26="","— libero —",Calendario!$I$26&amp;"  "&amp;IFERROR(VLOOKUP(Calendario!$I$26,Impostazioni!$A$25:$J$36,3,FALSE()),""))</f>
        <v>— libero —</v>
      </c>
      <c r="L691" s="26"/>
      <c r="M691" s="26"/>
      <c r="N691" s="26"/>
      <c r="O691" s="26"/>
      <c r="P691" s="26"/>
      <c r="Q691" s="26" t="str">
        <f aca="false">IF(Calendario!$J$26="","— libero —",Calendario!$J$26&amp;"  "&amp;IFERROR(VLOOKUP(Calendario!$J$26,Impostazioni!$A$25:$J$36,3,FALSE()),""))</f>
        <v>— libero —</v>
      </c>
      <c r="R691" s="26"/>
      <c r="S691" s="26"/>
      <c r="T691" s="26"/>
      <c r="U691" s="26"/>
      <c r="V691" s="26"/>
      <c r="W691" s="26" t="str">
        <f aca="false">IF(Calendario!$K$26="","— libero —",Calendario!$K$26&amp;"  "&amp;IFERROR(VLOOKUP(Calendario!$K$26,Impostazioni!$A$25:$J$36,3,FALSE()),""))</f>
        <v>— libero —</v>
      </c>
      <c r="X691" s="26"/>
      <c r="Y691" s="26"/>
      <c r="Z691" s="26"/>
      <c r="AA691" s="26"/>
      <c r="AB691" s="26"/>
    </row>
    <row r="692" customFormat="false" ht="15" hidden="false" customHeight="true" outlineLevel="0" collapsed="false">
      <c r="A692" s="25" t="s">
        <v>81</v>
      </c>
      <c r="B692" s="25"/>
      <c r="C692" s="25"/>
      <c r="D692" s="25"/>
      <c r="E692" s="27" t="str">
        <f aca="false">IF(Calendario!$H$26="","","Ob. "&amp;IFERROR(VLOOKUP(Calendario!$H$26,Impostazioni!$A$25:$J$36,6,FALSE()),"?")&amp;" · peso "&amp;IF(Calendario!$F$26=2,Impostazioni!$B$11,Impostazioni!$B$10))</f>
        <v/>
      </c>
      <c r="F692" s="27"/>
      <c r="G692" s="27"/>
      <c r="H692" s="27"/>
      <c r="I692" s="27"/>
      <c r="J692" s="27"/>
      <c r="K692" s="27" t="str">
        <f aca="false">IF(Calendario!$I$26="","","Ob. "&amp;IFERROR(VLOOKUP(Calendario!$I$26,Impostazioni!$A$25:$J$36,6,FALSE()),"?")&amp;" · peso "&amp;IF(Calendario!$F$26=2,Impostazioni!$B$11,Impostazioni!$B$10))</f>
        <v/>
      </c>
      <c r="L692" s="27"/>
      <c r="M692" s="27"/>
      <c r="N692" s="27"/>
      <c r="O692" s="27"/>
      <c r="P692" s="27"/>
      <c r="Q692" s="27" t="str">
        <f aca="false">IF(Calendario!$J$26="","","Ob. "&amp;IFERROR(VLOOKUP(Calendario!$J$26,Impostazioni!$A$25:$J$36,6,FALSE()),"?")&amp;" · peso "&amp;IF(Calendario!$F$26=2,Impostazioni!$B$11,Impostazioni!$B$10))</f>
        <v/>
      </c>
      <c r="R692" s="27"/>
      <c r="S692" s="27"/>
      <c r="T692" s="27"/>
      <c r="U692" s="27"/>
      <c r="V692" s="27"/>
      <c r="W692" s="27" t="str">
        <f aca="false">IF(Calendario!$K$26="","","Ob. "&amp;IFERROR(VLOOKUP(Calendario!$K$26,Impostazioni!$A$25:$J$36,6,FALSE()),"?")&amp;" · peso "&amp;IF(Calendario!$F$26=2,Impostazioni!$B$11,Impostazioni!$B$10))</f>
        <v/>
      </c>
      <c r="X692" s="27"/>
      <c r="Y692" s="27"/>
      <c r="Z692" s="27"/>
      <c r="AA692" s="27"/>
      <c r="AB692" s="27"/>
    </row>
    <row r="693" customFormat="false" ht="33.75" hidden="false" customHeight="true" outlineLevel="0" collapsed="false">
      <c r="A693" s="25" t="s">
        <v>82</v>
      </c>
      <c r="B693" s="25"/>
      <c r="C693" s="25"/>
      <c r="D693" s="25"/>
      <c r="E693" s="28" t="str">
        <f aca="false">IF(Calendario!$H$26="","",IFERROR(HYPERLINK("#Rubriche!C"&amp;(MATCH(Calendario!$H$26,Rubriche!$A$1:$A$1000,0)+0),VLOOKUP(Calendario!$H$26,Impostazioni!$A$25:$J$36,7,FALSE())),""))</f>
        <v/>
      </c>
      <c r="F693" s="28" t="str">
        <f aca="false">IF(Calendario!$H$26="","",IFERROR(HYPERLINK("#Rubriche!C"&amp;(MATCH(Calendario!$H$26,Rubriche!$A$1:$A$1000,0)+1),VLOOKUP(Calendario!$H$26,Impostazioni!$A$25:$J$36,8,FALSE())),""))</f>
        <v/>
      </c>
      <c r="G693" s="28" t="str">
        <f aca="false">IF(Calendario!$H$26="","",IFERROR(HYPERLINK("#Rubriche!C"&amp;(MATCH(Calendario!$H$26,Rubriche!$A$1:$A$1000,0)+2),VLOOKUP(Calendario!$H$26,Impostazioni!$A$25:$J$36,9,FALSE())),""))</f>
        <v/>
      </c>
      <c r="H693" s="28" t="str">
        <f aca="false">IF(Calendario!$H$26="","",IFERROR(HYPERLINK("#Rubriche!C"&amp;(MATCH(Calendario!$H$26,Rubriche!$A$1:$A$1000,0)+3),VLOOKUP(Calendario!$H$26,Impostazioni!$A$25:$J$36,10,FALSE())),""))</f>
        <v/>
      </c>
      <c r="I693" s="29"/>
      <c r="J693" s="29"/>
      <c r="K693" s="28" t="str">
        <f aca="false">IF(Calendario!$I$26="","",IFERROR(HYPERLINK("#Rubriche!C"&amp;(MATCH(Calendario!$I$26,Rubriche!$A$1:$A$1000,0)+0),VLOOKUP(Calendario!$I$26,Impostazioni!$A$25:$J$36,7,FALSE())),""))</f>
        <v/>
      </c>
      <c r="L693" s="28" t="str">
        <f aca="false">IF(Calendario!$I$26="","",IFERROR(HYPERLINK("#Rubriche!C"&amp;(MATCH(Calendario!$I$26,Rubriche!$A$1:$A$1000,0)+1),VLOOKUP(Calendario!$I$26,Impostazioni!$A$25:$J$36,8,FALSE())),""))</f>
        <v/>
      </c>
      <c r="M693" s="28" t="str">
        <f aca="false">IF(Calendario!$I$26="","",IFERROR(HYPERLINK("#Rubriche!C"&amp;(MATCH(Calendario!$I$26,Rubriche!$A$1:$A$1000,0)+2),VLOOKUP(Calendario!$I$26,Impostazioni!$A$25:$J$36,9,FALSE())),""))</f>
        <v/>
      </c>
      <c r="N693" s="28" t="str">
        <f aca="false">IF(Calendario!$I$26="","",IFERROR(HYPERLINK("#Rubriche!C"&amp;(MATCH(Calendario!$I$26,Rubriche!$A$1:$A$1000,0)+3),VLOOKUP(Calendario!$I$26,Impostazioni!$A$25:$J$36,10,FALSE())),""))</f>
        <v/>
      </c>
      <c r="O693" s="29"/>
      <c r="P693" s="29"/>
      <c r="Q693" s="28" t="str">
        <f aca="false">IF(Calendario!$J$26="","",IFERROR(HYPERLINK("#Rubriche!C"&amp;(MATCH(Calendario!$J$26,Rubriche!$A$1:$A$1000,0)+0),VLOOKUP(Calendario!$J$26,Impostazioni!$A$25:$J$36,7,FALSE())),""))</f>
        <v/>
      </c>
      <c r="R693" s="28" t="str">
        <f aca="false">IF(Calendario!$J$26="","",IFERROR(HYPERLINK("#Rubriche!C"&amp;(MATCH(Calendario!$J$26,Rubriche!$A$1:$A$1000,0)+1),VLOOKUP(Calendario!$J$26,Impostazioni!$A$25:$J$36,8,FALSE())),""))</f>
        <v/>
      </c>
      <c r="S693" s="28" t="str">
        <f aca="false">IF(Calendario!$J$26="","",IFERROR(HYPERLINK("#Rubriche!C"&amp;(MATCH(Calendario!$J$26,Rubriche!$A$1:$A$1000,0)+2),VLOOKUP(Calendario!$J$26,Impostazioni!$A$25:$J$36,9,FALSE())),""))</f>
        <v/>
      </c>
      <c r="T693" s="28" t="str">
        <f aca="false">IF(Calendario!$J$26="","",IFERROR(HYPERLINK("#Rubriche!C"&amp;(MATCH(Calendario!$J$26,Rubriche!$A$1:$A$1000,0)+3),VLOOKUP(Calendario!$J$26,Impostazioni!$A$25:$J$36,10,FALSE())),""))</f>
        <v/>
      </c>
      <c r="U693" s="29"/>
      <c r="V693" s="29"/>
      <c r="W693" s="28" t="str">
        <f aca="false">IF(Calendario!$K$26="","",IFERROR(HYPERLINK("#Rubriche!C"&amp;(MATCH(Calendario!$K$26,Rubriche!$A$1:$A$1000,0)+0),VLOOKUP(Calendario!$K$26,Impostazioni!$A$25:$J$36,7,FALSE())),""))</f>
        <v/>
      </c>
      <c r="X693" s="28" t="str">
        <f aca="false">IF(Calendario!$K$26="","",IFERROR(HYPERLINK("#Rubriche!C"&amp;(MATCH(Calendario!$K$26,Rubriche!$A$1:$A$1000,0)+1),VLOOKUP(Calendario!$K$26,Impostazioni!$A$25:$J$36,8,FALSE())),""))</f>
        <v/>
      </c>
      <c r="Y693" s="28" t="str">
        <f aca="false">IF(Calendario!$K$26="","",IFERROR(HYPERLINK("#Rubriche!C"&amp;(MATCH(Calendario!$K$26,Rubriche!$A$1:$A$1000,0)+2),VLOOKUP(Calendario!$K$26,Impostazioni!$A$25:$J$36,9,FALSE())),""))</f>
        <v/>
      </c>
      <c r="Z693" s="28" t="str">
        <f aca="false">IF(Calendario!$K$26="","",IFERROR(HYPERLINK("#Rubriche!C"&amp;(MATCH(Calendario!$K$26,Rubriche!$A$1:$A$1000,0)+3),VLOOKUP(Calendario!$K$26,Impostazioni!$A$25:$J$36,10,FALSE())),""))</f>
        <v/>
      </c>
      <c r="AA693" s="29"/>
      <c r="AB693" s="29"/>
    </row>
    <row r="694" customFormat="false" ht="25.5" hidden="false" customHeight="true" outlineLevel="0" collapsed="false">
      <c r="A694" s="8" t="s">
        <v>65</v>
      </c>
      <c r="B694" s="8" t="s">
        <v>83</v>
      </c>
      <c r="C694" s="8" t="s">
        <v>68</v>
      </c>
      <c r="D694" s="8" t="s">
        <v>84</v>
      </c>
      <c r="E694" s="30" t="s">
        <v>85</v>
      </c>
      <c r="F694" s="30" t="s">
        <v>86</v>
      </c>
      <c r="G694" s="30" t="s">
        <v>87</v>
      </c>
      <c r="H694" s="30" t="s">
        <v>88</v>
      </c>
      <c r="I694" s="31" t="s">
        <v>89</v>
      </c>
      <c r="J694" s="32" t="s">
        <v>90</v>
      </c>
      <c r="K694" s="30" t="s">
        <v>85</v>
      </c>
      <c r="L694" s="30" t="s">
        <v>86</v>
      </c>
      <c r="M694" s="30" t="s">
        <v>87</v>
      </c>
      <c r="N694" s="30" t="s">
        <v>88</v>
      </c>
      <c r="O694" s="31" t="s">
        <v>89</v>
      </c>
      <c r="P694" s="32" t="s">
        <v>90</v>
      </c>
      <c r="Q694" s="30" t="s">
        <v>85</v>
      </c>
      <c r="R694" s="30" t="s">
        <v>86</v>
      </c>
      <c r="S694" s="30" t="s">
        <v>87</v>
      </c>
      <c r="T694" s="30" t="s">
        <v>88</v>
      </c>
      <c r="U694" s="31" t="s">
        <v>89</v>
      </c>
      <c r="V694" s="32" t="s">
        <v>90</v>
      </c>
      <c r="W694" s="30" t="s">
        <v>85</v>
      </c>
      <c r="X694" s="30" t="s">
        <v>86</v>
      </c>
      <c r="Y694" s="30" t="s">
        <v>87</v>
      </c>
      <c r="Z694" s="30" t="s">
        <v>88</v>
      </c>
      <c r="AA694" s="31" t="s">
        <v>89</v>
      </c>
      <c r="AB694" s="32" t="s">
        <v>90</v>
      </c>
    </row>
    <row r="695" customFormat="false" ht="21" hidden="false" customHeight="true" outlineLevel="0" collapsed="false">
      <c r="A695" s="33" t="n">
        <v>1</v>
      </c>
      <c r="B695" s="34" t="str">
        <f aca="false">IFERROR(INDEX(Alunni!$C$1:$C$1000,MATCH($A695,Alunni!$A$1:$A$1000,0))&amp;"","")</f>
        <v>Rossi Mario (esempio)</v>
      </c>
      <c r="C695" s="15"/>
      <c r="D695" s="35"/>
      <c r="E695" s="36"/>
      <c r="F695" s="36"/>
      <c r="G695" s="36"/>
      <c r="H695" s="36"/>
      <c r="I695" s="39" t="str">
        <f aca="false">IF(COUNT(E695:H695)=0,"",ROUND(AVERAGE(E695:H695),0))</f>
        <v/>
      </c>
      <c r="J695" s="38" t="str">
        <f aca="false">IF(I695="","",LOOKUP(I695,Impostazioni!$E$4:$E$9,Impostazioni!$F$4:$F$9))</f>
        <v/>
      </c>
      <c r="K695" s="36"/>
      <c r="L695" s="36"/>
      <c r="M695" s="36"/>
      <c r="N695" s="36"/>
      <c r="O695" s="39" t="str">
        <f aca="false">IF(COUNT(K695:N695)=0,"",ROUND(AVERAGE(K695:N695),0))</f>
        <v/>
      </c>
      <c r="P695" s="38" t="str">
        <f aca="false">IF(O695="","",LOOKUP(O695,Impostazioni!$E$4:$E$9,Impostazioni!$F$4:$F$9))</f>
        <v/>
      </c>
      <c r="Q695" s="36"/>
      <c r="R695" s="36"/>
      <c r="S695" s="36"/>
      <c r="T695" s="36"/>
      <c r="U695" s="39" t="str">
        <f aca="false">IF(COUNT(Q695:T695)=0,"",ROUND(AVERAGE(Q695:T695),0))</f>
        <v/>
      </c>
      <c r="V695" s="38" t="str">
        <f aca="false">IF(U695="","",LOOKUP(U695,Impostazioni!$E$4:$E$9,Impostazioni!$F$4:$F$9))</f>
        <v/>
      </c>
      <c r="W695" s="36"/>
      <c r="X695" s="36"/>
      <c r="Y695" s="36"/>
      <c r="Z695" s="36"/>
      <c r="AA695" s="39" t="str">
        <f aca="false">IF(COUNT(W695:Z695)=0,"",ROUND(AVERAGE(W695:Z695),0))</f>
        <v/>
      </c>
      <c r="AB695" s="38" t="str">
        <f aca="false">IF(AA695="","",LOOKUP(AA695,Impostazioni!$E$4:$E$9,Impostazioni!$F$4:$F$9))</f>
        <v/>
      </c>
    </row>
    <row r="696" customFormat="false" ht="21" hidden="false" customHeight="true" outlineLevel="0" collapsed="false">
      <c r="A696" s="33" t="n">
        <v>2</v>
      </c>
      <c r="B696" s="34" t="str">
        <f aca="false">IFERROR(INDEX(Alunni!$C$1:$C$1000,MATCH($A696,Alunni!$A$1:$A$1000,0))&amp;"","")</f>
        <v>Bianchi Anna (esempio)</v>
      </c>
      <c r="C696" s="15"/>
      <c r="D696" s="35"/>
      <c r="E696" s="36"/>
      <c r="F696" s="36"/>
      <c r="G696" s="36"/>
      <c r="H696" s="36"/>
      <c r="I696" s="39" t="str">
        <f aca="false">IF(COUNT(E696:H696)=0,"",ROUND(AVERAGE(E696:H696),0))</f>
        <v/>
      </c>
      <c r="J696" s="38" t="str">
        <f aca="false">IF(I696="","",LOOKUP(I696,Impostazioni!$E$4:$E$9,Impostazioni!$F$4:$F$9))</f>
        <v/>
      </c>
      <c r="K696" s="36"/>
      <c r="L696" s="36"/>
      <c r="M696" s="36"/>
      <c r="N696" s="36"/>
      <c r="O696" s="39" t="str">
        <f aca="false">IF(COUNT(K696:N696)=0,"",ROUND(AVERAGE(K696:N696),0))</f>
        <v/>
      </c>
      <c r="P696" s="38" t="str">
        <f aca="false">IF(O696="","",LOOKUP(O696,Impostazioni!$E$4:$E$9,Impostazioni!$F$4:$F$9))</f>
        <v/>
      </c>
      <c r="Q696" s="36"/>
      <c r="R696" s="36"/>
      <c r="S696" s="36"/>
      <c r="T696" s="36"/>
      <c r="U696" s="39" t="str">
        <f aca="false">IF(COUNT(Q696:T696)=0,"",ROUND(AVERAGE(Q696:T696),0))</f>
        <v/>
      </c>
      <c r="V696" s="38" t="str">
        <f aca="false">IF(U696="","",LOOKUP(U696,Impostazioni!$E$4:$E$9,Impostazioni!$F$4:$F$9))</f>
        <v/>
      </c>
      <c r="W696" s="36"/>
      <c r="X696" s="36"/>
      <c r="Y696" s="36"/>
      <c r="Z696" s="36"/>
      <c r="AA696" s="39" t="str">
        <f aca="false">IF(COUNT(W696:Z696)=0,"",ROUND(AVERAGE(W696:Z696),0))</f>
        <v/>
      </c>
      <c r="AB696" s="38" t="str">
        <f aca="false">IF(AA696="","",LOOKUP(AA696,Impostazioni!$E$4:$E$9,Impostazioni!$F$4:$F$9))</f>
        <v/>
      </c>
    </row>
    <row r="697" customFormat="false" ht="21" hidden="false" customHeight="true" outlineLevel="0" collapsed="false">
      <c r="A697" s="33" t="n">
        <v>3</v>
      </c>
      <c r="B697" s="34" t="str">
        <f aca="false">IFERROR(INDEX(Alunni!$C$1:$C$1000,MATCH($A697,Alunni!$A$1:$A$1000,0))&amp;"","")</f>
        <v>Verdi Luca (esempio)</v>
      </c>
      <c r="C697" s="15"/>
      <c r="D697" s="35"/>
      <c r="E697" s="36"/>
      <c r="F697" s="36"/>
      <c r="G697" s="36"/>
      <c r="H697" s="36"/>
      <c r="I697" s="39" t="str">
        <f aca="false">IF(COUNT(E697:H697)=0,"",ROUND(AVERAGE(E697:H697),0))</f>
        <v/>
      </c>
      <c r="J697" s="38" t="str">
        <f aca="false">IF(I697="","",LOOKUP(I697,Impostazioni!$E$4:$E$9,Impostazioni!$F$4:$F$9))</f>
        <v/>
      </c>
      <c r="K697" s="36"/>
      <c r="L697" s="36"/>
      <c r="M697" s="36"/>
      <c r="N697" s="36"/>
      <c r="O697" s="39" t="str">
        <f aca="false">IF(COUNT(K697:N697)=0,"",ROUND(AVERAGE(K697:N697),0))</f>
        <v/>
      </c>
      <c r="P697" s="38" t="str">
        <f aca="false">IF(O697="","",LOOKUP(O697,Impostazioni!$E$4:$E$9,Impostazioni!$F$4:$F$9))</f>
        <v/>
      </c>
      <c r="Q697" s="36"/>
      <c r="R697" s="36"/>
      <c r="S697" s="36"/>
      <c r="T697" s="36"/>
      <c r="U697" s="39" t="str">
        <f aca="false">IF(COUNT(Q697:T697)=0,"",ROUND(AVERAGE(Q697:T697),0))</f>
        <v/>
      </c>
      <c r="V697" s="38" t="str">
        <f aca="false">IF(U697="","",LOOKUP(U697,Impostazioni!$E$4:$E$9,Impostazioni!$F$4:$F$9))</f>
        <v/>
      </c>
      <c r="W697" s="36"/>
      <c r="X697" s="36"/>
      <c r="Y697" s="36"/>
      <c r="Z697" s="36"/>
      <c r="AA697" s="39" t="str">
        <f aca="false">IF(COUNT(W697:Z697)=0,"",ROUND(AVERAGE(W697:Z697),0))</f>
        <v/>
      </c>
      <c r="AB697" s="38" t="str">
        <f aca="false">IF(AA697="","",LOOKUP(AA697,Impostazioni!$E$4:$E$9,Impostazioni!$F$4:$F$9))</f>
        <v/>
      </c>
    </row>
    <row r="698" customFormat="false" ht="21" hidden="false" customHeight="true" outlineLevel="0" collapsed="false">
      <c r="A698" s="33" t="n">
        <v>4</v>
      </c>
      <c r="B698" s="34" t="str">
        <f aca="false">IFERROR(INDEX(Alunni!$C$1:$C$1000,MATCH($A698,Alunni!$A$1:$A$1000,0))&amp;"","")</f>
        <v/>
      </c>
      <c r="C698" s="15"/>
      <c r="D698" s="35"/>
      <c r="E698" s="36"/>
      <c r="F698" s="36"/>
      <c r="G698" s="36"/>
      <c r="H698" s="36"/>
      <c r="I698" s="39" t="str">
        <f aca="false">IF(COUNT(E698:H698)=0,"",ROUND(AVERAGE(E698:H698),0))</f>
        <v/>
      </c>
      <c r="J698" s="38" t="str">
        <f aca="false">IF(I698="","",LOOKUP(I698,Impostazioni!$E$4:$E$9,Impostazioni!$F$4:$F$9))</f>
        <v/>
      </c>
      <c r="K698" s="36"/>
      <c r="L698" s="36"/>
      <c r="M698" s="36"/>
      <c r="N698" s="36"/>
      <c r="O698" s="39" t="str">
        <f aca="false">IF(COUNT(K698:N698)=0,"",ROUND(AVERAGE(K698:N698),0))</f>
        <v/>
      </c>
      <c r="P698" s="38" t="str">
        <f aca="false">IF(O698="","",LOOKUP(O698,Impostazioni!$E$4:$E$9,Impostazioni!$F$4:$F$9))</f>
        <v/>
      </c>
      <c r="Q698" s="36"/>
      <c r="R698" s="36"/>
      <c r="S698" s="36"/>
      <c r="T698" s="36"/>
      <c r="U698" s="39" t="str">
        <f aca="false">IF(COUNT(Q698:T698)=0,"",ROUND(AVERAGE(Q698:T698),0))</f>
        <v/>
      </c>
      <c r="V698" s="38" t="str">
        <f aca="false">IF(U698="","",LOOKUP(U698,Impostazioni!$E$4:$E$9,Impostazioni!$F$4:$F$9))</f>
        <v/>
      </c>
      <c r="W698" s="36"/>
      <c r="X698" s="36"/>
      <c r="Y698" s="36"/>
      <c r="Z698" s="36"/>
      <c r="AA698" s="39" t="str">
        <f aca="false">IF(COUNT(W698:Z698)=0,"",ROUND(AVERAGE(W698:Z698),0))</f>
        <v/>
      </c>
      <c r="AB698" s="38" t="str">
        <f aca="false">IF(AA698="","",LOOKUP(AA698,Impostazioni!$E$4:$E$9,Impostazioni!$F$4:$F$9))</f>
        <v/>
      </c>
    </row>
    <row r="699" customFormat="false" ht="21" hidden="false" customHeight="true" outlineLevel="0" collapsed="false">
      <c r="A699" s="33" t="n">
        <v>5</v>
      </c>
      <c r="B699" s="34" t="str">
        <f aca="false">IFERROR(INDEX(Alunni!$C$1:$C$1000,MATCH($A699,Alunni!$A$1:$A$1000,0))&amp;"","")</f>
        <v/>
      </c>
      <c r="C699" s="15"/>
      <c r="D699" s="35"/>
      <c r="E699" s="36"/>
      <c r="F699" s="36"/>
      <c r="G699" s="36"/>
      <c r="H699" s="36"/>
      <c r="I699" s="39" t="str">
        <f aca="false">IF(COUNT(E699:H699)=0,"",ROUND(AVERAGE(E699:H699),0))</f>
        <v/>
      </c>
      <c r="J699" s="38" t="str">
        <f aca="false">IF(I699="","",LOOKUP(I699,Impostazioni!$E$4:$E$9,Impostazioni!$F$4:$F$9))</f>
        <v/>
      </c>
      <c r="K699" s="36"/>
      <c r="L699" s="36"/>
      <c r="M699" s="36"/>
      <c r="N699" s="36"/>
      <c r="O699" s="39" t="str">
        <f aca="false">IF(COUNT(K699:N699)=0,"",ROUND(AVERAGE(K699:N699),0))</f>
        <v/>
      </c>
      <c r="P699" s="38" t="str">
        <f aca="false">IF(O699="","",LOOKUP(O699,Impostazioni!$E$4:$E$9,Impostazioni!$F$4:$F$9))</f>
        <v/>
      </c>
      <c r="Q699" s="36"/>
      <c r="R699" s="36"/>
      <c r="S699" s="36"/>
      <c r="T699" s="36"/>
      <c r="U699" s="39" t="str">
        <f aca="false">IF(COUNT(Q699:T699)=0,"",ROUND(AVERAGE(Q699:T699),0))</f>
        <v/>
      </c>
      <c r="V699" s="38" t="str">
        <f aca="false">IF(U699="","",LOOKUP(U699,Impostazioni!$E$4:$E$9,Impostazioni!$F$4:$F$9))</f>
        <v/>
      </c>
      <c r="W699" s="36"/>
      <c r="X699" s="36"/>
      <c r="Y699" s="36"/>
      <c r="Z699" s="36"/>
      <c r="AA699" s="39" t="str">
        <f aca="false">IF(COUNT(W699:Z699)=0,"",ROUND(AVERAGE(W699:Z699),0))</f>
        <v/>
      </c>
      <c r="AB699" s="38" t="str">
        <f aca="false">IF(AA699="","",LOOKUP(AA699,Impostazioni!$E$4:$E$9,Impostazioni!$F$4:$F$9))</f>
        <v/>
      </c>
    </row>
    <row r="700" customFormat="false" ht="21" hidden="false" customHeight="true" outlineLevel="0" collapsed="false">
      <c r="A700" s="33" t="n">
        <v>6</v>
      </c>
      <c r="B700" s="34" t="str">
        <f aca="false">IFERROR(INDEX(Alunni!$C$1:$C$1000,MATCH($A700,Alunni!$A$1:$A$1000,0))&amp;"","")</f>
        <v/>
      </c>
      <c r="C700" s="15"/>
      <c r="D700" s="35"/>
      <c r="E700" s="36"/>
      <c r="F700" s="36"/>
      <c r="G700" s="36"/>
      <c r="H700" s="36"/>
      <c r="I700" s="39" t="str">
        <f aca="false">IF(COUNT(E700:H700)=0,"",ROUND(AVERAGE(E700:H700),0))</f>
        <v/>
      </c>
      <c r="J700" s="38" t="str">
        <f aca="false">IF(I700="","",LOOKUP(I700,Impostazioni!$E$4:$E$9,Impostazioni!$F$4:$F$9))</f>
        <v/>
      </c>
      <c r="K700" s="36"/>
      <c r="L700" s="36"/>
      <c r="M700" s="36"/>
      <c r="N700" s="36"/>
      <c r="O700" s="39" t="str">
        <f aca="false">IF(COUNT(K700:N700)=0,"",ROUND(AVERAGE(K700:N700),0))</f>
        <v/>
      </c>
      <c r="P700" s="38" t="str">
        <f aca="false">IF(O700="","",LOOKUP(O700,Impostazioni!$E$4:$E$9,Impostazioni!$F$4:$F$9))</f>
        <v/>
      </c>
      <c r="Q700" s="36"/>
      <c r="R700" s="36"/>
      <c r="S700" s="36"/>
      <c r="T700" s="36"/>
      <c r="U700" s="39" t="str">
        <f aca="false">IF(COUNT(Q700:T700)=0,"",ROUND(AVERAGE(Q700:T700),0))</f>
        <v/>
      </c>
      <c r="V700" s="38" t="str">
        <f aca="false">IF(U700="","",LOOKUP(U700,Impostazioni!$E$4:$E$9,Impostazioni!$F$4:$F$9))</f>
        <v/>
      </c>
      <c r="W700" s="36"/>
      <c r="X700" s="36"/>
      <c r="Y700" s="36"/>
      <c r="Z700" s="36"/>
      <c r="AA700" s="39" t="str">
        <f aca="false">IF(COUNT(W700:Z700)=0,"",ROUND(AVERAGE(W700:Z700),0))</f>
        <v/>
      </c>
      <c r="AB700" s="38" t="str">
        <f aca="false">IF(AA700="","",LOOKUP(AA700,Impostazioni!$E$4:$E$9,Impostazioni!$F$4:$F$9))</f>
        <v/>
      </c>
    </row>
    <row r="701" customFormat="false" ht="21" hidden="false" customHeight="true" outlineLevel="0" collapsed="false">
      <c r="A701" s="33" t="n">
        <v>7</v>
      </c>
      <c r="B701" s="34" t="str">
        <f aca="false">IFERROR(INDEX(Alunni!$C$1:$C$1000,MATCH($A701,Alunni!$A$1:$A$1000,0))&amp;"","")</f>
        <v/>
      </c>
      <c r="C701" s="15"/>
      <c r="D701" s="35"/>
      <c r="E701" s="36"/>
      <c r="F701" s="36"/>
      <c r="G701" s="36"/>
      <c r="H701" s="36"/>
      <c r="I701" s="39" t="str">
        <f aca="false">IF(COUNT(E701:H701)=0,"",ROUND(AVERAGE(E701:H701),0))</f>
        <v/>
      </c>
      <c r="J701" s="38" t="str">
        <f aca="false">IF(I701="","",LOOKUP(I701,Impostazioni!$E$4:$E$9,Impostazioni!$F$4:$F$9))</f>
        <v/>
      </c>
      <c r="K701" s="36"/>
      <c r="L701" s="36"/>
      <c r="M701" s="36"/>
      <c r="N701" s="36"/>
      <c r="O701" s="39" t="str">
        <f aca="false">IF(COUNT(K701:N701)=0,"",ROUND(AVERAGE(K701:N701),0))</f>
        <v/>
      </c>
      <c r="P701" s="38" t="str">
        <f aca="false">IF(O701="","",LOOKUP(O701,Impostazioni!$E$4:$E$9,Impostazioni!$F$4:$F$9))</f>
        <v/>
      </c>
      <c r="Q701" s="36"/>
      <c r="R701" s="36"/>
      <c r="S701" s="36"/>
      <c r="T701" s="36"/>
      <c r="U701" s="39" t="str">
        <f aca="false">IF(COUNT(Q701:T701)=0,"",ROUND(AVERAGE(Q701:T701),0))</f>
        <v/>
      </c>
      <c r="V701" s="38" t="str">
        <f aca="false">IF(U701="","",LOOKUP(U701,Impostazioni!$E$4:$E$9,Impostazioni!$F$4:$F$9))</f>
        <v/>
      </c>
      <c r="W701" s="36"/>
      <c r="X701" s="36"/>
      <c r="Y701" s="36"/>
      <c r="Z701" s="36"/>
      <c r="AA701" s="39" t="str">
        <f aca="false">IF(COUNT(W701:Z701)=0,"",ROUND(AVERAGE(W701:Z701),0))</f>
        <v/>
      </c>
      <c r="AB701" s="38" t="str">
        <f aca="false">IF(AA701="","",LOOKUP(AA701,Impostazioni!$E$4:$E$9,Impostazioni!$F$4:$F$9))</f>
        <v/>
      </c>
    </row>
    <row r="702" customFormat="false" ht="21" hidden="false" customHeight="true" outlineLevel="0" collapsed="false">
      <c r="A702" s="33" t="n">
        <v>8</v>
      </c>
      <c r="B702" s="34" t="str">
        <f aca="false">IFERROR(INDEX(Alunni!$C$1:$C$1000,MATCH($A702,Alunni!$A$1:$A$1000,0))&amp;"","")</f>
        <v/>
      </c>
      <c r="C702" s="15"/>
      <c r="D702" s="35"/>
      <c r="E702" s="36"/>
      <c r="F702" s="36"/>
      <c r="G702" s="36"/>
      <c r="H702" s="36"/>
      <c r="I702" s="39" t="str">
        <f aca="false">IF(COUNT(E702:H702)=0,"",ROUND(AVERAGE(E702:H702),0))</f>
        <v/>
      </c>
      <c r="J702" s="38" t="str">
        <f aca="false">IF(I702="","",LOOKUP(I702,Impostazioni!$E$4:$E$9,Impostazioni!$F$4:$F$9))</f>
        <v/>
      </c>
      <c r="K702" s="36"/>
      <c r="L702" s="36"/>
      <c r="M702" s="36"/>
      <c r="N702" s="36"/>
      <c r="O702" s="39" t="str">
        <f aca="false">IF(COUNT(K702:N702)=0,"",ROUND(AVERAGE(K702:N702),0))</f>
        <v/>
      </c>
      <c r="P702" s="38" t="str">
        <f aca="false">IF(O702="","",LOOKUP(O702,Impostazioni!$E$4:$E$9,Impostazioni!$F$4:$F$9))</f>
        <v/>
      </c>
      <c r="Q702" s="36"/>
      <c r="R702" s="36"/>
      <c r="S702" s="36"/>
      <c r="T702" s="36"/>
      <c r="U702" s="39" t="str">
        <f aca="false">IF(COUNT(Q702:T702)=0,"",ROUND(AVERAGE(Q702:T702),0))</f>
        <v/>
      </c>
      <c r="V702" s="38" t="str">
        <f aca="false">IF(U702="","",LOOKUP(U702,Impostazioni!$E$4:$E$9,Impostazioni!$F$4:$F$9))</f>
        <v/>
      </c>
      <c r="W702" s="36"/>
      <c r="X702" s="36"/>
      <c r="Y702" s="36"/>
      <c r="Z702" s="36"/>
      <c r="AA702" s="39" t="str">
        <f aca="false">IF(COUNT(W702:Z702)=0,"",ROUND(AVERAGE(W702:Z702),0))</f>
        <v/>
      </c>
      <c r="AB702" s="38" t="str">
        <f aca="false">IF(AA702="","",LOOKUP(AA702,Impostazioni!$E$4:$E$9,Impostazioni!$F$4:$F$9))</f>
        <v/>
      </c>
    </row>
    <row r="703" customFormat="false" ht="21" hidden="false" customHeight="true" outlineLevel="0" collapsed="false">
      <c r="A703" s="33" t="n">
        <v>9</v>
      </c>
      <c r="B703" s="34" t="str">
        <f aca="false">IFERROR(INDEX(Alunni!$C$1:$C$1000,MATCH($A703,Alunni!$A$1:$A$1000,0))&amp;"","")</f>
        <v/>
      </c>
      <c r="C703" s="15"/>
      <c r="D703" s="35"/>
      <c r="E703" s="36"/>
      <c r="F703" s="36"/>
      <c r="G703" s="36"/>
      <c r="H703" s="36"/>
      <c r="I703" s="39" t="str">
        <f aca="false">IF(COUNT(E703:H703)=0,"",ROUND(AVERAGE(E703:H703),0))</f>
        <v/>
      </c>
      <c r="J703" s="38" t="str">
        <f aca="false">IF(I703="","",LOOKUP(I703,Impostazioni!$E$4:$E$9,Impostazioni!$F$4:$F$9))</f>
        <v/>
      </c>
      <c r="K703" s="36"/>
      <c r="L703" s="36"/>
      <c r="M703" s="36"/>
      <c r="N703" s="36"/>
      <c r="O703" s="39" t="str">
        <f aca="false">IF(COUNT(K703:N703)=0,"",ROUND(AVERAGE(K703:N703),0))</f>
        <v/>
      </c>
      <c r="P703" s="38" t="str">
        <f aca="false">IF(O703="","",LOOKUP(O703,Impostazioni!$E$4:$E$9,Impostazioni!$F$4:$F$9))</f>
        <v/>
      </c>
      <c r="Q703" s="36"/>
      <c r="R703" s="36"/>
      <c r="S703" s="36"/>
      <c r="T703" s="36"/>
      <c r="U703" s="39" t="str">
        <f aca="false">IF(COUNT(Q703:T703)=0,"",ROUND(AVERAGE(Q703:T703),0))</f>
        <v/>
      </c>
      <c r="V703" s="38" t="str">
        <f aca="false">IF(U703="","",LOOKUP(U703,Impostazioni!$E$4:$E$9,Impostazioni!$F$4:$F$9))</f>
        <v/>
      </c>
      <c r="W703" s="36"/>
      <c r="X703" s="36"/>
      <c r="Y703" s="36"/>
      <c r="Z703" s="36"/>
      <c r="AA703" s="39" t="str">
        <f aca="false">IF(COUNT(W703:Z703)=0,"",ROUND(AVERAGE(W703:Z703),0))</f>
        <v/>
      </c>
      <c r="AB703" s="38" t="str">
        <f aca="false">IF(AA703="","",LOOKUP(AA703,Impostazioni!$E$4:$E$9,Impostazioni!$F$4:$F$9))</f>
        <v/>
      </c>
    </row>
    <row r="704" customFormat="false" ht="21" hidden="false" customHeight="true" outlineLevel="0" collapsed="false">
      <c r="A704" s="33" t="n">
        <v>10</v>
      </c>
      <c r="B704" s="34" t="str">
        <f aca="false">IFERROR(INDEX(Alunni!$C$1:$C$1000,MATCH($A704,Alunni!$A$1:$A$1000,0))&amp;"","")</f>
        <v/>
      </c>
      <c r="C704" s="15"/>
      <c r="D704" s="35"/>
      <c r="E704" s="36"/>
      <c r="F704" s="36"/>
      <c r="G704" s="36"/>
      <c r="H704" s="36"/>
      <c r="I704" s="39" t="str">
        <f aca="false">IF(COUNT(E704:H704)=0,"",ROUND(AVERAGE(E704:H704),0))</f>
        <v/>
      </c>
      <c r="J704" s="38" t="str">
        <f aca="false">IF(I704="","",LOOKUP(I704,Impostazioni!$E$4:$E$9,Impostazioni!$F$4:$F$9))</f>
        <v/>
      </c>
      <c r="K704" s="36"/>
      <c r="L704" s="36"/>
      <c r="M704" s="36"/>
      <c r="N704" s="36"/>
      <c r="O704" s="39" t="str">
        <f aca="false">IF(COUNT(K704:N704)=0,"",ROUND(AVERAGE(K704:N704),0))</f>
        <v/>
      </c>
      <c r="P704" s="38" t="str">
        <f aca="false">IF(O704="","",LOOKUP(O704,Impostazioni!$E$4:$E$9,Impostazioni!$F$4:$F$9))</f>
        <v/>
      </c>
      <c r="Q704" s="36"/>
      <c r="R704" s="36"/>
      <c r="S704" s="36"/>
      <c r="T704" s="36"/>
      <c r="U704" s="39" t="str">
        <f aca="false">IF(COUNT(Q704:T704)=0,"",ROUND(AVERAGE(Q704:T704),0))</f>
        <v/>
      </c>
      <c r="V704" s="38" t="str">
        <f aca="false">IF(U704="","",LOOKUP(U704,Impostazioni!$E$4:$E$9,Impostazioni!$F$4:$F$9))</f>
        <v/>
      </c>
      <c r="W704" s="36"/>
      <c r="X704" s="36"/>
      <c r="Y704" s="36"/>
      <c r="Z704" s="36"/>
      <c r="AA704" s="39" t="str">
        <f aca="false">IF(COUNT(W704:Z704)=0,"",ROUND(AVERAGE(W704:Z704),0))</f>
        <v/>
      </c>
      <c r="AB704" s="38" t="str">
        <f aca="false">IF(AA704="","",LOOKUP(AA704,Impostazioni!$E$4:$E$9,Impostazioni!$F$4:$F$9))</f>
        <v/>
      </c>
    </row>
    <row r="705" customFormat="false" ht="21" hidden="false" customHeight="true" outlineLevel="0" collapsed="false">
      <c r="A705" s="33" t="n">
        <v>11</v>
      </c>
      <c r="B705" s="34" t="str">
        <f aca="false">IFERROR(INDEX(Alunni!$C$1:$C$1000,MATCH($A705,Alunni!$A$1:$A$1000,0))&amp;"","")</f>
        <v/>
      </c>
      <c r="C705" s="15"/>
      <c r="D705" s="35"/>
      <c r="E705" s="36"/>
      <c r="F705" s="36"/>
      <c r="G705" s="36"/>
      <c r="H705" s="36"/>
      <c r="I705" s="39" t="str">
        <f aca="false">IF(COUNT(E705:H705)=0,"",ROUND(AVERAGE(E705:H705),0))</f>
        <v/>
      </c>
      <c r="J705" s="38" t="str">
        <f aca="false">IF(I705="","",LOOKUP(I705,Impostazioni!$E$4:$E$9,Impostazioni!$F$4:$F$9))</f>
        <v/>
      </c>
      <c r="K705" s="36"/>
      <c r="L705" s="36"/>
      <c r="M705" s="36"/>
      <c r="N705" s="36"/>
      <c r="O705" s="39" t="str">
        <f aca="false">IF(COUNT(K705:N705)=0,"",ROUND(AVERAGE(K705:N705),0))</f>
        <v/>
      </c>
      <c r="P705" s="38" t="str">
        <f aca="false">IF(O705="","",LOOKUP(O705,Impostazioni!$E$4:$E$9,Impostazioni!$F$4:$F$9))</f>
        <v/>
      </c>
      <c r="Q705" s="36"/>
      <c r="R705" s="36"/>
      <c r="S705" s="36"/>
      <c r="T705" s="36"/>
      <c r="U705" s="39" t="str">
        <f aca="false">IF(COUNT(Q705:T705)=0,"",ROUND(AVERAGE(Q705:T705),0))</f>
        <v/>
      </c>
      <c r="V705" s="38" t="str">
        <f aca="false">IF(U705="","",LOOKUP(U705,Impostazioni!$E$4:$E$9,Impostazioni!$F$4:$F$9))</f>
        <v/>
      </c>
      <c r="W705" s="36"/>
      <c r="X705" s="36"/>
      <c r="Y705" s="36"/>
      <c r="Z705" s="36"/>
      <c r="AA705" s="39" t="str">
        <f aca="false">IF(COUNT(W705:Z705)=0,"",ROUND(AVERAGE(W705:Z705),0))</f>
        <v/>
      </c>
      <c r="AB705" s="38" t="str">
        <f aca="false">IF(AA705="","",LOOKUP(AA705,Impostazioni!$E$4:$E$9,Impostazioni!$F$4:$F$9))</f>
        <v/>
      </c>
    </row>
    <row r="706" customFormat="false" ht="21" hidden="false" customHeight="true" outlineLevel="0" collapsed="false">
      <c r="A706" s="33" t="n">
        <v>12</v>
      </c>
      <c r="B706" s="34" t="str">
        <f aca="false">IFERROR(INDEX(Alunni!$C$1:$C$1000,MATCH($A706,Alunni!$A$1:$A$1000,0))&amp;"","")</f>
        <v/>
      </c>
      <c r="C706" s="15"/>
      <c r="D706" s="35"/>
      <c r="E706" s="36"/>
      <c r="F706" s="36"/>
      <c r="G706" s="36"/>
      <c r="H706" s="36"/>
      <c r="I706" s="39" t="str">
        <f aca="false">IF(COUNT(E706:H706)=0,"",ROUND(AVERAGE(E706:H706),0))</f>
        <v/>
      </c>
      <c r="J706" s="38" t="str">
        <f aca="false">IF(I706="","",LOOKUP(I706,Impostazioni!$E$4:$E$9,Impostazioni!$F$4:$F$9))</f>
        <v/>
      </c>
      <c r="K706" s="36"/>
      <c r="L706" s="36"/>
      <c r="M706" s="36"/>
      <c r="N706" s="36"/>
      <c r="O706" s="39" t="str">
        <f aca="false">IF(COUNT(K706:N706)=0,"",ROUND(AVERAGE(K706:N706),0))</f>
        <v/>
      </c>
      <c r="P706" s="38" t="str">
        <f aca="false">IF(O706="","",LOOKUP(O706,Impostazioni!$E$4:$E$9,Impostazioni!$F$4:$F$9))</f>
        <v/>
      </c>
      <c r="Q706" s="36"/>
      <c r="R706" s="36"/>
      <c r="S706" s="36"/>
      <c r="T706" s="36"/>
      <c r="U706" s="39" t="str">
        <f aca="false">IF(COUNT(Q706:T706)=0,"",ROUND(AVERAGE(Q706:T706),0))</f>
        <v/>
      </c>
      <c r="V706" s="38" t="str">
        <f aca="false">IF(U706="","",LOOKUP(U706,Impostazioni!$E$4:$E$9,Impostazioni!$F$4:$F$9))</f>
        <v/>
      </c>
      <c r="W706" s="36"/>
      <c r="X706" s="36"/>
      <c r="Y706" s="36"/>
      <c r="Z706" s="36"/>
      <c r="AA706" s="39" t="str">
        <f aca="false">IF(COUNT(W706:Z706)=0,"",ROUND(AVERAGE(W706:Z706),0))</f>
        <v/>
      </c>
      <c r="AB706" s="38" t="str">
        <f aca="false">IF(AA706="","",LOOKUP(AA706,Impostazioni!$E$4:$E$9,Impostazioni!$F$4:$F$9))</f>
        <v/>
      </c>
    </row>
    <row r="707" customFormat="false" ht="21" hidden="false" customHeight="true" outlineLevel="0" collapsed="false">
      <c r="A707" s="33" t="n">
        <v>13</v>
      </c>
      <c r="B707" s="34" t="str">
        <f aca="false">IFERROR(INDEX(Alunni!$C$1:$C$1000,MATCH($A707,Alunni!$A$1:$A$1000,0))&amp;"","")</f>
        <v/>
      </c>
      <c r="C707" s="15"/>
      <c r="D707" s="35"/>
      <c r="E707" s="36"/>
      <c r="F707" s="36"/>
      <c r="G707" s="36"/>
      <c r="H707" s="36"/>
      <c r="I707" s="39" t="str">
        <f aca="false">IF(COUNT(E707:H707)=0,"",ROUND(AVERAGE(E707:H707),0))</f>
        <v/>
      </c>
      <c r="J707" s="38" t="str">
        <f aca="false">IF(I707="","",LOOKUP(I707,Impostazioni!$E$4:$E$9,Impostazioni!$F$4:$F$9))</f>
        <v/>
      </c>
      <c r="K707" s="36"/>
      <c r="L707" s="36"/>
      <c r="M707" s="36"/>
      <c r="N707" s="36"/>
      <c r="O707" s="39" t="str">
        <f aca="false">IF(COUNT(K707:N707)=0,"",ROUND(AVERAGE(K707:N707),0))</f>
        <v/>
      </c>
      <c r="P707" s="38" t="str">
        <f aca="false">IF(O707="","",LOOKUP(O707,Impostazioni!$E$4:$E$9,Impostazioni!$F$4:$F$9))</f>
        <v/>
      </c>
      <c r="Q707" s="36"/>
      <c r="R707" s="36"/>
      <c r="S707" s="36"/>
      <c r="T707" s="36"/>
      <c r="U707" s="39" t="str">
        <f aca="false">IF(COUNT(Q707:T707)=0,"",ROUND(AVERAGE(Q707:T707),0))</f>
        <v/>
      </c>
      <c r="V707" s="38" t="str">
        <f aca="false">IF(U707="","",LOOKUP(U707,Impostazioni!$E$4:$E$9,Impostazioni!$F$4:$F$9))</f>
        <v/>
      </c>
      <c r="W707" s="36"/>
      <c r="X707" s="36"/>
      <c r="Y707" s="36"/>
      <c r="Z707" s="36"/>
      <c r="AA707" s="39" t="str">
        <f aca="false">IF(COUNT(W707:Z707)=0,"",ROUND(AVERAGE(W707:Z707),0))</f>
        <v/>
      </c>
      <c r="AB707" s="38" t="str">
        <f aca="false">IF(AA707="","",LOOKUP(AA707,Impostazioni!$E$4:$E$9,Impostazioni!$F$4:$F$9))</f>
        <v/>
      </c>
    </row>
    <row r="708" customFormat="false" ht="21" hidden="false" customHeight="true" outlineLevel="0" collapsed="false">
      <c r="A708" s="33" t="n">
        <v>14</v>
      </c>
      <c r="B708" s="34" t="str">
        <f aca="false">IFERROR(INDEX(Alunni!$C$1:$C$1000,MATCH($A708,Alunni!$A$1:$A$1000,0))&amp;"","")</f>
        <v/>
      </c>
      <c r="C708" s="15"/>
      <c r="D708" s="35"/>
      <c r="E708" s="36"/>
      <c r="F708" s="36"/>
      <c r="G708" s="36"/>
      <c r="H708" s="36"/>
      <c r="I708" s="39" t="str">
        <f aca="false">IF(COUNT(E708:H708)=0,"",ROUND(AVERAGE(E708:H708),0))</f>
        <v/>
      </c>
      <c r="J708" s="38" t="str">
        <f aca="false">IF(I708="","",LOOKUP(I708,Impostazioni!$E$4:$E$9,Impostazioni!$F$4:$F$9))</f>
        <v/>
      </c>
      <c r="K708" s="36"/>
      <c r="L708" s="36"/>
      <c r="M708" s="36"/>
      <c r="N708" s="36"/>
      <c r="O708" s="39" t="str">
        <f aca="false">IF(COUNT(K708:N708)=0,"",ROUND(AVERAGE(K708:N708),0))</f>
        <v/>
      </c>
      <c r="P708" s="38" t="str">
        <f aca="false">IF(O708="","",LOOKUP(O708,Impostazioni!$E$4:$E$9,Impostazioni!$F$4:$F$9))</f>
        <v/>
      </c>
      <c r="Q708" s="36"/>
      <c r="R708" s="36"/>
      <c r="S708" s="36"/>
      <c r="T708" s="36"/>
      <c r="U708" s="39" t="str">
        <f aca="false">IF(COUNT(Q708:T708)=0,"",ROUND(AVERAGE(Q708:T708),0))</f>
        <v/>
      </c>
      <c r="V708" s="38" t="str">
        <f aca="false">IF(U708="","",LOOKUP(U708,Impostazioni!$E$4:$E$9,Impostazioni!$F$4:$F$9))</f>
        <v/>
      </c>
      <c r="W708" s="36"/>
      <c r="X708" s="36"/>
      <c r="Y708" s="36"/>
      <c r="Z708" s="36"/>
      <c r="AA708" s="39" t="str">
        <f aca="false">IF(COUNT(W708:Z708)=0,"",ROUND(AVERAGE(W708:Z708),0))</f>
        <v/>
      </c>
      <c r="AB708" s="38" t="str">
        <f aca="false">IF(AA708="","",LOOKUP(AA708,Impostazioni!$E$4:$E$9,Impostazioni!$F$4:$F$9))</f>
        <v/>
      </c>
    </row>
    <row r="709" customFormat="false" ht="21" hidden="false" customHeight="true" outlineLevel="0" collapsed="false">
      <c r="A709" s="33" t="n">
        <v>15</v>
      </c>
      <c r="B709" s="34" t="str">
        <f aca="false">IFERROR(INDEX(Alunni!$C$1:$C$1000,MATCH($A709,Alunni!$A$1:$A$1000,0))&amp;"","")</f>
        <v/>
      </c>
      <c r="C709" s="15"/>
      <c r="D709" s="35"/>
      <c r="E709" s="36"/>
      <c r="F709" s="36"/>
      <c r="G709" s="36"/>
      <c r="H709" s="36"/>
      <c r="I709" s="39" t="str">
        <f aca="false">IF(COUNT(E709:H709)=0,"",ROUND(AVERAGE(E709:H709),0))</f>
        <v/>
      </c>
      <c r="J709" s="38" t="str">
        <f aca="false">IF(I709="","",LOOKUP(I709,Impostazioni!$E$4:$E$9,Impostazioni!$F$4:$F$9))</f>
        <v/>
      </c>
      <c r="K709" s="36"/>
      <c r="L709" s="36"/>
      <c r="M709" s="36"/>
      <c r="N709" s="36"/>
      <c r="O709" s="39" t="str">
        <f aca="false">IF(COUNT(K709:N709)=0,"",ROUND(AVERAGE(K709:N709),0))</f>
        <v/>
      </c>
      <c r="P709" s="38" t="str">
        <f aca="false">IF(O709="","",LOOKUP(O709,Impostazioni!$E$4:$E$9,Impostazioni!$F$4:$F$9))</f>
        <v/>
      </c>
      <c r="Q709" s="36"/>
      <c r="R709" s="36"/>
      <c r="S709" s="36"/>
      <c r="T709" s="36"/>
      <c r="U709" s="39" t="str">
        <f aca="false">IF(COUNT(Q709:T709)=0,"",ROUND(AVERAGE(Q709:T709),0))</f>
        <v/>
      </c>
      <c r="V709" s="38" t="str">
        <f aca="false">IF(U709="","",LOOKUP(U709,Impostazioni!$E$4:$E$9,Impostazioni!$F$4:$F$9))</f>
        <v/>
      </c>
      <c r="W709" s="36"/>
      <c r="X709" s="36"/>
      <c r="Y709" s="36"/>
      <c r="Z709" s="36"/>
      <c r="AA709" s="39" t="str">
        <f aca="false">IF(COUNT(W709:Z709)=0,"",ROUND(AVERAGE(W709:Z709),0))</f>
        <v/>
      </c>
      <c r="AB709" s="38" t="str">
        <f aca="false">IF(AA709="","",LOOKUP(AA709,Impostazioni!$E$4:$E$9,Impostazioni!$F$4:$F$9))</f>
        <v/>
      </c>
    </row>
    <row r="710" customFormat="false" ht="21" hidden="false" customHeight="true" outlineLevel="0" collapsed="false">
      <c r="A710" s="33" t="n">
        <v>16</v>
      </c>
      <c r="B710" s="34" t="str">
        <f aca="false">IFERROR(INDEX(Alunni!$C$1:$C$1000,MATCH($A710,Alunni!$A$1:$A$1000,0))&amp;"","")</f>
        <v/>
      </c>
      <c r="C710" s="15"/>
      <c r="D710" s="35"/>
      <c r="E710" s="36"/>
      <c r="F710" s="36"/>
      <c r="G710" s="36"/>
      <c r="H710" s="36"/>
      <c r="I710" s="39" t="str">
        <f aca="false">IF(COUNT(E710:H710)=0,"",ROUND(AVERAGE(E710:H710),0))</f>
        <v/>
      </c>
      <c r="J710" s="38" t="str">
        <f aca="false">IF(I710="","",LOOKUP(I710,Impostazioni!$E$4:$E$9,Impostazioni!$F$4:$F$9))</f>
        <v/>
      </c>
      <c r="K710" s="36"/>
      <c r="L710" s="36"/>
      <c r="M710" s="36"/>
      <c r="N710" s="36"/>
      <c r="O710" s="39" t="str">
        <f aca="false">IF(COUNT(K710:N710)=0,"",ROUND(AVERAGE(K710:N710),0))</f>
        <v/>
      </c>
      <c r="P710" s="38" t="str">
        <f aca="false">IF(O710="","",LOOKUP(O710,Impostazioni!$E$4:$E$9,Impostazioni!$F$4:$F$9))</f>
        <v/>
      </c>
      <c r="Q710" s="36"/>
      <c r="R710" s="36"/>
      <c r="S710" s="36"/>
      <c r="T710" s="36"/>
      <c r="U710" s="39" t="str">
        <f aca="false">IF(COUNT(Q710:T710)=0,"",ROUND(AVERAGE(Q710:T710),0))</f>
        <v/>
      </c>
      <c r="V710" s="38" t="str">
        <f aca="false">IF(U710="","",LOOKUP(U710,Impostazioni!$E$4:$E$9,Impostazioni!$F$4:$F$9))</f>
        <v/>
      </c>
      <c r="W710" s="36"/>
      <c r="X710" s="36"/>
      <c r="Y710" s="36"/>
      <c r="Z710" s="36"/>
      <c r="AA710" s="39" t="str">
        <f aca="false">IF(COUNT(W710:Z710)=0,"",ROUND(AVERAGE(W710:Z710),0))</f>
        <v/>
      </c>
      <c r="AB710" s="38" t="str">
        <f aca="false">IF(AA710="","",LOOKUP(AA710,Impostazioni!$E$4:$E$9,Impostazioni!$F$4:$F$9))</f>
        <v/>
      </c>
    </row>
    <row r="711" customFormat="false" ht="21" hidden="false" customHeight="true" outlineLevel="0" collapsed="false">
      <c r="A711" s="33" t="n">
        <v>17</v>
      </c>
      <c r="B711" s="34" t="str">
        <f aca="false">IFERROR(INDEX(Alunni!$C$1:$C$1000,MATCH($A711,Alunni!$A$1:$A$1000,0))&amp;"","")</f>
        <v/>
      </c>
      <c r="C711" s="15"/>
      <c r="D711" s="35"/>
      <c r="E711" s="36"/>
      <c r="F711" s="36"/>
      <c r="G711" s="36"/>
      <c r="H711" s="36"/>
      <c r="I711" s="39" t="str">
        <f aca="false">IF(COUNT(E711:H711)=0,"",ROUND(AVERAGE(E711:H711),0))</f>
        <v/>
      </c>
      <c r="J711" s="38" t="str">
        <f aca="false">IF(I711="","",LOOKUP(I711,Impostazioni!$E$4:$E$9,Impostazioni!$F$4:$F$9))</f>
        <v/>
      </c>
      <c r="K711" s="36"/>
      <c r="L711" s="36"/>
      <c r="M711" s="36"/>
      <c r="N711" s="36"/>
      <c r="O711" s="39" t="str">
        <f aca="false">IF(COUNT(K711:N711)=0,"",ROUND(AVERAGE(K711:N711),0))</f>
        <v/>
      </c>
      <c r="P711" s="38" t="str">
        <f aca="false">IF(O711="","",LOOKUP(O711,Impostazioni!$E$4:$E$9,Impostazioni!$F$4:$F$9))</f>
        <v/>
      </c>
      <c r="Q711" s="36"/>
      <c r="R711" s="36"/>
      <c r="S711" s="36"/>
      <c r="T711" s="36"/>
      <c r="U711" s="39" t="str">
        <f aca="false">IF(COUNT(Q711:T711)=0,"",ROUND(AVERAGE(Q711:T711),0))</f>
        <v/>
      </c>
      <c r="V711" s="38" t="str">
        <f aca="false">IF(U711="","",LOOKUP(U711,Impostazioni!$E$4:$E$9,Impostazioni!$F$4:$F$9))</f>
        <v/>
      </c>
      <c r="W711" s="36"/>
      <c r="X711" s="36"/>
      <c r="Y711" s="36"/>
      <c r="Z711" s="36"/>
      <c r="AA711" s="39" t="str">
        <f aca="false">IF(COUNT(W711:Z711)=0,"",ROUND(AVERAGE(W711:Z711),0))</f>
        <v/>
      </c>
      <c r="AB711" s="38" t="str">
        <f aca="false">IF(AA711="","",LOOKUP(AA711,Impostazioni!$E$4:$E$9,Impostazioni!$F$4:$F$9))</f>
        <v/>
      </c>
    </row>
    <row r="712" customFormat="false" ht="21" hidden="false" customHeight="true" outlineLevel="0" collapsed="false">
      <c r="A712" s="33" t="n">
        <v>18</v>
      </c>
      <c r="B712" s="34" t="str">
        <f aca="false">IFERROR(INDEX(Alunni!$C$1:$C$1000,MATCH($A712,Alunni!$A$1:$A$1000,0))&amp;"","")</f>
        <v/>
      </c>
      <c r="C712" s="15"/>
      <c r="D712" s="35"/>
      <c r="E712" s="36"/>
      <c r="F712" s="36"/>
      <c r="G712" s="36"/>
      <c r="H712" s="36"/>
      <c r="I712" s="39" t="str">
        <f aca="false">IF(COUNT(E712:H712)=0,"",ROUND(AVERAGE(E712:H712),0))</f>
        <v/>
      </c>
      <c r="J712" s="38" t="str">
        <f aca="false">IF(I712="","",LOOKUP(I712,Impostazioni!$E$4:$E$9,Impostazioni!$F$4:$F$9))</f>
        <v/>
      </c>
      <c r="K712" s="36"/>
      <c r="L712" s="36"/>
      <c r="M712" s="36"/>
      <c r="N712" s="36"/>
      <c r="O712" s="39" t="str">
        <f aca="false">IF(COUNT(K712:N712)=0,"",ROUND(AVERAGE(K712:N712),0))</f>
        <v/>
      </c>
      <c r="P712" s="38" t="str">
        <f aca="false">IF(O712="","",LOOKUP(O712,Impostazioni!$E$4:$E$9,Impostazioni!$F$4:$F$9))</f>
        <v/>
      </c>
      <c r="Q712" s="36"/>
      <c r="R712" s="36"/>
      <c r="S712" s="36"/>
      <c r="T712" s="36"/>
      <c r="U712" s="39" t="str">
        <f aca="false">IF(COUNT(Q712:T712)=0,"",ROUND(AVERAGE(Q712:T712),0))</f>
        <v/>
      </c>
      <c r="V712" s="38" t="str">
        <f aca="false">IF(U712="","",LOOKUP(U712,Impostazioni!$E$4:$E$9,Impostazioni!$F$4:$F$9))</f>
        <v/>
      </c>
      <c r="W712" s="36"/>
      <c r="X712" s="36"/>
      <c r="Y712" s="36"/>
      <c r="Z712" s="36"/>
      <c r="AA712" s="39" t="str">
        <f aca="false">IF(COUNT(W712:Z712)=0,"",ROUND(AVERAGE(W712:Z712),0))</f>
        <v/>
      </c>
      <c r="AB712" s="38" t="str">
        <f aca="false">IF(AA712="","",LOOKUP(AA712,Impostazioni!$E$4:$E$9,Impostazioni!$F$4:$F$9))</f>
        <v/>
      </c>
    </row>
    <row r="713" customFormat="false" ht="21" hidden="false" customHeight="true" outlineLevel="0" collapsed="false">
      <c r="A713" s="33" t="n">
        <v>19</v>
      </c>
      <c r="B713" s="34" t="str">
        <f aca="false">IFERROR(INDEX(Alunni!$C$1:$C$1000,MATCH($A713,Alunni!$A$1:$A$1000,0))&amp;"","")</f>
        <v/>
      </c>
      <c r="C713" s="15"/>
      <c r="D713" s="35"/>
      <c r="E713" s="36"/>
      <c r="F713" s="36"/>
      <c r="G713" s="36"/>
      <c r="H713" s="36"/>
      <c r="I713" s="39" t="str">
        <f aca="false">IF(COUNT(E713:H713)=0,"",ROUND(AVERAGE(E713:H713),0))</f>
        <v/>
      </c>
      <c r="J713" s="38" t="str">
        <f aca="false">IF(I713="","",LOOKUP(I713,Impostazioni!$E$4:$E$9,Impostazioni!$F$4:$F$9))</f>
        <v/>
      </c>
      <c r="K713" s="36"/>
      <c r="L713" s="36"/>
      <c r="M713" s="36"/>
      <c r="N713" s="36"/>
      <c r="O713" s="39" t="str">
        <f aca="false">IF(COUNT(K713:N713)=0,"",ROUND(AVERAGE(K713:N713),0))</f>
        <v/>
      </c>
      <c r="P713" s="38" t="str">
        <f aca="false">IF(O713="","",LOOKUP(O713,Impostazioni!$E$4:$E$9,Impostazioni!$F$4:$F$9))</f>
        <v/>
      </c>
      <c r="Q713" s="36"/>
      <c r="R713" s="36"/>
      <c r="S713" s="36"/>
      <c r="T713" s="36"/>
      <c r="U713" s="39" t="str">
        <f aca="false">IF(COUNT(Q713:T713)=0,"",ROUND(AVERAGE(Q713:T713),0))</f>
        <v/>
      </c>
      <c r="V713" s="38" t="str">
        <f aca="false">IF(U713="","",LOOKUP(U713,Impostazioni!$E$4:$E$9,Impostazioni!$F$4:$F$9))</f>
        <v/>
      </c>
      <c r="W713" s="36"/>
      <c r="X713" s="36"/>
      <c r="Y713" s="36"/>
      <c r="Z713" s="36"/>
      <c r="AA713" s="39" t="str">
        <f aca="false">IF(COUNT(W713:Z713)=0,"",ROUND(AVERAGE(W713:Z713),0))</f>
        <v/>
      </c>
      <c r="AB713" s="38" t="str">
        <f aca="false">IF(AA713="","",LOOKUP(AA713,Impostazioni!$E$4:$E$9,Impostazioni!$F$4:$F$9))</f>
        <v/>
      </c>
    </row>
    <row r="714" customFormat="false" ht="21" hidden="false" customHeight="true" outlineLevel="0" collapsed="false">
      <c r="A714" s="33" t="n">
        <v>20</v>
      </c>
      <c r="B714" s="34" t="str">
        <f aca="false">IFERROR(INDEX(Alunni!$C$1:$C$1000,MATCH($A714,Alunni!$A$1:$A$1000,0))&amp;"","")</f>
        <v/>
      </c>
      <c r="C714" s="15"/>
      <c r="D714" s="35"/>
      <c r="E714" s="36"/>
      <c r="F714" s="36"/>
      <c r="G714" s="36"/>
      <c r="H714" s="36"/>
      <c r="I714" s="39" t="str">
        <f aca="false">IF(COUNT(E714:H714)=0,"",ROUND(AVERAGE(E714:H714),0))</f>
        <v/>
      </c>
      <c r="J714" s="38" t="str">
        <f aca="false">IF(I714="","",LOOKUP(I714,Impostazioni!$E$4:$E$9,Impostazioni!$F$4:$F$9))</f>
        <v/>
      </c>
      <c r="K714" s="36"/>
      <c r="L714" s="36"/>
      <c r="M714" s="36"/>
      <c r="N714" s="36"/>
      <c r="O714" s="39" t="str">
        <f aca="false">IF(COUNT(K714:N714)=0,"",ROUND(AVERAGE(K714:N714),0))</f>
        <v/>
      </c>
      <c r="P714" s="38" t="str">
        <f aca="false">IF(O714="","",LOOKUP(O714,Impostazioni!$E$4:$E$9,Impostazioni!$F$4:$F$9))</f>
        <v/>
      </c>
      <c r="Q714" s="36"/>
      <c r="R714" s="36"/>
      <c r="S714" s="36"/>
      <c r="T714" s="36"/>
      <c r="U714" s="39" t="str">
        <f aca="false">IF(COUNT(Q714:T714)=0,"",ROUND(AVERAGE(Q714:T714),0))</f>
        <v/>
      </c>
      <c r="V714" s="38" t="str">
        <f aca="false">IF(U714="","",LOOKUP(U714,Impostazioni!$E$4:$E$9,Impostazioni!$F$4:$F$9))</f>
        <v/>
      </c>
      <c r="W714" s="36"/>
      <c r="X714" s="36"/>
      <c r="Y714" s="36"/>
      <c r="Z714" s="36"/>
      <c r="AA714" s="39" t="str">
        <f aca="false">IF(COUNT(W714:Z714)=0,"",ROUND(AVERAGE(W714:Z714),0))</f>
        <v/>
      </c>
      <c r="AB714" s="38" t="str">
        <f aca="false">IF(AA714="","",LOOKUP(AA714,Impostazioni!$E$4:$E$9,Impostazioni!$F$4:$F$9))</f>
        <v/>
      </c>
    </row>
    <row r="715" customFormat="false" ht="21" hidden="false" customHeight="true" outlineLevel="0" collapsed="false">
      <c r="A715" s="33" t="n">
        <v>21</v>
      </c>
      <c r="B715" s="34" t="str">
        <f aca="false">IFERROR(INDEX(Alunni!$C$1:$C$1000,MATCH($A715,Alunni!$A$1:$A$1000,0))&amp;"","")</f>
        <v/>
      </c>
      <c r="C715" s="15"/>
      <c r="D715" s="35"/>
      <c r="E715" s="36"/>
      <c r="F715" s="36"/>
      <c r="G715" s="36"/>
      <c r="H715" s="36"/>
      <c r="I715" s="39" t="str">
        <f aca="false">IF(COUNT(E715:H715)=0,"",ROUND(AVERAGE(E715:H715),0))</f>
        <v/>
      </c>
      <c r="J715" s="38" t="str">
        <f aca="false">IF(I715="","",LOOKUP(I715,Impostazioni!$E$4:$E$9,Impostazioni!$F$4:$F$9))</f>
        <v/>
      </c>
      <c r="K715" s="36"/>
      <c r="L715" s="36"/>
      <c r="M715" s="36"/>
      <c r="N715" s="36"/>
      <c r="O715" s="39" t="str">
        <f aca="false">IF(COUNT(K715:N715)=0,"",ROUND(AVERAGE(K715:N715),0))</f>
        <v/>
      </c>
      <c r="P715" s="38" t="str">
        <f aca="false">IF(O715="","",LOOKUP(O715,Impostazioni!$E$4:$E$9,Impostazioni!$F$4:$F$9))</f>
        <v/>
      </c>
      <c r="Q715" s="36"/>
      <c r="R715" s="36"/>
      <c r="S715" s="36"/>
      <c r="T715" s="36"/>
      <c r="U715" s="39" t="str">
        <f aca="false">IF(COUNT(Q715:T715)=0,"",ROUND(AVERAGE(Q715:T715),0))</f>
        <v/>
      </c>
      <c r="V715" s="38" t="str">
        <f aca="false">IF(U715="","",LOOKUP(U715,Impostazioni!$E$4:$E$9,Impostazioni!$F$4:$F$9))</f>
        <v/>
      </c>
      <c r="W715" s="36"/>
      <c r="X715" s="36"/>
      <c r="Y715" s="36"/>
      <c r="Z715" s="36"/>
      <c r="AA715" s="39" t="str">
        <f aca="false">IF(COUNT(W715:Z715)=0,"",ROUND(AVERAGE(W715:Z715),0))</f>
        <v/>
      </c>
      <c r="AB715" s="38" t="str">
        <f aca="false">IF(AA715="","",LOOKUP(AA715,Impostazioni!$E$4:$E$9,Impostazioni!$F$4:$F$9))</f>
        <v/>
      </c>
    </row>
    <row r="716" customFormat="false" ht="21" hidden="false" customHeight="true" outlineLevel="0" collapsed="false">
      <c r="A716" s="33" t="n">
        <v>22</v>
      </c>
      <c r="B716" s="34" t="str">
        <f aca="false">IFERROR(INDEX(Alunni!$C$1:$C$1000,MATCH($A716,Alunni!$A$1:$A$1000,0))&amp;"","")</f>
        <v/>
      </c>
      <c r="C716" s="15"/>
      <c r="D716" s="35"/>
      <c r="E716" s="36"/>
      <c r="F716" s="36"/>
      <c r="G716" s="36"/>
      <c r="H716" s="36"/>
      <c r="I716" s="39" t="str">
        <f aca="false">IF(COUNT(E716:H716)=0,"",ROUND(AVERAGE(E716:H716),0))</f>
        <v/>
      </c>
      <c r="J716" s="38" t="str">
        <f aca="false">IF(I716="","",LOOKUP(I716,Impostazioni!$E$4:$E$9,Impostazioni!$F$4:$F$9))</f>
        <v/>
      </c>
      <c r="K716" s="36"/>
      <c r="L716" s="36"/>
      <c r="M716" s="36"/>
      <c r="N716" s="36"/>
      <c r="O716" s="39" t="str">
        <f aca="false">IF(COUNT(K716:N716)=0,"",ROUND(AVERAGE(K716:N716),0))</f>
        <v/>
      </c>
      <c r="P716" s="38" t="str">
        <f aca="false">IF(O716="","",LOOKUP(O716,Impostazioni!$E$4:$E$9,Impostazioni!$F$4:$F$9))</f>
        <v/>
      </c>
      <c r="Q716" s="36"/>
      <c r="R716" s="36"/>
      <c r="S716" s="36"/>
      <c r="T716" s="36"/>
      <c r="U716" s="39" t="str">
        <f aca="false">IF(COUNT(Q716:T716)=0,"",ROUND(AVERAGE(Q716:T716),0))</f>
        <v/>
      </c>
      <c r="V716" s="38" t="str">
        <f aca="false">IF(U716="","",LOOKUP(U716,Impostazioni!$E$4:$E$9,Impostazioni!$F$4:$F$9))</f>
        <v/>
      </c>
      <c r="W716" s="36"/>
      <c r="X716" s="36"/>
      <c r="Y716" s="36"/>
      <c r="Z716" s="36"/>
      <c r="AA716" s="39" t="str">
        <f aca="false">IF(COUNT(W716:Z716)=0,"",ROUND(AVERAGE(W716:Z716),0))</f>
        <v/>
      </c>
      <c r="AB716" s="38" t="str">
        <f aca="false">IF(AA716="","",LOOKUP(AA716,Impostazioni!$E$4:$E$9,Impostazioni!$F$4:$F$9))</f>
        <v/>
      </c>
    </row>
    <row r="717" customFormat="false" ht="21" hidden="false" customHeight="true" outlineLevel="0" collapsed="false">
      <c r="A717" s="33" t="n">
        <v>23</v>
      </c>
      <c r="B717" s="34" t="str">
        <f aca="false">IFERROR(INDEX(Alunni!$C$1:$C$1000,MATCH($A717,Alunni!$A$1:$A$1000,0))&amp;"","")</f>
        <v/>
      </c>
      <c r="C717" s="15"/>
      <c r="D717" s="35"/>
      <c r="E717" s="36"/>
      <c r="F717" s="36"/>
      <c r="G717" s="36"/>
      <c r="H717" s="36"/>
      <c r="I717" s="39" t="str">
        <f aca="false">IF(COUNT(E717:H717)=0,"",ROUND(AVERAGE(E717:H717),0))</f>
        <v/>
      </c>
      <c r="J717" s="38" t="str">
        <f aca="false">IF(I717="","",LOOKUP(I717,Impostazioni!$E$4:$E$9,Impostazioni!$F$4:$F$9))</f>
        <v/>
      </c>
      <c r="K717" s="36"/>
      <c r="L717" s="36"/>
      <c r="M717" s="36"/>
      <c r="N717" s="36"/>
      <c r="O717" s="39" t="str">
        <f aca="false">IF(COUNT(K717:N717)=0,"",ROUND(AVERAGE(K717:N717),0))</f>
        <v/>
      </c>
      <c r="P717" s="38" t="str">
        <f aca="false">IF(O717="","",LOOKUP(O717,Impostazioni!$E$4:$E$9,Impostazioni!$F$4:$F$9))</f>
        <v/>
      </c>
      <c r="Q717" s="36"/>
      <c r="R717" s="36"/>
      <c r="S717" s="36"/>
      <c r="T717" s="36"/>
      <c r="U717" s="39" t="str">
        <f aca="false">IF(COUNT(Q717:T717)=0,"",ROUND(AVERAGE(Q717:T717),0))</f>
        <v/>
      </c>
      <c r="V717" s="38" t="str">
        <f aca="false">IF(U717="","",LOOKUP(U717,Impostazioni!$E$4:$E$9,Impostazioni!$F$4:$F$9))</f>
        <v/>
      </c>
      <c r="W717" s="36"/>
      <c r="X717" s="36"/>
      <c r="Y717" s="36"/>
      <c r="Z717" s="36"/>
      <c r="AA717" s="39" t="str">
        <f aca="false">IF(COUNT(W717:Z717)=0,"",ROUND(AVERAGE(W717:Z717),0))</f>
        <v/>
      </c>
      <c r="AB717" s="38" t="str">
        <f aca="false">IF(AA717="","",LOOKUP(AA717,Impostazioni!$E$4:$E$9,Impostazioni!$F$4:$F$9))</f>
        <v/>
      </c>
    </row>
    <row r="718" customFormat="false" ht="21" hidden="false" customHeight="true" outlineLevel="0" collapsed="false">
      <c r="A718" s="33" t="n">
        <v>24</v>
      </c>
      <c r="B718" s="34" t="str">
        <f aca="false">IFERROR(INDEX(Alunni!$C$1:$C$1000,MATCH($A718,Alunni!$A$1:$A$1000,0))&amp;"","")</f>
        <v/>
      </c>
      <c r="C718" s="15"/>
      <c r="D718" s="35"/>
      <c r="E718" s="36"/>
      <c r="F718" s="36"/>
      <c r="G718" s="36"/>
      <c r="H718" s="36"/>
      <c r="I718" s="39" t="str">
        <f aca="false">IF(COUNT(E718:H718)=0,"",ROUND(AVERAGE(E718:H718),0))</f>
        <v/>
      </c>
      <c r="J718" s="38" t="str">
        <f aca="false">IF(I718="","",LOOKUP(I718,Impostazioni!$E$4:$E$9,Impostazioni!$F$4:$F$9))</f>
        <v/>
      </c>
      <c r="K718" s="36"/>
      <c r="L718" s="36"/>
      <c r="M718" s="36"/>
      <c r="N718" s="36"/>
      <c r="O718" s="39" t="str">
        <f aca="false">IF(COUNT(K718:N718)=0,"",ROUND(AVERAGE(K718:N718),0))</f>
        <v/>
      </c>
      <c r="P718" s="38" t="str">
        <f aca="false">IF(O718="","",LOOKUP(O718,Impostazioni!$E$4:$E$9,Impostazioni!$F$4:$F$9))</f>
        <v/>
      </c>
      <c r="Q718" s="36"/>
      <c r="R718" s="36"/>
      <c r="S718" s="36"/>
      <c r="T718" s="36"/>
      <c r="U718" s="39" t="str">
        <f aca="false">IF(COUNT(Q718:T718)=0,"",ROUND(AVERAGE(Q718:T718),0))</f>
        <v/>
      </c>
      <c r="V718" s="38" t="str">
        <f aca="false">IF(U718="","",LOOKUP(U718,Impostazioni!$E$4:$E$9,Impostazioni!$F$4:$F$9))</f>
        <v/>
      </c>
      <c r="W718" s="36"/>
      <c r="X718" s="36"/>
      <c r="Y718" s="36"/>
      <c r="Z718" s="36"/>
      <c r="AA718" s="39" t="str">
        <f aca="false">IF(COUNT(W718:Z718)=0,"",ROUND(AVERAGE(W718:Z718),0))</f>
        <v/>
      </c>
      <c r="AB718" s="38" t="str">
        <f aca="false">IF(AA718="","",LOOKUP(AA718,Impostazioni!$E$4:$E$9,Impostazioni!$F$4:$F$9))</f>
        <v/>
      </c>
    </row>
    <row r="719" customFormat="false" ht="21" hidden="false" customHeight="true" outlineLevel="0" collapsed="false">
      <c r="A719" s="33" t="n">
        <v>25</v>
      </c>
      <c r="B719" s="34" t="str">
        <f aca="false">IFERROR(INDEX(Alunni!$C$1:$C$1000,MATCH($A719,Alunni!$A$1:$A$1000,0))&amp;"","")</f>
        <v/>
      </c>
      <c r="C719" s="15"/>
      <c r="D719" s="35"/>
      <c r="E719" s="36"/>
      <c r="F719" s="36"/>
      <c r="G719" s="36"/>
      <c r="H719" s="36"/>
      <c r="I719" s="39" t="str">
        <f aca="false">IF(COUNT(E719:H719)=0,"",ROUND(AVERAGE(E719:H719),0))</f>
        <v/>
      </c>
      <c r="J719" s="38" t="str">
        <f aca="false">IF(I719="","",LOOKUP(I719,Impostazioni!$E$4:$E$9,Impostazioni!$F$4:$F$9))</f>
        <v/>
      </c>
      <c r="K719" s="36"/>
      <c r="L719" s="36"/>
      <c r="M719" s="36"/>
      <c r="N719" s="36"/>
      <c r="O719" s="39" t="str">
        <f aca="false">IF(COUNT(K719:N719)=0,"",ROUND(AVERAGE(K719:N719),0))</f>
        <v/>
      </c>
      <c r="P719" s="38" t="str">
        <f aca="false">IF(O719="","",LOOKUP(O719,Impostazioni!$E$4:$E$9,Impostazioni!$F$4:$F$9))</f>
        <v/>
      </c>
      <c r="Q719" s="36"/>
      <c r="R719" s="36"/>
      <c r="S719" s="36"/>
      <c r="T719" s="36"/>
      <c r="U719" s="39" t="str">
        <f aca="false">IF(COUNT(Q719:T719)=0,"",ROUND(AVERAGE(Q719:T719),0))</f>
        <v/>
      </c>
      <c r="V719" s="38" t="str">
        <f aca="false">IF(U719="","",LOOKUP(U719,Impostazioni!$E$4:$E$9,Impostazioni!$F$4:$F$9))</f>
        <v/>
      </c>
      <c r="W719" s="36"/>
      <c r="X719" s="36"/>
      <c r="Y719" s="36"/>
      <c r="Z719" s="36"/>
      <c r="AA719" s="39" t="str">
        <f aca="false">IF(COUNT(W719:Z719)=0,"",ROUND(AVERAGE(W719:Z719),0))</f>
        <v/>
      </c>
      <c r="AB719" s="38" t="str">
        <f aca="false">IF(AA719="","",LOOKUP(AA719,Impostazioni!$E$4:$E$9,Impostazioni!$F$4:$F$9))</f>
        <v/>
      </c>
    </row>
    <row r="720" customFormat="false" ht="21" hidden="false" customHeight="true" outlineLevel="0" collapsed="false">
      <c r="A720" s="33" t="n">
        <v>26</v>
      </c>
      <c r="B720" s="34" t="str">
        <f aca="false">IFERROR(INDEX(Alunni!$C$1:$C$1000,MATCH($A720,Alunni!$A$1:$A$1000,0))&amp;"","")</f>
        <v/>
      </c>
      <c r="C720" s="15"/>
      <c r="D720" s="35"/>
      <c r="E720" s="36"/>
      <c r="F720" s="36"/>
      <c r="G720" s="36"/>
      <c r="H720" s="36"/>
      <c r="I720" s="39" t="str">
        <f aca="false">IF(COUNT(E720:H720)=0,"",ROUND(AVERAGE(E720:H720),0))</f>
        <v/>
      </c>
      <c r="J720" s="38" t="str">
        <f aca="false">IF(I720="","",LOOKUP(I720,Impostazioni!$E$4:$E$9,Impostazioni!$F$4:$F$9))</f>
        <v/>
      </c>
      <c r="K720" s="36"/>
      <c r="L720" s="36"/>
      <c r="M720" s="36"/>
      <c r="N720" s="36"/>
      <c r="O720" s="39" t="str">
        <f aca="false">IF(COUNT(K720:N720)=0,"",ROUND(AVERAGE(K720:N720),0))</f>
        <v/>
      </c>
      <c r="P720" s="38" t="str">
        <f aca="false">IF(O720="","",LOOKUP(O720,Impostazioni!$E$4:$E$9,Impostazioni!$F$4:$F$9))</f>
        <v/>
      </c>
      <c r="Q720" s="36"/>
      <c r="R720" s="36"/>
      <c r="S720" s="36"/>
      <c r="T720" s="36"/>
      <c r="U720" s="39" t="str">
        <f aca="false">IF(COUNT(Q720:T720)=0,"",ROUND(AVERAGE(Q720:T720),0))</f>
        <v/>
      </c>
      <c r="V720" s="38" t="str">
        <f aca="false">IF(U720="","",LOOKUP(U720,Impostazioni!$E$4:$E$9,Impostazioni!$F$4:$F$9))</f>
        <v/>
      </c>
      <c r="W720" s="36"/>
      <c r="X720" s="36"/>
      <c r="Y720" s="36"/>
      <c r="Z720" s="36"/>
      <c r="AA720" s="39" t="str">
        <f aca="false">IF(COUNT(W720:Z720)=0,"",ROUND(AVERAGE(W720:Z720),0))</f>
        <v/>
      </c>
      <c r="AB720" s="38" t="str">
        <f aca="false">IF(AA720="","",LOOKUP(AA720,Impostazioni!$E$4:$E$9,Impostazioni!$F$4:$F$9))</f>
        <v/>
      </c>
    </row>
    <row r="721" customFormat="false" ht="21" hidden="false" customHeight="true" outlineLevel="0" collapsed="false">
      <c r="A721" s="33" t="n">
        <v>27</v>
      </c>
      <c r="B721" s="34" t="str">
        <f aca="false">IFERROR(INDEX(Alunni!$C$1:$C$1000,MATCH($A721,Alunni!$A$1:$A$1000,0))&amp;"","")</f>
        <v/>
      </c>
      <c r="C721" s="15"/>
      <c r="D721" s="35"/>
      <c r="E721" s="36"/>
      <c r="F721" s="36"/>
      <c r="G721" s="36"/>
      <c r="H721" s="36"/>
      <c r="I721" s="39" t="str">
        <f aca="false">IF(COUNT(E721:H721)=0,"",ROUND(AVERAGE(E721:H721),0))</f>
        <v/>
      </c>
      <c r="J721" s="38" t="str">
        <f aca="false">IF(I721="","",LOOKUP(I721,Impostazioni!$E$4:$E$9,Impostazioni!$F$4:$F$9))</f>
        <v/>
      </c>
      <c r="K721" s="36"/>
      <c r="L721" s="36"/>
      <c r="M721" s="36"/>
      <c r="N721" s="36"/>
      <c r="O721" s="39" t="str">
        <f aca="false">IF(COUNT(K721:N721)=0,"",ROUND(AVERAGE(K721:N721),0))</f>
        <v/>
      </c>
      <c r="P721" s="38" t="str">
        <f aca="false">IF(O721="","",LOOKUP(O721,Impostazioni!$E$4:$E$9,Impostazioni!$F$4:$F$9))</f>
        <v/>
      </c>
      <c r="Q721" s="36"/>
      <c r="R721" s="36"/>
      <c r="S721" s="36"/>
      <c r="T721" s="36"/>
      <c r="U721" s="39" t="str">
        <f aca="false">IF(COUNT(Q721:T721)=0,"",ROUND(AVERAGE(Q721:T721),0))</f>
        <v/>
      </c>
      <c r="V721" s="38" t="str">
        <f aca="false">IF(U721="","",LOOKUP(U721,Impostazioni!$E$4:$E$9,Impostazioni!$F$4:$F$9))</f>
        <v/>
      </c>
      <c r="W721" s="36"/>
      <c r="X721" s="36"/>
      <c r="Y721" s="36"/>
      <c r="Z721" s="36"/>
      <c r="AA721" s="39" t="str">
        <f aca="false">IF(COUNT(W721:Z721)=0,"",ROUND(AVERAGE(W721:Z721),0))</f>
        <v/>
      </c>
      <c r="AB721" s="38" t="str">
        <f aca="false">IF(AA721="","",LOOKUP(AA721,Impostazioni!$E$4:$E$9,Impostazioni!$F$4:$F$9))</f>
        <v/>
      </c>
    </row>
    <row r="722" customFormat="false" ht="21" hidden="false" customHeight="true" outlineLevel="0" collapsed="false">
      <c r="A722" s="33" t="n">
        <v>28</v>
      </c>
      <c r="B722" s="34" t="str">
        <f aca="false">IFERROR(INDEX(Alunni!$C$1:$C$1000,MATCH($A722,Alunni!$A$1:$A$1000,0))&amp;"","")</f>
        <v/>
      </c>
      <c r="C722" s="15"/>
      <c r="D722" s="35"/>
      <c r="E722" s="36"/>
      <c r="F722" s="36"/>
      <c r="G722" s="36"/>
      <c r="H722" s="36"/>
      <c r="I722" s="39" t="str">
        <f aca="false">IF(COUNT(E722:H722)=0,"",ROUND(AVERAGE(E722:H722),0))</f>
        <v/>
      </c>
      <c r="J722" s="38" t="str">
        <f aca="false">IF(I722="","",LOOKUP(I722,Impostazioni!$E$4:$E$9,Impostazioni!$F$4:$F$9))</f>
        <v/>
      </c>
      <c r="K722" s="36"/>
      <c r="L722" s="36"/>
      <c r="M722" s="36"/>
      <c r="N722" s="36"/>
      <c r="O722" s="39" t="str">
        <f aca="false">IF(COUNT(K722:N722)=0,"",ROUND(AVERAGE(K722:N722),0))</f>
        <v/>
      </c>
      <c r="P722" s="38" t="str">
        <f aca="false">IF(O722="","",LOOKUP(O722,Impostazioni!$E$4:$E$9,Impostazioni!$F$4:$F$9))</f>
        <v/>
      </c>
      <c r="Q722" s="36"/>
      <c r="R722" s="36"/>
      <c r="S722" s="36"/>
      <c r="T722" s="36"/>
      <c r="U722" s="39" t="str">
        <f aca="false">IF(COUNT(Q722:T722)=0,"",ROUND(AVERAGE(Q722:T722),0))</f>
        <v/>
      </c>
      <c r="V722" s="38" t="str">
        <f aca="false">IF(U722="","",LOOKUP(U722,Impostazioni!$E$4:$E$9,Impostazioni!$F$4:$F$9))</f>
        <v/>
      </c>
      <c r="W722" s="36"/>
      <c r="X722" s="36"/>
      <c r="Y722" s="36"/>
      <c r="Z722" s="36"/>
      <c r="AA722" s="39" t="str">
        <f aca="false">IF(COUNT(W722:Z722)=0,"",ROUND(AVERAGE(W722:Z722),0))</f>
        <v/>
      </c>
      <c r="AB722" s="38" t="str">
        <f aca="false">IF(AA722="","",LOOKUP(AA722,Impostazioni!$E$4:$E$9,Impostazioni!$F$4:$F$9))</f>
        <v/>
      </c>
    </row>
    <row r="723" customFormat="false" ht="21" hidden="false" customHeight="true" outlineLevel="0" collapsed="false">
      <c r="A723" s="33" t="n">
        <v>29</v>
      </c>
      <c r="B723" s="34" t="str">
        <f aca="false">IFERROR(INDEX(Alunni!$C$1:$C$1000,MATCH($A723,Alunni!$A$1:$A$1000,0))&amp;"","")</f>
        <v/>
      </c>
      <c r="C723" s="15"/>
      <c r="D723" s="35"/>
      <c r="E723" s="36"/>
      <c r="F723" s="36"/>
      <c r="G723" s="36"/>
      <c r="H723" s="36"/>
      <c r="I723" s="39" t="str">
        <f aca="false">IF(COUNT(E723:H723)=0,"",ROUND(AVERAGE(E723:H723),0))</f>
        <v/>
      </c>
      <c r="J723" s="38" t="str">
        <f aca="false">IF(I723="","",LOOKUP(I723,Impostazioni!$E$4:$E$9,Impostazioni!$F$4:$F$9))</f>
        <v/>
      </c>
      <c r="K723" s="36"/>
      <c r="L723" s="36"/>
      <c r="M723" s="36"/>
      <c r="N723" s="36"/>
      <c r="O723" s="39" t="str">
        <f aca="false">IF(COUNT(K723:N723)=0,"",ROUND(AVERAGE(K723:N723),0))</f>
        <v/>
      </c>
      <c r="P723" s="38" t="str">
        <f aca="false">IF(O723="","",LOOKUP(O723,Impostazioni!$E$4:$E$9,Impostazioni!$F$4:$F$9))</f>
        <v/>
      </c>
      <c r="Q723" s="36"/>
      <c r="R723" s="36"/>
      <c r="S723" s="36"/>
      <c r="T723" s="36"/>
      <c r="U723" s="39" t="str">
        <f aca="false">IF(COUNT(Q723:T723)=0,"",ROUND(AVERAGE(Q723:T723),0))</f>
        <v/>
      </c>
      <c r="V723" s="38" t="str">
        <f aca="false">IF(U723="","",LOOKUP(U723,Impostazioni!$E$4:$E$9,Impostazioni!$F$4:$F$9))</f>
        <v/>
      </c>
      <c r="W723" s="36"/>
      <c r="X723" s="36"/>
      <c r="Y723" s="36"/>
      <c r="Z723" s="36"/>
      <c r="AA723" s="39" t="str">
        <f aca="false">IF(COUNT(W723:Z723)=0,"",ROUND(AVERAGE(W723:Z723),0))</f>
        <v/>
      </c>
      <c r="AB723" s="38" t="str">
        <f aca="false">IF(AA723="","",LOOKUP(AA723,Impostazioni!$E$4:$E$9,Impostazioni!$F$4:$F$9))</f>
        <v/>
      </c>
    </row>
    <row r="724" customFormat="false" ht="21" hidden="false" customHeight="true" outlineLevel="0" collapsed="false">
      <c r="A724" s="33" t="n">
        <v>30</v>
      </c>
      <c r="B724" s="34" t="str">
        <f aca="false">IFERROR(INDEX(Alunni!$C$1:$C$1000,MATCH($A724,Alunni!$A$1:$A$1000,0))&amp;"","")</f>
        <v/>
      </c>
      <c r="C724" s="15"/>
      <c r="D724" s="35"/>
      <c r="E724" s="36"/>
      <c r="F724" s="36"/>
      <c r="G724" s="36"/>
      <c r="H724" s="36"/>
      <c r="I724" s="39" t="str">
        <f aca="false">IF(COUNT(E724:H724)=0,"",ROUND(AVERAGE(E724:H724),0))</f>
        <v/>
      </c>
      <c r="J724" s="38" t="str">
        <f aca="false">IF(I724="","",LOOKUP(I724,Impostazioni!$E$4:$E$9,Impostazioni!$F$4:$F$9))</f>
        <v/>
      </c>
      <c r="K724" s="36"/>
      <c r="L724" s="36"/>
      <c r="M724" s="36"/>
      <c r="N724" s="36"/>
      <c r="O724" s="39" t="str">
        <f aca="false">IF(COUNT(K724:N724)=0,"",ROUND(AVERAGE(K724:N724),0))</f>
        <v/>
      </c>
      <c r="P724" s="38" t="str">
        <f aca="false">IF(O724="","",LOOKUP(O724,Impostazioni!$E$4:$E$9,Impostazioni!$F$4:$F$9))</f>
        <v/>
      </c>
      <c r="Q724" s="36"/>
      <c r="R724" s="36"/>
      <c r="S724" s="36"/>
      <c r="T724" s="36"/>
      <c r="U724" s="39" t="str">
        <f aca="false">IF(COUNT(Q724:T724)=0,"",ROUND(AVERAGE(Q724:T724),0))</f>
        <v/>
      </c>
      <c r="V724" s="38" t="str">
        <f aca="false">IF(U724="","",LOOKUP(U724,Impostazioni!$E$4:$E$9,Impostazioni!$F$4:$F$9))</f>
        <v/>
      </c>
      <c r="W724" s="36"/>
      <c r="X724" s="36"/>
      <c r="Y724" s="36"/>
      <c r="Z724" s="36"/>
      <c r="AA724" s="39" t="str">
        <f aca="false">IF(COUNT(W724:Z724)=0,"",ROUND(AVERAGE(W724:Z724),0))</f>
        <v/>
      </c>
      <c r="AB724" s="38" t="str">
        <f aca="false">IF(AA724="","",LOOKUP(AA724,Impostazioni!$E$4:$E$9,Impostazioni!$F$4:$F$9))</f>
        <v/>
      </c>
    </row>
  </sheetData>
  <mergeCells count="342">
    <mergeCell ref="A1:AB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A4:AB4"/>
    <mergeCell ref="A6:AB6"/>
    <mergeCell ref="A7:D7"/>
    <mergeCell ref="E7:J7"/>
    <mergeCell ref="K7:P7"/>
    <mergeCell ref="Q7:V7"/>
    <mergeCell ref="W7:AB7"/>
    <mergeCell ref="A8:D8"/>
    <mergeCell ref="E8:J8"/>
    <mergeCell ref="K8:P8"/>
    <mergeCell ref="Q8:V8"/>
    <mergeCell ref="W8:AB8"/>
    <mergeCell ref="A9:D9"/>
    <mergeCell ref="I9:J9"/>
    <mergeCell ref="O9:P9"/>
    <mergeCell ref="U9:V9"/>
    <mergeCell ref="AA9:AB9"/>
    <mergeCell ref="A42:AB42"/>
    <mergeCell ref="A43:D43"/>
    <mergeCell ref="E43:J43"/>
    <mergeCell ref="K43:P43"/>
    <mergeCell ref="Q43:V43"/>
    <mergeCell ref="W43:AB43"/>
    <mergeCell ref="A44:D44"/>
    <mergeCell ref="E44:J44"/>
    <mergeCell ref="K44:P44"/>
    <mergeCell ref="Q44:V44"/>
    <mergeCell ref="W44:AB44"/>
    <mergeCell ref="A45:D45"/>
    <mergeCell ref="I45:J45"/>
    <mergeCell ref="O45:P45"/>
    <mergeCell ref="U45:V45"/>
    <mergeCell ref="AA45:AB45"/>
    <mergeCell ref="A78:AB78"/>
    <mergeCell ref="A79:D79"/>
    <mergeCell ref="E79:J79"/>
    <mergeCell ref="K79:P79"/>
    <mergeCell ref="Q79:V79"/>
    <mergeCell ref="W79:AB79"/>
    <mergeCell ref="A80:D80"/>
    <mergeCell ref="E80:J80"/>
    <mergeCell ref="K80:P80"/>
    <mergeCell ref="Q80:V80"/>
    <mergeCell ref="W80:AB80"/>
    <mergeCell ref="A81:D81"/>
    <mergeCell ref="I81:J81"/>
    <mergeCell ref="O81:P81"/>
    <mergeCell ref="U81:V81"/>
    <mergeCell ref="AA81:AB81"/>
    <mergeCell ref="A114:AB114"/>
    <mergeCell ref="A115:D115"/>
    <mergeCell ref="E115:J115"/>
    <mergeCell ref="K115:P115"/>
    <mergeCell ref="Q115:V115"/>
    <mergeCell ref="W115:AB115"/>
    <mergeCell ref="A116:D116"/>
    <mergeCell ref="E116:J116"/>
    <mergeCell ref="K116:P116"/>
    <mergeCell ref="Q116:V116"/>
    <mergeCell ref="W116:AB116"/>
    <mergeCell ref="A117:D117"/>
    <mergeCell ref="I117:J117"/>
    <mergeCell ref="O117:P117"/>
    <mergeCell ref="U117:V117"/>
    <mergeCell ref="AA117:AB117"/>
    <mergeCell ref="A150:AB150"/>
    <mergeCell ref="A151:D151"/>
    <mergeCell ref="E151:J151"/>
    <mergeCell ref="K151:P151"/>
    <mergeCell ref="Q151:V151"/>
    <mergeCell ref="W151:AB151"/>
    <mergeCell ref="A152:D152"/>
    <mergeCell ref="E152:J152"/>
    <mergeCell ref="K152:P152"/>
    <mergeCell ref="Q152:V152"/>
    <mergeCell ref="W152:AB152"/>
    <mergeCell ref="A153:D153"/>
    <mergeCell ref="I153:J153"/>
    <mergeCell ref="O153:P153"/>
    <mergeCell ref="U153:V153"/>
    <mergeCell ref="AA153:AB153"/>
    <mergeCell ref="A186:AB186"/>
    <mergeCell ref="A187:D187"/>
    <mergeCell ref="E187:J187"/>
    <mergeCell ref="K187:P187"/>
    <mergeCell ref="Q187:V187"/>
    <mergeCell ref="W187:AB187"/>
    <mergeCell ref="A188:D188"/>
    <mergeCell ref="E188:J188"/>
    <mergeCell ref="K188:P188"/>
    <mergeCell ref="Q188:V188"/>
    <mergeCell ref="W188:AB188"/>
    <mergeCell ref="A189:D189"/>
    <mergeCell ref="I189:J189"/>
    <mergeCell ref="O189:P189"/>
    <mergeCell ref="U189:V189"/>
    <mergeCell ref="AA189:AB189"/>
    <mergeCell ref="A222:AB222"/>
    <mergeCell ref="A223:D223"/>
    <mergeCell ref="E223:J223"/>
    <mergeCell ref="K223:P223"/>
    <mergeCell ref="Q223:V223"/>
    <mergeCell ref="W223:AB223"/>
    <mergeCell ref="A224:D224"/>
    <mergeCell ref="E224:J224"/>
    <mergeCell ref="K224:P224"/>
    <mergeCell ref="Q224:V224"/>
    <mergeCell ref="W224:AB224"/>
    <mergeCell ref="A225:D225"/>
    <mergeCell ref="I225:J225"/>
    <mergeCell ref="O225:P225"/>
    <mergeCell ref="U225:V225"/>
    <mergeCell ref="AA225:AB225"/>
    <mergeCell ref="A258:AB258"/>
    <mergeCell ref="A259:D259"/>
    <mergeCell ref="E259:J259"/>
    <mergeCell ref="K259:P259"/>
    <mergeCell ref="Q259:V259"/>
    <mergeCell ref="W259:AB259"/>
    <mergeCell ref="A260:D260"/>
    <mergeCell ref="E260:J260"/>
    <mergeCell ref="K260:P260"/>
    <mergeCell ref="Q260:V260"/>
    <mergeCell ref="W260:AB260"/>
    <mergeCell ref="A261:D261"/>
    <mergeCell ref="I261:J261"/>
    <mergeCell ref="O261:P261"/>
    <mergeCell ref="U261:V261"/>
    <mergeCell ref="AA261:AB261"/>
    <mergeCell ref="A294:AB294"/>
    <mergeCell ref="A295:D295"/>
    <mergeCell ref="E295:J295"/>
    <mergeCell ref="K295:P295"/>
    <mergeCell ref="Q295:V295"/>
    <mergeCell ref="W295:AB295"/>
    <mergeCell ref="A296:D296"/>
    <mergeCell ref="E296:J296"/>
    <mergeCell ref="K296:P296"/>
    <mergeCell ref="Q296:V296"/>
    <mergeCell ref="W296:AB296"/>
    <mergeCell ref="A297:D297"/>
    <mergeCell ref="I297:J297"/>
    <mergeCell ref="O297:P297"/>
    <mergeCell ref="U297:V297"/>
    <mergeCell ref="AA297:AB297"/>
    <mergeCell ref="A330:AB330"/>
    <mergeCell ref="A331:D331"/>
    <mergeCell ref="E331:J331"/>
    <mergeCell ref="K331:P331"/>
    <mergeCell ref="Q331:V331"/>
    <mergeCell ref="W331:AB331"/>
    <mergeCell ref="A332:D332"/>
    <mergeCell ref="E332:J332"/>
    <mergeCell ref="K332:P332"/>
    <mergeCell ref="Q332:V332"/>
    <mergeCell ref="W332:AB332"/>
    <mergeCell ref="A333:D333"/>
    <mergeCell ref="I333:J333"/>
    <mergeCell ref="O333:P333"/>
    <mergeCell ref="U333:V333"/>
    <mergeCell ref="AA333:AB333"/>
    <mergeCell ref="A366:AB366"/>
    <mergeCell ref="A367:D367"/>
    <mergeCell ref="E367:J367"/>
    <mergeCell ref="K367:P367"/>
    <mergeCell ref="Q367:V367"/>
    <mergeCell ref="W367:AB367"/>
    <mergeCell ref="A368:D368"/>
    <mergeCell ref="E368:J368"/>
    <mergeCell ref="K368:P368"/>
    <mergeCell ref="Q368:V368"/>
    <mergeCell ref="W368:AB368"/>
    <mergeCell ref="A369:D369"/>
    <mergeCell ref="I369:J369"/>
    <mergeCell ref="O369:P369"/>
    <mergeCell ref="U369:V369"/>
    <mergeCell ref="AA369:AB369"/>
    <mergeCell ref="A402:AB402"/>
    <mergeCell ref="A403:D403"/>
    <mergeCell ref="E403:J403"/>
    <mergeCell ref="K403:P403"/>
    <mergeCell ref="Q403:V403"/>
    <mergeCell ref="W403:AB403"/>
    <mergeCell ref="A404:D404"/>
    <mergeCell ref="E404:J404"/>
    <mergeCell ref="K404:P404"/>
    <mergeCell ref="Q404:V404"/>
    <mergeCell ref="W404:AB404"/>
    <mergeCell ref="A405:D405"/>
    <mergeCell ref="I405:J405"/>
    <mergeCell ref="O405:P405"/>
    <mergeCell ref="U405:V405"/>
    <mergeCell ref="AA405:AB405"/>
    <mergeCell ref="A438:AB438"/>
    <mergeCell ref="A439:D439"/>
    <mergeCell ref="E439:J439"/>
    <mergeCell ref="K439:P439"/>
    <mergeCell ref="Q439:V439"/>
    <mergeCell ref="W439:AB439"/>
    <mergeCell ref="A440:D440"/>
    <mergeCell ref="E440:J440"/>
    <mergeCell ref="K440:P440"/>
    <mergeCell ref="Q440:V440"/>
    <mergeCell ref="W440:AB440"/>
    <mergeCell ref="A441:D441"/>
    <mergeCell ref="I441:J441"/>
    <mergeCell ref="O441:P441"/>
    <mergeCell ref="U441:V441"/>
    <mergeCell ref="AA441:AB441"/>
    <mergeCell ref="A474:AB474"/>
    <mergeCell ref="A475:D475"/>
    <mergeCell ref="E475:J475"/>
    <mergeCell ref="K475:P475"/>
    <mergeCell ref="Q475:V475"/>
    <mergeCell ref="W475:AB475"/>
    <mergeCell ref="A476:D476"/>
    <mergeCell ref="E476:J476"/>
    <mergeCell ref="K476:P476"/>
    <mergeCell ref="Q476:V476"/>
    <mergeCell ref="W476:AB476"/>
    <mergeCell ref="A477:D477"/>
    <mergeCell ref="I477:J477"/>
    <mergeCell ref="O477:P477"/>
    <mergeCell ref="U477:V477"/>
    <mergeCell ref="AA477:AB477"/>
    <mergeCell ref="A510:AB510"/>
    <mergeCell ref="A511:D511"/>
    <mergeCell ref="E511:J511"/>
    <mergeCell ref="K511:P511"/>
    <mergeCell ref="Q511:V511"/>
    <mergeCell ref="W511:AB511"/>
    <mergeCell ref="A512:D512"/>
    <mergeCell ref="E512:J512"/>
    <mergeCell ref="K512:P512"/>
    <mergeCell ref="Q512:V512"/>
    <mergeCell ref="W512:AB512"/>
    <mergeCell ref="A513:D513"/>
    <mergeCell ref="I513:J513"/>
    <mergeCell ref="O513:P513"/>
    <mergeCell ref="U513:V513"/>
    <mergeCell ref="AA513:AB513"/>
    <mergeCell ref="A546:AB546"/>
    <mergeCell ref="A547:D547"/>
    <mergeCell ref="E547:J547"/>
    <mergeCell ref="K547:P547"/>
    <mergeCell ref="Q547:V547"/>
    <mergeCell ref="W547:AB547"/>
    <mergeCell ref="A548:D548"/>
    <mergeCell ref="E548:J548"/>
    <mergeCell ref="K548:P548"/>
    <mergeCell ref="Q548:V548"/>
    <mergeCell ref="W548:AB548"/>
    <mergeCell ref="A549:D549"/>
    <mergeCell ref="I549:J549"/>
    <mergeCell ref="O549:P549"/>
    <mergeCell ref="U549:V549"/>
    <mergeCell ref="AA549:AB549"/>
    <mergeCell ref="A582:AB582"/>
    <mergeCell ref="A583:D583"/>
    <mergeCell ref="E583:J583"/>
    <mergeCell ref="K583:P583"/>
    <mergeCell ref="Q583:V583"/>
    <mergeCell ref="W583:AB583"/>
    <mergeCell ref="A584:D584"/>
    <mergeCell ref="E584:J584"/>
    <mergeCell ref="K584:P584"/>
    <mergeCell ref="Q584:V584"/>
    <mergeCell ref="W584:AB584"/>
    <mergeCell ref="A585:D585"/>
    <mergeCell ref="I585:J585"/>
    <mergeCell ref="O585:P585"/>
    <mergeCell ref="U585:V585"/>
    <mergeCell ref="AA585:AB585"/>
    <mergeCell ref="A618:AB618"/>
    <mergeCell ref="A619:D619"/>
    <mergeCell ref="E619:J619"/>
    <mergeCell ref="K619:P619"/>
    <mergeCell ref="Q619:V619"/>
    <mergeCell ref="W619:AB619"/>
    <mergeCell ref="A620:D620"/>
    <mergeCell ref="E620:J620"/>
    <mergeCell ref="K620:P620"/>
    <mergeCell ref="Q620:V620"/>
    <mergeCell ref="W620:AB620"/>
    <mergeCell ref="A621:D621"/>
    <mergeCell ref="I621:J621"/>
    <mergeCell ref="O621:P621"/>
    <mergeCell ref="U621:V621"/>
    <mergeCell ref="AA621:AB621"/>
    <mergeCell ref="A654:AB654"/>
    <mergeCell ref="A655:D655"/>
    <mergeCell ref="E655:J655"/>
    <mergeCell ref="K655:P655"/>
    <mergeCell ref="Q655:V655"/>
    <mergeCell ref="W655:AB655"/>
    <mergeCell ref="A656:D656"/>
    <mergeCell ref="E656:J656"/>
    <mergeCell ref="K656:P656"/>
    <mergeCell ref="Q656:V656"/>
    <mergeCell ref="W656:AB656"/>
    <mergeCell ref="A657:D657"/>
    <mergeCell ref="I657:J657"/>
    <mergeCell ref="O657:P657"/>
    <mergeCell ref="U657:V657"/>
    <mergeCell ref="AA657:AB657"/>
    <mergeCell ref="A690:AB690"/>
    <mergeCell ref="A691:D691"/>
    <mergeCell ref="E691:J691"/>
    <mergeCell ref="K691:P691"/>
    <mergeCell ref="Q691:V691"/>
    <mergeCell ref="W691:AB691"/>
    <mergeCell ref="A692:D692"/>
    <mergeCell ref="E692:J692"/>
    <mergeCell ref="K692:P692"/>
    <mergeCell ref="Q692:V692"/>
    <mergeCell ref="W692:AB692"/>
    <mergeCell ref="A693:D693"/>
    <mergeCell ref="I693:J693"/>
    <mergeCell ref="O693:P693"/>
    <mergeCell ref="U693:V693"/>
    <mergeCell ref="AA693:AB693"/>
  </mergeCells>
  <conditionalFormatting sqref="E7">
    <cfRule type="expression" priority="2" aboveAverage="0" equalAverage="0" bottom="0" percent="0" rank="0" text="" dxfId="2">
      <formula>LEFT(Calendario!$H$7,2)="1."</formula>
    </cfRule>
    <cfRule type="expression" priority="3" aboveAverage="0" equalAverage="0" bottom="0" percent="0" rank="0" text="" dxfId="3">
      <formula>LEFT(Calendario!$H$7,2)="2."</formula>
    </cfRule>
    <cfRule type="expression" priority="4" aboveAverage="0" equalAverage="0" bottom="0" percent="0" rank="0" text="" dxfId="4">
      <formula>LEFT(Calendario!$H$7,2)="3."</formula>
    </cfRule>
    <cfRule type="expression" priority="5" aboveAverage="0" equalAverage="0" bottom="0" percent="0" rank="0" text="" dxfId="5">
      <formula>LEFT(Calendario!$H$7,2)="4."</formula>
    </cfRule>
    <cfRule type="expression" priority="6" aboveAverage="0" equalAverage="0" bottom="0" percent="0" rank="0" text="" dxfId="6">
      <formula>LEFT(Calendario!$H$7,3)="TEC"</formula>
    </cfRule>
    <cfRule type="expression" priority="7" aboveAverage="0" equalAverage="0" bottom="0" percent="0" rank="0" text="" dxfId="6">
      <formula>LEFT(Calendario!$H$7,3)="CIV"</formula>
    </cfRule>
  </conditionalFormatting>
  <conditionalFormatting sqref="E11:J40">
    <cfRule type="expression" priority="8" aboveAverage="0" equalAverage="0" bottom="0" percent="0" rank="0" text="" dxfId="7">
      <formula>Calendario!$H$7=""</formula>
    </cfRule>
  </conditionalFormatting>
  <conditionalFormatting sqref="K7">
    <cfRule type="expression" priority="9" aboveAverage="0" equalAverage="0" bottom="0" percent="0" rank="0" text="" dxfId="2">
      <formula>LEFT(Calendario!$I$7,2)="1."</formula>
    </cfRule>
    <cfRule type="expression" priority="10" aboveAverage="0" equalAverage="0" bottom="0" percent="0" rank="0" text="" dxfId="3">
      <formula>LEFT(Calendario!$I$7,2)="2."</formula>
    </cfRule>
    <cfRule type="expression" priority="11" aboveAverage="0" equalAverage="0" bottom="0" percent="0" rank="0" text="" dxfId="4">
      <formula>LEFT(Calendario!$I$7,2)="3."</formula>
    </cfRule>
    <cfRule type="expression" priority="12" aboveAverage="0" equalAverage="0" bottom="0" percent="0" rank="0" text="" dxfId="5">
      <formula>LEFT(Calendario!$I$7,2)="4."</formula>
    </cfRule>
    <cfRule type="expression" priority="13" aboveAverage="0" equalAverage="0" bottom="0" percent="0" rank="0" text="" dxfId="6">
      <formula>LEFT(Calendario!$I$7,3)="TEC"</formula>
    </cfRule>
    <cfRule type="expression" priority="14" aboveAverage="0" equalAverage="0" bottom="0" percent="0" rank="0" text="" dxfId="6">
      <formula>LEFT(Calendario!$I$7,3)="CIV"</formula>
    </cfRule>
  </conditionalFormatting>
  <conditionalFormatting sqref="K11:P40">
    <cfRule type="expression" priority="15" aboveAverage="0" equalAverage="0" bottom="0" percent="0" rank="0" text="" dxfId="7">
      <formula>Calendario!$I$7=""</formula>
    </cfRule>
  </conditionalFormatting>
  <conditionalFormatting sqref="Q7">
    <cfRule type="expression" priority="16" aboveAverage="0" equalAverage="0" bottom="0" percent="0" rank="0" text="" dxfId="2">
      <formula>LEFT(Calendario!$J$7,2)="1."</formula>
    </cfRule>
    <cfRule type="expression" priority="17" aboveAverage="0" equalAverage="0" bottom="0" percent="0" rank="0" text="" dxfId="3">
      <formula>LEFT(Calendario!$J$7,2)="2."</formula>
    </cfRule>
    <cfRule type="expression" priority="18" aboveAverage="0" equalAverage="0" bottom="0" percent="0" rank="0" text="" dxfId="4">
      <formula>LEFT(Calendario!$J$7,2)="3."</formula>
    </cfRule>
    <cfRule type="expression" priority="19" aboveAverage="0" equalAverage="0" bottom="0" percent="0" rank="0" text="" dxfId="5">
      <formula>LEFT(Calendario!$J$7,2)="4."</formula>
    </cfRule>
    <cfRule type="expression" priority="20" aboveAverage="0" equalAverage="0" bottom="0" percent="0" rank="0" text="" dxfId="6">
      <formula>LEFT(Calendario!$J$7,3)="TEC"</formula>
    </cfRule>
    <cfRule type="expression" priority="21" aboveAverage="0" equalAverage="0" bottom="0" percent="0" rank="0" text="" dxfId="6">
      <formula>LEFT(Calendario!$J$7,3)="CIV"</formula>
    </cfRule>
  </conditionalFormatting>
  <conditionalFormatting sqref="Q11:V40">
    <cfRule type="expression" priority="22" aboveAverage="0" equalAverage="0" bottom="0" percent="0" rank="0" text="" dxfId="7">
      <formula>Calendario!$J$7=""</formula>
    </cfRule>
  </conditionalFormatting>
  <conditionalFormatting sqref="W7">
    <cfRule type="expression" priority="23" aboveAverage="0" equalAverage="0" bottom="0" percent="0" rank="0" text="" dxfId="2">
      <formula>LEFT(Calendario!$K$7,2)="1."</formula>
    </cfRule>
    <cfRule type="expression" priority="24" aboveAverage="0" equalAverage="0" bottom="0" percent="0" rank="0" text="" dxfId="3">
      <formula>LEFT(Calendario!$K$7,2)="2."</formula>
    </cfRule>
    <cfRule type="expression" priority="25" aboveAverage="0" equalAverage="0" bottom="0" percent="0" rank="0" text="" dxfId="4">
      <formula>LEFT(Calendario!$K$7,2)="3."</formula>
    </cfRule>
    <cfRule type="expression" priority="26" aboveAverage="0" equalAverage="0" bottom="0" percent="0" rank="0" text="" dxfId="5">
      <formula>LEFT(Calendario!$K$7,2)="4."</formula>
    </cfRule>
    <cfRule type="expression" priority="27" aboveAverage="0" equalAverage="0" bottom="0" percent="0" rank="0" text="" dxfId="6">
      <formula>LEFT(Calendario!$K$7,3)="TEC"</formula>
    </cfRule>
    <cfRule type="expression" priority="28" aboveAverage="0" equalAverage="0" bottom="0" percent="0" rank="0" text="" dxfId="6">
      <formula>LEFT(Calendario!$K$7,3)="CIV"</formula>
    </cfRule>
  </conditionalFormatting>
  <conditionalFormatting sqref="W11:AB40">
    <cfRule type="expression" priority="29" aboveAverage="0" equalAverage="0" bottom="0" percent="0" rank="0" text="" dxfId="7">
      <formula>Calendario!$K$7=""</formula>
    </cfRule>
  </conditionalFormatting>
  <conditionalFormatting sqref="A11:D40">
    <cfRule type="expression" priority="30" aboveAverage="0" equalAverage="0" bottom="0" percent="0" rank="0" text="" dxfId="3">
      <formula>AND($C11="AS",$D11="")</formula>
    </cfRule>
  </conditionalFormatting>
  <conditionalFormatting sqref="A11:B40">
    <cfRule type="expression" priority="31" aboveAverage="0" equalAverage="0" bottom="0" percent="0" rank="0" text="" dxfId="8">
      <formula>$B11=""</formula>
    </cfRule>
  </conditionalFormatting>
  <conditionalFormatting sqref="E43">
    <cfRule type="expression" priority="32" aboveAverage="0" equalAverage="0" bottom="0" percent="0" rank="0" text="" dxfId="2">
      <formula>LEFT(Calendario!$H$8,2)="1."</formula>
    </cfRule>
    <cfRule type="expression" priority="33" aboveAverage="0" equalAverage="0" bottom="0" percent="0" rank="0" text="" dxfId="3">
      <formula>LEFT(Calendario!$H$8,2)="2."</formula>
    </cfRule>
    <cfRule type="expression" priority="34" aboveAverage="0" equalAverage="0" bottom="0" percent="0" rank="0" text="" dxfId="4">
      <formula>LEFT(Calendario!$H$8,2)="3."</formula>
    </cfRule>
    <cfRule type="expression" priority="35" aboveAverage="0" equalAverage="0" bottom="0" percent="0" rank="0" text="" dxfId="5">
      <formula>LEFT(Calendario!$H$8,2)="4."</formula>
    </cfRule>
    <cfRule type="expression" priority="36" aboveAverage="0" equalAverage="0" bottom="0" percent="0" rank="0" text="" dxfId="6">
      <formula>LEFT(Calendario!$H$8,3)="TEC"</formula>
    </cfRule>
    <cfRule type="expression" priority="37" aboveAverage="0" equalAverage="0" bottom="0" percent="0" rank="0" text="" dxfId="6">
      <formula>LEFT(Calendario!$H$8,3)="CIV"</formula>
    </cfRule>
  </conditionalFormatting>
  <conditionalFormatting sqref="E47:J76">
    <cfRule type="expression" priority="38" aboveAverage="0" equalAverage="0" bottom="0" percent="0" rank="0" text="" dxfId="7">
      <formula>Calendario!$H$8=""</formula>
    </cfRule>
  </conditionalFormatting>
  <conditionalFormatting sqref="K43">
    <cfRule type="expression" priority="39" aboveAverage="0" equalAverage="0" bottom="0" percent="0" rank="0" text="" dxfId="2">
      <formula>LEFT(Calendario!$I$8,2)="1."</formula>
    </cfRule>
    <cfRule type="expression" priority="40" aboveAverage="0" equalAverage="0" bottom="0" percent="0" rank="0" text="" dxfId="3">
      <formula>LEFT(Calendario!$I$8,2)="2."</formula>
    </cfRule>
    <cfRule type="expression" priority="41" aboveAverage="0" equalAverage="0" bottom="0" percent="0" rank="0" text="" dxfId="4">
      <formula>LEFT(Calendario!$I$8,2)="3."</formula>
    </cfRule>
    <cfRule type="expression" priority="42" aboveAverage="0" equalAverage="0" bottom="0" percent="0" rank="0" text="" dxfId="5">
      <formula>LEFT(Calendario!$I$8,2)="4."</formula>
    </cfRule>
    <cfRule type="expression" priority="43" aboveAverage="0" equalAverage="0" bottom="0" percent="0" rank="0" text="" dxfId="6">
      <formula>LEFT(Calendario!$I$8,3)="TEC"</formula>
    </cfRule>
    <cfRule type="expression" priority="44" aboveAverage="0" equalAverage="0" bottom="0" percent="0" rank="0" text="" dxfId="6">
      <formula>LEFT(Calendario!$I$8,3)="CIV"</formula>
    </cfRule>
  </conditionalFormatting>
  <conditionalFormatting sqref="K47:P76">
    <cfRule type="expression" priority="45" aboveAverage="0" equalAverage="0" bottom="0" percent="0" rank="0" text="" dxfId="7">
      <formula>Calendario!$I$8=""</formula>
    </cfRule>
  </conditionalFormatting>
  <conditionalFormatting sqref="Q43">
    <cfRule type="expression" priority="46" aboveAverage="0" equalAverage="0" bottom="0" percent="0" rank="0" text="" dxfId="2">
      <formula>LEFT(Calendario!$J$8,2)="1."</formula>
    </cfRule>
    <cfRule type="expression" priority="47" aboveAverage="0" equalAverage="0" bottom="0" percent="0" rank="0" text="" dxfId="3">
      <formula>LEFT(Calendario!$J$8,2)="2."</formula>
    </cfRule>
    <cfRule type="expression" priority="48" aboveAverage="0" equalAverage="0" bottom="0" percent="0" rank="0" text="" dxfId="4">
      <formula>LEFT(Calendario!$J$8,2)="3."</formula>
    </cfRule>
    <cfRule type="expression" priority="49" aboveAverage="0" equalAverage="0" bottom="0" percent="0" rank="0" text="" dxfId="5">
      <formula>LEFT(Calendario!$J$8,2)="4."</formula>
    </cfRule>
    <cfRule type="expression" priority="50" aboveAverage="0" equalAverage="0" bottom="0" percent="0" rank="0" text="" dxfId="6">
      <formula>LEFT(Calendario!$J$8,3)="TEC"</formula>
    </cfRule>
    <cfRule type="expression" priority="51" aboveAverage="0" equalAverage="0" bottom="0" percent="0" rank="0" text="" dxfId="6">
      <formula>LEFT(Calendario!$J$8,3)="CIV"</formula>
    </cfRule>
  </conditionalFormatting>
  <conditionalFormatting sqref="Q47:V76">
    <cfRule type="expression" priority="52" aboveAverage="0" equalAverage="0" bottom="0" percent="0" rank="0" text="" dxfId="7">
      <formula>Calendario!$J$8=""</formula>
    </cfRule>
  </conditionalFormatting>
  <conditionalFormatting sqref="W43">
    <cfRule type="expression" priority="53" aboveAverage="0" equalAverage="0" bottom="0" percent="0" rank="0" text="" dxfId="2">
      <formula>LEFT(Calendario!$K$8,2)="1."</formula>
    </cfRule>
    <cfRule type="expression" priority="54" aboveAverage="0" equalAverage="0" bottom="0" percent="0" rank="0" text="" dxfId="3">
      <formula>LEFT(Calendario!$K$8,2)="2."</formula>
    </cfRule>
    <cfRule type="expression" priority="55" aboveAverage="0" equalAverage="0" bottom="0" percent="0" rank="0" text="" dxfId="4">
      <formula>LEFT(Calendario!$K$8,2)="3."</formula>
    </cfRule>
    <cfRule type="expression" priority="56" aboveAverage="0" equalAverage="0" bottom="0" percent="0" rank="0" text="" dxfId="5">
      <formula>LEFT(Calendario!$K$8,2)="4."</formula>
    </cfRule>
    <cfRule type="expression" priority="57" aboveAverage="0" equalAverage="0" bottom="0" percent="0" rank="0" text="" dxfId="6">
      <formula>LEFT(Calendario!$K$8,3)="TEC"</formula>
    </cfRule>
    <cfRule type="expression" priority="58" aboveAverage="0" equalAverage="0" bottom="0" percent="0" rank="0" text="" dxfId="6">
      <formula>LEFT(Calendario!$K$8,3)="CIV"</formula>
    </cfRule>
  </conditionalFormatting>
  <conditionalFormatting sqref="W47:AB76">
    <cfRule type="expression" priority="59" aboveAverage="0" equalAverage="0" bottom="0" percent="0" rank="0" text="" dxfId="7">
      <formula>Calendario!$K$8=""</formula>
    </cfRule>
  </conditionalFormatting>
  <conditionalFormatting sqref="A47:D76">
    <cfRule type="expression" priority="60" aboveAverage="0" equalAverage="0" bottom="0" percent="0" rank="0" text="" dxfId="3">
      <formula>AND($C47="AS",$D47="")</formula>
    </cfRule>
  </conditionalFormatting>
  <conditionalFormatting sqref="A47:B76">
    <cfRule type="expression" priority="61" aboveAverage="0" equalAverage="0" bottom="0" percent="0" rank="0" text="" dxfId="8">
      <formula>$B47=""</formula>
    </cfRule>
  </conditionalFormatting>
  <conditionalFormatting sqref="E79">
    <cfRule type="expression" priority="62" aboveAverage="0" equalAverage="0" bottom="0" percent="0" rank="0" text="" dxfId="2">
      <formula>LEFT(Calendario!$H$9,2)="1."</formula>
    </cfRule>
    <cfRule type="expression" priority="63" aboveAverage="0" equalAverage="0" bottom="0" percent="0" rank="0" text="" dxfId="3">
      <formula>LEFT(Calendario!$H$9,2)="2."</formula>
    </cfRule>
    <cfRule type="expression" priority="64" aboveAverage="0" equalAverage="0" bottom="0" percent="0" rank="0" text="" dxfId="4">
      <formula>LEFT(Calendario!$H$9,2)="3."</formula>
    </cfRule>
    <cfRule type="expression" priority="65" aboveAverage="0" equalAverage="0" bottom="0" percent="0" rank="0" text="" dxfId="5">
      <formula>LEFT(Calendario!$H$9,2)="4."</formula>
    </cfRule>
    <cfRule type="expression" priority="66" aboveAverage="0" equalAverage="0" bottom="0" percent="0" rank="0" text="" dxfId="6">
      <formula>LEFT(Calendario!$H$9,3)="TEC"</formula>
    </cfRule>
    <cfRule type="expression" priority="67" aboveAverage="0" equalAverage="0" bottom="0" percent="0" rank="0" text="" dxfId="6">
      <formula>LEFT(Calendario!$H$9,3)="CIV"</formula>
    </cfRule>
  </conditionalFormatting>
  <conditionalFormatting sqref="E83:J112">
    <cfRule type="expression" priority="68" aboveAverage="0" equalAverage="0" bottom="0" percent="0" rank="0" text="" dxfId="7">
      <formula>Calendario!$H$9=""</formula>
    </cfRule>
  </conditionalFormatting>
  <conditionalFormatting sqref="K79">
    <cfRule type="expression" priority="69" aboveAverage="0" equalAverage="0" bottom="0" percent="0" rank="0" text="" dxfId="2">
      <formula>LEFT(Calendario!$I$9,2)="1."</formula>
    </cfRule>
    <cfRule type="expression" priority="70" aboveAverage="0" equalAverage="0" bottom="0" percent="0" rank="0" text="" dxfId="3">
      <formula>LEFT(Calendario!$I$9,2)="2."</formula>
    </cfRule>
    <cfRule type="expression" priority="71" aboveAverage="0" equalAverage="0" bottom="0" percent="0" rank="0" text="" dxfId="4">
      <formula>LEFT(Calendario!$I$9,2)="3."</formula>
    </cfRule>
    <cfRule type="expression" priority="72" aboveAverage="0" equalAverage="0" bottom="0" percent="0" rank="0" text="" dxfId="5">
      <formula>LEFT(Calendario!$I$9,2)="4."</formula>
    </cfRule>
    <cfRule type="expression" priority="73" aboveAverage="0" equalAverage="0" bottom="0" percent="0" rank="0" text="" dxfId="6">
      <formula>LEFT(Calendario!$I$9,3)="TEC"</formula>
    </cfRule>
    <cfRule type="expression" priority="74" aboveAverage="0" equalAverage="0" bottom="0" percent="0" rank="0" text="" dxfId="6">
      <formula>LEFT(Calendario!$I$9,3)="CIV"</formula>
    </cfRule>
  </conditionalFormatting>
  <conditionalFormatting sqref="K83:P112">
    <cfRule type="expression" priority="75" aboveAverage="0" equalAverage="0" bottom="0" percent="0" rank="0" text="" dxfId="7">
      <formula>Calendario!$I$9=""</formula>
    </cfRule>
  </conditionalFormatting>
  <conditionalFormatting sqref="Q79">
    <cfRule type="expression" priority="76" aboveAverage="0" equalAverage="0" bottom="0" percent="0" rank="0" text="" dxfId="2">
      <formula>LEFT(Calendario!$J$9,2)="1."</formula>
    </cfRule>
    <cfRule type="expression" priority="77" aboveAverage="0" equalAverage="0" bottom="0" percent="0" rank="0" text="" dxfId="3">
      <formula>LEFT(Calendario!$J$9,2)="2."</formula>
    </cfRule>
    <cfRule type="expression" priority="78" aboveAverage="0" equalAverage="0" bottom="0" percent="0" rank="0" text="" dxfId="4">
      <formula>LEFT(Calendario!$J$9,2)="3."</formula>
    </cfRule>
    <cfRule type="expression" priority="79" aboveAverage="0" equalAverage="0" bottom="0" percent="0" rank="0" text="" dxfId="5">
      <formula>LEFT(Calendario!$J$9,2)="4."</formula>
    </cfRule>
    <cfRule type="expression" priority="80" aboveAverage="0" equalAverage="0" bottom="0" percent="0" rank="0" text="" dxfId="6">
      <formula>LEFT(Calendario!$J$9,3)="TEC"</formula>
    </cfRule>
    <cfRule type="expression" priority="81" aboveAverage="0" equalAverage="0" bottom="0" percent="0" rank="0" text="" dxfId="6">
      <formula>LEFT(Calendario!$J$9,3)="CIV"</formula>
    </cfRule>
  </conditionalFormatting>
  <conditionalFormatting sqref="Q83:V112">
    <cfRule type="expression" priority="82" aboveAverage="0" equalAverage="0" bottom="0" percent="0" rank="0" text="" dxfId="7">
      <formula>Calendario!$J$9=""</formula>
    </cfRule>
  </conditionalFormatting>
  <conditionalFormatting sqref="W79">
    <cfRule type="expression" priority="83" aboveAverage="0" equalAverage="0" bottom="0" percent="0" rank="0" text="" dxfId="2">
      <formula>LEFT(Calendario!$K$9,2)="1."</formula>
    </cfRule>
    <cfRule type="expression" priority="84" aboveAverage="0" equalAverage="0" bottom="0" percent="0" rank="0" text="" dxfId="3">
      <formula>LEFT(Calendario!$K$9,2)="2."</formula>
    </cfRule>
    <cfRule type="expression" priority="85" aboveAverage="0" equalAverage="0" bottom="0" percent="0" rank="0" text="" dxfId="4">
      <formula>LEFT(Calendario!$K$9,2)="3."</formula>
    </cfRule>
    <cfRule type="expression" priority="86" aboveAverage="0" equalAverage="0" bottom="0" percent="0" rank="0" text="" dxfId="5">
      <formula>LEFT(Calendario!$K$9,2)="4."</formula>
    </cfRule>
    <cfRule type="expression" priority="87" aboveAverage="0" equalAverage="0" bottom="0" percent="0" rank="0" text="" dxfId="6">
      <formula>LEFT(Calendario!$K$9,3)="TEC"</formula>
    </cfRule>
    <cfRule type="expression" priority="88" aboveAverage="0" equalAverage="0" bottom="0" percent="0" rank="0" text="" dxfId="6">
      <formula>LEFT(Calendario!$K$9,3)="CIV"</formula>
    </cfRule>
  </conditionalFormatting>
  <conditionalFormatting sqref="W83:AB112">
    <cfRule type="expression" priority="89" aboveAverage="0" equalAverage="0" bottom="0" percent="0" rank="0" text="" dxfId="7">
      <formula>Calendario!$K$9=""</formula>
    </cfRule>
  </conditionalFormatting>
  <conditionalFormatting sqref="A83:D112">
    <cfRule type="expression" priority="90" aboveAverage="0" equalAverage="0" bottom="0" percent="0" rank="0" text="" dxfId="3">
      <formula>AND($C83="AS",$D83="")</formula>
    </cfRule>
  </conditionalFormatting>
  <conditionalFormatting sqref="A83:B112">
    <cfRule type="expression" priority="91" aboveAverage="0" equalAverage="0" bottom="0" percent="0" rank="0" text="" dxfId="8">
      <formula>$B83=""</formula>
    </cfRule>
  </conditionalFormatting>
  <conditionalFormatting sqref="E115">
    <cfRule type="expression" priority="92" aboveAverage="0" equalAverage="0" bottom="0" percent="0" rank="0" text="" dxfId="2">
      <formula>LEFT(Calendario!$H$10,2)="1."</formula>
    </cfRule>
    <cfRule type="expression" priority="93" aboveAverage="0" equalAverage="0" bottom="0" percent="0" rank="0" text="" dxfId="3">
      <formula>LEFT(Calendario!$H$10,2)="2."</formula>
    </cfRule>
    <cfRule type="expression" priority="94" aboveAverage="0" equalAverage="0" bottom="0" percent="0" rank="0" text="" dxfId="4">
      <formula>LEFT(Calendario!$H$10,2)="3."</formula>
    </cfRule>
    <cfRule type="expression" priority="95" aboveAverage="0" equalAverage="0" bottom="0" percent="0" rank="0" text="" dxfId="5">
      <formula>LEFT(Calendario!$H$10,2)="4."</formula>
    </cfRule>
    <cfRule type="expression" priority="96" aboveAverage="0" equalAverage="0" bottom="0" percent="0" rank="0" text="" dxfId="6">
      <formula>LEFT(Calendario!$H$10,3)="TEC"</formula>
    </cfRule>
    <cfRule type="expression" priority="97" aboveAverage="0" equalAverage="0" bottom="0" percent="0" rank="0" text="" dxfId="6">
      <formula>LEFT(Calendario!$H$10,3)="CIV"</formula>
    </cfRule>
  </conditionalFormatting>
  <conditionalFormatting sqref="E119:J148">
    <cfRule type="expression" priority="98" aboveAverage="0" equalAverage="0" bottom="0" percent="0" rank="0" text="" dxfId="7">
      <formula>Calendario!$H$10=""</formula>
    </cfRule>
  </conditionalFormatting>
  <conditionalFormatting sqref="K115">
    <cfRule type="expression" priority="99" aboveAverage="0" equalAverage="0" bottom="0" percent="0" rank="0" text="" dxfId="2">
      <formula>LEFT(Calendario!$I$10,2)="1."</formula>
    </cfRule>
    <cfRule type="expression" priority="100" aboveAverage="0" equalAverage="0" bottom="0" percent="0" rank="0" text="" dxfId="3">
      <formula>LEFT(Calendario!$I$10,2)="2."</formula>
    </cfRule>
    <cfRule type="expression" priority="101" aboveAverage="0" equalAverage="0" bottom="0" percent="0" rank="0" text="" dxfId="4">
      <formula>LEFT(Calendario!$I$10,2)="3."</formula>
    </cfRule>
    <cfRule type="expression" priority="102" aboveAverage="0" equalAverage="0" bottom="0" percent="0" rank="0" text="" dxfId="5">
      <formula>LEFT(Calendario!$I$10,2)="4."</formula>
    </cfRule>
    <cfRule type="expression" priority="103" aboveAverage="0" equalAverage="0" bottom="0" percent="0" rank="0" text="" dxfId="6">
      <formula>LEFT(Calendario!$I$10,3)="TEC"</formula>
    </cfRule>
    <cfRule type="expression" priority="104" aboveAverage="0" equalAverage="0" bottom="0" percent="0" rank="0" text="" dxfId="6">
      <formula>LEFT(Calendario!$I$10,3)="CIV"</formula>
    </cfRule>
  </conditionalFormatting>
  <conditionalFormatting sqref="K119:P148">
    <cfRule type="expression" priority="105" aboveAverage="0" equalAverage="0" bottom="0" percent="0" rank="0" text="" dxfId="7">
      <formula>Calendario!$I$10=""</formula>
    </cfRule>
  </conditionalFormatting>
  <conditionalFormatting sqref="Q115">
    <cfRule type="expression" priority="106" aboveAverage="0" equalAverage="0" bottom="0" percent="0" rank="0" text="" dxfId="2">
      <formula>LEFT(Calendario!$J$10,2)="1."</formula>
    </cfRule>
    <cfRule type="expression" priority="107" aboveAverage="0" equalAverage="0" bottom="0" percent="0" rank="0" text="" dxfId="3">
      <formula>LEFT(Calendario!$J$10,2)="2."</formula>
    </cfRule>
    <cfRule type="expression" priority="108" aboveAverage="0" equalAverage="0" bottom="0" percent="0" rank="0" text="" dxfId="4">
      <formula>LEFT(Calendario!$J$10,2)="3."</formula>
    </cfRule>
    <cfRule type="expression" priority="109" aboveAverage="0" equalAverage="0" bottom="0" percent="0" rank="0" text="" dxfId="5">
      <formula>LEFT(Calendario!$J$10,2)="4."</formula>
    </cfRule>
    <cfRule type="expression" priority="110" aboveAverage="0" equalAverage="0" bottom="0" percent="0" rank="0" text="" dxfId="6">
      <formula>LEFT(Calendario!$J$10,3)="TEC"</formula>
    </cfRule>
    <cfRule type="expression" priority="111" aboveAverage="0" equalAverage="0" bottom="0" percent="0" rank="0" text="" dxfId="6">
      <formula>LEFT(Calendario!$J$10,3)="CIV"</formula>
    </cfRule>
  </conditionalFormatting>
  <conditionalFormatting sqref="Q119:V148">
    <cfRule type="expression" priority="112" aboveAverage="0" equalAverage="0" bottom="0" percent="0" rank="0" text="" dxfId="7">
      <formula>Calendario!$J$10=""</formula>
    </cfRule>
  </conditionalFormatting>
  <conditionalFormatting sqref="W115">
    <cfRule type="expression" priority="113" aboveAverage="0" equalAverage="0" bottom="0" percent="0" rank="0" text="" dxfId="2">
      <formula>LEFT(Calendario!$K$10,2)="1."</formula>
    </cfRule>
    <cfRule type="expression" priority="114" aboveAverage="0" equalAverage="0" bottom="0" percent="0" rank="0" text="" dxfId="3">
      <formula>LEFT(Calendario!$K$10,2)="2."</formula>
    </cfRule>
    <cfRule type="expression" priority="115" aboveAverage="0" equalAverage="0" bottom="0" percent="0" rank="0" text="" dxfId="4">
      <formula>LEFT(Calendario!$K$10,2)="3."</formula>
    </cfRule>
    <cfRule type="expression" priority="116" aboveAverage="0" equalAverage="0" bottom="0" percent="0" rank="0" text="" dxfId="5">
      <formula>LEFT(Calendario!$K$10,2)="4."</formula>
    </cfRule>
    <cfRule type="expression" priority="117" aboveAverage="0" equalAverage="0" bottom="0" percent="0" rank="0" text="" dxfId="6">
      <formula>LEFT(Calendario!$K$10,3)="TEC"</formula>
    </cfRule>
    <cfRule type="expression" priority="118" aboveAverage="0" equalAverage="0" bottom="0" percent="0" rank="0" text="" dxfId="6">
      <formula>LEFT(Calendario!$K$10,3)="CIV"</formula>
    </cfRule>
  </conditionalFormatting>
  <conditionalFormatting sqref="W119:AB148">
    <cfRule type="expression" priority="119" aboveAverage="0" equalAverage="0" bottom="0" percent="0" rank="0" text="" dxfId="7">
      <formula>Calendario!$K$10=""</formula>
    </cfRule>
  </conditionalFormatting>
  <conditionalFormatting sqref="A119:D148">
    <cfRule type="expression" priority="120" aboveAverage="0" equalAverage="0" bottom="0" percent="0" rank="0" text="" dxfId="3">
      <formula>AND($C119="AS",$D119="")</formula>
    </cfRule>
  </conditionalFormatting>
  <conditionalFormatting sqref="A119:B148">
    <cfRule type="expression" priority="121" aboveAverage="0" equalAverage="0" bottom="0" percent="0" rank="0" text="" dxfId="8">
      <formula>$B119=""</formula>
    </cfRule>
  </conditionalFormatting>
  <conditionalFormatting sqref="E151">
    <cfRule type="expression" priority="122" aboveAverage="0" equalAverage="0" bottom="0" percent="0" rank="0" text="" dxfId="2">
      <formula>LEFT(Calendario!$H$11,2)="1."</formula>
    </cfRule>
    <cfRule type="expression" priority="123" aboveAverage="0" equalAverage="0" bottom="0" percent="0" rank="0" text="" dxfId="3">
      <formula>LEFT(Calendario!$H$11,2)="2."</formula>
    </cfRule>
    <cfRule type="expression" priority="124" aboveAverage="0" equalAverage="0" bottom="0" percent="0" rank="0" text="" dxfId="4">
      <formula>LEFT(Calendario!$H$11,2)="3."</formula>
    </cfRule>
    <cfRule type="expression" priority="125" aboveAverage="0" equalAverage="0" bottom="0" percent="0" rank="0" text="" dxfId="5">
      <formula>LEFT(Calendario!$H$11,2)="4."</formula>
    </cfRule>
    <cfRule type="expression" priority="126" aboveAverage="0" equalAverage="0" bottom="0" percent="0" rank="0" text="" dxfId="6">
      <formula>LEFT(Calendario!$H$11,3)="TEC"</formula>
    </cfRule>
    <cfRule type="expression" priority="127" aboveAverage="0" equalAverage="0" bottom="0" percent="0" rank="0" text="" dxfId="6">
      <formula>LEFT(Calendario!$H$11,3)="CIV"</formula>
    </cfRule>
  </conditionalFormatting>
  <conditionalFormatting sqref="E155:J184">
    <cfRule type="expression" priority="128" aboveAverage="0" equalAverage="0" bottom="0" percent="0" rank="0" text="" dxfId="7">
      <formula>Calendario!$H$11=""</formula>
    </cfRule>
  </conditionalFormatting>
  <conditionalFormatting sqref="K151">
    <cfRule type="expression" priority="129" aboveAverage="0" equalAverage="0" bottom="0" percent="0" rank="0" text="" dxfId="2">
      <formula>LEFT(Calendario!$I$11,2)="1."</formula>
    </cfRule>
    <cfRule type="expression" priority="130" aboveAverage="0" equalAverage="0" bottom="0" percent="0" rank="0" text="" dxfId="3">
      <formula>LEFT(Calendario!$I$11,2)="2."</formula>
    </cfRule>
    <cfRule type="expression" priority="131" aboveAverage="0" equalAverage="0" bottom="0" percent="0" rank="0" text="" dxfId="4">
      <formula>LEFT(Calendario!$I$11,2)="3."</formula>
    </cfRule>
    <cfRule type="expression" priority="132" aboveAverage="0" equalAverage="0" bottom="0" percent="0" rank="0" text="" dxfId="5">
      <formula>LEFT(Calendario!$I$11,2)="4."</formula>
    </cfRule>
    <cfRule type="expression" priority="133" aboveAverage="0" equalAverage="0" bottom="0" percent="0" rank="0" text="" dxfId="6">
      <formula>LEFT(Calendario!$I$11,3)="TEC"</formula>
    </cfRule>
    <cfRule type="expression" priority="134" aboveAverage="0" equalAverage="0" bottom="0" percent="0" rank="0" text="" dxfId="6">
      <formula>LEFT(Calendario!$I$11,3)="CIV"</formula>
    </cfRule>
  </conditionalFormatting>
  <conditionalFormatting sqref="K155:P184">
    <cfRule type="expression" priority="135" aboveAverage="0" equalAverage="0" bottom="0" percent="0" rank="0" text="" dxfId="7">
      <formula>Calendario!$I$11=""</formula>
    </cfRule>
  </conditionalFormatting>
  <conditionalFormatting sqref="Q151">
    <cfRule type="expression" priority="136" aboveAverage="0" equalAverage="0" bottom="0" percent="0" rank="0" text="" dxfId="2">
      <formula>LEFT(Calendario!$J$11,2)="1."</formula>
    </cfRule>
    <cfRule type="expression" priority="137" aboveAverage="0" equalAverage="0" bottom="0" percent="0" rank="0" text="" dxfId="3">
      <formula>LEFT(Calendario!$J$11,2)="2."</formula>
    </cfRule>
    <cfRule type="expression" priority="138" aboveAverage="0" equalAverage="0" bottom="0" percent="0" rank="0" text="" dxfId="4">
      <formula>LEFT(Calendario!$J$11,2)="3."</formula>
    </cfRule>
    <cfRule type="expression" priority="139" aboveAverage="0" equalAverage="0" bottom="0" percent="0" rank="0" text="" dxfId="5">
      <formula>LEFT(Calendario!$J$11,2)="4."</formula>
    </cfRule>
    <cfRule type="expression" priority="140" aboveAverage="0" equalAverage="0" bottom="0" percent="0" rank="0" text="" dxfId="6">
      <formula>LEFT(Calendario!$J$11,3)="TEC"</formula>
    </cfRule>
    <cfRule type="expression" priority="141" aboveAverage="0" equalAverage="0" bottom="0" percent="0" rank="0" text="" dxfId="6">
      <formula>LEFT(Calendario!$J$11,3)="CIV"</formula>
    </cfRule>
  </conditionalFormatting>
  <conditionalFormatting sqref="Q155:V184">
    <cfRule type="expression" priority="142" aboveAverage="0" equalAverage="0" bottom="0" percent="0" rank="0" text="" dxfId="7">
      <formula>Calendario!$J$11=""</formula>
    </cfRule>
  </conditionalFormatting>
  <conditionalFormatting sqref="W151">
    <cfRule type="expression" priority="143" aboveAverage="0" equalAverage="0" bottom="0" percent="0" rank="0" text="" dxfId="2">
      <formula>LEFT(Calendario!$K$11,2)="1."</formula>
    </cfRule>
    <cfRule type="expression" priority="144" aboveAverage="0" equalAverage="0" bottom="0" percent="0" rank="0" text="" dxfId="3">
      <formula>LEFT(Calendario!$K$11,2)="2."</formula>
    </cfRule>
    <cfRule type="expression" priority="145" aboveAverage="0" equalAverage="0" bottom="0" percent="0" rank="0" text="" dxfId="4">
      <formula>LEFT(Calendario!$K$11,2)="3."</formula>
    </cfRule>
    <cfRule type="expression" priority="146" aboveAverage="0" equalAverage="0" bottom="0" percent="0" rank="0" text="" dxfId="5">
      <formula>LEFT(Calendario!$K$11,2)="4."</formula>
    </cfRule>
    <cfRule type="expression" priority="147" aboveAverage="0" equalAverage="0" bottom="0" percent="0" rank="0" text="" dxfId="6">
      <formula>LEFT(Calendario!$K$11,3)="TEC"</formula>
    </cfRule>
    <cfRule type="expression" priority="148" aboveAverage="0" equalAverage="0" bottom="0" percent="0" rank="0" text="" dxfId="6">
      <formula>LEFT(Calendario!$K$11,3)="CIV"</formula>
    </cfRule>
  </conditionalFormatting>
  <conditionalFormatting sqref="W155:AB184">
    <cfRule type="expression" priority="149" aboveAverage="0" equalAverage="0" bottom="0" percent="0" rank="0" text="" dxfId="7">
      <formula>Calendario!$K$11=""</formula>
    </cfRule>
  </conditionalFormatting>
  <conditionalFormatting sqref="A155:D184">
    <cfRule type="expression" priority="150" aboveAverage="0" equalAverage="0" bottom="0" percent="0" rank="0" text="" dxfId="3">
      <formula>AND($C155="AS",$D155="")</formula>
    </cfRule>
  </conditionalFormatting>
  <conditionalFormatting sqref="A155:B184">
    <cfRule type="expression" priority="151" aboveAverage="0" equalAverage="0" bottom="0" percent="0" rank="0" text="" dxfId="8">
      <formula>$B155=""</formula>
    </cfRule>
  </conditionalFormatting>
  <conditionalFormatting sqref="E187">
    <cfRule type="expression" priority="152" aboveAverage="0" equalAverage="0" bottom="0" percent="0" rank="0" text="" dxfId="2">
      <formula>LEFT(Calendario!$H$12,2)="1."</formula>
    </cfRule>
    <cfRule type="expression" priority="153" aboveAverage="0" equalAverage="0" bottom="0" percent="0" rank="0" text="" dxfId="3">
      <formula>LEFT(Calendario!$H$12,2)="2."</formula>
    </cfRule>
    <cfRule type="expression" priority="154" aboveAverage="0" equalAverage="0" bottom="0" percent="0" rank="0" text="" dxfId="4">
      <formula>LEFT(Calendario!$H$12,2)="3."</formula>
    </cfRule>
    <cfRule type="expression" priority="155" aboveAverage="0" equalAverage="0" bottom="0" percent="0" rank="0" text="" dxfId="5">
      <formula>LEFT(Calendario!$H$12,2)="4."</formula>
    </cfRule>
    <cfRule type="expression" priority="156" aboveAverage="0" equalAverage="0" bottom="0" percent="0" rank="0" text="" dxfId="6">
      <formula>LEFT(Calendario!$H$12,3)="TEC"</formula>
    </cfRule>
    <cfRule type="expression" priority="157" aboveAverage="0" equalAverage="0" bottom="0" percent="0" rank="0" text="" dxfId="6">
      <formula>LEFT(Calendario!$H$12,3)="CIV"</formula>
    </cfRule>
  </conditionalFormatting>
  <conditionalFormatting sqref="E191:J220">
    <cfRule type="expression" priority="158" aboveAverage="0" equalAverage="0" bottom="0" percent="0" rank="0" text="" dxfId="7">
      <formula>Calendario!$H$12=""</formula>
    </cfRule>
  </conditionalFormatting>
  <conditionalFormatting sqref="K187">
    <cfRule type="expression" priority="159" aboveAverage="0" equalAverage="0" bottom="0" percent="0" rank="0" text="" dxfId="2">
      <formula>LEFT(Calendario!$I$12,2)="1."</formula>
    </cfRule>
    <cfRule type="expression" priority="160" aboveAverage="0" equalAverage="0" bottom="0" percent="0" rank="0" text="" dxfId="3">
      <formula>LEFT(Calendario!$I$12,2)="2."</formula>
    </cfRule>
    <cfRule type="expression" priority="161" aboveAverage="0" equalAverage="0" bottom="0" percent="0" rank="0" text="" dxfId="4">
      <formula>LEFT(Calendario!$I$12,2)="3."</formula>
    </cfRule>
    <cfRule type="expression" priority="162" aboveAverage="0" equalAverage="0" bottom="0" percent="0" rank="0" text="" dxfId="5">
      <formula>LEFT(Calendario!$I$12,2)="4."</formula>
    </cfRule>
    <cfRule type="expression" priority="163" aboveAverage="0" equalAverage="0" bottom="0" percent="0" rank="0" text="" dxfId="6">
      <formula>LEFT(Calendario!$I$12,3)="TEC"</formula>
    </cfRule>
    <cfRule type="expression" priority="164" aboveAverage="0" equalAverage="0" bottom="0" percent="0" rank="0" text="" dxfId="6">
      <formula>LEFT(Calendario!$I$12,3)="CIV"</formula>
    </cfRule>
  </conditionalFormatting>
  <conditionalFormatting sqref="K191:P220">
    <cfRule type="expression" priority="165" aboveAverage="0" equalAverage="0" bottom="0" percent="0" rank="0" text="" dxfId="7">
      <formula>Calendario!$I$12=""</formula>
    </cfRule>
  </conditionalFormatting>
  <conditionalFormatting sqref="Q187">
    <cfRule type="expression" priority="166" aboveAverage="0" equalAverage="0" bottom="0" percent="0" rank="0" text="" dxfId="2">
      <formula>LEFT(Calendario!$J$12,2)="1."</formula>
    </cfRule>
    <cfRule type="expression" priority="167" aboveAverage="0" equalAverage="0" bottom="0" percent="0" rank="0" text="" dxfId="3">
      <formula>LEFT(Calendario!$J$12,2)="2."</formula>
    </cfRule>
    <cfRule type="expression" priority="168" aboveAverage="0" equalAverage="0" bottom="0" percent="0" rank="0" text="" dxfId="4">
      <formula>LEFT(Calendario!$J$12,2)="3."</formula>
    </cfRule>
    <cfRule type="expression" priority="169" aboveAverage="0" equalAverage="0" bottom="0" percent="0" rank="0" text="" dxfId="5">
      <formula>LEFT(Calendario!$J$12,2)="4."</formula>
    </cfRule>
    <cfRule type="expression" priority="170" aboveAverage="0" equalAverage="0" bottom="0" percent="0" rank="0" text="" dxfId="6">
      <formula>LEFT(Calendario!$J$12,3)="TEC"</formula>
    </cfRule>
    <cfRule type="expression" priority="171" aboveAverage="0" equalAverage="0" bottom="0" percent="0" rank="0" text="" dxfId="6">
      <formula>LEFT(Calendario!$J$12,3)="CIV"</formula>
    </cfRule>
  </conditionalFormatting>
  <conditionalFormatting sqref="Q191:V220">
    <cfRule type="expression" priority="172" aboveAverage="0" equalAverage="0" bottom="0" percent="0" rank="0" text="" dxfId="7">
      <formula>Calendario!$J$12=""</formula>
    </cfRule>
  </conditionalFormatting>
  <conditionalFormatting sqref="W187">
    <cfRule type="expression" priority="173" aboveAverage="0" equalAverage="0" bottom="0" percent="0" rank="0" text="" dxfId="2">
      <formula>LEFT(Calendario!$K$12,2)="1."</formula>
    </cfRule>
    <cfRule type="expression" priority="174" aboveAverage="0" equalAverage="0" bottom="0" percent="0" rank="0" text="" dxfId="3">
      <formula>LEFT(Calendario!$K$12,2)="2."</formula>
    </cfRule>
    <cfRule type="expression" priority="175" aboveAverage="0" equalAverage="0" bottom="0" percent="0" rank="0" text="" dxfId="4">
      <formula>LEFT(Calendario!$K$12,2)="3."</formula>
    </cfRule>
    <cfRule type="expression" priority="176" aboveAverage="0" equalAverage="0" bottom="0" percent="0" rank="0" text="" dxfId="5">
      <formula>LEFT(Calendario!$K$12,2)="4."</formula>
    </cfRule>
    <cfRule type="expression" priority="177" aboveAverage="0" equalAverage="0" bottom="0" percent="0" rank="0" text="" dxfId="6">
      <formula>LEFT(Calendario!$K$12,3)="TEC"</formula>
    </cfRule>
    <cfRule type="expression" priority="178" aboveAverage="0" equalAverage="0" bottom="0" percent="0" rank="0" text="" dxfId="6">
      <formula>LEFT(Calendario!$K$12,3)="CIV"</formula>
    </cfRule>
  </conditionalFormatting>
  <conditionalFormatting sqref="W191:AB220">
    <cfRule type="expression" priority="179" aboveAverage="0" equalAverage="0" bottom="0" percent="0" rank="0" text="" dxfId="7">
      <formula>Calendario!$K$12=""</formula>
    </cfRule>
  </conditionalFormatting>
  <conditionalFormatting sqref="A191:D220">
    <cfRule type="expression" priority="180" aboveAverage="0" equalAverage="0" bottom="0" percent="0" rank="0" text="" dxfId="3">
      <formula>AND($C191="AS",$D191="")</formula>
    </cfRule>
  </conditionalFormatting>
  <conditionalFormatting sqref="A191:B220">
    <cfRule type="expression" priority="181" aboveAverage="0" equalAverage="0" bottom="0" percent="0" rank="0" text="" dxfId="8">
      <formula>$B191=""</formula>
    </cfRule>
  </conditionalFormatting>
  <conditionalFormatting sqref="E223">
    <cfRule type="expression" priority="182" aboveAverage="0" equalAverage="0" bottom="0" percent="0" rank="0" text="" dxfId="2">
      <formula>LEFT(Calendario!$H$13,2)="1."</formula>
    </cfRule>
    <cfRule type="expression" priority="183" aboveAverage="0" equalAverage="0" bottom="0" percent="0" rank="0" text="" dxfId="3">
      <formula>LEFT(Calendario!$H$13,2)="2."</formula>
    </cfRule>
    <cfRule type="expression" priority="184" aboveAverage="0" equalAverage="0" bottom="0" percent="0" rank="0" text="" dxfId="4">
      <formula>LEFT(Calendario!$H$13,2)="3."</formula>
    </cfRule>
    <cfRule type="expression" priority="185" aboveAverage="0" equalAverage="0" bottom="0" percent="0" rank="0" text="" dxfId="5">
      <formula>LEFT(Calendario!$H$13,2)="4."</formula>
    </cfRule>
    <cfRule type="expression" priority="186" aboveAverage="0" equalAverage="0" bottom="0" percent="0" rank="0" text="" dxfId="6">
      <formula>LEFT(Calendario!$H$13,3)="TEC"</formula>
    </cfRule>
    <cfRule type="expression" priority="187" aboveAverage="0" equalAverage="0" bottom="0" percent="0" rank="0" text="" dxfId="6">
      <formula>LEFT(Calendario!$H$13,3)="CIV"</formula>
    </cfRule>
  </conditionalFormatting>
  <conditionalFormatting sqref="E227:J256">
    <cfRule type="expression" priority="188" aboveAverage="0" equalAverage="0" bottom="0" percent="0" rank="0" text="" dxfId="7">
      <formula>Calendario!$H$13=""</formula>
    </cfRule>
  </conditionalFormatting>
  <conditionalFormatting sqref="K223">
    <cfRule type="expression" priority="189" aboveAverage="0" equalAverage="0" bottom="0" percent="0" rank="0" text="" dxfId="2">
      <formula>LEFT(Calendario!$I$13,2)="1."</formula>
    </cfRule>
    <cfRule type="expression" priority="190" aboveAverage="0" equalAverage="0" bottom="0" percent="0" rank="0" text="" dxfId="3">
      <formula>LEFT(Calendario!$I$13,2)="2."</formula>
    </cfRule>
    <cfRule type="expression" priority="191" aboveAverage="0" equalAverage="0" bottom="0" percent="0" rank="0" text="" dxfId="4">
      <formula>LEFT(Calendario!$I$13,2)="3."</formula>
    </cfRule>
    <cfRule type="expression" priority="192" aboveAverage="0" equalAverage="0" bottom="0" percent="0" rank="0" text="" dxfId="5">
      <formula>LEFT(Calendario!$I$13,2)="4."</formula>
    </cfRule>
    <cfRule type="expression" priority="193" aboveAverage="0" equalAverage="0" bottom="0" percent="0" rank="0" text="" dxfId="6">
      <formula>LEFT(Calendario!$I$13,3)="TEC"</formula>
    </cfRule>
    <cfRule type="expression" priority="194" aboveAverage="0" equalAverage="0" bottom="0" percent="0" rank="0" text="" dxfId="6">
      <formula>LEFT(Calendario!$I$13,3)="CIV"</formula>
    </cfRule>
  </conditionalFormatting>
  <conditionalFormatting sqref="K227:P256">
    <cfRule type="expression" priority="195" aboveAverage="0" equalAverage="0" bottom="0" percent="0" rank="0" text="" dxfId="7">
      <formula>Calendario!$I$13=""</formula>
    </cfRule>
  </conditionalFormatting>
  <conditionalFormatting sqref="Q223">
    <cfRule type="expression" priority="196" aboveAverage="0" equalAverage="0" bottom="0" percent="0" rank="0" text="" dxfId="2">
      <formula>LEFT(Calendario!$J$13,2)="1."</formula>
    </cfRule>
    <cfRule type="expression" priority="197" aboveAverage="0" equalAverage="0" bottom="0" percent="0" rank="0" text="" dxfId="3">
      <formula>LEFT(Calendario!$J$13,2)="2."</formula>
    </cfRule>
    <cfRule type="expression" priority="198" aboveAverage="0" equalAverage="0" bottom="0" percent="0" rank="0" text="" dxfId="4">
      <formula>LEFT(Calendario!$J$13,2)="3."</formula>
    </cfRule>
    <cfRule type="expression" priority="199" aboveAverage="0" equalAverage="0" bottom="0" percent="0" rank="0" text="" dxfId="5">
      <formula>LEFT(Calendario!$J$13,2)="4."</formula>
    </cfRule>
    <cfRule type="expression" priority="200" aboveAverage="0" equalAverage="0" bottom="0" percent="0" rank="0" text="" dxfId="6">
      <formula>LEFT(Calendario!$J$13,3)="TEC"</formula>
    </cfRule>
    <cfRule type="expression" priority="201" aboveAverage="0" equalAverage="0" bottom="0" percent="0" rank="0" text="" dxfId="6">
      <formula>LEFT(Calendario!$J$13,3)="CIV"</formula>
    </cfRule>
  </conditionalFormatting>
  <conditionalFormatting sqref="Q227:V256">
    <cfRule type="expression" priority="202" aboveAverage="0" equalAverage="0" bottom="0" percent="0" rank="0" text="" dxfId="7">
      <formula>Calendario!$J$13=""</formula>
    </cfRule>
  </conditionalFormatting>
  <conditionalFormatting sqref="W223">
    <cfRule type="expression" priority="203" aboveAverage="0" equalAverage="0" bottom="0" percent="0" rank="0" text="" dxfId="2">
      <formula>LEFT(Calendario!$K$13,2)="1."</formula>
    </cfRule>
    <cfRule type="expression" priority="204" aboveAverage="0" equalAverage="0" bottom="0" percent="0" rank="0" text="" dxfId="3">
      <formula>LEFT(Calendario!$K$13,2)="2."</formula>
    </cfRule>
    <cfRule type="expression" priority="205" aboveAverage="0" equalAverage="0" bottom="0" percent="0" rank="0" text="" dxfId="4">
      <formula>LEFT(Calendario!$K$13,2)="3."</formula>
    </cfRule>
    <cfRule type="expression" priority="206" aboveAverage="0" equalAverage="0" bottom="0" percent="0" rank="0" text="" dxfId="5">
      <formula>LEFT(Calendario!$K$13,2)="4."</formula>
    </cfRule>
    <cfRule type="expression" priority="207" aboveAverage="0" equalAverage="0" bottom="0" percent="0" rank="0" text="" dxfId="6">
      <formula>LEFT(Calendario!$K$13,3)="TEC"</formula>
    </cfRule>
    <cfRule type="expression" priority="208" aboveAverage="0" equalAverage="0" bottom="0" percent="0" rank="0" text="" dxfId="6">
      <formula>LEFT(Calendario!$K$13,3)="CIV"</formula>
    </cfRule>
  </conditionalFormatting>
  <conditionalFormatting sqref="W227:AB256">
    <cfRule type="expression" priority="209" aboveAverage="0" equalAverage="0" bottom="0" percent="0" rank="0" text="" dxfId="7">
      <formula>Calendario!$K$13=""</formula>
    </cfRule>
  </conditionalFormatting>
  <conditionalFormatting sqref="A227:D256">
    <cfRule type="expression" priority="210" aboveAverage="0" equalAverage="0" bottom="0" percent="0" rank="0" text="" dxfId="3">
      <formula>AND($C227="AS",$D227="")</formula>
    </cfRule>
  </conditionalFormatting>
  <conditionalFormatting sqref="A227:B256">
    <cfRule type="expression" priority="211" aboveAverage="0" equalAverage="0" bottom="0" percent="0" rank="0" text="" dxfId="8">
      <formula>$B227=""</formula>
    </cfRule>
  </conditionalFormatting>
  <conditionalFormatting sqref="E259">
    <cfRule type="expression" priority="212" aboveAverage="0" equalAverage="0" bottom="0" percent="0" rank="0" text="" dxfId="2">
      <formula>LEFT(Calendario!$H$14,2)="1."</formula>
    </cfRule>
    <cfRule type="expression" priority="213" aboveAverage="0" equalAverage="0" bottom="0" percent="0" rank="0" text="" dxfId="3">
      <formula>LEFT(Calendario!$H$14,2)="2."</formula>
    </cfRule>
    <cfRule type="expression" priority="214" aboveAverage="0" equalAverage="0" bottom="0" percent="0" rank="0" text="" dxfId="4">
      <formula>LEFT(Calendario!$H$14,2)="3."</formula>
    </cfRule>
    <cfRule type="expression" priority="215" aboveAverage="0" equalAverage="0" bottom="0" percent="0" rank="0" text="" dxfId="5">
      <formula>LEFT(Calendario!$H$14,2)="4."</formula>
    </cfRule>
    <cfRule type="expression" priority="216" aboveAverage="0" equalAverage="0" bottom="0" percent="0" rank="0" text="" dxfId="6">
      <formula>LEFT(Calendario!$H$14,3)="TEC"</formula>
    </cfRule>
    <cfRule type="expression" priority="217" aboveAverage="0" equalAverage="0" bottom="0" percent="0" rank="0" text="" dxfId="6">
      <formula>LEFT(Calendario!$H$14,3)="CIV"</formula>
    </cfRule>
  </conditionalFormatting>
  <conditionalFormatting sqref="E263:J292">
    <cfRule type="expression" priority="218" aboveAverage="0" equalAverage="0" bottom="0" percent="0" rank="0" text="" dxfId="7">
      <formula>Calendario!$H$14=""</formula>
    </cfRule>
  </conditionalFormatting>
  <conditionalFormatting sqref="K259">
    <cfRule type="expression" priority="219" aboveAverage="0" equalAverage="0" bottom="0" percent="0" rank="0" text="" dxfId="2">
      <formula>LEFT(Calendario!$I$14,2)="1."</formula>
    </cfRule>
    <cfRule type="expression" priority="220" aboveAverage="0" equalAverage="0" bottom="0" percent="0" rank="0" text="" dxfId="3">
      <formula>LEFT(Calendario!$I$14,2)="2."</formula>
    </cfRule>
    <cfRule type="expression" priority="221" aboveAverage="0" equalAverage="0" bottom="0" percent="0" rank="0" text="" dxfId="4">
      <formula>LEFT(Calendario!$I$14,2)="3."</formula>
    </cfRule>
    <cfRule type="expression" priority="222" aboveAverage="0" equalAverage="0" bottom="0" percent="0" rank="0" text="" dxfId="5">
      <formula>LEFT(Calendario!$I$14,2)="4."</formula>
    </cfRule>
    <cfRule type="expression" priority="223" aboveAverage="0" equalAverage="0" bottom="0" percent="0" rank="0" text="" dxfId="6">
      <formula>LEFT(Calendario!$I$14,3)="TEC"</formula>
    </cfRule>
    <cfRule type="expression" priority="224" aboveAverage="0" equalAverage="0" bottom="0" percent="0" rank="0" text="" dxfId="6">
      <formula>LEFT(Calendario!$I$14,3)="CIV"</formula>
    </cfRule>
  </conditionalFormatting>
  <conditionalFormatting sqref="K263:P292">
    <cfRule type="expression" priority="225" aboveAverage="0" equalAverage="0" bottom="0" percent="0" rank="0" text="" dxfId="7">
      <formula>Calendario!$I$14=""</formula>
    </cfRule>
  </conditionalFormatting>
  <conditionalFormatting sqref="Q259">
    <cfRule type="expression" priority="226" aboveAverage="0" equalAverage="0" bottom="0" percent="0" rank="0" text="" dxfId="2">
      <formula>LEFT(Calendario!$J$14,2)="1."</formula>
    </cfRule>
    <cfRule type="expression" priority="227" aboveAverage="0" equalAverage="0" bottom="0" percent="0" rank="0" text="" dxfId="3">
      <formula>LEFT(Calendario!$J$14,2)="2."</formula>
    </cfRule>
    <cfRule type="expression" priority="228" aboveAverage="0" equalAverage="0" bottom="0" percent="0" rank="0" text="" dxfId="4">
      <formula>LEFT(Calendario!$J$14,2)="3."</formula>
    </cfRule>
    <cfRule type="expression" priority="229" aboveAverage="0" equalAverage="0" bottom="0" percent="0" rank="0" text="" dxfId="5">
      <formula>LEFT(Calendario!$J$14,2)="4."</formula>
    </cfRule>
    <cfRule type="expression" priority="230" aboveAverage="0" equalAverage="0" bottom="0" percent="0" rank="0" text="" dxfId="6">
      <formula>LEFT(Calendario!$J$14,3)="TEC"</formula>
    </cfRule>
    <cfRule type="expression" priority="231" aboveAverage="0" equalAverage="0" bottom="0" percent="0" rank="0" text="" dxfId="6">
      <formula>LEFT(Calendario!$J$14,3)="CIV"</formula>
    </cfRule>
  </conditionalFormatting>
  <conditionalFormatting sqref="Q263:V292">
    <cfRule type="expression" priority="232" aboveAverage="0" equalAverage="0" bottom="0" percent="0" rank="0" text="" dxfId="7">
      <formula>Calendario!$J$14=""</formula>
    </cfRule>
  </conditionalFormatting>
  <conditionalFormatting sqref="W259">
    <cfRule type="expression" priority="233" aboveAverage="0" equalAverage="0" bottom="0" percent="0" rank="0" text="" dxfId="2">
      <formula>LEFT(Calendario!$K$14,2)="1."</formula>
    </cfRule>
    <cfRule type="expression" priority="234" aboveAverage="0" equalAverage="0" bottom="0" percent="0" rank="0" text="" dxfId="3">
      <formula>LEFT(Calendario!$K$14,2)="2."</formula>
    </cfRule>
    <cfRule type="expression" priority="235" aboveAverage="0" equalAverage="0" bottom="0" percent="0" rank="0" text="" dxfId="4">
      <formula>LEFT(Calendario!$K$14,2)="3."</formula>
    </cfRule>
    <cfRule type="expression" priority="236" aboveAverage="0" equalAverage="0" bottom="0" percent="0" rank="0" text="" dxfId="5">
      <formula>LEFT(Calendario!$K$14,2)="4."</formula>
    </cfRule>
    <cfRule type="expression" priority="237" aboveAverage="0" equalAverage="0" bottom="0" percent="0" rank="0" text="" dxfId="6">
      <formula>LEFT(Calendario!$K$14,3)="TEC"</formula>
    </cfRule>
    <cfRule type="expression" priority="238" aboveAverage="0" equalAverage="0" bottom="0" percent="0" rank="0" text="" dxfId="6">
      <formula>LEFT(Calendario!$K$14,3)="CIV"</formula>
    </cfRule>
  </conditionalFormatting>
  <conditionalFormatting sqref="W263:AB292">
    <cfRule type="expression" priority="239" aboveAverage="0" equalAverage="0" bottom="0" percent="0" rank="0" text="" dxfId="7">
      <formula>Calendario!$K$14=""</formula>
    </cfRule>
  </conditionalFormatting>
  <conditionalFormatting sqref="A263:D292">
    <cfRule type="expression" priority="240" aboveAverage="0" equalAverage="0" bottom="0" percent="0" rank="0" text="" dxfId="3">
      <formula>AND($C263="AS",$D263="")</formula>
    </cfRule>
  </conditionalFormatting>
  <conditionalFormatting sqref="A263:B292">
    <cfRule type="expression" priority="241" aboveAverage="0" equalAverage="0" bottom="0" percent="0" rank="0" text="" dxfId="8">
      <formula>$B263=""</formula>
    </cfRule>
  </conditionalFormatting>
  <conditionalFormatting sqref="E295">
    <cfRule type="expression" priority="242" aboveAverage="0" equalAverage="0" bottom="0" percent="0" rank="0" text="" dxfId="2">
      <formula>LEFT(Calendario!$H$15,2)="1."</formula>
    </cfRule>
    <cfRule type="expression" priority="243" aboveAverage="0" equalAverage="0" bottom="0" percent="0" rank="0" text="" dxfId="3">
      <formula>LEFT(Calendario!$H$15,2)="2."</formula>
    </cfRule>
    <cfRule type="expression" priority="244" aboveAverage="0" equalAverage="0" bottom="0" percent="0" rank="0" text="" dxfId="4">
      <formula>LEFT(Calendario!$H$15,2)="3."</formula>
    </cfRule>
    <cfRule type="expression" priority="245" aboveAverage="0" equalAverage="0" bottom="0" percent="0" rank="0" text="" dxfId="5">
      <formula>LEFT(Calendario!$H$15,2)="4."</formula>
    </cfRule>
    <cfRule type="expression" priority="246" aboveAverage="0" equalAverage="0" bottom="0" percent="0" rank="0" text="" dxfId="6">
      <formula>LEFT(Calendario!$H$15,3)="TEC"</formula>
    </cfRule>
    <cfRule type="expression" priority="247" aboveAverage="0" equalAverage="0" bottom="0" percent="0" rank="0" text="" dxfId="6">
      <formula>LEFT(Calendario!$H$15,3)="CIV"</formula>
    </cfRule>
  </conditionalFormatting>
  <conditionalFormatting sqref="E299:J328">
    <cfRule type="expression" priority="248" aboveAverage="0" equalAverage="0" bottom="0" percent="0" rank="0" text="" dxfId="7">
      <formula>Calendario!$H$15=""</formula>
    </cfRule>
  </conditionalFormatting>
  <conditionalFormatting sqref="K295">
    <cfRule type="expression" priority="249" aboveAverage="0" equalAverage="0" bottom="0" percent="0" rank="0" text="" dxfId="2">
      <formula>LEFT(Calendario!$I$15,2)="1."</formula>
    </cfRule>
    <cfRule type="expression" priority="250" aboveAverage="0" equalAverage="0" bottom="0" percent="0" rank="0" text="" dxfId="3">
      <formula>LEFT(Calendario!$I$15,2)="2."</formula>
    </cfRule>
    <cfRule type="expression" priority="251" aboveAverage="0" equalAverage="0" bottom="0" percent="0" rank="0" text="" dxfId="4">
      <formula>LEFT(Calendario!$I$15,2)="3."</formula>
    </cfRule>
    <cfRule type="expression" priority="252" aboveAverage="0" equalAverage="0" bottom="0" percent="0" rank="0" text="" dxfId="5">
      <formula>LEFT(Calendario!$I$15,2)="4."</formula>
    </cfRule>
    <cfRule type="expression" priority="253" aboveAverage="0" equalAverage="0" bottom="0" percent="0" rank="0" text="" dxfId="6">
      <formula>LEFT(Calendario!$I$15,3)="TEC"</formula>
    </cfRule>
    <cfRule type="expression" priority="254" aboveAverage="0" equalAverage="0" bottom="0" percent="0" rank="0" text="" dxfId="6">
      <formula>LEFT(Calendario!$I$15,3)="CIV"</formula>
    </cfRule>
  </conditionalFormatting>
  <conditionalFormatting sqref="K299:P328">
    <cfRule type="expression" priority="255" aboveAverage="0" equalAverage="0" bottom="0" percent="0" rank="0" text="" dxfId="7">
      <formula>Calendario!$I$15=""</formula>
    </cfRule>
  </conditionalFormatting>
  <conditionalFormatting sqref="Q295">
    <cfRule type="expression" priority="256" aboveAverage="0" equalAverage="0" bottom="0" percent="0" rank="0" text="" dxfId="2">
      <formula>LEFT(Calendario!$J$15,2)="1."</formula>
    </cfRule>
    <cfRule type="expression" priority="257" aboveAverage="0" equalAverage="0" bottom="0" percent="0" rank="0" text="" dxfId="3">
      <formula>LEFT(Calendario!$J$15,2)="2."</formula>
    </cfRule>
    <cfRule type="expression" priority="258" aboveAverage="0" equalAverage="0" bottom="0" percent="0" rank="0" text="" dxfId="4">
      <formula>LEFT(Calendario!$J$15,2)="3."</formula>
    </cfRule>
    <cfRule type="expression" priority="259" aboveAverage="0" equalAverage="0" bottom="0" percent="0" rank="0" text="" dxfId="5">
      <formula>LEFT(Calendario!$J$15,2)="4."</formula>
    </cfRule>
    <cfRule type="expression" priority="260" aboveAverage="0" equalAverage="0" bottom="0" percent="0" rank="0" text="" dxfId="6">
      <formula>LEFT(Calendario!$J$15,3)="TEC"</formula>
    </cfRule>
    <cfRule type="expression" priority="261" aboveAverage="0" equalAverage="0" bottom="0" percent="0" rank="0" text="" dxfId="6">
      <formula>LEFT(Calendario!$J$15,3)="CIV"</formula>
    </cfRule>
  </conditionalFormatting>
  <conditionalFormatting sqref="Q299:V328">
    <cfRule type="expression" priority="262" aboveAverage="0" equalAverage="0" bottom="0" percent="0" rank="0" text="" dxfId="7">
      <formula>Calendario!$J$15=""</formula>
    </cfRule>
  </conditionalFormatting>
  <conditionalFormatting sqref="W295">
    <cfRule type="expression" priority="263" aboveAverage="0" equalAverage="0" bottom="0" percent="0" rank="0" text="" dxfId="2">
      <formula>LEFT(Calendario!$K$15,2)="1."</formula>
    </cfRule>
    <cfRule type="expression" priority="264" aboveAverage="0" equalAverage="0" bottom="0" percent="0" rank="0" text="" dxfId="3">
      <formula>LEFT(Calendario!$K$15,2)="2."</formula>
    </cfRule>
    <cfRule type="expression" priority="265" aboveAverage="0" equalAverage="0" bottom="0" percent="0" rank="0" text="" dxfId="4">
      <formula>LEFT(Calendario!$K$15,2)="3."</formula>
    </cfRule>
    <cfRule type="expression" priority="266" aboveAverage="0" equalAverage="0" bottom="0" percent="0" rank="0" text="" dxfId="5">
      <formula>LEFT(Calendario!$K$15,2)="4."</formula>
    </cfRule>
    <cfRule type="expression" priority="267" aboveAverage="0" equalAverage="0" bottom="0" percent="0" rank="0" text="" dxfId="6">
      <formula>LEFT(Calendario!$K$15,3)="TEC"</formula>
    </cfRule>
    <cfRule type="expression" priority="268" aboveAverage="0" equalAverage="0" bottom="0" percent="0" rank="0" text="" dxfId="6">
      <formula>LEFT(Calendario!$K$15,3)="CIV"</formula>
    </cfRule>
  </conditionalFormatting>
  <conditionalFormatting sqref="W299:AB328">
    <cfRule type="expression" priority="269" aboveAverage="0" equalAverage="0" bottom="0" percent="0" rank="0" text="" dxfId="7">
      <formula>Calendario!$K$15=""</formula>
    </cfRule>
  </conditionalFormatting>
  <conditionalFormatting sqref="A299:D328">
    <cfRule type="expression" priority="270" aboveAverage="0" equalAverage="0" bottom="0" percent="0" rank="0" text="" dxfId="3">
      <formula>AND($C299="AS",$D299="")</formula>
    </cfRule>
  </conditionalFormatting>
  <conditionalFormatting sqref="A299:B328">
    <cfRule type="expression" priority="271" aboveAverage="0" equalAverage="0" bottom="0" percent="0" rank="0" text="" dxfId="8">
      <formula>$B299=""</formula>
    </cfRule>
  </conditionalFormatting>
  <conditionalFormatting sqref="E331">
    <cfRule type="expression" priority="272" aboveAverage="0" equalAverage="0" bottom="0" percent="0" rank="0" text="" dxfId="2">
      <formula>LEFT(Calendario!$H$16,2)="1."</formula>
    </cfRule>
    <cfRule type="expression" priority="273" aboveAverage="0" equalAverage="0" bottom="0" percent="0" rank="0" text="" dxfId="3">
      <formula>LEFT(Calendario!$H$16,2)="2."</formula>
    </cfRule>
    <cfRule type="expression" priority="274" aboveAverage="0" equalAverage="0" bottom="0" percent="0" rank="0" text="" dxfId="4">
      <formula>LEFT(Calendario!$H$16,2)="3."</formula>
    </cfRule>
    <cfRule type="expression" priority="275" aboveAverage="0" equalAverage="0" bottom="0" percent="0" rank="0" text="" dxfId="5">
      <formula>LEFT(Calendario!$H$16,2)="4."</formula>
    </cfRule>
    <cfRule type="expression" priority="276" aboveAverage="0" equalAverage="0" bottom="0" percent="0" rank="0" text="" dxfId="6">
      <formula>LEFT(Calendario!$H$16,3)="TEC"</formula>
    </cfRule>
    <cfRule type="expression" priority="277" aboveAverage="0" equalAverage="0" bottom="0" percent="0" rank="0" text="" dxfId="6">
      <formula>LEFT(Calendario!$H$16,3)="CIV"</formula>
    </cfRule>
  </conditionalFormatting>
  <conditionalFormatting sqref="E335:J364">
    <cfRule type="expression" priority="278" aboveAverage="0" equalAverage="0" bottom="0" percent="0" rank="0" text="" dxfId="7">
      <formula>Calendario!$H$16=""</formula>
    </cfRule>
  </conditionalFormatting>
  <conditionalFormatting sqref="K331">
    <cfRule type="expression" priority="279" aboveAverage="0" equalAverage="0" bottom="0" percent="0" rank="0" text="" dxfId="2">
      <formula>LEFT(Calendario!$I$16,2)="1."</formula>
    </cfRule>
    <cfRule type="expression" priority="280" aboveAverage="0" equalAverage="0" bottom="0" percent="0" rank="0" text="" dxfId="3">
      <formula>LEFT(Calendario!$I$16,2)="2."</formula>
    </cfRule>
    <cfRule type="expression" priority="281" aboveAverage="0" equalAverage="0" bottom="0" percent="0" rank="0" text="" dxfId="4">
      <formula>LEFT(Calendario!$I$16,2)="3."</formula>
    </cfRule>
    <cfRule type="expression" priority="282" aboveAverage="0" equalAverage="0" bottom="0" percent="0" rank="0" text="" dxfId="5">
      <formula>LEFT(Calendario!$I$16,2)="4."</formula>
    </cfRule>
    <cfRule type="expression" priority="283" aboveAverage="0" equalAverage="0" bottom="0" percent="0" rank="0" text="" dxfId="6">
      <formula>LEFT(Calendario!$I$16,3)="TEC"</formula>
    </cfRule>
    <cfRule type="expression" priority="284" aboveAverage="0" equalAverage="0" bottom="0" percent="0" rank="0" text="" dxfId="6">
      <formula>LEFT(Calendario!$I$16,3)="CIV"</formula>
    </cfRule>
  </conditionalFormatting>
  <conditionalFormatting sqref="K335:P364">
    <cfRule type="expression" priority="285" aboveAverage="0" equalAverage="0" bottom="0" percent="0" rank="0" text="" dxfId="7">
      <formula>Calendario!$I$16=""</formula>
    </cfRule>
  </conditionalFormatting>
  <conditionalFormatting sqref="Q331">
    <cfRule type="expression" priority="286" aboveAverage="0" equalAverage="0" bottom="0" percent="0" rank="0" text="" dxfId="2">
      <formula>LEFT(Calendario!$J$16,2)="1."</formula>
    </cfRule>
    <cfRule type="expression" priority="287" aboveAverage="0" equalAverage="0" bottom="0" percent="0" rank="0" text="" dxfId="3">
      <formula>LEFT(Calendario!$J$16,2)="2."</formula>
    </cfRule>
    <cfRule type="expression" priority="288" aboveAverage="0" equalAverage="0" bottom="0" percent="0" rank="0" text="" dxfId="4">
      <formula>LEFT(Calendario!$J$16,2)="3."</formula>
    </cfRule>
    <cfRule type="expression" priority="289" aboveAverage="0" equalAverage="0" bottom="0" percent="0" rank="0" text="" dxfId="5">
      <formula>LEFT(Calendario!$J$16,2)="4."</formula>
    </cfRule>
    <cfRule type="expression" priority="290" aboveAverage="0" equalAverage="0" bottom="0" percent="0" rank="0" text="" dxfId="6">
      <formula>LEFT(Calendario!$J$16,3)="TEC"</formula>
    </cfRule>
    <cfRule type="expression" priority="291" aboveAverage="0" equalAverage="0" bottom="0" percent="0" rank="0" text="" dxfId="6">
      <formula>LEFT(Calendario!$J$16,3)="CIV"</formula>
    </cfRule>
  </conditionalFormatting>
  <conditionalFormatting sqref="Q335:V364">
    <cfRule type="expression" priority="292" aboveAverage="0" equalAverage="0" bottom="0" percent="0" rank="0" text="" dxfId="7">
      <formula>Calendario!$J$16=""</formula>
    </cfRule>
  </conditionalFormatting>
  <conditionalFormatting sqref="W331">
    <cfRule type="expression" priority="293" aboveAverage="0" equalAverage="0" bottom="0" percent="0" rank="0" text="" dxfId="2">
      <formula>LEFT(Calendario!$K$16,2)="1."</formula>
    </cfRule>
    <cfRule type="expression" priority="294" aboveAverage="0" equalAverage="0" bottom="0" percent="0" rank="0" text="" dxfId="3">
      <formula>LEFT(Calendario!$K$16,2)="2."</formula>
    </cfRule>
    <cfRule type="expression" priority="295" aboveAverage="0" equalAverage="0" bottom="0" percent="0" rank="0" text="" dxfId="4">
      <formula>LEFT(Calendario!$K$16,2)="3."</formula>
    </cfRule>
    <cfRule type="expression" priority="296" aboveAverage="0" equalAverage="0" bottom="0" percent="0" rank="0" text="" dxfId="5">
      <formula>LEFT(Calendario!$K$16,2)="4."</formula>
    </cfRule>
    <cfRule type="expression" priority="297" aboveAverage="0" equalAverage="0" bottom="0" percent="0" rank="0" text="" dxfId="6">
      <formula>LEFT(Calendario!$K$16,3)="TEC"</formula>
    </cfRule>
    <cfRule type="expression" priority="298" aboveAverage="0" equalAverage="0" bottom="0" percent="0" rank="0" text="" dxfId="6">
      <formula>LEFT(Calendario!$K$16,3)="CIV"</formula>
    </cfRule>
  </conditionalFormatting>
  <conditionalFormatting sqref="W335:AB364">
    <cfRule type="expression" priority="299" aboveAverage="0" equalAverage="0" bottom="0" percent="0" rank="0" text="" dxfId="7">
      <formula>Calendario!$K$16=""</formula>
    </cfRule>
  </conditionalFormatting>
  <conditionalFormatting sqref="A335:D364">
    <cfRule type="expression" priority="300" aboveAverage="0" equalAverage="0" bottom="0" percent="0" rank="0" text="" dxfId="3">
      <formula>AND($C335="AS",$D335="")</formula>
    </cfRule>
  </conditionalFormatting>
  <conditionalFormatting sqref="A335:B364">
    <cfRule type="expression" priority="301" aboveAverage="0" equalAverage="0" bottom="0" percent="0" rank="0" text="" dxfId="8">
      <formula>$B335=""</formula>
    </cfRule>
  </conditionalFormatting>
  <conditionalFormatting sqref="E367">
    <cfRule type="expression" priority="302" aboveAverage="0" equalAverage="0" bottom="0" percent="0" rank="0" text="" dxfId="2">
      <formula>LEFT(Calendario!$H$17,2)="1."</formula>
    </cfRule>
    <cfRule type="expression" priority="303" aboveAverage="0" equalAverage="0" bottom="0" percent="0" rank="0" text="" dxfId="3">
      <formula>LEFT(Calendario!$H$17,2)="2."</formula>
    </cfRule>
    <cfRule type="expression" priority="304" aboveAverage="0" equalAverage="0" bottom="0" percent="0" rank="0" text="" dxfId="4">
      <formula>LEFT(Calendario!$H$17,2)="3."</formula>
    </cfRule>
    <cfRule type="expression" priority="305" aboveAverage="0" equalAverage="0" bottom="0" percent="0" rank="0" text="" dxfId="5">
      <formula>LEFT(Calendario!$H$17,2)="4."</formula>
    </cfRule>
    <cfRule type="expression" priority="306" aboveAverage="0" equalAverage="0" bottom="0" percent="0" rank="0" text="" dxfId="6">
      <formula>LEFT(Calendario!$H$17,3)="TEC"</formula>
    </cfRule>
    <cfRule type="expression" priority="307" aboveAverage="0" equalAverage="0" bottom="0" percent="0" rank="0" text="" dxfId="6">
      <formula>LEFT(Calendario!$H$17,3)="CIV"</formula>
    </cfRule>
  </conditionalFormatting>
  <conditionalFormatting sqref="E371:J400">
    <cfRule type="expression" priority="308" aboveAverage="0" equalAverage="0" bottom="0" percent="0" rank="0" text="" dxfId="7">
      <formula>Calendario!$H$17=""</formula>
    </cfRule>
  </conditionalFormatting>
  <conditionalFormatting sqref="K367">
    <cfRule type="expression" priority="309" aboveAverage="0" equalAverage="0" bottom="0" percent="0" rank="0" text="" dxfId="2">
      <formula>LEFT(Calendario!$I$17,2)="1."</formula>
    </cfRule>
    <cfRule type="expression" priority="310" aboveAverage="0" equalAverage="0" bottom="0" percent="0" rank="0" text="" dxfId="3">
      <formula>LEFT(Calendario!$I$17,2)="2."</formula>
    </cfRule>
    <cfRule type="expression" priority="311" aboveAverage="0" equalAverage="0" bottom="0" percent="0" rank="0" text="" dxfId="4">
      <formula>LEFT(Calendario!$I$17,2)="3."</formula>
    </cfRule>
    <cfRule type="expression" priority="312" aboveAverage="0" equalAverage="0" bottom="0" percent="0" rank="0" text="" dxfId="5">
      <formula>LEFT(Calendario!$I$17,2)="4."</formula>
    </cfRule>
    <cfRule type="expression" priority="313" aboveAverage="0" equalAverage="0" bottom="0" percent="0" rank="0" text="" dxfId="6">
      <formula>LEFT(Calendario!$I$17,3)="TEC"</formula>
    </cfRule>
    <cfRule type="expression" priority="314" aboveAverage="0" equalAverage="0" bottom="0" percent="0" rank="0" text="" dxfId="6">
      <formula>LEFT(Calendario!$I$17,3)="CIV"</formula>
    </cfRule>
  </conditionalFormatting>
  <conditionalFormatting sqref="K371:P400">
    <cfRule type="expression" priority="315" aboveAverage="0" equalAverage="0" bottom="0" percent="0" rank="0" text="" dxfId="7">
      <formula>Calendario!$I$17=""</formula>
    </cfRule>
  </conditionalFormatting>
  <conditionalFormatting sqref="Q367">
    <cfRule type="expression" priority="316" aboveAverage="0" equalAverage="0" bottom="0" percent="0" rank="0" text="" dxfId="2">
      <formula>LEFT(Calendario!$J$17,2)="1."</formula>
    </cfRule>
    <cfRule type="expression" priority="317" aboveAverage="0" equalAverage="0" bottom="0" percent="0" rank="0" text="" dxfId="3">
      <formula>LEFT(Calendario!$J$17,2)="2."</formula>
    </cfRule>
    <cfRule type="expression" priority="318" aboveAverage="0" equalAverage="0" bottom="0" percent="0" rank="0" text="" dxfId="4">
      <formula>LEFT(Calendario!$J$17,2)="3."</formula>
    </cfRule>
    <cfRule type="expression" priority="319" aboveAverage="0" equalAverage="0" bottom="0" percent="0" rank="0" text="" dxfId="5">
      <formula>LEFT(Calendario!$J$17,2)="4."</formula>
    </cfRule>
    <cfRule type="expression" priority="320" aboveAverage="0" equalAverage="0" bottom="0" percent="0" rank="0" text="" dxfId="6">
      <formula>LEFT(Calendario!$J$17,3)="TEC"</formula>
    </cfRule>
    <cfRule type="expression" priority="321" aboveAverage="0" equalAverage="0" bottom="0" percent="0" rank="0" text="" dxfId="6">
      <formula>LEFT(Calendario!$J$17,3)="CIV"</formula>
    </cfRule>
  </conditionalFormatting>
  <conditionalFormatting sqref="Q371:V400">
    <cfRule type="expression" priority="322" aboveAverage="0" equalAverage="0" bottom="0" percent="0" rank="0" text="" dxfId="7">
      <formula>Calendario!$J$17=""</formula>
    </cfRule>
  </conditionalFormatting>
  <conditionalFormatting sqref="W367">
    <cfRule type="expression" priority="323" aboveAverage="0" equalAverage="0" bottom="0" percent="0" rank="0" text="" dxfId="2">
      <formula>LEFT(Calendario!$K$17,2)="1."</formula>
    </cfRule>
    <cfRule type="expression" priority="324" aboveAverage="0" equalAverage="0" bottom="0" percent="0" rank="0" text="" dxfId="3">
      <formula>LEFT(Calendario!$K$17,2)="2."</formula>
    </cfRule>
    <cfRule type="expression" priority="325" aboveAverage="0" equalAverage="0" bottom="0" percent="0" rank="0" text="" dxfId="4">
      <formula>LEFT(Calendario!$K$17,2)="3."</formula>
    </cfRule>
    <cfRule type="expression" priority="326" aboveAverage="0" equalAverage="0" bottom="0" percent="0" rank="0" text="" dxfId="5">
      <formula>LEFT(Calendario!$K$17,2)="4."</formula>
    </cfRule>
    <cfRule type="expression" priority="327" aboveAverage="0" equalAverage="0" bottom="0" percent="0" rank="0" text="" dxfId="6">
      <formula>LEFT(Calendario!$K$17,3)="TEC"</formula>
    </cfRule>
    <cfRule type="expression" priority="328" aboveAverage="0" equalAverage="0" bottom="0" percent="0" rank="0" text="" dxfId="6">
      <formula>LEFT(Calendario!$K$17,3)="CIV"</formula>
    </cfRule>
  </conditionalFormatting>
  <conditionalFormatting sqref="W371:AB400">
    <cfRule type="expression" priority="329" aboveAverage="0" equalAverage="0" bottom="0" percent="0" rank="0" text="" dxfId="7">
      <formula>Calendario!$K$17=""</formula>
    </cfRule>
  </conditionalFormatting>
  <conditionalFormatting sqref="A371:D400">
    <cfRule type="expression" priority="330" aboveAverage="0" equalAverage="0" bottom="0" percent="0" rank="0" text="" dxfId="3">
      <formula>AND($C371="AS",$D371="")</formula>
    </cfRule>
  </conditionalFormatting>
  <conditionalFormatting sqref="A371:B400">
    <cfRule type="expression" priority="331" aboveAverage="0" equalAverage="0" bottom="0" percent="0" rank="0" text="" dxfId="8">
      <formula>$B371=""</formula>
    </cfRule>
  </conditionalFormatting>
  <conditionalFormatting sqref="E403">
    <cfRule type="expression" priority="332" aboveAverage="0" equalAverage="0" bottom="0" percent="0" rank="0" text="" dxfId="2">
      <formula>LEFT(Calendario!$H$18,2)="1."</formula>
    </cfRule>
    <cfRule type="expression" priority="333" aboveAverage="0" equalAverage="0" bottom="0" percent="0" rank="0" text="" dxfId="3">
      <formula>LEFT(Calendario!$H$18,2)="2."</formula>
    </cfRule>
    <cfRule type="expression" priority="334" aboveAverage="0" equalAverage="0" bottom="0" percent="0" rank="0" text="" dxfId="4">
      <formula>LEFT(Calendario!$H$18,2)="3."</formula>
    </cfRule>
    <cfRule type="expression" priority="335" aboveAverage="0" equalAverage="0" bottom="0" percent="0" rank="0" text="" dxfId="5">
      <formula>LEFT(Calendario!$H$18,2)="4."</formula>
    </cfRule>
    <cfRule type="expression" priority="336" aboveAverage="0" equalAverage="0" bottom="0" percent="0" rank="0" text="" dxfId="6">
      <formula>LEFT(Calendario!$H$18,3)="TEC"</formula>
    </cfRule>
    <cfRule type="expression" priority="337" aboveAverage="0" equalAverage="0" bottom="0" percent="0" rank="0" text="" dxfId="6">
      <formula>LEFT(Calendario!$H$18,3)="CIV"</formula>
    </cfRule>
  </conditionalFormatting>
  <conditionalFormatting sqref="E407:J436">
    <cfRule type="expression" priority="338" aboveAverage="0" equalAverage="0" bottom="0" percent="0" rank="0" text="" dxfId="7">
      <formula>Calendario!$H$18=""</formula>
    </cfRule>
  </conditionalFormatting>
  <conditionalFormatting sqref="K403">
    <cfRule type="expression" priority="339" aboveAverage="0" equalAverage="0" bottom="0" percent="0" rank="0" text="" dxfId="2">
      <formula>LEFT(Calendario!$I$18,2)="1."</formula>
    </cfRule>
    <cfRule type="expression" priority="340" aboveAverage="0" equalAverage="0" bottom="0" percent="0" rank="0" text="" dxfId="3">
      <formula>LEFT(Calendario!$I$18,2)="2."</formula>
    </cfRule>
    <cfRule type="expression" priority="341" aboveAverage="0" equalAverage="0" bottom="0" percent="0" rank="0" text="" dxfId="4">
      <formula>LEFT(Calendario!$I$18,2)="3."</formula>
    </cfRule>
    <cfRule type="expression" priority="342" aboveAverage="0" equalAverage="0" bottom="0" percent="0" rank="0" text="" dxfId="5">
      <formula>LEFT(Calendario!$I$18,2)="4."</formula>
    </cfRule>
    <cfRule type="expression" priority="343" aboveAverage="0" equalAverage="0" bottom="0" percent="0" rank="0" text="" dxfId="6">
      <formula>LEFT(Calendario!$I$18,3)="TEC"</formula>
    </cfRule>
    <cfRule type="expression" priority="344" aboveAverage="0" equalAverage="0" bottom="0" percent="0" rank="0" text="" dxfId="6">
      <formula>LEFT(Calendario!$I$18,3)="CIV"</formula>
    </cfRule>
  </conditionalFormatting>
  <conditionalFormatting sqref="K407:P436">
    <cfRule type="expression" priority="345" aboveAverage="0" equalAverage="0" bottom="0" percent="0" rank="0" text="" dxfId="7">
      <formula>Calendario!$I$18=""</formula>
    </cfRule>
  </conditionalFormatting>
  <conditionalFormatting sqref="Q403">
    <cfRule type="expression" priority="346" aboveAverage="0" equalAverage="0" bottom="0" percent="0" rank="0" text="" dxfId="2">
      <formula>LEFT(Calendario!$J$18,2)="1."</formula>
    </cfRule>
    <cfRule type="expression" priority="347" aboveAverage="0" equalAverage="0" bottom="0" percent="0" rank="0" text="" dxfId="3">
      <formula>LEFT(Calendario!$J$18,2)="2."</formula>
    </cfRule>
    <cfRule type="expression" priority="348" aboveAverage="0" equalAverage="0" bottom="0" percent="0" rank="0" text="" dxfId="4">
      <formula>LEFT(Calendario!$J$18,2)="3."</formula>
    </cfRule>
    <cfRule type="expression" priority="349" aboveAverage="0" equalAverage="0" bottom="0" percent="0" rank="0" text="" dxfId="5">
      <formula>LEFT(Calendario!$J$18,2)="4."</formula>
    </cfRule>
    <cfRule type="expression" priority="350" aboveAverage="0" equalAverage="0" bottom="0" percent="0" rank="0" text="" dxfId="6">
      <formula>LEFT(Calendario!$J$18,3)="TEC"</formula>
    </cfRule>
    <cfRule type="expression" priority="351" aboveAverage="0" equalAverage="0" bottom="0" percent="0" rank="0" text="" dxfId="6">
      <formula>LEFT(Calendario!$J$18,3)="CIV"</formula>
    </cfRule>
  </conditionalFormatting>
  <conditionalFormatting sqref="Q407:V436">
    <cfRule type="expression" priority="352" aboveAverage="0" equalAverage="0" bottom="0" percent="0" rank="0" text="" dxfId="7">
      <formula>Calendario!$J$18=""</formula>
    </cfRule>
  </conditionalFormatting>
  <conditionalFormatting sqref="W403">
    <cfRule type="expression" priority="353" aboveAverage="0" equalAverage="0" bottom="0" percent="0" rank="0" text="" dxfId="2">
      <formula>LEFT(Calendario!$K$18,2)="1."</formula>
    </cfRule>
    <cfRule type="expression" priority="354" aboveAverage="0" equalAverage="0" bottom="0" percent="0" rank="0" text="" dxfId="3">
      <formula>LEFT(Calendario!$K$18,2)="2."</formula>
    </cfRule>
    <cfRule type="expression" priority="355" aboveAverage="0" equalAverage="0" bottom="0" percent="0" rank="0" text="" dxfId="4">
      <formula>LEFT(Calendario!$K$18,2)="3."</formula>
    </cfRule>
    <cfRule type="expression" priority="356" aboveAverage="0" equalAverage="0" bottom="0" percent="0" rank="0" text="" dxfId="5">
      <formula>LEFT(Calendario!$K$18,2)="4."</formula>
    </cfRule>
    <cfRule type="expression" priority="357" aboveAverage="0" equalAverage="0" bottom="0" percent="0" rank="0" text="" dxfId="6">
      <formula>LEFT(Calendario!$K$18,3)="TEC"</formula>
    </cfRule>
    <cfRule type="expression" priority="358" aboveAverage="0" equalAverage="0" bottom="0" percent="0" rank="0" text="" dxfId="6">
      <formula>LEFT(Calendario!$K$18,3)="CIV"</formula>
    </cfRule>
  </conditionalFormatting>
  <conditionalFormatting sqref="W407:AB436">
    <cfRule type="expression" priority="359" aboveAverage="0" equalAverage="0" bottom="0" percent="0" rank="0" text="" dxfId="7">
      <formula>Calendario!$K$18=""</formula>
    </cfRule>
  </conditionalFormatting>
  <conditionalFormatting sqref="A407:D436">
    <cfRule type="expression" priority="360" aboveAverage="0" equalAverage="0" bottom="0" percent="0" rank="0" text="" dxfId="3">
      <formula>AND($C407="AS",$D407="")</formula>
    </cfRule>
  </conditionalFormatting>
  <conditionalFormatting sqref="A407:B436">
    <cfRule type="expression" priority="361" aboveAverage="0" equalAverage="0" bottom="0" percent="0" rank="0" text="" dxfId="8">
      <formula>$B407=""</formula>
    </cfRule>
  </conditionalFormatting>
  <conditionalFormatting sqref="E439">
    <cfRule type="expression" priority="362" aboveAverage="0" equalAverage="0" bottom="0" percent="0" rank="0" text="" dxfId="2">
      <formula>LEFT(Calendario!$H$19,2)="1."</formula>
    </cfRule>
    <cfRule type="expression" priority="363" aboveAverage="0" equalAverage="0" bottom="0" percent="0" rank="0" text="" dxfId="3">
      <formula>LEFT(Calendario!$H$19,2)="2."</formula>
    </cfRule>
    <cfRule type="expression" priority="364" aboveAverage="0" equalAverage="0" bottom="0" percent="0" rank="0" text="" dxfId="4">
      <formula>LEFT(Calendario!$H$19,2)="3."</formula>
    </cfRule>
    <cfRule type="expression" priority="365" aboveAverage="0" equalAverage="0" bottom="0" percent="0" rank="0" text="" dxfId="5">
      <formula>LEFT(Calendario!$H$19,2)="4."</formula>
    </cfRule>
    <cfRule type="expression" priority="366" aboveAverage="0" equalAverage="0" bottom="0" percent="0" rank="0" text="" dxfId="6">
      <formula>LEFT(Calendario!$H$19,3)="TEC"</formula>
    </cfRule>
    <cfRule type="expression" priority="367" aboveAverage="0" equalAverage="0" bottom="0" percent="0" rank="0" text="" dxfId="6">
      <formula>LEFT(Calendario!$H$19,3)="CIV"</formula>
    </cfRule>
  </conditionalFormatting>
  <conditionalFormatting sqref="E443:J472">
    <cfRule type="expression" priority="368" aboveAverage="0" equalAverage="0" bottom="0" percent="0" rank="0" text="" dxfId="7">
      <formula>Calendario!$H$19=""</formula>
    </cfRule>
  </conditionalFormatting>
  <conditionalFormatting sqref="K439">
    <cfRule type="expression" priority="369" aboveAverage="0" equalAverage="0" bottom="0" percent="0" rank="0" text="" dxfId="2">
      <formula>LEFT(Calendario!$I$19,2)="1."</formula>
    </cfRule>
    <cfRule type="expression" priority="370" aboveAverage="0" equalAverage="0" bottom="0" percent="0" rank="0" text="" dxfId="3">
      <formula>LEFT(Calendario!$I$19,2)="2."</formula>
    </cfRule>
    <cfRule type="expression" priority="371" aboveAverage="0" equalAverage="0" bottom="0" percent="0" rank="0" text="" dxfId="4">
      <formula>LEFT(Calendario!$I$19,2)="3."</formula>
    </cfRule>
    <cfRule type="expression" priority="372" aboveAverage="0" equalAverage="0" bottom="0" percent="0" rank="0" text="" dxfId="5">
      <formula>LEFT(Calendario!$I$19,2)="4."</formula>
    </cfRule>
    <cfRule type="expression" priority="373" aboveAverage="0" equalAverage="0" bottom="0" percent="0" rank="0" text="" dxfId="6">
      <formula>LEFT(Calendario!$I$19,3)="TEC"</formula>
    </cfRule>
    <cfRule type="expression" priority="374" aboveAverage="0" equalAverage="0" bottom="0" percent="0" rank="0" text="" dxfId="6">
      <formula>LEFT(Calendario!$I$19,3)="CIV"</formula>
    </cfRule>
  </conditionalFormatting>
  <conditionalFormatting sqref="K443:P472">
    <cfRule type="expression" priority="375" aboveAverage="0" equalAverage="0" bottom="0" percent="0" rank="0" text="" dxfId="7">
      <formula>Calendario!$I$19=""</formula>
    </cfRule>
  </conditionalFormatting>
  <conditionalFormatting sqref="Q439">
    <cfRule type="expression" priority="376" aboveAverage="0" equalAverage="0" bottom="0" percent="0" rank="0" text="" dxfId="2">
      <formula>LEFT(Calendario!$J$19,2)="1."</formula>
    </cfRule>
    <cfRule type="expression" priority="377" aboveAverage="0" equalAverage="0" bottom="0" percent="0" rank="0" text="" dxfId="3">
      <formula>LEFT(Calendario!$J$19,2)="2."</formula>
    </cfRule>
    <cfRule type="expression" priority="378" aboveAverage="0" equalAverage="0" bottom="0" percent="0" rank="0" text="" dxfId="4">
      <formula>LEFT(Calendario!$J$19,2)="3."</formula>
    </cfRule>
    <cfRule type="expression" priority="379" aboveAverage="0" equalAverage="0" bottom="0" percent="0" rank="0" text="" dxfId="5">
      <formula>LEFT(Calendario!$J$19,2)="4."</formula>
    </cfRule>
    <cfRule type="expression" priority="380" aboveAverage="0" equalAverage="0" bottom="0" percent="0" rank="0" text="" dxfId="6">
      <formula>LEFT(Calendario!$J$19,3)="TEC"</formula>
    </cfRule>
    <cfRule type="expression" priority="381" aboveAverage="0" equalAverage="0" bottom="0" percent="0" rank="0" text="" dxfId="6">
      <formula>LEFT(Calendario!$J$19,3)="CIV"</formula>
    </cfRule>
  </conditionalFormatting>
  <conditionalFormatting sqref="Q443:V472">
    <cfRule type="expression" priority="382" aboveAverage="0" equalAverage="0" bottom="0" percent="0" rank="0" text="" dxfId="7">
      <formula>Calendario!$J$19=""</formula>
    </cfRule>
  </conditionalFormatting>
  <conditionalFormatting sqref="W439">
    <cfRule type="expression" priority="383" aboveAverage="0" equalAverage="0" bottom="0" percent="0" rank="0" text="" dxfId="2">
      <formula>LEFT(Calendario!$K$19,2)="1."</formula>
    </cfRule>
    <cfRule type="expression" priority="384" aboveAverage="0" equalAverage="0" bottom="0" percent="0" rank="0" text="" dxfId="3">
      <formula>LEFT(Calendario!$K$19,2)="2."</formula>
    </cfRule>
    <cfRule type="expression" priority="385" aboveAverage="0" equalAverage="0" bottom="0" percent="0" rank="0" text="" dxfId="4">
      <formula>LEFT(Calendario!$K$19,2)="3."</formula>
    </cfRule>
    <cfRule type="expression" priority="386" aboveAverage="0" equalAverage="0" bottom="0" percent="0" rank="0" text="" dxfId="5">
      <formula>LEFT(Calendario!$K$19,2)="4."</formula>
    </cfRule>
    <cfRule type="expression" priority="387" aboveAverage="0" equalAverage="0" bottom="0" percent="0" rank="0" text="" dxfId="6">
      <formula>LEFT(Calendario!$K$19,3)="TEC"</formula>
    </cfRule>
    <cfRule type="expression" priority="388" aboveAverage="0" equalAverage="0" bottom="0" percent="0" rank="0" text="" dxfId="6">
      <formula>LEFT(Calendario!$K$19,3)="CIV"</formula>
    </cfRule>
  </conditionalFormatting>
  <conditionalFormatting sqref="W443:AB472">
    <cfRule type="expression" priority="389" aboveAverage="0" equalAverage="0" bottom="0" percent="0" rank="0" text="" dxfId="7">
      <formula>Calendario!$K$19=""</formula>
    </cfRule>
  </conditionalFormatting>
  <conditionalFormatting sqref="A443:D472">
    <cfRule type="expression" priority="390" aboveAverage="0" equalAverage="0" bottom="0" percent="0" rank="0" text="" dxfId="3">
      <formula>AND($C443="AS",$D443="")</formula>
    </cfRule>
  </conditionalFormatting>
  <conditionalFormatting sqref="A443:B472">
    <cfRule type="expression" priority="391" aboveAverage="0" equalAverage="0" bottom="0" percent="0" rank="0" text="" dxfId="8">
      <formula>$B443=""</formula>
    </cfRule>
  </conditionalFormatting>
  <conditionalFormatting sqref="E475">
    <cfRule type="expression" priority="392" aboveAverage="0" equalAverage="0" bottom="0" percent="0" rank="0" text="" dxfId="2">
      <formula>LEFT(Calendario!$H$20,2)="1."</formula>
    </cfRule>
    <cfRule type="expression" priority="393" aboveAverage="0" equalAverage="0" bottom="0" percent="0" rank="0" text="" dxfId="3">
      <formula>LEFT(Calendario!$H$20,2)="2."</formula>
    </cfRule>
    <cfRule type="expression" priority="394" aboveAverage="0" equalAverage="0" bottom="0" percent="0" rank="0" text="" dxfId="4">
      <formula>LEFT(Calendario!$H$20,2)="3."</formula>
    </cfRule>
    <cfRule type="expression" priority="395" aboveAverage="0" equalAverage="0" bottom="0" percent="0" rank="0" text="" dxfId="5">
      <formula>LEFT(Calendario!$H$20,2)="4."</formula>
    </cfRule>
    <cfRule type="expression" priority="396" aboveAverage="0" equalAverage="0" bottom="0" percent="0" rank="0" text="" dxfId="6">
      <formula>LEFT(Calendario!$H$20,3)="TEC"</formula>
    </cfRule>
    <cfRule type="expression" priority="397" aboveAverage="0" equalAverage="0" bottom="0" percent="0" rank="0" text="" dxfId="6">
      <formula>LEFT(Calendario!$H$20,3)="CIV"</formula>
    </cfRule>
  </conditionalFormatting>
  <conditionalFormatting sqref="E479:J508">
    <cfRule type="expression" priority="398" aboveAverage="0" equalAverage="0" bottom="0" percent="0" rank="0" text="" dxfId="7">
      <formula>Calendario!$H$20=""</formula>
    </cfRule>
  </conditionalFormatting>
  <conditionalFormatting sqref="K475">
    <cfRule type="expression" priority="399" aboveAverage="0" equalAverage="0" bottom="0" percent="0" rank="0" text="" dxfId="2">
      <formula>LEFT(Calendario!$I$20,2)="1."</formula>
    </cfRule>
    <cfRule type="expression" priority="400" aboveAverage="0" equalAverage="0" bottom="0" percent="0" rank="0" text="" dxfId="3">
      <formula>LEFT(Calendario!$I$20,2)="2."</formula>
    </cfRule>
    <cfRule type="expression" priority="401" aboveAverage="0" equalAverage="0" bottom="0" percent="0" rank="0" text="" dxfId="4">
      <formula>LEFT(Calendario!$I$20,2)="3."</formula>
    </cfRule>
    <cfRule type="expression" priority="402" aboveAverage="0" equalAverage="0" bottom="0" percent="0" rank="0" text="" dxfId="5">
      <formula>LEFT(Calendario!$I$20,2)="4."</formula>
    </cfRule>
    <cfRule type="expression" priority="403" aboveAverage="0" equalAverage="0" bottom="0" percent="0" rank="0" text="" dxfId="6">
      <formula>LEFT(Calendario!$I$20,3)="TEC"</formula>
    </cfRule>
    <cfRule type="expression" priority="404" aboveAverage="0" equalAverage="0" bottom="0" percent="0" rank="0" text="" dxfId="6">
      <formula>LEFT(Calendario!$I$20,3)="CIV"</formula>
    </cfRule>
  </conditionalFormatting>
  <conditionalFormatting sqref="K479:P508">
    <cfRule type="expression" priority="405" aboveAverage="0" equalAverage="0" bottom="0" percent="0" rank="0" text="" dxfId="7">
      <formula>Calendario!$I$20=""</formula>
    </cfRule>
  </conditionalFormatting>
  <conditionalFormatting sqref="Q475">
    <cfRule type="expression" priority="406" aboveAverage="0" equalAverage="0" bottom="0" percent="0" rank="0" text="" dxfId="2">
      <formula>LEFT(Calendario!$J$20,2)="1."</formula>
    </cfRule>
    <cfRule type="expression" priority="407" aboveAverage="0" equalAverage="0" bottom="0" percent="0" rank="0" text="" dxfId="3">
      <formula>LEFT(Calendario!$J$20,2)="2."</formula>
    </cfRule>
    <cfRule type="expression" priority="408" aboveAverage="0" equalAverage="0" bottom="0" percent="0" rank="0" text="" dxfId="4">
      <formula>LEFT(Calendario!$J$20,2)="3."</formula>
    </cfRule>
    <cfRule type="expression" priority="409" aboveAverage="0" equalAverage="0" bottom="0" percent="0" rank="0" text="" dxfId="5">
      <formula>LEFT(Calendario!$J$20,2)="4."</formula>
    </cfRule>
    <cfRule type="expression" priority="410" aboveAverage="0" equalAverage="0" bottom="0" percent="0" rank="0" text="" dxfId="6">
      <formula>LEFT(Calendario!$J$20,3)="TEC"</formula>
    </cfRule>
    <cfRule type="expression" priority="411" aboveAverage="0" equalAverage="0" bottom="0" percent="0" rank="0" text="" dxfId="6">
      <formula>LEFT(Calendario!$J$20,3)="CIV"</formula>
    </cfRule>
  </conditionalFormatting>
  <conditionalFormatting sqref="Q479:V508">
    <cfRule type="expression" priority="412" aboveAverage="0" equalAverage="0" bottom="0" percent="0" rank="0" text="" dxfId="7">
      <formula>Calendario!$J$20=""</formula>
    </cfRule>
  </conditionalFormatting>
  <conditionalFormatting sqref="W475">
    <cfRule type="expression" priority="413" aboveAverage="0" equalAverage="0" bottom="0" percent="0" rank="0" text="" dxfId="2">
      <formula>LEFT(Calendario!$K$20,2)="1."</formula>
    </cfRule>
    <cfRule type="expression" priority="414" aboveAverage="0" equalAverage="0" bottom="0" percent="0" rank="0" text="" dxfId="3">
      <formula>LEFT(Calendario!$K$20,2)="2."</formula>
    </cfRule>
    <cfRule type="expression" priority="415" aboveAverage="0" equalAverage="0" bottom="0" percent="0" rank="0" text="" dxfId="4">
      <formula>LEFT(Calendario!$K$20,2)="3."</formula>
    </cfRule>
    <cfRule type="expression" priority="416" aboveAverage="0" equalAverage="0" bottom="0" percent="0" rank="0" text="" dxfId="5">
      <formula>LEFT(Calendario!$K$20,2)="4."</formula>
    </cfRule>
    <cfRule type="expression" priority="417" aboveAverage="0" equalAverage="0" bottom="0" percent="0" rank="0" text="" dxfId="6">
      <formula>LEFT(Calendario!$K$20,3)="TEC"</formula>
    </cfRule>
    <cfRule type="expression" priority="418" aboveAverage="0" equalAverage="0" bottom="0" percent="0" rank="0" text="" dxfId="6">
      <formula>LEFT(Calendario!$K$20,3)="CIV"</formula>
    </cfRule>
  </conditionalFormatting>
  <conditionalFormatting sqref="W479:AB508">
    <cfRule type="expression" priority="419" aboveAverage="0" equalAverage="0" bottom="0" percent="0" rank="0" text="" dxfId="7">
      <formula>Calendario!$K$20=""</formula>
    </cfRule>
  </conditionalFormatting>
  <conditionalFormatting sqref="A479:D508">
    <cfRule type="expression" priority="420" aboveAverage="0" equalAverage="0" bottom="0" percent="0" rank="0" text="" dxfId="3">
      <formula>AND($C479="AS",$D479="")</formula>
    </cfRule>
  </conditionalFormatting>
  <conditionalFormatting sqref="A479:B508">
    <cfRule type="expression" priority="421" aboveAverage="0" equalAverage="0" bottom="0" percent="0" rank="0" text="" dxfId="8">
      <formula>$B479=""</formula>
    </cfRule>
  </conditionalFormatting>
  <conditionalFormatting sqref="E511">
    <cfRule type="expression" priority="422" aboveAverage="0" equalAverage="0" bottom="0" percent="0" rank="0" text="" dxfId="2">
      <formula>LEFT(Calendario!$H$21,2)="1."</formula>
    </cfRule>
    <cfRule type="expression" priority="423" aboveAverage="0" equalAverage="0" bottom="0" percent="0" rank="0" text="" dxfId="3">
      <formula>LEFT(Calendario!$H$21,2)="2."</formula>
    </cfRule>
    <cfRule type="expression" priority="424" aboveAverage="0" equalAverage="0" bottom="0" percent="0" rank="0" text="" dxfId="4">
      <formula>LEFT(Calendario!$H$21,2)="3."</formula>
    </cfRule>
    <cfRule type="expression" priority="425" aboveAverage="0" equalAverage="0" bottom="0" percent="0" rank="0" text="" dxfId="5">
      <formula>LEFT(Calendario!$H$21,2)="4."</formula>
    </cfRule>
    <cfRule type="expression" priority="426" aboveAverage="0" equalAverage="0" bottom="0" percent="0" rank="0" text="" dxfId="6">
      <formula>LEFT(Calendario!$H$21,3)="TEC"</formula>
    </cfRule>
    <cfRule type="expression" priority="427" aboveAverage="0" equalAverage="0" bottom="0" percent="0" rank="0" text="" dxfId="6">
      <formula>LEFT(Calendario!$H$21,3)="CIV"</formula>
    </cfRule>
  </conditionalFormatting>
  <conditionalFormatting sqref="E515:J544">
    <cfRule type="expression" priority="428" aboveAverage="0" equalAverage="0" bottom="0" percent="0" rank="0" text="" dxfId="7">
      <formula>Calendario!$H$21=""</formula>
    </cfRule>
  </conditionalFormatting>
  <conditionalFormatting sqref="K511">
    <cfRule type="expression" priority="429" aboveAverage="0" equalAverage="0" bottom="0" percent="0" rank="0" text="" dxfId="2">
      <formula>LEFT(Calendario!$I$21,2)="1."</formula>
    </cfRule>
    <cfRule type="expression" priority="430" aboveAverage="0" equalAverage="0" bottom="0" percent="0" rank="0" text="" dxfId="3">
      <formula>LEFT(Calendario!$I$21,2)="2."</formula>
    </cfRule>
    <cfRule type="expression" priority="431" aboveAverage="0" equalAverage="0" bottom="0" percent="0" rank="0" text="" dxfId="4">
      <formula>LEFT(Calendario!$I$21,2)="3."</formula>
    </cfRule>
    <cfRule type="expression" priority="432" aboveAverage="0" equalAverage="0" bottom="0" percent="0" rank="0" text="" dxfId="5">
      <formula>LEFT(Calendario!$I$21,2)="4."</formula>
    </cfRule>
    <cfRule type="expression" priority="433" aboveAverage="0" equalAverage="0" bottom="0" percent="0" rank="0" text="" dxfId="6">
      <formula>LEFT(Calendario!$I$21,3)="TEC"</formula>
    </cfRule>
    <cfRule type="expression" priority="434" aboveAverage="0" equalAverage="0" bottom="0" percent="0" rank="0" text="" dxfId="6">
      <formula>LEFT(Calendario!$I$21,3)="CIV"</formula>
    </cfRule>
  </conditionalFormatting>
  <conditionalFormatting sqref="K515:P544">
    <cfRule type="expression" priority="435" aboveAverage="0" equalAverage="0" bottom="0" percent="0" rank="0" text="" dxfId="7">
      <formula>Calendario!$I$21=""</formula>
    </cfRule>
  </conditionalFormatting>
  <conditionalFormatting sqref="Q511">
    <cfRule type="expression" priority="436" aboveAverage="0" equalAverage="0" bottom="0" percent="0" rank="0" text="" dxfId="2">
      <formula>LEFT(Calendario!$J$21,2)="1."</formula>
    </cfRule>
    <cfRule type="expression" priority="437" aboveAverage="0" equalAverage="0" bottom="0" percent="0" rank="0" text="" dxfId="3">
      <formula>LEFT(Calendario!$J$21,2)="2."</formula>
    </cfRule>
    <cfRule type="expression" priority="438" aboveAverage="0" equalAverage="0" bottom="0" percent="0" rank="0" text="" dxfId="4">
      <formula>LEFT(Calendario!$J$21,2)="3."</formula>
    </cfRule>
    <cfRule type="expression" priority="439" aboveAverage="0" equalAverage="0" bottom="0" percent="0" rank="0" text="" dxfId="5">
      <formula>LEFT(Calendario!$J$21,2)="4."</formula>
    </cfRule>
    <cfRule type="expression" priority="440" aboveAverage="0" equalAverage="0" bottom="0" percent="0" rank="0" text="" dxfId="6">
      <formula>LEFT(Calendario!$J$21,3)="TEC"</formula>
    </cfRule>
    <cfRule type="expression" priority="441" aboveAverage="0" equalAverage="0" bottom="0" percent="0" rank="0" text="" dxfId="6">
      <formula>LEFT(Calendario!$J$21,3)="CIV"</formula>
    </cfRule>
  </conditionalFormatting>
  <conditionalFormatting sqref="Q515:V544">
    <cfRule type="expression" priority="442" aboveAverage="0" equalAverage="0" bottom="0" percent="0" rank="0" text="" dxfId="7">
      <formula>Calendario!$J$21=""</formula>
    </cfRule>
  </conditionalFormatting>
  <conditionalFormatting sqref="W511">
    <cfRule type="expression" priority="443" aboveAverage="0" equalAverage="0" bottom="0" percent="0" rank="0" text="" dxfId="2">
      <formula>LEFT(Calendario!$K$21,2)="1."</formula>
    </cfRule>
    <cfRule type="expression" priority="444" aboveAverage="0" equalAverage="0" bottom="0" percent="0" rank="0" text="" dxfId="3">
      <formula>LEFT(Calendario!$K$21,2)="2."</formula>
    </cfRule>
    <cfRule type="expression" priority="445" aboveAverage="0" equalAverage="0" bottom="0" percent="0" rank="0" text="" dxfId="4">
      <formula>LEFT(Calendario!$K$21,2)="3."</formula>
    </cfRule>
    <cfRule type="expression" priority="446" aboveAverage="0" equalAverage="0" bottom="0" percent="0" rank="0" text="" dxfId="5">
      <formula>LEFT(Calendario!$K$21,2)="4."</formula>
    </cfRule>
    <cfRule type="expression" priority="447" aboveAverage="0" equalAverage="0" bottom="0" percent="0" rank="0" text="" dxfId="6">
      <formula>LEFT(Calendario!$K$21,3)="TEC"</formula>
    </cfRule>
    <cfRule type="expression" priority="448" aboveAverage="0" equalAverage="0" bottom="0" percent="0" rank="0" text="" dxfId="6">
      <formula>LEFT(Calendario!$K$21,3)="CIV"</formula>
    </cfRule>
  </conditionalFormatting>
  <conditionalFormatting sqref="W515:AB544">
    <cfRule type="expression" priority="449" aboveAverage="0" equalAverage="0" bottom="0" percent="0" rank="0" text="" dxfId="7">
      <formula>Calendario!$K$21=""</formula>
    </cfRule>
  </conditionalFormatting>
  <conditionalFormatting sqref="A515:D544">
    <cfRule type="expression" priority="450" aboveAverage="0" equalAverage="0" bottom="0" percent="0" rank="0" text="" dxfId="3">
      <formula>AND($C515="AS",$D515="")</formula>
    </cfRule>
  </conditionalFormatting>
  <conditionalFormatting sqref="A515:B544">
    <cfRule type="expression" priority="451" aboveAverage="0" equalAverage="0" bottom="0" percent="0" rank="0" text="" dxfId="8">
      <formula>$B515=""</formula>
    </cfRule>
  </conditionalFormatting>
  <conditionalFormatting sqref="E547">
    <cfRule type="expression" priority="452" aboveAverage="0" equalAverage="0" bottom="0" percent="0" rank="0" text="" dxfId="2">
      <formula>LEFT(Calendario!$H$22,2)="1."</formula>
    </cfRule>
    <cfRule type="expression" priority="453" aboveAverage="0" equalAverage="0" bottom="0" percent="0" rank="0" text="" dxfId="3">
      <formula>LEFT(Calendario!$H$22,2)="2."</formula>
    </cfRule>
    <cfRule type="expression" priority="454" aboveAverage="0" equalAverage="0" bottom="0" percent="0" rank="0" text="" dxfId="4">
      <formula>LEFT(Calendario!$H$22,2)="3."</formula>
    </cfRule>
    <cfRule type="expression" priority="455" aboveAverage="0" equalAverage="0" bottom="0" percent="0" rank="0" text="" dxfId="5">
      <formula>LEFT(Calendario!$H$22,2)="4."</formula>
    </cfRule>
    <cfRule type="expression" priority="456" aboveAverage="0" equalAverage="0" bottom="0" percent="0" rank="0" text="" dxfId="6">
      <formula>LEFT(Calendario!$H$22,3)="TEC"</formula>
    </cfRule>
    <cfRule type="expression" priority="457" aboveAverage="0" equalAverage="0" bottom="0" percent="0" rank="0" text="" dxfId="6">
      <formula>LEFT(Calendario!$H$22,3)="CIV"</formula>
    </cfRule>
  </conditionalFormatting>
  <conditionalFormatting sqref="E551:J580">
    <cfRule type="expression" priority="458" aboveAverage="0" equalAverage="0" bottom="0" percent="0" rank="0" text="" dxfId="7">
      <formula>Calendario!$H$22=""</formula>
    </cfRule>
  </conditionalFormatting>
  <conditionalFormatting sqref="K547">
    <cfRule type="expression" priority="459" aboveAverage="0" equalAverage="0" bottom="0" percent="0" rank="0" text="" dxfId="2">
      <formula>LEFT(Calendario!$I$22,2)="1."</formula>
    </cfRule>
    <cfRule type="expression" priority="460" aboveAverage="0" equalAverage="0" bottom="0" percent="0" rank="0" text="" dxfId="3">
      <formula>LEFT(Calendario!$I$22,2)="2."</formula>
    </cfRule>
    <cfRule type="expression" priority="461" aboveAverage="0" equalAverage="0" bottom="0" percent="0" rank="0" text="" dxfId="4">
      <formula>LEFT(Calendario!$I$22,2)="3."</formula>
    </cfRule>
    <cfRule type="expression" priority="462" aboveAverage="0" equalAverage="0" bottom="0" percent="0" rank="0" text="" dxfId="5">
      <formula>LEFT(Calendario!$I$22,2)="4."</formula>
    </cfRule>
    <cfRule type="expression" priority="463" aboveAverage="0" equalAverage="0" bottom="0" percent="0" rank="0" text="" dxfId="6">
      <formula>LEFT(Calendario!$I$22,3)="TEC"</formula>
    </cfRule>
    <cfRule type="expression" priority="464" aboveAverage="0" equalAverage="0" bottom="0" percent="0" rank="0" text="" dxfId="6">
      <formula>LEFT(Calendario!$I$22,3)="CIV"</formula>
    </cfRule>
  </conditionalFormatting>
  <conditionalFormatting sqref="K551:P580">
    <cfRule type="expression" priority="465" aboveAverage="0" equalAverage="0" bottom="0" percent="0" rank="0" text="" dxfId="7">
      <formula>Calendario!$I$22=""</formula>
    </cfRule>
  </conditionalFormatting>
  <conditionalFormatting sqref="Q547">
    <cfRule type="expression" priority="466" aboveAverage="0" equalAverage="0" bottom="0" percent="0" rank="0" text="" dxfId="2">
      <formula>LEFT(Calendario!$J$22,2)="1."</formula>
    </cfRule>
    <cfRule type="expression" priority="467" aboveAverage="0" equalAverage="0" bottom="0" percent="0" rank="0" text="" dxfId="3">
      <formula>LEFT(Calendario!$J$22,2)="2."</formula>
    </cfRule>
    <cfRule type="expression" priority="468" aboveAverage="0" equalAverage="0" bottom="0" percent="0" rank="0" text="" dxfId="4">
      <formula>LEFT(Calendario!$J$22,2)="3."</formula>
    </cfRule>
    <cfRule type="expression" priority="469" aboveAverage="0" equalAverage="0" bottom="0" percent="0" rank="0" text="" dxfId="5">
      <formula>LEFT(Calendario!$J$22,2)="4."</formula>
    </cfRule>
    <cfRule type="expression" priority="470" aboveAverage="0" equalAverage="0" bottom="0" percent="0" rank="0" text="" dxfId="6">
      <formula>LEFT(Calendario!$J$22,3)="TEC"</formula>
    </cfRule>
    <cfRule type="expression" priority="471" aboveAverage="0" equalAverage="0" bottom="0" percent="0" rank="0" text="" dxfId="6">
      <formula>LEFT(Calendario!$J$22,3)="CIV"</formula>
    </cfRule>
  </conditionalFormatting>
  <conditionalFormatting sqref="Q551:V580">
    <cfRule type="expression" priority="472" aboveAverage="0" equalAverage="0" bottom="0" percent="0" rank="0" text="" dxfId="7">
      <formula>Calendario!$J$22=""</formula>
    </cfRule>
  </conditionalFormatting>
  <conditionalFormatting sqref="W547">
    <cfRule type="expression" priority="473" aboveAverage="0" equalAverage="0" bottom="0" percent="0" rank="0" text="" dxfId="2">
      <formula>LEFT(Calendario!$K$22,2)="1."</formula>
    </cfRule>
    <cfRule type="expression" priority="474" aboveAverage="0" equalAverage="0" bottom="0" percent="0" rank="0" text="" dxfId="3">
      <formula>LEFT(Calendario!$K$22,2)="2."</formula>
    </cfRule>
    <cfRule type="expression" priority="475" aboveAverage="0" equalAverage="0" bottom="0" percent="0" rank="0" text="" dxfId="4">
      <formula>LEFT(Calendario!$K$22,2)="3."</formula>
    </cfRule>
    <cfRule type="expression" priority="476" aboveAverage="0" equalAverage="0" bottom="0" percent="0" rank="0" text="" dxfId="5">
      <formula>LEFT(Calendario!$K$22,2)="4."</formula>
    </cfRule>
    <cfRule type="expression" priority="477" aboveAverage="0" equalAverage="0" bottom="0" percent="0" rank="0" text="" dxfId="6">
      <formula>LEFT(Calendario!$K$22,3)="TEC"</formula>
    </cfRule>
    <cfRule type="expression" priority="478" aboveAverage="0" equalAverage="0" bottom="0" percent="0" rank="0" text="" dxfId="6">
      <formula>LEFT(Calendario!$K$22,3)="CIV"</formula>
    </cfRule>
  </conditionalFormatting>
  <conditionalFormatting sqref="W551:AB580">
    <cfRule type="expression" priority="479" aboveAverage="0" equalAverage="0" bottom="0" percent="0" rank="0" text="" dxfId="7">
      <formula>Calendario!$K$22=""</formula>
    </cfRule>
  </conditionalFormatting>
  <conditionalFormatting sqref="A551:D580">
    <cfRule type="expression" priority="480" aboveAverage="0" equalAverage="0" bottom="0" percent="0" rank="0" text="" dxfId="3">
      <formula>AND($C551="AS",$D551="")</formula>
    </cfRule>
  </conditionalFormatting>
  <conditionalFormatting sqref="A551:B580">
    <cfRule type="expression" priority="481" aboveAverage="0" equalAverage="0" bottom="0" percent="0" rank="0" text="" dxfId="8">
      <formula>$B551=""</formula>
    </cfRule>
  </conditionalFormatting>
  <conditionalFormatting sqref="E583">
    <cfRule type="expression" priority="482" aboveAverage="0" equalAverage="0" bottom="0" percent="0" rank="0" text="" dxfId="2">
      <formula>LEFT(Calendario!$H$23,2)="1."</formula>
    </cfRule>
    <cfRule type="expression" priority="483" aboveAverage="0" equalAverage="0" bottom="0" percent="0" rank="0" text="" dxfId="3">
      <formula>LEFT(Calendario!$H$23,2)="2."</formula>
    </cfRule>
    <cfRule type="expression" priority="484" aboveAverage="0" equalAverage="0" bottom="0" percent="0" rank="0" text="" dxfId="4">
      <formula>LEFT(Calendario!$H$23,2)="3."</formula>
    </cfRule>
    <cfRule type="expression" priority="485" aboveAverage="0" equalAverage="0" bottom="0" percent="0" rank="0" text="" dxfId="5">
      <formula>LEFT(Calendario!$H$23,2)="4."</formula>
    </cfRule>
    <cfRule type="expression" priority="486" aboveAverage="0" equalAverage="0" bottom="0" percent="0" rank="0" text="" dxfId="6">
      <formula>LEFT(Calendario!$H$23,3)="TEC"</formula>
    </cfRule>
    <cfRule type="expression" priority="487" aboveAverage="0" equalAverage="0" bottom="0" percent="0" rank="0" text="" dxfId="6">
      <formula>LEFT(Calendario!$H$23,3)="CIV"</formula>
    </cfRule>
  </conditionalFormatting>
  <conditionalFormatting sqref="E587:J616">
    <cfRule type="expression" priority="488" aboveAverage="0" equalAverage="0" bottom="0" percent="0" rank="0" text="" dxfId="7">
      <formula>Calendario!$H$23=""</formula>
    </cfRule>
  </conditionalFormatting>
  <conditionalFormatting sqref="K583">
    <cfRule type="expression" priority="489" aboveAverage="0" equalAverage="0" bottom="0" percent="0" rank="0" text="" dxfId="2">
      <formula>LEFT(Calendario!$I$23,2)="1."</formula>
    </cfRule>
    <cfRule type="expression" priority="490" aboveAverage="0" equalAverage="0" bottom="0" percent="0" rank="0" text="" dxfId="3">
      <formula>LEFT(Calendario!$I$23,2)="2."</formula>
    </cfRule>
    <cfRule type="expression" priority="491" aboveAverage="0" equalAverage="0" bottom="0" percent="0" rank="0" text="" dxfId="4">
      <formula>LEFT(Calendario!$I$23,2)="3."</formula>
    </cfRule>
    <cfRule type="expression" priority="492" aboveAverage="0" equalAverage="0" bottom="0" percent="0" rank="0" text="" dxfId="5">
      <formula>LEFT(Calendario!$I$23,2)="4."</formula>
    </cfRule>
    <cfRule type="expression" priority="493" aboveAverage="0" equalAverage="0" bottom="0" percent="0" rank="0" text="" dxfId="6">
      <formula>LEFT(Calendario!$I$23,3)="TEC"</formula>
    </cfRule>
    <cfRule type="expression" priority="494" aboveAverage="0" equalAverage="0" bottom="0" percent="0" rank="0" text="" dxfId="6">
      <formula>LEFT(Calendario!$I$23,3)="CIV"</formula>
    </cfRule>
  </conditionalFormatting>
  <conditionalFormatting sqref="K587:P616">
    <cfRule type="expression" priority="495" aboveAverage="0" equalAverage="0" bottom="0" percent="0" rank="0" text="" dxfId="7">
      <formula>Calendario!$I$23=""</formula>
    </cfRule>
  </conditionalFormatting>
  <conditionalFormatting sqref="Q583">
    <cfRule type="expression" priority="496" aboveAverage="0" equalAverage="0" bottom="0" percent="0" rank="0" text="" dxfId="2">
      <formula>LEFT(Calendario!$J$23,2)="1."</formula>
    </cfRule>
    <cfRule type="expression" priority="497" aboveAverage="0" equalAverage="0" bottom="0" percent="0" rank="0" text="" dxfId="3">
      <formula>LEFT(Calendario!$J$23,2)="2."</formula>
    </cfRule>
    <cfRule type="expression" priority="498" aboveAverage="0" equalAverage="0" bottom="0" percent="0" rank="0" text="" dxfId="4">
      <formula>LEFT(Calendario!$J$23,2)="3."</formula>
    </cfRule>
    <cfRule type="expression" priority="499" aboveAverage="0" equalAverage="0" bottom="0" percent="0" rank="0" text="" dxfId="5">
      <formula>LEFT(Calendario!$J$23,2)="4."</formula>
    </cfRule>
    <cfRule type="expression" priority="500" aboveAverage="0" equalAverage="0" bottom="0" percent="0" rank="0" text="" dxfId="6">
      <formula>LEFT(Calendario!$J$23,3)="TEC"</formula>
    </cfRule>
    <cfRule type="expression" priority="501" aboveAverage="0" equalAverage="0" bottom="0" percent="0" rank="0" text="" dxfId="6">
      <formula>LEFT(Calendario!$J$23,3)="CIV"</formula>
    </cfRule>
  </conditionalFormatting>
  <conditionalFormatting sqref="Q587:V616">
    <cfRule type="expression" priority="502" aboveAverage="0" equalAverage="0" bottom="0" percent="0" rank="0" text="" dxfId="7">
      <formula>Calendario!$J$23=""</formula>
    </cfRule>
  </conditionalFormatting>
  <conditionalFormatting sqref="W583">
    <cfRule type="expression" priority="503" aboveAverage="0" equalAverage="0" bottom="0" percent="0" rank="0" text="" dxfId="2">
      <formula>LEFT(Calendario!$K$23,2)="1."</formula>
    </cfRule>
    <cfRule type="expression" priority="504" aboveAverage="0" equalAverage="0" bottom="0" percent="0" rank="0" text="" dxfId="3">
      <formula>LEFT(Calendario!$K$23,2)="2."</formula>
    </cfRule>
    <cfRule type="expression" priority="505" aboveAverage="0" equalAverage="0" bottom="0" percent="0" rank="0" text="" dxfId="4">
      <formula>LEFT(Calendario!$K$23,2)="3."</formula>
    </cfRule>
    <cfRule type="expression" priority="506" aboveAverage="0" equalAverage="0" bottom="0" percent="0" rank="0" text="" dxfId="5">
      <formula>LEFT(Calendario!$K$23,2)="4."</formula>
    </cfRule>
    <cfRule type="expression" priority="507" aboveAverage="0" equalAverage="0" bottom="0" percent="0" rank="0" text="" dxfId="6">
      <formula>LEFT(Calendario!$K$23,3)="TEC"</formula>
    </cfRule>
    <cfRule type="expression" priority="508" aboveAverage="0" equalAverage="0" bottom="0" percent="0" rank="0" text="" dxfId="6">
      <formula>LEFT(Calendario!$K$23,3)="CIV"</formula>
    </cfRule>
  </conditionalFormatting>
  <conditionalFormatting sqref="W587:AB616">
    <cfRule type="expression" priority="509" aboveAverage="0" equalAverage="0" bottom="0" percent="0" rank="0" text="" dxfId="7">
      <formula>Calendario!$K$23=""</formula>
    </cfRule>
  </conditionalFormatting>
  <conditionalFormatting sqref="A587:D616">
    <cfRule type="expression" priority="510" aboveAverage="0" equalAverage="0" bottom="0" percent="0" rank="0" text="" dxfId="3">
      <formula>AND($C587="AS",$D587="")</formula>
    </cfRule>
  </conditionalFormatting>
  <conditionalFormatting sqref="A587:B616">
    <cfRule type="expression" priority="511" aboveAverage="0" equalAverage="0" bottom="0" percent="0" rank="0" text="" dxfId="8">
      <formula>$B587=""</formula>
    </cfRule>
  </conditionalFormatting>
  <conditionalFormatting sqref="E619">
    <cfRule type="expression" priority="512" aboveAverage="0" equalAverage="0" bottom="0" percent="0" rank="0" text="" dxfId="2">
      <formula>LEFT(Calendario!$H$24,2)="1."</formula>
    </cfRule>
    <cfRule type="expression" priority="513" aboveAverage="0" equalAverage="0" bottom="0" percent="0" rank="0" text="" dxfId="3">
      <formula>LEFT(Calendario!$H$24,2)="2."</formula>
    </cfRule>
    <cfRule type="expression" priority="514" aboveAverage="0" equalAverage="0" bottom="0" percent="0" rank="0" text="" dxfId="4">
      <formula>LEFT(Calendario!$H$24,2)="3."</formula>
    </cfRule>
    <cfRule type="expression" priority="515" aboveAverage="0" equalAverage="0" bottom="0" percent="0" rank="0" text="" dxfId="5">
      <formula>LEFT(Calendario!$H$24,2)="4."</formula>
    </cfRule>
    <cfRule type="expression" priority="516" aboveAverage="0" equalAverage="0" bottom="0" percent="0" rank="0" text="" dxfId="6">
      <formula>LEFT(Calendario!$H$24,3)="TEC"</formula>
    </cfRule>
    <cfRule type="expression" priority="517" aboveAverage="0" equalAverage="0" bottom="0" percent="0" rank="0" text="" dxfId="6">
      <formula>LEFT(Calendario!$H$24,3)="CIV"</formula>
    </cfRule>
  </conditionalFormatting>
  <conditionalFormatting sqref="E623:J652">
    <cfRule type="expression" priority="518" aboveAverage="0" equalAverage="0" bottom="0" percent="0" rank="0" text="" dxfId="7">
      <formula>Calendario!$H$24=""</formula>
    </cfRule>
  </conditionalFormatting>
  <conditionalFormatting sqref="K619">
    <cfRule type="expression" priority="519" aboveAverage="0" equalAverage="0" bottom="0" percent="0" rank="0" text="" dxfId="2">
      <formula>LEFT(Calendario!$I$24,2)="1."</formula>
    </cfRule>
    <cfRule type="expression" priority="520" aboveAverage="0" equalAverage="0" bottom="0" percent="0" rank="0" text="" dxfId="3">
      <formula>LEFT(Calendario!$I$24,2)="2."</formula>
    </cfRule>
    <cfRule type="expression" priority="521" aboveAverage="0" equalAverage="0" bottom="0" percent="0" rank="0" text="" dxfId="4">
      <formula>LEFT(Calendario!$I$24,2)="3."</formula>
    </cfRule>
    <cfRule type="expression" priority="522" aboveAverage="0" equalAverage="0" bottom="0" percent="0" rank="0" text="" dxfId="5">
      <formula>LEFT(Calendario!$I$24,2)="4."</formula>
    </cfRule>
    <cfRule type="expression" priority="523" aboveAverage="0" equalAverage="0" bottom="0" percent="0" rank="0" text="" dxfId="6">
      <formula>LEFT(Calendario!$I$24,3)="TEC"</formula>
    </cfRule>
    <cfRule type="expression" priority="524" aboveAverage="0" equalAverage="0" bottom="0" percent="0" rank="0" text="" dxfId="6">
      <formula>LEFT(Calendario!$I$24,3)="CIV"</formula>
    </cfRule>
  </conditionalFormatting>
  <conditionalFormatting sqref="K623:P652">
    <cfRule type="expression" priority="525" aboveAverage="0" equalAverage="0" bottom="0" percent="0" rank="0" text="" dxfId="7">
      <formula>Calendario!$I$24=""</formula>
    </cfRule>
  </conditionalFormatting>
  <conditionalFormatting sqref="Q619">
    <cfRule type="expression" priority="526" aboveAverage="0" equalAverage="0" bottom="0" percent="0" rank="0" text="" dxfId="2">
      <formula>LEFT(Calendario!$J$24,2)="1."</formula>
    </cfRule>
    <cfRule type="expression" priority="527" aboveAverage="0" equalAverage="0" bottom="0" percent="0" rank="0" text="" dxfId="3">
      <formula>LEFT(Calendario!$J$24,2)="2."</formula>
    </cfRule>
    <cfRule type="expression" priority="528" aboveAverage="0" equalAverage="0" bottom="0" percent="0" rank="0" text="" dxfId="4">
      <formula>LEFT(Calendario!$J$24,2)="3."</formula>
    </cfRule>
    <cfRule type="expression" priority="529" aboveAverage="0" equalAverage="0" bottom="0" percent="0" rank="0" text="" dxfId="5">
      <formula>LEFT(Calendario!$J$24,2)="4."</formula>
    </cfRule>
    <cfRule type="expression" priority="530" aboveAverage="0" equalAverage="0" bottom="0" percent="0" rank="0" text="" dxfId="6">
      <formula>LEFT(Calendario!$J$24,3)="TEC"</formula>
    </cfRule>
    <cfRule type="expression" priority="531" aboveAverage="0" equalAverage="0" bottom="0" percent="0" rank="0" text="" dxfId="6">
      <formula>LEFT(Calendario!$J$24,3)="CIV"</formula>
    </cfRule>
  </conditionalFormatting>
  <conditionalFormatting sqref="Q623:V652">
    <cfRule type="expression" priority="532" aboveAverage="0" equalAverage="0" bottom="0" percent="0" rank="0" text="" dxfId="7">
      <formula>Calendario!$J$24=""</formula>
    </cfRule>
  </conditionalFormatting>
  <conditionalFormatting sqref="W619">
    <cfRule type="expression" priority="533" aboveAverage="0" equalAverage="0" bottom="0" percent="0" rank="0" text="" dxfId="2">
      <formula>LEFT(Calendario!$K$24,2)="1."</formula>
    </cfRule>
    <cfRule type="expression" priority="534" aboveAverage="0" equalAverage="0" bottom="0" percent="0" rank="0" text="" dxfId="3">
      <formula>LEFT(Calendario!$K$24,2)="2."</formula>
    </cfRule>
    <cfRule type="expression" priority="535" aboveAverage="0" equalAverage="0" bottom="0" percent="0" rank="0" text="" dxfId="4">
      <formula>LEFT(Calendario!$K$24,2)="3."</formula>
    </cfRule>
    <cfRule type="expression" priority="536" aboveAverage="0" equalAverage="0" bottom="0" percent="0" rank="0" text="" dxfId="5">
      <formula>LEFT(Calendario!$K$24,2)="4."</formula>
    </cfRule>
    <cfRule type="expression" priority="537" aboveAverage="0" equalAverage="0" bottom="0" percent="0" rank="0" text="" dxfId="6">
      <formula>LEFT(Calendario!$K$24,3)="TEC"</formula>
    </cfRule>
    <cfRule type="expression" priority="538" aboveAverage="0" equalAverage="0" bottom="0" percent="0" rank="0" text="" dxfId="6">
      <formula>LEFT(Calendario!$K$24,3)="CIV"</formula>
    </cfRule>
  </conditionalFormatting>
  <conditionalFormatting sqref="W623:AB652">
    <cfRule type="expression" priority="539" aboveAverage="0" equalAverage="0" bottom="0" percent="0" rank="0" text="" dxfId="7">
      <formula>Calendario!$K$24=""</formula>
    </cfRule>
  </conditionalFormatting>
  <conditionalFormatting sqref="A623:D652">
    <cfRule type="expression" priority="540" aboveAverage="0" equalAverage="0" bottom="0" percent="0" rank="0" text="" dxfId="3">
      <formula>AND($C623="AS",$D623="")</formula>
    </cfRule>
  </conditionalFormatting>
  <conditionalFormatting sqref="A623:B652">
    <cfRule type="expression" priority="541" aboveAverage="0" equalAverage="0" bottom="0" percent="0" rank="0" text="" dxfId="8">
      <formula>$B623=""</formula>
    </cfRule>
  </conditionalFormatting>
  <conditionalFormatting sqref="E655">
    <cfRule type="expression" priority="542" aboveAverage="0" equalAverage="0" bottom="0" percent="0" rank="0" text="" dxfId="2">
      <formula>LEFT(Calendario!$H$25,2)="1."</formula>
    </cfRule>
    <cfRule type="expression" priority="543" aboveAverage="0" equalAverage="0" bottom="0" percent="0" rank="0" text="" dxfId="3">
      <formula>LEFT(Calendario!$H$25,2)="2."</formula>
    </cfRule>
    <cfRule type="expression" priority="544" aboveAverage="0" equalAverage="0" bottom="0" percent="0" rank="0" text="" dxfId="4">
      <formula>LEFT(Calendario!$H$25,2)="3."</formula>
    </cfRule>
    <cfRule type="expression" priority="545" aboveAverage="0" equalAverage="0" bottom="0" percent="0" rank="0" text="" dxfId="5">
      <formula>LEFT(Calendario!$H$25,2)="4."</formula>
    </cfRule>
    <cfRule type="expression" priority="546" aboveAverage="0" equalAverage="0" bottom="0" percent="0" rank="0" text="" dxfId="6">
      <formula>LEFT(Calendario!$H$25,3)="TEC"</formula>
    </cfRule>
    <cfRule type="expression" priority="547" aboveAverage="0" equalAverage="0" bottom="0" percent="0" rank="0" text="" dxfId="6">
      <formula>LEFT(Calendario!$H$25,3)="CIV"</formula>
    </cfRule>
  </conditionalFormatting>
  <conditionalFormatting sqref="E659:J688">
    <cfRule type="expression" priority="548" aboveAverage="0" equalAverage="0" bottom="0" percent="0" rank="0" text="" dxfId="7">
      <formula>Calendario!$H$25=""</formula>
    </cfRule>
  </conditionalFormatting>
  <conditionalFormatting sqref="K655">
    <cfRule type="expression" priority="549" aboveAverage="0" equalAverage="0" bottom="0" percent="0" rank="0" text="" dxfId="2">
      <formula>LEFT(Calendario!$I$25,2)="1."</formula>
    </cfRule>
    <cfRule type="expression" priority="550" aboveAverage="0" equalAverage="0" bottom="0" percent="0" rank="0" text="" dxfId="3">
      <formula>LEFT(Calendario!$I$25,2)="2."</formula>
    </cfRule>
    <cfRule type="expression" priority="551" aboveAverage="0" equalAverage="0" bottom="0" percent="0" rank="0" text="" dxfId="4">
      <formula>LEFT(Calendario!$I$25,2)="3."</formula>
    </cfRule>
    <cfRule type="expression" priority="552" aboveAverage="0" equalAverage="0" bottom="0" percent="0" rank="0" text="" dxfId="5">
      <formula>LEFT(Calendario!$I$25,2)="4."</formula>
    </cfRule>
    <cfRule type="expression" priority="553" aboveAverage="0" equalAverage="0" bottom="0" percent="0" rank="0" text="" dxfId="6">
      <formula>LEFT(Calendario!$I$25,3)="TEC"</formula>
    </cfRule>
    <cfRule type="expression" priority="554" aboveAverage="0" equalAverage="0" bottom="0" percent="0" rank="0" text="" dxfId="6">
      <formula>LEFT(Calendario!$I$25,3)="CIV"</formula>
    </cfRule>
  </conditionalFormatting>
  <conditionalFormatting sqref="K659:P688">
    <cfRule type="expression" priority="555" aboveAverage="0" equalAverage="0" bottom="0" percent="0" rank="0" text="" dxfId="7">
      <formula>Calendario!$I$25=""</formula>
    </cfRule>
  </conditionalFormatting>
  <conditionalFormatting sqref="Q655">
    <cfRule type="expression" priority="556" aboveAverage="0" equalAverage="0" bottom="0" percent="0" rank="0" text="" dxfId="2">
      <formula>LEFT(Calendario!$J$25,2)="1."</formula>
    </cfRule>
    <cfRule type="expression" priority="557" aboveAverage="0" equalAverage="0" bottom="0" percent="0" rank="0" text="" dxfId="3">
      <formula>LEFT(Calendario!$J$25,2)="2."</formula>
    </cfRule>
    <cfRule type="expression" priority="558" aboveAverage="0" equalAverage="0" bottom="0" percent="0" rank="0" text="" dxfId="4">
      <formula>LEFT(Calendario!$J$25,2)="3."</formula>
    </cfRule>
    <cfRule type="expression" priority="559" aboveAverage="0" equalAverage="0" bottom="0" percent="0" rank="0" text="" dxfId="5">
      <formula>LEFT(Calendario!$J$25,2)="4."</formula>
    </cfRule>
    <cfRule type="expression" priority="560" aboveAverage="0" equalAverage="0" bottom="0" percent="0" rank="0" text="" dxfId="6">
      <formula>LEFT(Calendario!$J$25,3)="TEC"</formula>
    </cfRule>
    <cfRule type="expression" priority="561" aboveAverage="0" equalAverage="0" bottom="0" percent="0" rank="0" text="" dxfId="6">
      <formula>LEFT(Calendario!$J$25,3)="CIV"</formula>
    </cfRule>
  </conditionalFormatting>
  <conditionalFormatting sqref="Q659:V688">
    <cfRule type="expression" priority="562" aboveAverage="0" equalAverage="0" bottom="0" percent="0" rank="0" text="" dxfId="7">
      <formula>Calendario!$J$25=""</formula>
    </cfRule>
  </conditionalFormatting>
  <conditionalFormatting sqref="W655">
    <cfRule type="expression" priority="563" aboveAverage="0" equalAverage="0" bottom="0" percent="0" rank="0" text="" dxfId="2">
      <formula>LEFT(Calendario!$K$25,2)="1."</formula>
    </cfRule>
    <cfRule type="expression" priority="564" aboveAverage="0" equalAverage="0" bottom="0" percent="0" rank="0" text="" dxfId="3">
      <formula>LEFT(Calendario!$K$25,2)="2."</formula>
    </cfRule>
    <cfRule type="expression" priority="565" aboveAverage="0" equalAverage="0" bottom="0" percent="0" rank="0" text="" dxfId="4">
      <formula>LEFT(Calendario!$K$25,2)="3."</formula>
    </cfRule>
    <cfRule type="expression" priority="566" aboveAverage="0" equalAverage="0" bottom="0" percent="0" rank="0" text="" dxfId="5">
      <formula>LEFT(Calendario!$K$25,2)="4."</formula>
    </cfRule>
    <cfRule type="expression" priority="567" aboveAverage="0" equalAverage="0" bottom="0" percent="0" rank="0" text="" dxfId="6">
      <formula>LEFT(Calendario!$K$25,3)="TEC"</formula>
    </cfRule>
    <cfRule type="expression" priority="568" aboveAverage="0" equalAverage="0" bottom="0" percent="0" rank="0" text="" dxfId="6">
      <formula>LEFT(Calendario!$K$25,3)="CIV"</formula>
    </cfRule>
  </conditionalFormatting>
  <conditionalFormatting sqref="W659:AB688">
    <cfRule type="expression" priority="569" aboveAverage="0" equalAverage="0" bottom="0" percent="0" rank="0" text="" dxfId="7">
      <formula>Calendario!$K$25=""</formula>
    </cfRule>
  </conditionalFormatting>
  <conditionalFormatting sqref="A659:D688">
    <cfRule type="expression" priority="570" aboveAverage="0" equalAverage="0" bottom="0" percent="0" rank="0" text="" dxfId="3">
      <formula>AND($C659="AS",$D659="")</formula>
    </cfRule>
  </conditionalFormatting>
  <conditionalFormatting sqref="A659:B688">
    <cfRule type="expression" priority="571" aboveAverage="0" equalAverage="0" bottom="0" percent="0" rank="0" text="" dxfId="8">
      <formula>$B659=""</formula>
    </cfRule>
  </conditionalFormatting>
  <conditionalFormatting sqref="E691">
    <cfRule type="expression" priority="572" aboveAverage="0" equalAverage="0" bottom="0" percent="0" rank="0" text="" dxfId="2">
      <formula>LEFT(Calendario!$H$26,2)="1."</formula>
    </cfRule>
    <cfRule type="expression" priority="573" aboveAverage="0" equalAverage="0" bottom="0" percent="0" rank="0" text="" dxfId="3">
      <formula>LEFT(Calendario!$H$26,2)="2."</formula>
    </cfRule>
    <cfRule type="expression" priority="574" aboveAverage="0" equalAverage="0" bottom="0" percent="0" rank="0" text="" dxfId="4">
      <formula>LEFT(Calendario!$H$26,2)="3."</formula>
    </cfRule>
    <cfRule type="expression" priority="575" aboveAverage="0" equalAverage="0" bottom="0" percent="0" rank="0" text="" dxfId="5">
      <formula>LEFT(Calendario!$H$26,2)="4."</formula>
    </cfRule>
    <cfRule type="expression" priority="576" aboveAverage="0" equalAverage="0" bottom="0" percent="0" rank="0" text="" dxfId="6">
      <formula>LEFT(Calendario!$H$26,3)="TEC"</formula>
    </cfRule>
    <cfRule type="expression" priority="577" aboveAverage="0" equalAverage="0" bottom="0" percent="0" rank="0" text="" dxfId="6">
      <formula>LEFT(Calendario!$H$26,3)="CIV"</formula>
    </cfRule>
  </conditionalFormatting>
  <conditionalFormatting sqref="E695:J724">
    <cfRule type="expression" priority="578" aboveAverage="0" equalAverage="0" bottom="0" percent="0" rank="0" text="" dxfId="7">
      <formula>Calendario!$H$26=""</formula>
    </cfRule>
  </conditionalFormatting>
  <conditionalFormatting sqref="K691">
    <cfRule type="expression" priority="579" aboveAverage="0" equalAverage="0" bottom="0" percent="0" rank="0" text="" dxfId="2">
      <formula>LEFT(Calendario!$I$26,2)="1."</formula>
    </cfRule>
    <cfRule type="expression" priority="580" aboveAverage="0" equalAverage="0" bottom="0" percent="0" rank="0" text="" dxfId="3">
      <formula>LEFT(Calendario!$I$26,2)="2."</formula>
    </cfRule>
    <cfRule type="expression" priority="581" aboveAverage="0" equalAverage="0" bottom="0" percent="0" rank="0" text="" dxfId="4">
      <formula>LEFT(Calendario!$I$26,2)="3."</formula>
    </cfRule>
    <cfRule type="expression" priority="582" aboveAverage="0" equalAverage="0" bottom="0" percent="0" rank="0" text="" dxfId="5">
      <formula>LEFT(Calendario!$I$26,2)="4."</formula>
    </cfRule>
    <cfRule type="expression" priority="583" aboveAverage="0" equalAverage="0" bottom="0" percent="0" rank="0" text="" dxfId="6">
      <formula>LEFT(Calendario!$I$26,3)="TEC"</formula>
    </cfRule>
    <cfRule type="expression" priority="584" aboveAverage="0" equalAverage="0" bottom="0" percent="0" rank="0" text="" dxfId="6">
      <formula>LEFT(Calendario!$I$26,3)="CIV"</formula>
    </cfRule>
  </conditionalFormatting>
  <conditionalFormatting sqref="K695:P724">
    <cfRule type="expression" priority="585" aboveAverage="0" equalAverage="0" bottom="0" percent="0" rank="0" text="" dxfId="7">
      <formula>Calendario!$I$26=""</formula>
    </cfRule>
  </conditionalFormatting>
  <conditionalFormatting sqref="Q691">
    <cfRule type="expression" priority="586" aboveAverage="0" equalAverage="0" bottom="0" percent="0" rank="0" text="" dxfId="2">
      <formula>LEFT(Calendario!$J$26,2)="1."</formula>
    </cfRule>
    <cfRule type="expression" priority="587" aboveAverage="0" equalAverage="0" bottom="0" percent="0" rank="0" text="" dxfId="3">
      <formula>LEFT(Calendario!$J$26,2)="2."</formula>
    </cfRule>
    <cfRule type="expression" priority="588" aboveAverage="0" equalAverage="0" bottom="0" percent="0" rank="0" text="" dxfId="4">
      <formula>LEFT(Calendario!$J$26,2)="3."</formula>
    </cfRule>
    <cfRule type="expression" priority="589" aboveAverage="0" equalAverage="0" bottom="0" percent="0" rank="0" text="" dxfId="5">
      <formula>LEFT(Calendario!$J$26,2)="4."</formula>
    </cfRule>
    <cfRule type="expression" priority="590" aboveAverage="0" equalAverage="0" bottom="0" percent="0" rank="0" text="" dxfId="6">
      <formula>LEFT(Calendario!$J$26,3)="TEC"</formula>
    </cfRule>
    <cfRule type="expression" priority="591" aboveAverage="0" equalAverage="0" bottom="0" percent="0" rank="0" text="" dxfId="6">
      <formula>LEFT(Calendario!$J$26,3)="CIV"</formula>
    </cfRule>
  </conditionalFormatting>
  <conditionalFormatting sqref="Q695:V724">
    <cfRule type="expression" priority="592" aboveAverage="0" equalAverage="0" bottom="0" percent="0" rank="0" text="" dxfId="7">
      <formula>Calendario!$J$26=""</formula>
    </cfRule>
  </conditionalFormatting>
  <conditionalFormatting sqref="W691">
    <cfRule type="expression" priority="593" aboveAverage="0" equalAverage="0" bottom="0" percent="0" rank="0" text="" dxfId="2">
      <formula>LEFT(Calendario!$K$26,2)="1."</formula>
    </cfRule>
    <cfRule type="expression" priority="594" aboveAverage="0" equalAverage="0" bottom="0" percent="0" rank="0" text="" dxfId="3">
      <formula>LEFT(Calendario!$K$26,2)="2."</formula>
    </cfRule>
    <cfRule type="expression" priority="595" aboveAverage="0" equalAverage="0" bottom="0" percent="0" rank="0" text="" dxfId="4">
      <formula>LEFT(Calendario!$K$26,2)="3."</formula>
    </cfRule>
    <cfRule type="expression" priority="596" aboveAverage="0" equalAverage="0" bottom="0" percent="0" rank="0" text="" dxfId="5">
      <formula>LEFT(Calendario!$K$26,2)="4."</formula>
    </cfRule>
    <cfRule type="expression" priority="597" aboveAverage="0" equalAverage="0" bottom="0" percent="0" rank="0" text="" dxfId="6">
      <formula>LEFT(Calendario!$K$26,3)="TEC"</formula>
    </cfRule>
    <cfRule type="expression" priority="598" aboveAverage="0" equalAverage="0" bottom="0" percent="0" rank="0" text="" dxfId="6">
      <formula>LEFT(Calendario!$K$26,3)="CIV"</formula>
    </cfRule>
  </conditionalFormatting>
  <conditionalFormatting sqref="W695:AB724">
    <cfRule type="expression" priority="599" aboveAverage="0" equalAverage="0" bottom="0" percent="0" rank="0" text="" dxfId="7">
      <formula>Calendario!$K$26=""</formula>
    </cfRule>
  </conditionalFormatting>
  <conditionalFormatting sqref="A695:D724">
    <cfRule type="expression" priority="600" aboveAverage="0" equalAverage="0" bottom="0" percent="0" rank="0" text="" dxfId="3">
      <formula>AND($C695="AS",$D695="")</formula>
    </cfRule>
  </conditionalFormatting>
  <conditionalFormatting sqref="A695:B724">
    <cfRule type="expression" priority="601" aboveAverage="0" equalAverage="0" bottom="0" percent="0" rank="0" text="" dxfId="8">
      <formula>$B695=""</formula>
    </cfRule>
  </conditionalFormatting>
  <dataValidations count="40">
    <dataValidation allowBlank="true" errorStyle="stop" operator="between" showDropDown="false" showErrorMessage="false" showInputMessage="false" sqref="C11:C40" type="list">
      <formula1>"AS,NV,ES"</formula1>
      <formula2>0</formula2>
    </dataValidation>
    <dataValidation allowBlank="true" errorStyle="stop" operator="between" showDropDown="false" showErrorMessage="false" showInputMessage="false" sqref="E11:H40 K11:N40 Q11:T40 W11:Z40" type="list">
      <formula1>"10,9,8,7,6,5"</formula1>
      <formula2>0</formula2>
    </dataValidation>
    <dataValidation allowBlank="true" errorStyle="stop" operator="between" showDropDown="false" showErrorMessage="false" showInputMessage="false" sqref="C47:C76" type="list">
      <formula1>"AS,NV,ES"</formula1>
      <formula2>0</formula2>
    </dataValidation>
    <dataValidation allowBlank="true" errorStyle="stop" operator="between" showDropDown="false" showErrorMessage="false" showInputMessage="false" sqref="E47:H76 K47:N76 Q47:T76 W47:Z76" type="list">
      <formula1>"10,9,8,7,6,5"</formula1>
      <formula2>0</formula2>
    </dataValidation>
    <dataValidation allowBlank="true" errorStyle="stop" operator="between" showDropDown="false" showErrorMessage="false" showInputMessage="false" sqref="C83:C112" type="list">
      <formula1>"AS,NV,ES"</formula1>
      <formula2>0</formula2>
    </dataValidation>
    <dataValidation allowBlank="true" errorStyle="stop" operator="between" showDropDown="false" showErrorMessage="false" showInputMessage="false" sqref="E83:H112 K83:N112 Q83:T112 W83:Z112" type="list">
      <formula1>"10,9,8,7,6,5"</formula1>
      <formula2>0</formula2>
    </dataValidation>
    <dataValidation allowBlank="true" errorStyle="stop" operator="between" showDropDown="false" showErrorMessage="false" showInputMessage="false" sqref="C119:C148" type="list">
      <formula1>"AS,NV,ES"</formula1>
      <formula2>0</formula2>
    </dataValidation>
    <dataValidation allowBlank="true" errorStyle="stop" operator="between" showDropDown="false" showErrorMessage="false" showInputMessage="false" sqref="E119:H148 K119:N148 Q119:T148 W119:Z148" type="list">
      <formula1>"10,9,8,7,6,5"</formula1>
      <formula2>0</formula2>
    </dataValidation>
    <dataValidation allowBlank="true" errorStyle="stop" operator="between" showDropDown="false" showErrorMessage="false" showInputMessage="false" sqref="C155:C184" type="list">
      <formula1>"AS,NV,ES"</formula1>
      <formula2>0</formula2>
    </dataValidation>
    <dataValidation allowBlank="true" errorStyle="stop" operator="between" showDropDown="false" showErrorMessage="false" showInputMessage="false" sqref="E155:H184 K155:N184 Q155:T184 W155:Z184" type="list">
      <formula1>"10,9,8,7,6,5"</formula1>
      <formula2>0</formula2>
    </dataValidation>
    <dataValidation allowBlank="true" errorStyle="stop" operator="between" showDropDown="false" showErrorMessage="false" showInputMessage="false" sqref="C191:C220" type="list">
      <formula1>"AS,NV,ES"</formula1>
      <formula2>0</formula2>
    </dataValidation>
    <dataValidation allowBlank="true" errorStyle="stop" operator="between" showDropDown="false" showErrorMessage="false" showInputMessage="false" sqref="E191:H220 K191:N220 Q191:T220 W191:Z220" type="list">
      <formula1>"10,9,8,7,6,5"</formula1>
      <formula2>0</formula2>
    </dataValidation>
    <dataValidation allowBlank="true" errorStyle="stop" operator="between" showDropDown="false" showErrorMessage="false" showInputMessage="false" sqref="C227:C256" type="list">
      <formula1>"AS,NV,ES"</formula1>
      <formula2>0</formula2>
    </dataValidation>
    <dataValidation allowBlank="true" errorStyle="stop" operator="between" showDropDown="false" showErrorMessage="false" showInputMessage="false" sqref="E227:H256 K227:N256 Q227:T256 W227:Z256" type="list">
      <formula1>"10,9,8,7,6,5"</formula1>
      <formula2>0</formula2>
    </dataValidation>
    <dataValidation allowBlank="true" errorStyle="stop" operator="between" showDropDown="false" showErrorMessage="false" showInputMessage="false" sqref="C263:C292" type="list">
      <formula1>"AS,NV,ES"</formula1>
      <formula2>0</formula2>
    </dataValidation>
    <dataValidation allowBlank="true" errorStyle="stop" operator="between" showDropDown="false" showErrorMessage="false" showInputMessage="false" sqref="E263:H292 K263:N292 Q263:T292 W263:Z292" type="list">
      <formula1>"10,9,8,7,6,5"</formula1>
      <formula2>0</formula2>
    </dataValidation>
    <dataValidation allowBlank="true" errorStyle="stop" operator="between" showDropDown="false" showErrorMessage="false" showInputMessage="false" sqref="C299:C328" type="list">
      <formula1>"AS,NV,ES"</formula1>
      <formula2>0</formula2>
    </dataValidation>
    <dataValidation allowBlank="true" errorStyle="stop" operator="between" showDropDown="false" showErrorMessage="false" showInputMessage="false" sqref="E299:H328 K299:N328 Q299:T328 W299:Z328" type="list">
      <formula1>"10,9,8,7,6,5"</formula1>
      <formula2>0</formula2>
    </dataValidation>
    <dataValidation allowBlank="true" errorStyle="stop" operator="between" showDropDown="false" showErrorMessage="false" showInputMessage="false" sqref="C335:C364" type="list">
      <formula1>"AS,NV,ES"</formula1>
      <formula2>0</formula2>
    </dataValidation>
    <dataValidation allowBlank="true" errorStyle="stop" operator="between" showDropDown="false" showErrorMessage="false" showInputMessage="false" sqref="E335:H364 K335:N364 Q335:T364 W335:Z364" type="list">
      <formula1>"10,9,8,7,6,5"</formula1>
      <formula2>0</formula2>
    </dataValidation>
    <dataValidation allowBlank="true" errorStyle="stop" operator="between" showDropDown="false" showErrorMessage="false" showInputMessage="false" sqref="C371:C400" type="list">
      <formula1>"AS,NV,ES"</formula1>
      <formula2>0</formula2>
    </dataValidation>
    <dataValidation allowBlank="true" errorStyle="stop" operator="between" showDropDown="false" showErrorMessage="false" showInputMessage="false" sqref="E371:H400 K371:N400 Q371:T400 W371:Z400" type="list">
      <formula1>"10,9,8,7,6,5"</formula1>
      <formula2>0</formula2>
    </dataValidation>
    <dataValidation allowBlank="true" errorStyle="stop" operator="between" showDropDown="false" showErrorMessage="false" showInputMessage="false" sqref="C407:C436" type="list">
      <formula1>"AS,NV,ES"</formula1>
      <formula2>0</formula2>
    </dataValidation>
    <dataValidation allowBlank="true" errorStyle="stop" operator="between" showDropDown="false" showErrorMessage="false" showInputMessage="false" sqref="E407:H436 K407:N436 Q407:T436 W407:Z436" type="list">
      <formula1>"10,9,8,7,6,5"</formula1>
      <formula2>0</formula2>
    </dataValidation>
    <dataValidation allowBlank="true" errorStyle="stop" operator="between" showDropDown="false" showErrorMessage="false" showInputMessage="false" sqref="C443:C472" type="list">
      <formula1>"AS,NV,ES"</formula1>
      <formula2>0</formula2>
    </dataValidation>
    <dataValidation allowBlank="true" errorStyle="stop" operator="between" showDropDown="false" showErrorMessage="false" showInputMessage="false" sqref="E443:H472 K443:N472 Q443:T472 W443:Z472" type="list">
      <formula1>"10,9,8,7,6,5"</formula1>
      <formula2>0</formula2>
    </dataValidation>
    <dataValidation allowBlank="true" errorStyle="stop" operator="between" showDropDown="false" showErrorMessage="false" showInputMessage="false" sqref="C479:C508" type="list">
      <formula1>"AS,NV,ES"</formula1>
      <formula2>0</formula2>
    </dataValidation>
    <dataValidation allowBlank="true" errorStyle="stop" operator="between" showDropDown="false" showErrorMessage="false" showInputMessage="false" sqref="E479:H508 K479:N508 Q479:T508 W479:Z508" type="list">
      <formula1>"10,9,8,7,6,5"</formula1>
      <formula2>0</formula2>
    </dataValidation>
    <dataValidation allowBlank="true" errorStyle="stop" operator="between" showDropDown="false" showErrorMessage="false" showInputMessage="false" sqref="C515:C544" type="list">
      <formula1>"AS,NV,ES"</formula1>
      <formula2>0</formula2>
    </dataValidation>
    <dataValidation allowBlank="true" errorStyle="stop" operator="between" showDropDown="false" showErrorMessage="false" showInputMessage="false" sqref="E515:H544 K515:N544 Q515:T544 W515:Z544" type="list">
      <formula1>"10,9,8,7,6,5"</formula1>
      <formula2>0</formula2>
    </dataValidation>
    <dataValidation allowBlank="true" errorStyle="stop" operator="between" showDropDown="false" showErrorMessage="false" showInputMessage="false" sqref="C551:C580" type="list">
      <formula1>"AS,NV,ES"</formula1>
      <formula2>0</formula2>
    </dataValidation>
    <dataValidation allowBlank="true" errorStyle="stop" operator="between" showDropDown="false" showErrorMessage="false" showInputMessage="false" sqref="E551:H580 K551:N580 Q551:T580 W551:Z580" type="list">
      <formula1>"10,9,8,7,6,5"</formula1>
      <formula2>0</formula2>
    </dataValidation>
    <dataValidation allowBlank="true" errorStyle="stop" operator="between" showDropDown="false" showErrorMessage="false" showInputMessage="false" sqref="C587:C616" type="list">
      <formula1>"AS,NV,ES"</formula1>
      <formula2>0</formula2>
    </dataValidation>
    <dataValidation allowBlank="true" errorStyle="stop" operator="between" showDropDown="false" showErrorMessage="false" showInputMessage="false" sqref="E587:H616 K587:N616 Q587:T616 W587:Z616" type="list">
      <formula1>"10,9,8,7,6,5"</formula1>
      <formula2>0</formula2>
    </dataValidation>
    <dataValidation allowBlank="true" errorStyle="stop" operator="between" showDropDown="false" showErrorMessage="false" showInputMessage="false" sqref="C623:C652" type="list">
      <formula1>"AS,NV,ES"</formula1>
      <formula2>0</formula2>
    </dataValidation>
    <dataValidation allowBlank="true" errorStyle="stop" operator="between" showDropDown="false" showErrorMessage="false" showInputMessage="false" sqref="E623:H652 K623:N652 Q623:T652 W623:Z652" type="list">
      <formula1>"10,9,8,7,6,5"</formula1>
      <formula2>0</formula2>
    </dataValidation>
    <dataValidation allowBlank="true" errorStyle="stop" operator="between" showDropDown="false" showErrorMessage="false" showInputMessage="false" sqref="C659:C688" type="list">
      <formula1>"AS,NV,ES"</formula1>
      <formula2>0</formula2>
    </dataValidation>
    <dataValidation allowBlank="true" errorStyle="stop" operator="between" showDropDown="false" showErrorMessage="false" showInputMessage="false" sqref="E659:H688 K659:N688 Q659:T688 W659:Z688" type="list">
      <formula1>"10,9,8,7,6,5"</formula1>
      <formula2>0</formula2>
    </dataValidation>
    <dataValidation allowBlank="true" errorStyle="stop" operator="between" showDropDown="false" showErrorMessage="false" showInputMessage="false" sqref="C695:C724" type="list">
      <formula1>"AS,NV,ES"</formula1>
      <formula2>0</formula2>
    </dataValidation>
    <dataValidation allowBlank="true" errorStyle="stop" operator="between" showDropDown="false" showErrorMessage="false" showInputMessage="false" sqref="E695:H724 K695:N724 Q695:T724 W695:Z724" type="list">
      <formula1>"10,9,8,7,6,5"</formula1>
      <formula2>0</formula2>
    </dataValidation>
  </dataValidations>
  <printOptions headings="false" gridLines="false" gridLinesSet="true" horizontalCentered="false" verticalCentered="false"/>
  <pageMargins left="0.35" right="0.35" top="0.45" bottom="0.4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true"/>
  </sheetPr>
  <dimension ref="A1:BO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5"/>
    <col collapsed="false" customWidth="true" hidden="true" outlineLevel="1" max="12" min="5" style="0" width="8"/>
    <col collapsed="false" customWidth="true" hidden="true" outlineLevel="1" max="15" min="13" style="0" width="6"/>
    <col collapsed="false" customWidth="true" hidden="false" outlineLevel="0" max="17" min="16" style="0" width="12"/>
    <col collapsed="false" customWidth="true" hidden="true" outlineLevel="1" max="20" min="18" style="0" width="6"/>
    <col collapsed="false" customWidth="true" hidden="false" outlineLevel="0" max="22" min="21" style="0" width="12"/>
    <col collapsed="false" customWidth="true" hidden="true" outlineLevel="1" max="23" min="23" style="0" width="7"/>
    <col collapsed="false" customWidth="true" hidden="false" outlineLevel="0" max="25" min="24" style="0" width="12"/>
    <col collapsed="false" customWidth="true" hidden="true" outlineLevel="1" max="26" min="26" style="0" width="7"/>
    <col collapsed="false" customWidth="true" hidden="false" outlineLevel="0" max="28" min="27" style="0" width="12"/>
    <col collapsed="false" customWidth="true" hidden="false" outlineLevel="0" max="30" min="29" style="0" width="9"/>
    <col collapsed="false" customWidth="true" hidden="false" outlineLevel="0" max="31" min="31" style="0" width="28"/>
    <col collapsed="false" customWidth="true" hidden="false" outlineLevel="0" max="35" min="32" style="0" width="13"/>
    <col collapsed="false" customWidth="true" hidden="true" outlineLevel="1" max="43" min="36" style="0" width="8"/>
    <col collapsed="false" customWidth="true" hidden="true" outlineLevel="1" max="46" min="44" style="0" width="6"/>
    <col collapsed="false" customWidth="true" hidden="false" outlineLevel="0" max="48" min="47" style="0" width="12"/>
    <col collapsed="false" customWidth="true" hidden="true" outlineLevel="1" max="51" min="49" style="0" width="6"/>
    <col collapsed="false" customWidth="true" hidden="false" outlineLevel="0" max="53" min="52" style="0" width="12"/>
    <col collapsed="false" customWidth="true" hidden="true" outlineLevel="1" max="54" min="54" style="0" width="7"/>
    <col collapsed="false" customWidth="true" hidden="false" outlineLevel="0" max="56" min="55" style="0" width="12"/>
    <col collapsed="false" customWidth="true" hidden="true" outlineLevel="1" max="57" min="57" style="0" width="7"/>
    <col collapsed="false" customWidth="true" hidden="false" outlineLevel="0" max="59" min="58" style="0" width="12"/>
    <col collapsed="false" customWidth="true" hidden="false" outlineLevel="0" max="61" min="60" style="0" width="9"/>
    <col collapsed="false" customWidth="true" hidden="false" outlineLevel="0" max="62" min="62" style="0" width="28"/>
    <col collapsed="false" customWidth="true" hidden="false" outlineLevel="0" max="66" min="63" style="0" width="13"/>
    <col collapsed="false" customWidth="true" hidden="false" outlineLevel="0" max="67" min="67" style="0" width="40"/>
  </cols>
  <sheetData>
    <row r="1" customFormat="false" ht="27.75" hidden="false" customHeight="true" outlineLevel="0" collapsed="false">
      <c r="A1" s="1" t="s">
        <v>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customFormat="false" ht="15" hidden="false" customHeight="true" outlineLevel="0" collapsed="false">
      <c r="A2" s="41" t="s">
        <v>93</v>
      </c>
      <c r="B2" s="41"/>
      <c r="C2" s="41"/>
      <c r="D2" s="41"/>
    </row>
    <row r="3" customFormat="false" ht="15" hidden="false" customHeight="false" outlineLevel="0" collapsed="false">
      <c r="A3" s="41"/>
      <c r="B3" s="41"/>
      <c r="C3" s="41"/>
      <c r="D3" s="41"/>
    </row>
    <row r="4" customFormat="false" ht="21.75" hidden="false" customHeight="true" outlineLevel="0" collapsed="false">
      <c r="E4" s="42" t="s">
        <v>94</v>
      </c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3" t="s">
        <v>95</v>
      </c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</row>
    <row r="5" customFormat="false" ht="15" hidden="false" customHeight="true" outlineLevel="0" collapsed="false">
      <c r="E5" s="44" t="s">
        <v>96</v>
      </c>
      <c r="F5" s="44"/>
      <c r="G5" s="44"/>
      <c r="H5" s="44"/>
      <c r="I5" s="44"/>
      <c r="J5" s="44"/>
      <c r="K5" s="44"/>
      <c r="L5" s="44"/>
      <c r="M5" s="45" t="str">
        <f aca="false">"OB. A · "&amp;Impostazioni!B17</f>
        <v>OB. A · Organizzare movimenti finalizzati valutando traiettorie, distanze e ritmi anche in situazioni nuove, con piena autonomia.</v>
      </c>
      <c r="N5" s="45"/>
      <c r="O5" s="45"/>
      <c r="P5" s="45"/>
      <c r="Q5" s="45"/>
      <c r="R5" s="46" t="str">
        <f aca="false">"OB. B · "&amp;Impostazioni!B18</f>
        <v>OB. B · Applicare correttamente le modalità di gioco-sport e svolgere un ruolo attivo nel gruppo, rispettando regole e avversari.</v>
      </c>
      <c r="S5" s="46"/>
      <c r="T5" s="46"/>
      <c r="U5" s="46"/>
      <c r="V5" s="46"/>
      <c r="W5" s="47" t="s">
        <v>97</v>
      </c>
      <c r="X5" s="47"/>
      <c r="Y5" s="47"/>
      <c r="Z5" s="47" t="s">
        <v>98</v>
      </c>
      <c r="AA5" s="47"/>
      <c r="AB5" s="47"/>
      <c r="AC5" s="44" t="s">
        <v>99</v>
      </c>
      <c r="AD5" s="44"/>
      <c r="AE5" s="44"/>
      <c r="AF5" s="48" t="s">
        <v>100</v>
      </c>
      <c r="AG5" s="48"/>
      <c r="AH5" s="48"/>
      <c r="AI5" s="48"/>
      <c r="AJ5" s="44" t="s">
        <v>96</v>
      </c>
      <c r="AK5" s="44"/>
      <c r="AL5" s="44"/>
      <c r="AM5" s="44"/>
      <c r="AN5" s="44"/>
      <c r="AO5" s="44"/>
      <c r="AP5" s="44"/>
      <c r="AQ5" s="44"/>
      <c r="AR5" s="49" t="str">
        <f aca="false">"OB. A · "&amp;Impostazioni!B19</f>
        <v>OB. A · Elaborare ed eseguire sequenze e coreografie individuali e collettive in modo personale e coordinato.</v>
      </c>
      <c r="AS5" s="49"/>
      <c r="AT5" s="49"/>
      <c r="AU5" s="49"/>
      <c r="AV5" s="49"/>
      <c r="AW5" s="50" t="str">
        <f aca="false">"OB. B · "&amp;Impostazioni!B20</f>
        <v>OB. B · Collegare alimentazione, esercizio e benessere verso stili di vita attivi, muovendosi in sicurezza anche in contesti nuovi e all'aperto.</v>
      </c>
      <c r="AX5" s="50"/>
      <c r="AY5" s="50"/>
      <c r="AZ5" s="50"/>
      <c r="BA5" s="50"/>
      <c r="BB5" s="47" t="s">
        <v>97</v>
      </c>
      <c r="BC5" s="47"/>
      <c r="BD5" s="47"/>
      <c r="BE5" s="47" t="s">
        <v>98</v>
      </c>
      <c r="BF5" s="47"/>
      <c r="BG5" s="47"/>
      <c r="BH5" s="44" t="s">
        <v>99</v>
      </c>
      <c r="BI5" s="44"/>
      <c r="BJ5" s="44"/>
      <c r="BK5" s="48" t="s">
        <v>100</v>
      </c>
      <c r="BL5" s="48"/>
      <c r="BM5" s="48"/>
      <c r="BN5" s="48"/>
    </row>
    <row r="6" customFormat="false" ht="15" hidden="false" customHeight="false" outlineLevel="0" collapsed="false">
      <c r="E6" s="44"/>
      <c r="F6" s="44"/>
      <c r="G6" s="44"/>
      <c r="H6" s="44"/>
      <c r="I6" s="44"/>
      <c r="J6" s="44"/>
      <c r="K6" s="44"/>
      <c r="L6" s="44"/>
      <c r="M6" s="45"/>
      <c r="N6" s="45"/>
      <c r="O6" s="45"/>
      <c r="P6" s="45"/>
      <c r="Q6" s="45"/>
      <c r="R6" s="46"/>
      <c r="S6" s="46"/>
      <c r="T6" s="46"/>
      <c r="U6" s="46"/>
      <c r="V6" s="46"/>
      <c r="W6" s="47"/>
      <c r="X6" s="47"/>
      <c r="Y6" s="47"/>
      <c r="Z6" s="47"/>
      <c r="AA6" s="47"/>
      <c r="AB6" s="47"/>
      <c r="AC6" s="44"/>
      <c r="AD6" s="44"/>
      <c r="AE6" s="44"/>
      <c r="AF6" s="48"/>
      <c r="AG6" s="48"/>
      <c r="AH6" s="48"/>
      <c r="AI6" s="48"/>
      <c r="AJ6" s="44"/>
      <c r="AK6" s="44"/>
      <c r="AL6" s="44"/>
      <c r="AM6" s="44"/>
      <c r="AN6" s="44"/>
      <c r="AO6" s="44"/>
      <c r="AP6" s="44"/>
      <c r="AQ6" s="44"/>
      <c r="AR6" s="49"/>
      <c r="AS6" s="49"/>
      <c r="AT6" s="49"/>
      <c r="AU6" s="49"/>
      <c r="AV6" s="49"/>
      <c r="AW6" s="50"/>
      <c r="AX6" s="50"/>
      <c r="AY6" s="50"/>
      <c r="AZ6" s="50"/>
      <c r="BA6" s="50"/>
      <c r="BB6" s="47"/>
      <c r="BC6" s="47"/>
      <c r="BD6" s="47"/>
      <c r="BE6" s="47"/>
      <c r="BF6" s="47"/>
      <c r="BG6" s="47"/>
      <c r="BH6" s="44"/>
      <c r="BI6" s="44"/>
      <c r="BJ6" s="44"/>
      <c r="BK6" s="48"/>
      <c r="BL6" s="48"/>
      <c r="BM6" s="48"/>
      <c r="BN6" s="48"/>
    </row>
    <row r="7" customFormat="false" ht="43.5" hidden="false" customHeight="true" outlineLevel="0" collapsed="false">
      <c r="A7" s="30" t="s">
        <v>65</v>
      </c>
      <c r="B7" s="30" t="s">
        <v>83</v>
      </c>
      <c r="C7" s="30" t="s">
        <v>68</v>
      </c>
      <c r="D7" s="30" t="s">
        <v>69</v>
      </c>
      <c r="E7" s="30" t="s">
        <v>101</v>
      </c>
      <c r="F7" s="30" t="s">
        <v>102</v>
      </c>
      <c r="G7" s="30" t="s">
        <v>103</v>
      </c>
      <c r="H7" s="30" t="s">
        <v>104</v>
      </c>
      <c r="I7" s="30" t="s">
        <v>105</v>
      </c>
      <c r="J7" s="30" t="s">
        <v>106</v>
      </c>
      <c r="K7" s="30" t="s">
        <v>107</v>
      </c>
      <c r="L7" s="30" t="s">
        <v>108</v>
      </c>
      <c r="M7" s="30" t="s">
        <v>109</v>
      </c>
      <c r="N7" s="30" t="s">
        <v>110</v>
      </c>
      <c r="O7" s="30" t="s">
        <v>111</v>
      </c>
      <c r="P7" s="30" t="s">
        <v>112</v>
      </c>
      <c r="Q7" s="30" t="s">
        <v>113</v>
      </c>
      <c r="R7" s="30" t="s">
        <v>109</v>
      </c>
      <c r="S7" s="30" t="s">
        <v>110</v>
      </c>
      <c r="T7" s="30" t="s">
        <v>111</v>
      </c>
      <c r="U7" s="30" t="s">
        <v>112</v>
      </c>
      <c r="V7" s="30" t="s">
        <v>113</v>
      </c>
      <c r="W7" s="30" t="s">
        <v>114</v>
      </c>
      <c r="X7" s="30" t="s">
        <v>112</v>
      </c>
      <c r="Y7" s="30" t="s">
        <v>113</v>
      </c>
      <c r="Z7" s="30" t="s">
        <v>114</v>
      </c>
      <c r="AA7" s="30" t="s">
        <v>112</v>
      </c>
      <c r="AB7" s="30" t="s">
        <v>113</v>
      </c>
      <c r="AC7" s="30" t="s">
        <v>115</v>
      </c>
      <c r="AD7" s="30" t="s">
        <v>116</v>
      </c>
      <c r="AE7" s="30" t="s">
        <v>117</v>
      </c>
      <c r="AF7" s="30" t="s">
        <v>118</v>
      </c>
      <c r="AG7" s="30" t="s">
        <v>119</v>
      </c>
      <c r="AH7" s="30" t="s">
        <v>120</v>
      </c>
      <c r="AI7" s="30" t="s">
        <v>121</v>
      </c>
      <c r="AJ7" s="30" t="s">
        <v>101</v>
      </c>
      <c r="AK7" s="30" t="s">
        <v>102</v>
      </c>
      <c r="AL7" s="30" t="s">
        <v>103</v>
      </c>
      <c r="AM7" s="30" t="s">
        <v>104</v>
      </c>
      <c r="AN7" s="30" t="s">
        <v>105</v>
      </c>
      <c r="AO7" s="30" t="s">
        <v>106</v>
      </c>
      <c r="AP7" s="30" t="s">
        <v>107</v>
      </c>
      <c r="AQ7" s="30" t="s">
        <v>108</v>
      </c>
      <c r="AR7" s="30" t="s">
        <v>109</v>
      </c>
      <c r="AS7" s="30" t="s">
        <v>110</v>
      </c>
      <c r="AT7" s="30" t="s">
        <v>111</v>
      </c>
      <c r="AU7" s="30" t="s">
        <v>112</v>
      </c>
      <c r="AV7" s="30" t="s">
        <v>113</v>
      </c>
      <c r="AW7" s="30" t="s">
        <v>109</v>
      </c>
      <c r="AX7" s="30" t="s">
        <v>110</v>
      </c>
      <c r="AY7" s="30" t="s">
        <v>111</v>
      </c>
      <c r="AZ7" s="30" t="s">
        <v>112</v>
      </c>
      <c r="BA7" s="30" t="s">
        <v>113</v>
      </c>
      <c r="BB7" s="30" t="s">
        <v>114</v>
      </c>
      <c r="BC7" s="30" t="s">
        <v>112</v>
      </c>
      <c r="BD7" s="30" t="s">
        <v>113</v>
      </c>
      <c r="BE7" s="30" t="s">
        <v>114</v>
      </c>
      <c r="BF7" s="30" t="s">
        <v>112</v>
      </c>
      <c r="BG7" s="30" t="s">
        <v>113</v>
      </c>
      <c r="BH7" s="30" t="s">
        <v>115</v>
      </c>
      <c r="BI7" s="30" t="s">
        <v>116</v>
      </c>
      <c r="BJ7" s="30" t="s">
        <v>117</v>
      </c>
      <c r="BK7" s="30" t="s">
        <v>118</v>
      </c>
      <c r="BL7" s="30" t="s">
        <v>119</v>
      </c>
      <c r="BM7" s="30" t="s">
        <v>120</v>
      </c>
      <c r="BN7" s="30" t="s">
        <v>121</v>
      </c>
      <c r="BO7" s="30" t="s">
        <v>122</v>
      </c>
    </row>
    <row r="8" customFormat="false" ht="21" hidden="false" customHeight="true" outlineLevel="0" collapsed="false">
      <c r="A8" s="10" t="n">
        <v>1</v>
      </c>
      <c r="B8" s="16" t="str">
        <f aca="false">IFERROR(INDEX(Alunni!$C$1:$C$1000,MATCH($A8,Alunni!$A$1:$A$1000,0))&amp;"","")</f>
        <v>Rossi Mario (esempio)</v>
      </c>
      <c r="C8" s="13" t="str">
        <f aca="false">IFERROR(INDEX(Alunni!$D$1:$D$1000,MATCH($A8,Alunni!$A$1:$A$1000,0))&amp;"","")</f>
        <v>Attivo</v>
      </c>
      <c r="D8" s="13" t="str">
        <f aca="false">IFERROR(INDEX(Alunni!$E$1:$E$1000,MATCH($A8,Alunni!$A$1:$A$1000,0))&amp;"","")</f>
        <v/>
      </c>
      <c r="E8" s="13" t="n">
        <f aca="false">IF($B8="","",IFERROR(ROUND(SUMPRODUCT((Dati!$C$3:$AP$3="1.1")*INDEX(Dati!$C$1:$AP$1000,MATCH($A8,Dati!$A$1:$A$1000,0),0)*INDEX(Dati!$CE$1:$DR$1000,MATCH($A8,Dati!$A$1:$A$1000,0),0))/SUMPRODUCT((Dati!$C$3:$AP$3="1.1")*INDEX(Dati!$CE$1:$DR$1000,MATCH($A8,Dati!$A$1:$A$1000,0),0)),2),""))</f>
        <v>8</v>
      </c>
      <c r="F8" s="13" t="str">
        <f aca="false">IF($B8="","",IFERROR(ROUND(SUMPRODUCT((Dati!$C$3:$AP$3="2.1")*INDEX(Dati!$C$1:$AP$1000,MATCH($A8,Dati!$A$1:$A$1000,0),0)*INDEX(Dati!$CE$1:$DR$1000,MATCH($A8,Dati!$A$1:$A$1000,0),0))/SUMPRODUCT((Dati!$C$3:$AP$3="2.1")*INDEX(Dati!$CE$1:$DR$1000,MATCH($A8,Dati!$A$1:$A$1000,0),0)),2),""))</f>
        <v/>
      </c>
      <c r="G8" s="13" t="n">
        <f aca="false">IF($B8="","",IFERROR(ROUND(SUMPRODUCT((Dati!$C$3:$AP$3="3.1")*INDEX(Dati!$C$1:$AP$1000,MATCH($A8,Dati!$A$1:$A$1000,0),0)*INDEX(Dati!$CE$1:$DR$1000,MATCH($A8,Dati!$A$1:$A$1000,0),0))/SUMPRODUCT((Dati!$C$3:$AP$3="3.1")*INDEX(Dati!$CE$1:$DR$1000,MATCH($A8,Dati!$A$1:$A$1000,0),0)),2),""))</f>
        <v>8</v>
      </c>
      <c r="H8" s="13" t="str">
        <f aca="false">IF($B8="","",IFERROR(ROUND(SUMPRODUCT((Dati!$C$3:$AP$3="3.2")*INDEX(Dati!$C$1:$AP$1000,MATCH($A8,Dati!$A$1:$A$1000,0),0)*INDEX(Dati!$CE$1:$DR$1000,MATCH($A8,Dati!$A$1:$A$1000,0),0))/SUMPRODUCT((Dati!$C$3:$AP$3="3.2")*INDEX(Dati!$CE$1:$DR$1000,MATCH($A8,Dati!$A$1:$A$1000,0),0)),2),""))</f>
        <v/>
      </c>
      <c r="I8" s="13" t="n">
        <f aca="false">IF($B8="","",IFERROR(ROUND(SUMPRODUCT((Dati!$C$3:$AP$3="3.3")*INDEX(Dati!$C$1:$AP$1000,MATCH($A8,Dati!$A$1:$A$1000,0),0)*INDEX(Dati!$CE$1:$DR$1000,MATCH($A8,Dati!$A$1:$A$1000,0),0))/SUMPRODUCT((Dati!$C$3:$AP$3="3.3")*INDEX(Dati!$CE$1:$DR$1000,MATCH($A8,Dati!$A$1:$A$1000,0),0)),2),""))</f>
        <v>8</v>
      </c>
      <c r="J8" s="13" t="str">
        <f aca="false">IF($B8="","",IFERROR(ROUND(SUMPRODUCT((Dati!$C$3:$AP$3="4.1")*INDEX(Dati!$C$1:$AP$1000,MATCH($A8,Dati!$A$1:$A$1000,0),0)*INDEX(Dati!$CE$1:$DR$1000,MATCH($A8,Dati!$A$1:$A$1000,0),0))/SUMPRODUCT((Dati!$C$3:$AP$3="4.1")*INDEX(Dati!$CE$1:$DR$1000,MATCH($A8,Dati!$A$1:$A$1000,0),0)),2),""))</f>
        <v/>
      </c>
      <c r="K8" s="13" t="str">
        <f aca="false">IF($B8="","",IFERROR(ROUND(SUMPRODUCT((Dati!$C$3:$AP$3="4.2")*INDEX(Dati!$C$1:$AP$1000,MATCH($A8,Dati!$A$1:$A$1000,0),0)*INDEX(Dati!$CE$1:$DR$1000,MATCH($A8,Dati!$A$1:$A$1000,0),0))/SUMPRODUCT((Dati!$C$3:$AP$3="4.2")*INDEX(Dati!$CE$1:$DR$1000,MATCH($A8,Dati!$A$1:$A$1000,0),0)),2),""))</f>
        <v/>
      </c>
      <c r="L8" s="13" t="str">
        <f aca="false">IF($B8="","",IFERROR(ROUND(SUMPRODUCT((Dati!$C$3:$AP$3="4.3")*INDEX(Dati!$C$1:$AP$1000,MATCH($A8,Dati!$A$1:$A$1000,0),0)*INDEX(Dati!$CE$1:$DR$1000,MATCH($A8,Dati!$A$1:$A$1000,0),0))/SUMPRODUCT((Dati!$C$3:$AP$3="4.3")*INDEX(Dati!$CE$1:$DR$1000,MATCH($A8,Dati!$A$1:$A$1000,0),0)),2),""))</f>
        <v/>
      </c>
      <c r="M8" s="13" t="n">
        <f aca="false">IF($B8="","",IFERROR(SUMPRODUCT((Dati!$C$4:$AP$4="A")*(INDEX(Dati!$CE$1:$DR$1000,MATCH($A8,Dati!$A$1:$A$1000,0),0)&gt;0)),0))</f>
        <v>2</v>
      </c>
      <c r="N8" s="13" t="n">
        <f aca="false">IF($B8="","",IFERROR(ROUND(SUMPRODUCT((Dati!$C$4:$AP$4="A")*INDEX(Dati!$C$1:$AP$1000,MATCH($A8,Dati!$A$1:$A$1000,0),0)*INDEX(Dati!$CE$1:$DR$1000,MATCH($A8,Dati!$A$1:$A$1000,0),0))/SUMPRODUCT((Dati!$C$4:$AP$4="A")*INDEX(Dati!$CE$1:$DR$1000,MATCH($A8,Dati!$A$1:$A$1000,0),0)),2),""))</f>
        <v>8</v>
      </c>
      <c r="O8" s="13" t="n">
        <f aca="false">IF(N8="","",IF(ISNUMBER(AC8),ROUND(Impostazioni!$B$12*N8+Impostazioni!$B$13*AC8,2),N8))</f>
        <v>8</v>
      </c>
      <c r="P8" s="51" t="str">
        <f aca="false">IF(O8="","",LOOKUP(O8,Impostazioni!$E$4:$E$9,Impostazioni!$F$4:$F$9))</f>
        <v>Buono</v>
      </c>
      <c r="Q8" s="52"/>
      <c r="R8" s="13" t="n">
        <f aca="false">IF($B8="","",IFERROR(SUMPRODUCT((Dati!$C$4:$AP$4="B")*(INDEX(Dati!$CE$1:$DR$1000,MATCH($A8,Dati!$A$1:$A$1000,0),0)&gt;0)),0))</f>
        <v>2</v>
      </c>
      <c r="S8" s="13" t="n">
        <f aca="false">IF($B8="","",IFERROR(ROUND(SUMPRODUCT((Dati!$C$4:$AP$4="B")*INDEX(Dati!$C$1:$AP$1000,MATCH($A8,Dati!$A$1:$A$1000,0),0)*INDEX(Dati!$CE$1:$DR$1000,MATCH($A8,Dati!$A$1:$A$1000,0),0))/SUMPRODUCT((Dati!$C$4:$AP$4="B")*INDEX(Dati!$CE$1:$DR$1000,MATCH($A8,Dati!$A$1:$A$1000,0),0)),2),""))</f>
        <v>8</v>
      </c>
      <c r="T8" s="13" t="n">
        <f aca="false">IF(S8="","",IF(ISNUMBER(AC8),ROUND(Impostazioni!$B$12*S8+Impostazioni!$B$13*AC8,2),S8))</f>
        <v>8</v>
      </c>
      <c r="U8" s="51" t="str">
        <f aca="false">IF(T8="","",LOOKUP(T8,Impostazioni!$E$4:$E$9,Impostazioni!$F$4:$F$9))</f>
        <v>Buono</v>
      </c>
      <c r="V8" s="52"/>
      <c r="W8" s="13" t="n">
        <f aca="false">IF($B8="","",IFERROR(ROUND(SUMPRODUCT((Dati!$C$4:$AP$4="TEC")*INDEX(Dati!$C$1:$AP$1000,MATCH($A8,Dati!$A$1:$A$1000,0),0)*INDEX(Dati!$CE$1:$DR$1000,MATCH($A8,Dati!$A$1:$A$1000,0),0))/SUMPRODUCT((Dati!$C$4:$AP$4="TEC")*INDEX(Dati!$CE$1:$DR$1000,MATCH($A8,Dati!$A$1:$A$1000,0),0)),2),""))</f>
        <v>7</v>
      </c>
      <c r="X8" s="51" t="str">
        <f aca="false">IF(W8="","",LOOKUP(W8,Impostazioni!$E$4:$E$9,Impostazioni!$F$4:$F$9))</f>
        <v>Discreto</v>
      </c>
      <c r="Y8" s="52"/>
      <c r="Z8" s="13" t="str">
        <f aca="false">IF($B8="","",IFERROR(ROUND(SUMPRODUCT((Dati!$C$4:$AP$4="CIV")*INDEX(Dati!$C$1:$AP$1000,MATCH($A8,Dati!$A$1:$A$1000,0),0)*INDEX(Dati!$CE$1:$DR$1000,MATCH($A8,Dati!$A$1:$A$1000,0),0))/SUMPRODUCT((Dati!$C$4:$AP$4="CIV")*INDEX(Dati!$CE$1:$DR$1000,MATCH($A8,Dati!$A$1:$A$1000,0),0)),2),""))</f>
        <v/>
      </c>
      <c r="AA8" s="51" t="str">
        <f aca="false">IF(Z8="","",LOOKUP(Z8,Impostazioni!$E$4:$E$9,Impostazioni!$F$4:$F$9))</f>
        <v/>
      </c>
      <c r="AB8" s="52"/>
      <c r="AC8" s="52"/>
      <c r="AD8" s="13" t="n">
        <f aca="false">IF($B8="","",IFERROR(SUM(INDEX(Dati!$FG$1:$FP$1000,MATCH($A8,Dati!$A$1:$A$1000,0),0)),0))</f>
        <v>0</v>
      </c>
      <c r="AE8" s="16" t="str">
        <f aca="false">IF($B8="","",IF($C8="ES","Esonerato: concordare con referente e dirigente",IF($C8="Ritirato","Ritirato",TRIM(IF(OR(N(M8)&lt;Impostazioni!$B$14,N(R8)&lt;Impostazioni!$B$14),"Pochi voti: valutazione alternativa (scritta/orale). ","")&amp;IF(N(AD8)&gt;0,"Da recuperare: "&amp;AD8&amp;". ","")&amp;IF($D8="OP","Riferito agli obiettivi personalizzati.","")))))</f>
        <v/>
      </c>
      <c r="AF8" s="31" t="str">
        <f aca="false">IF($B8="","",IF($C8="ES","ES",IF(Q8&lt;&gt;"",Q8,P8)))</f>
        <v>Buono</v>
      </c>
      <c r="AG8" s="31" t="str">
        <f aca="false">IF($B8="","",IF($C8="ES","ES",IF(V8&lt;&gt;"",V8,U8)))</f>
        <v>Buono</v>
      </c>
      <c r="AH8" s="31" t="str">
        <f aca="false">IF($B8="","",IF($C8="ES","ES",IF(Y8&lt;&gt;"",Y8,X8)))</f>
        <v>Discreto</v>
      </c>
      <c r="AI8" s="31" t="str">
        <f aca="false">IF($B8="","",IF($C8="ES","ES",IF(AB8&lt;&gt;"",AB8,AA8)))</f>
        <v/>
      </c>
      <c r="AJ8" s="13" t="str">
        <f aca="false">IF($B8="","",IFERROR(ROUND(SUMPRODUCT((Dati!$AQ$3:$CD$3="1.1")*INDEX(Dati!$AQ$1:$CD$1000,MATCH($A8,Dati!$A$1:$A$1000,0),0)*INDEX(Dati!$DS$1:$FF$1000,MATCH($A8,Dati!$A$1:$A$1000,0),0))/SUMPRODUCT((Dati!$AQ$3:$CD$3="1.1")*INDEX(Dati!$DS$1:$FF$1000,MATCH($A8,Dati!$A$1:$A$1000,0),0)),2),""))</f>
        <v/>
      </c>
      <c r="AK8" s="13" t="str">
        <f aca="false">IF($B8="","",IFERROR(ROUND(SUMPRODUCT((Dati!$AQ$3:$CD$3="2.1")*INDEX(Dati!$AQ$1:$CD$1000,MATCH($A8,Dati!$A$1:$A$1000,0),0)*INDEX(Dati!$DS$1:$FF$1000,MATCH($A8,Dati!$A$1:$A$1000,0),0))/SUMPRODUCT((Dati!$AQ$3:$CD$3="2.1")*INDEX(Dati!$DS$1:$FF$1000,MATCH($A8,Dati!$A$1:$A$1000,0),0)),2),""))</f>
        <v/>
      </c>
      <c r="AL8" s="13" t="str">
        <f aca="false">IF($B8="","",IFERROR(ROUND(SUMPRODUCT((Dati!$AQ$3:$CD$3="3.1")*INDEX(Dati!$AQ$1:$CD$1000,MATCH($A8,Dati!$A$1:$A$1000,0),0)*INDEX(Dati!$DS$1:$FF$1000,MATCH($A8,Dati!$A$1:$A$1000,0),0))/SUMPRODUCT((Dati!$AQ$3:$CD$3="3.1")*INDEX(Dati!$DS$1:$FF$1000,MATCH($A8,Dati!$A$1:$A$1000,0),0)),2),""))</f>
        <v/>
      </c>
      <c r="AM8" s="13" t="str">
        <f aca="false">IF($B8="","",IFERROR(ROUND(SUMPRODUCT((Dati!$AQ$3:$CD$3="3.2")*INDEX(Dati!$AQ$1:$CD$1000,MATCH($A8,Dati!$A$1:$A$1000,0),0)*INDEX(Dati!$DS$1:$FF$1000,MATCH($A8,Dati!$A$1:$A$1000,0),0))/SUMPRODUCT((Dati!$AQ$3:$CD$3="3.2")*INDEX(Dati!$DS$1:$FF$1000,MATCH($A8,Dati!$A$1:$A$1000,0),0)),2),""))</f>
        <v/>
      </c>
      <c r="AN8" s="13" t="str">
        <f aca="false">IF($B8="","",IFERROR(ROUND(SUMPRODUCT((Dati!$AQ$3:$CD$3="3.3")*INDEX(Dati!$AQ$1:$CD$1000,MATCH($A8,Dati!$A$1:$A$1000,0),0)*INDEX(Dati!$DS$1:$FF$1000,MATCH($A8,Dati!$A$1:$A$1000,0),0))/SUMPRODUCT((Dati!$AQ$3:$CD$3="3.3")*INDEX(Dati!$DS$1:$FF$1000,MATCH($A8,Dati!$A$1:$A$1000,0),0)),2),""))</f>
        <v/>
      </c>
      <c r="AO8" s="13" t="str">
        <f aca="false">IF($B8="","",IFERROR(ROUND(SUMPRODUCT((Dati!$AQ$3:$CD$3="4.1")*INDEX(Dati!$AQ$1:$CD$1000,MATCH($A8,Dati!$A$1:$A$1000,0),0)*INDEX(Dati!$DS$1:$FF$1000,MATCH($A8,Dati!$A$1:$A$1000,0),0))/SUMPRODUCT((Dati!$AQ$3:$CD$3="4.1")*INDEX(Dati!$DS$1:$FF$1000,MATCH($A8,Dati!$A$1:$A$1000,0),0)),2),""))</f>
        <v/>
      </c>
      <c r="AP8" s="13" t="str">
        <f aca="false">IF($B8="","",IFERROR(ROUND(SUMPRODUCT((Dati!$AQ$3:$CD$3="4.2")*INDEX(Dati!$AQ$1:$CD$1000,MATCH($A8,Dati!$A$1:$A$1000,0),0)*INDEX(Dati!$DS$1:$FF$1000,MATCH($A8,Dati!$A$1:$A$1000,0),0))/SUMPRODUCT((Dati!$AQ$3:$CD$3="4.2")*INDEX(Dati!$DS$1:$FF$1000,MATCH($A8,Dati!$A$1:$A$1000,0),0)),2),""))</f>
        <v/>
      </c>
      <c r="AQ8" s="13" t="str">
        <f aca="false">IF($B8="","",IFERROR(ROUND(SUMPRODUCT((Dati!$AQ$3:$CD$3="4.3")*INDEX(Dati!$AQ$1:$CD$1000,MATCH($A8,Dati!$A$1:$A$1000,0),0)*INDEX(Dati!$DS$1:$FF$1000,MATCH($A8,Dati!$A$1:$A$1000,0),0))/SUMPRODUCT((Dati!$AQ$3:$CD$3="4.3")*INDEX(Dati!$DS$1:$FF$1000,MATCH($A8,Dati!$A$1:$A$1000,0),0)),2),""))</f>
        <v/>
      </c>
      <c r="AR8" s="13" t="n">
        <f aca="false">IF($B8="","",IFERROR(SUMPRODUCT((Dati!$AQ$4:$CD$4="A")*(INDEX(Dati!$DS$1:$FF$1000,MATCH($A8,Dati!$A$1:$A$1000,0),0)&gt;0)),0))</f>
        <v>0</v>
      </c>
      <c r="AS8" s="13" t="str">
        <f aca="false">IF($B8="","",IFERROR(ROUND(SUMPRODUCT((Dati!$AQ$4:$CD$4="A")*INDEX(Dati!$AQ$1:$CD$1000,MATCH($A8,Dati!$A$1:$A$1000,0),0)*INDEX(Dati!$DS$1:$FF$1000,MATCH($A8,Dati!$A$1:$A$1000,0),0))/SUMPRODUCT((Dati!$AQ$4:$CD$4="A")*INDEX(Dati!$DS$1:$FF$1000,MATCH($A8,Dati!$A$1:$A$1000,0),0)),2),""))</f>
        <v/>
      </c>
      <c r="AT8" s="13" t="str">
        <f aca="false">IF(AS8="","",IF(ISNUMBER(BH8),ROUND(Impostazioni!$B$12*AS8+Impostazioni!$B$13*BH8,2),AS8))</f>
        <v/>
      </c>
      <c r="AU8" s="51" t="str">
        <f aca="false">IF(AT8="","",LOOKUP(AT8,Impostazioni!$E$4:$E$9,Impostazioni!$F$4:$F$9))</f>
        <v/>
      </c>
      <c r="AV8" s="52"/>
      <c r="AW8" s="13" t="n">
        <f aca="false">IF($B8="","",IFERROR(SUMPRODUCT((Dati!$AQ$4:$CD$4="B")*(INDEX(Dati!$DS$1:$FF$1000,MATCH($A8,Dati!$A$1:$A$1000,0),0)&gt;0)),0))</f>
        <v>0</v>
      </c>
      <c r="AX8" s="13" t="str">
        <f aca="false">IF($B8="","",IFERROR(ROUND(SUMPRODUCT((Dati!$AQ$4:$CD$4="B")*INDEX(Dati!$AQ$1:$CD$1000,MATCH($A8,Dati!$A$1:$A$1000,0),0)*INDEX(Dati!$DS$1:$FF$1000,MATCH($A8,Dati!$A$1:$A$1000,0),0))/SUMPRODUCT((Dati!$AQ$4:$CD$4="B")*INDEX(Dati!$DS$1:$FF$1000,MATCH($A8,Dati!$A$1:$A$1000,0),0)),2),""))</f>
        <v/>
      </c>
      <c r="AY8" s="13" t="str">
        <f aca="false">IF(AX8="","",IF(ISNUMBER(BH8),ROUND(Impostazioni!$B$12*AX8+Impostazioni!$B$13*BH8,2),AX8))</f>
        <v/>
      </c>
      <c r="AZ8" s="51" t="str">
        <f aca="false">IF(AY8="","",LOOKUP(AY8,Impostazioni!$E$4:$E$9,Impostazioni!$F$4:$F$9))</f>
        <v/>
      </c>
      <c r="BA8" s="52"/>
      <c r="BB8" s="13" t="str">
        <f aca="false">IF($B8="","",IFERROR(ROUND(SUMPRODUCT((Dati!$AQ$4:$CD$4="TEC")*INDEX(Dati!$AQ$1:$CD$1000,MATCH($A8,Dati!$A$1:$A$1000,0),0)*INDEX(Dati!$DS$1:$FF$1000,MATCH($A8,Dati!$A$1:$A$1000,0),0))/SUMPRODUCT((Dati!$AQ$4:$CD$4="TEC")*INDEX(Dati!$DS$1:$FF$1000,MATCH($A8,Dati!$A$1:$A$1000,0),0)),2),""))</f>
        <v/>
      </c>
      <c r="BC8" s="51" t="str">
        <f aca="false">IF(BB8="","",LOOKUP(BB8,Impostazioni!$E$4:$E$9,Impostazioni!$F$4:$F$9))</f>
        <v/>
      </c>
      <c r="BD8" s="52"/>
      <c r="BE8" s="13" t="str">
        <f aca="false">IF($B8="","",IFERROR(ROUND(SUMPRODUCT((Dati!$AQ$4:$CD$4="CIV")*INDEX(Dati!$AQ$1:$CD$1000,MATCH($A8,Dati!$A$1:$A$1000,0),0)*INDEX(Dati!$DS$1:$FF$1000,MATCH($A8,Dati!$A$1:$A$1000,0),0))/SUMPRODUCT((Dati!$AQ$4:$CD$4="CIV")*INDEX(Dati!$DS$1:$FF$1000,MATCH($A8,Dati!$A$1:$A$1000,0),0)),2),""))</f>
        <v/>
      </c>
      <c r="BF8" s="51" t="str">
        <f aca="false">IF(BE8="","",LOOKUP(BE8,Impostazioni!$E$4:$E$9,Impostazioni!$F$4:$F$9))</f>
        <v/>
      </c>
      <c r="BG8" s="52"/>
      <c r="BH8" s="52"/>
      <c r="BI8" s="13" t="n">
        <f aca="false">IF($B8="","",IFERROR(SUM(INDEX(Dati!$FQ$1:$FZ$1000,MATCH($A8,Dati!$A$1:$A$1000,0),0)),0))</f>
        <v>0</v>
      </c>
      <c r="BJ8" s="16" t="str">
        <f aca="false">IF($B8="","",IF($C8="ES","Esonerato: concordare con referente e dirigente",IF($C8="Ritirato","Ritirato",TRIM(IF(OR(N(AR8)&lt;Impostazioni!$B$14,N(AW8)&lt;Impostazioni!$B$14),"Pochi voti: valutazione alternativa (scritta/orale). ","")&amp;IF(N(BI8)&gt;0,"Da recuperare: "&amp;BI8&amp;". ","")&amp;IF($D8="OP","Riferito agli obiettivi personalizzati.","")))))</f>
        <v>Pochi voti: valutazione alternativa (scritta/orale).</v>
      </c>
      <c r="BK8" s="31" t="str">
        <f aca="false">IF($B8="","",IF($C8="ES","ES",IF(AV8&lt;&gt;"",AV8,AU8)))</f>
        <v/>
      </c>
      <c r="BL8" s="31" t="str">
        <f aca="false">IF($B8="","",IF($C8="ES","ES",IF(BA8&lt;&gt;"",BA8,AZ8)))</f>
        <v/>
      </c>
      <c r="BM8" s="31" t="str">
        <f aca="false">IF($B8="","",IF($C8="ES","ES",IF(BD8&lt;&gt;"",BD8,BC8)))</f>
        <v/>
      </c>
      <c r="BN8" s="31" t="str">
        <f aca="false">IF($B8="","",IF($C8="ES","ES",IF(BG8&lt;&gt;"",BG8,BF8)))</f>
        <v/>
      </c>
      <c r="BO8" s="14"/>
    </row>
    <row r="9" customFormat="false" ht="21" hidden="false" customHeight="true" outlineLevel="0" collapsed="false">
      <c r="A9" s="10" t="n">
        <v>2</v>
      </c>
      <c r="B9" s="16" t="str">
        <f aca="false">IFERROR(INDEX(Alunni!$C$1:$C$1000,MATCH($A9,Alunni!$A$1:$A$1000,0))&amp;"","")</f>
        <v>Bianchi Anna (esempio)</v>
      </c>
      <c r="C9" s="13" t="str">
        <f aca="false">IFERROR(INDEX(Alunni!$D$1:$D$1000,MATCH($A9,Alunni!$A$1:$A$1000,0))&amp;"","")</f>
        <v>Attivo</v>
      </c>
      <c r="D9" s="13" t="str">
        <f aca="false">IFERROR(INDEX(Alunni!$E$1:$E$1000,MATCH($A9,Alunni!$A$1:$A$1000,0))&amp;"","")</f>
        <v>OP</v>
      </c>
      <c r="E9" s="13" t="n">
        <f aca="false">IF($B9="","",IFERROR(ROUND(SUMPRODUCT((Dati!$C$3:$AP$3="1.1")*INDEX(Dati!$C$1:$AP$1000,MATCH($A9,Dati!$A$1:$A$1000,0),0)*INDEX(Dati!$CE$1:$DR$1000,MATCH($A9,Dati!$A$1:$A$1000,0),0))/SUMPRODUCT((Dati!$C$3:$AP$3="1.1")*INDEX(Dati!$CE$1:$DR$1000,MATCH($A9,Dati!$A$1:$A$1000,0),0)),2),""))</f>
        <v>7</v>
      </c>
      <c r="F9" s="13" t="str">
        <f aca="false">IF($B9="","",IFERROR(ROUND(SUMPRODUCT((Dati!$C$3:$AP$3="2.1")*INDEX(Dati!$C$1:$AP$1000,MATCH($A9,Dati!$A$1:$A$1000,0),0)*INDEX(Dati!$CE$1:$DR$1000,MATCH($A9,Dati!$A$1:$A$1000,0),0))/SUMPRODUCT((Dati!$C$3:$AP$3="2.1")*INDEX(Dati!$CE$1:$DR$1000,MATCH($A9,Dati!$A$1:$A$1000,0),0)),2),""))</f>
        <v/>
      </c>
      <c r="G9" s="13" t="n">
        <f aca="false">IF($B9="","",IFERROR(ROUND(SUMPRODUCT((Dati!$C$3:$AP$3="3.1")*INDEX(Dati!$C$1:$AP$1000,MATCH($A9,Dati!$A$1:$A$1000,0),0)*INDEX(Dati!$CE$1:$DR$1000,MATCH($A9,Dati!$A$1:$A$1000,0),0))/SUMPRODUCT((Dati!$C$3:$AP$3="3.1")*INDEX(Dati!$CE$1:$DR$1000,MATCH($A9,Dati!$A$1:$A$1000,0),0)),2),""))</f>
        <v>9</v>
      </c>
      <c r="H9" s="13" t="str">
        <f aca="false">IF($B9="","",IFERROR(ROUND(SUMPRODUCT((Dati!$C$3:$AP$3="3.2")*INDEX(Dati!$C$1:$AP$1000,MATCH($A9,Dati!$A$1:$A$1000,0),0)*INDEX(Dati!$CE$1:$DR$1000,MATCH($A9,Dati!$A$1:$A$1000,0),0))/SUMPRODUCT((Dati!$C$3:$AP$3="3.2")*INDEX(Dati!$CE$1:$DR$1000,MATCH($A9,Dati!$A$1:$A$1000,0),0)),2),""))</f>
        <v/>
      </c>
      <c r="I9" s="13" t="n">
        <f aca="false">IF($B9="","",IFERROR(ROUND(SUMPRODUCT((Dati!$C$3:$AP$3="3.3")*INDEX(Dati!$C$1:$AP$1000,MATCH($A9,Dati!$A$1:$A$1000,0),0)*INDEX(Dati!$CE$1:$DR$1000,MATCH($A9,Dati!$A$1:$A$1000,0),0))/SUMPRODUCT((Dati!$C$3:$AP$3="3.3")*INDEX(Dati!$CE$1:$DR$1000,MATCH($A9,Dati!$A$1:$A$1000,0),0)),2),""))</f>
        <v>8</v>
      </c>
      <c r="J9" s="13" t="str">
        <f aca="false">IF($B9="","",IFERROR(ROUND(SUMPRODUCT((Dati!$C$3:$AP$3="4.1")*INDEX(Dati!$C$1:$AP$1000,MATCH($A9,Dati!$A$1:$A$1000,0),0)*INDEX(Dati!$CE$1:$DR$1000,MATCH($A9,Dati!$A$1:$A$1000,0),0))/SUMPRODUCT((Dati!$C$3:$AP$3="4.1")*INDEX(Dati!$CE$1:$DR$1000,MATCH($A9,Dati!$A$1:$A$1000,0),0)),2),""))</f>
        <v/>
      </c>
      <c r="K9" s="13" t="str">
        <f aca="false">IF($B9="","",IFERROR(ROUND(SUMPRODUCT((Dati!$C$3:$AP$3="4.2")*INDEX(Dati!$C$1:$AP$1000,MATCH($A9,Dati!$A$1:$A$1000,0),0)*INDEX(Dati!$CE$1:$DR$1000,MATCH($A9,Dati!$A$1:$A$1000,0),0))/SUMPRODUCT((Dati!$C$3:$AP$3="4.2")*INDEX(Dati!$CE$1:$DR$1000,MATCH($A9,Dati!$A$1:$A$1000,0),0)),2),""))</f>
        <v/>
      </c>
      <c r="L9" s="13" t="str">
        <f aca="false">IF($B9="","",IFERROR(ROUND(SUMPRODUCT((Dati!$C$3:$AP$3="4.3")*INDEX(Dati!$C$1:$AP$1000,MATCH($A9,Dati!$A$1:$A$1000,0),0)*INDEX(Dati!$CE$1:$DR$1000,MATCH($A9,Dati!$A$1:$A$1000,0),0))/SUMPRODUCT((Dati!$C$3:$AP$3="4.3")*INDEX(Dati!$CE$1:$DR$1000,MATCH($A9,Dati!$A$1:$A$1000,0),0)),2),""))</f>
        <v/>
      </c>
      <c r="M9" s="13" t="n">
        <f aca="false">IF($B9="","",IFERROR(SUMPRODUCT((Dati!$C$4:$AP$4="A")*(INDEX(Dati!$CE$1:$DR$1000,MATCH($A9,Dati!$A$1:$A$1000,0),0)&gt;0)),0))</f>
        <v>1</v>
      </c>
      <c r="N9" s="13" t="n">
        <f aca="false">IF($B9="","",IFERROR(ROUND(SUMPRODUCT((Dati!$C$4:$AP$4="A")*INDEX(Dati!$C$1:$AP$1000,MATCH($A9,Dati!$A$1:$A$1000,0),0)*INDEX(Dati!$CE$1:$DR$1000,MATCH($A9,Dati!$A$1:$A$1000,0),0))/SUMPRODUCT((Dati!$C$4:$AP$4="A")*INDEX(Dati!$CE$1:$DR$1000,MATCH($A9,Dati!$A$1:$A$1000,0),0)),2),""))</f>
        <v>7</v>
      </c>
      <c r="O9" s="13" t="n">
        <f aca="false">IF(N9="","",IF(ISNUMBER(AC9),ROUND(Impostazioni!$B$12*N9+Impostazioni!$B$13*AC9,2),N9))</f>
        <v>7</v>
      </c>
      <c r="P9" s="51" t="str">
        <f aca="false">IF(O9="","",LOOKUP(O9,Impostazioni!$E$4:$E$9,Impostazioni!$F$4:$F$9))</f>
        <v>Discreto</v>
      </c>
      <c r="Q9" s="52"/>
      <c r="R9" s="13" t="n">
        <f aca="false">IF($B9="","",IFERROR(SUMPRODUCT((Dati!$C$4:$AP$4="B")*(INDEX(Dati!$CE$1:$DR$1000,MATCH($A9,Dati!$A$1:$A$1000,0),0)&gt;0)),0))</f>
        <v>2</v>
      </c>
      <c r="S9" s="13" t="n">
        <f aca="false">IF($B9="","",IFERROR(ROUND(SUMPRODUCT((Dati!$C$4:$AP$4="B")*INDEX(Dati!$C$1:$AP$1000,MATCH($A9,Dati!$A$1:$A$1000,0),0)*INDEX(Dati!$CE$1:$DR$1000,MATCH($A9,Dati!$A$1:$A$1000,0),0))/SUMPRODUCT((Dati!$C$4:$AP$4="B")*INDEX(Dati!$CE$1:$DR$1000,MATCH($A9,Dati!$A$1:$A$1000,0),0)),2),""))</f>
        <v>8.5</v>
      </c>
      <c r="T9" s="13" t="n">
        <f aca="false">IF(S9="","",IF(ISNUMBER(AC9),ROUND(Impostazioni!$B$12*S9+Impostazioni!$B$13*AC9,2),S9))</f>
        <v>8.5</v>
      </c>
      <c r="U9" s="51" t="str">
        <f aca="false">IF(T9="","",LOOKUP(T9,Impostazioni!$E$4:$E$9,Impostazioni!$F$4:$F$9))</f>
        <v>Distinto</v>
      </c>
      <c r="V9" s="52"/>
      <c r="W9" s="13" t="str">
        <f aca="false">IF($B9="","",IFERROR(ROUND(SUMPRODUCT((Dati!$C$4:$AP$4="TEC")*INDEX(Dati!$C$1:$AP$1000,MATCH($A9,Dati!$A$1:$A$1000,0),0)*INDEX(Dati!$CE$1:$DR$1000,MATCH($A9,Dati!$A$1:$A$1000,0),0))/SUMPRODUCT((Dati!$C$4:$AP$4="TEC")*INDEX(Dati!$CE$1:$DR$1000,MATCH($A9,Dati!$A$1:$A$1000,0),0)),2),""))</f>
        <v/>
      </c>
      <c r="X9" s="51" t="str">
        <f aca="false">IF(W9="","",LOOKUP(W9,Impostazioni!$E$4:$E$9,Impostazioni!$F$4:$F$9))</f>
        <v/>
      </c>
      <c r="Y9" s="52"/>
      <c r="Z9" s="13" t="str">
        <f aca="false">IF($B9="","",IFERROR(ROUND(SUMPRODUCT((Dati!$C$4:$AP$4="CIV")*INDEX(Dati!$C$1:$AP$1000,MATCH($A9,Dati!$A$1:$A$1000,0),0)*INDEX(Dati!$CE$1:$DR$1000,MATCH($A9,Dati!$A$1:$A$1000,0),0))/SUMPRODUCT((Dati!$C$4:$AP$4="CIV")*INDEX(Dati!$CE$1:$DR$1000,MATCH($A9,Dati!$A$1:$A$1000,0),0)),2),""))</f>
        <v/>
      </c>
      <c r="AA9" s="51" t="str">
        <f aca="false">IF(Z9="","",LOOKUP(Z9,Impostazioni!$E$4:$E$9,Impostazioni!$F$4:$F$9))</f>
        <v/>
      </c>
      <c r="AB9" s="52"/>
      <c r="AC9" s="52"/>
      <c r="AD9" s="13" t="n">
        <f aca="false">IF($B9="","",IFERROR(SUM(INDEX(Dati!$FG$1:$FP$1000,MATCH($A9,Dati!$A$1:$A$1000,0),0)),0))</f>
        <v>1</v>
      </c>
      <c r="AE9" s="16" t="str">
        <f aca="false">IF($B9="","",IF($C9="ES","Esonerato: concordare con referente e dirigente",IF($C9="Ritirato","Ritirato",TRIM(IF(OR(N(M9)&lt;Impostazioni!$B$14,N(R9)&lt;Impostazioni!$B$14),"Pochi voti: valutazione alternativa (scritta/orale). ","")&amp;IF(N(AD9)&gt;0,"Da recuperare: "&amp;AD9&amp;". ","")&amp;IF($D9="OP","Riferito agli obiettivi personalizzati.","")))))</f>
        <v>Pochi voti: valutazione alternativa (scritta/orale). Da recuperare: 1. Riferito agli obiettivi personalizzati.</v>
      </c>
      <c r="AF9" s="31" t="str">
        <f aca="false">IF($B9="","",IF($C9="ES","ES",IF(Q9&lt;&gt;"",Q9,P9)))</f>
        <v>Discreto</v>
      </c>
      <c r="AG9" s="31" t="str">
        <f aca="false">IF($B9="","",IF($C9="ES","ES",IF(V9&lt;&gt;"",V9,U9)))</f>
        <v>Distinto</v>
      </c>
      <c r="AH9" s="31" t="str">
        <f aca="false">IF($B9="","",IF($C9="ES","ES",IF(Y9&lt;&gt;"",Y9,X9)))</f>
        <v/>
      </c>
      <c r="AI9" s="31" t="str">
        <f aca="false">IF($B9="","",IF($C9="ES","ES",IF(AB9&lt;&gt;"",AB9,AA9)))</f>
        <v/>
      </c>
      <c r="AJ9" s="13" t="str">
        <f aca="false">IF($B9="","",IFERROR(ROUND(SUMPRODUCT((Dati!$AQ$3:$CD$3="1.1")*INDEX(Dati!$AQ$1:$CD$1000,MATCH($A9,Dati!$A$1:$A$1000,0),0)*INDEX(Dati!$DS$1:$FF$1000,MATCH($A9,Dati!$A$1:$A$1000,0),0))/SUMPRODUCT((Dati!$AQ$3:$CD$3="1.1")*INDEX(Dati!$DS$1:$FF$1000,MATCH($A9,Dati!$A$1:$A$1000,0),0)),2),""))</f>
        <v/>
      </c>
      <c r="AK9" s="13" t="str">
        <f aca="false">IF($B9="","",IFERROR(ROUND(SUMPRODUCT((Dati!$AQ$3:$CD$3="2.1")*INDEX(Dati!$AQ$1:$CD$1000,MATCH($A9,Dati!$A$1:$A$1000,0),0)*INDEX(Dati!$DS$1:$FF$1000,MATCH($A9,Dati!$A$1:$A$1000,0),0))/SUMPRODUCT((Dati!$AQ$3:$CD$3="2.1")*INDEX(Dati!$DS$1:$FF$1000,MATCH($A9,Dati!$A$1:$A$1000,0),0)),2),""))</f>
        <v/>
      </c>
      <c r="AL9" s="13" t="str">
        <f aca="false">IF($B9="","",IFERROR(ROUND(SUMPRODUCT((Dati!$AQ$3:$CD$3="3.1")*INDEX(Dati!$AQ$1:$CD$1000,MATCH($A9,Dati!$A$1:$A$1000,0),0)*INDEX(Dati!$DS$1:$FF$1000,MATCH($A9,Dati!$A$1:$A$1000,0),0))/SUMPRODUCT((Dati!$AQ$3:$CD$3="3.1")*INDEX(Dati!$DS$1:$FF$1000,MATCH($A9,Dati!$A$1:$A$1000,0),0)),2),""))</f>
        <v/>
      </c>
      <c r="AM9" s="13" t="str">
        <f aca="false">IF($B9="","",IFERROR(ROUND(SUMPRODUCT((Dati!$AQ$3:$CD$3="3.2")*INDEX(Dati!$AQ$1:$CD$1000,MATCH($A9,Dati!$A$1:$A$1000,0),0)*INDEX(Dati!$DS$1:$FF$1000,MATCH($A9,Dati!$A$1:$A$1000,0),0))/SUMPRODUCT((Dati!$AQ$3:$CD$3="3.2")*INDEX(Dati!$DS$1:$FF$1000,MATCH($A9,Dati!$A$1:$A$1000,0),0)),2),""))</f>
        <v/>
      </c>
      <c r="AN9" s="13" t="str">
        <f aca="false">IF($B9="","",IFERROR(ROUND(SUMPRODUCT((Dati!$AQ$3:$CD$3="3.3")*INDEX(Dati!$AQ$1:$CD$1000,MATCH($A9,Dati!$A$1:$A$1000,0),0)*INDEX(Dati!$DS$1:$FF$1000,MATCH($A9,Dati!$A$1:$A$1000,0),0))/SUMPRODUCT((Dati!$AQ$3:$CD$3="3.3")*INDEX(Dati!$DS$1:$FF$1000,MATCH($A9,Dati!$A$1:$A$1000,0),0)),2),""))</f>
        <v/>
      </c>
      <c r="AO9" s="13" t="str">
        <f aca="false">IF($B9="","",IFERROR(ROUND(SUMPRODUCT((Dati!$AQ$3:$CD$3="4.1")*INDEX(Dati!$AQ$1:$CD$1000,MATCH($A9,Dati!$A$1:$A$1000,0),0)*INDEX(Dati!$DS$1:$FF$1000,MATCH($A9,Dati!$A$1:$A$1000,0),0))/SUMPRODUCT((Dati!$AQ$3:$CD$3="4.1")*INDEX(Dati!$DS$1:$FF$1000,MATCH($A9,Dati!$A$1:$A$1000,0),0)),2),""))</f>
        <v/>
      </c>
      <c r="AP9" s="13" t="str">
        <f aca="false">IF($B9="","",IFERROR(ROUND(SUMPRODUCT((Dati!$AQ$3:$CD$3="4.2")*INDEX(Dati!$AQ$1:$CD$1000,MATCH($A9,Dati!$A$1:$A$1000,0),0)*INDEX(Dati!$DS$1:$FF$1000,MATCH($A9,Dati!$A$1:$A$1000,0),0))/SUMPRODUCT((Dati!$AQ$3:$CD$3="4.2")*INDEX(Dati!$DS$1:$FF$1000,MATCH($A9,Dati!$A$1:$A$1000,0),0)),2),""))</f>
        <v/>
      </c>
      <c r="AQ9" s="13" t="str">
        <f aca="false">IF($B9="","",IFERROR(ROUND(SUMPRODUCT((Dati!$AQ$3:$CD$3="4.3")*INDEX(Dati!$AQ$1:$CD$1000,MATCH($A9,Dati!$A$1:$A$1000,0),0)*INDEX(Dati!$DS$1:$FF$1000,MATCH($A9,Dati!$A$1:$A$1000,0),0))/SUMPRODUCT((Dati!$AQ$3:$CD$3="4.3")*INDEX(Dati!$DS$1:$FF$1000,MATCH($A9,Dati!$A$1:$A$1000,0),0)),2),""))</f>
        <v/>
      </c>
      <c r="AR9" s="13" t="n">
        <f aca="false">IF($B9="","",IFERROR(SUMPRODUCT((Dati!$AQ$4:$CD$4="A")*(INDEX(Dati!$DS$1:$FF$1000,MATCH($A9,Dati!$A$1:$A$1000,0),0)&gt;0)),0))</f>
        <v>0</v>
      </c>
      <c r="AS9" s="13" t="str">
        <f aca="false">IF($B9="","",IFERROR(ROUND(SUMPRODUCT((Dati!$AQ$4:$CD$4="A")*INDEX(Dati!$AQ$1:$CD$1000,MATCH($A9,Dati!$A$1:$A$1000,0),0)*INDEX(Dati!$DS$1:$FF$1000,MATCH($A9,Dati!$A$1:$A$1000,0),0))/SUMPRODUCT((Dati!$AQ$4:$CD$4="A")*INDEX(Dati!$DS$1:$FF$1000,MATCH($A9,Dati!$A$1:$A$1000,0),0)),2),""))</f>
        <v/>
      </c>
      <c r="AT9" s="13" t="str">
        <f aca="false">IF(AS9="","",IF(ISNUMBER(BH9),ROUND(Impostazioni!$B$12*AS9+Impostazioni!$B$13*BH9,2),AS9))</f>
        <v/>
      </c>
      <c r="AU9" s="51" t="str">
        <f aca="false">IF(AT9="","",LOOKUP(AT9,Impostazioni!$E$4:$E$9,Impostazioni!$F$4:$F$9))</f>
        <v/>
      </c>
      <c r="AV9" s="52"/>
      <c r="AW9" s="13" t="n">
        <f aca="false">IF($B9="","",IFERROR(SUMPRODUCT((Dati!$AQ$4:$CD$4="B")*(INDEX(Dati!$DS$1:$FF$1000,MATCH($A9,Dati!$A$1:$A$1000,0),0)&gt;0)),0))</f>
        <v>0</v>
      </c>
      <c r="AX9" s="13" t="str">
        <f aca="false">IF($B9="","",IFERROR(ROUND(SUMPRODUCT((Dati!$AQ$4:$CD$4="B")*INDEX(Dati!$AQ$1:$CD$1000,MATCH($A9,Dati!$A$1:$A$1000,0),0)*INDEX(Dati!$DS$1:$FF$1000,MATCH($A9,Dati!$A$1:$A$1000,0),0))/SUMPRODUCT((Dati!$AQ$4:$CD$4="B")*INDEX(Dati!$DS$1:$FF$1000,MATCH($A9,Dati!$A$1:$A$1000,0),0)),2),""))</f>
        <v/>
      </c>
      <c r="AY9" s="13" t="str">
        <f aca="false">IF(AX9="","",IF(ISNUMBER(BH9),ROUND(Impostazioni!$B$12*AX9+Impostazioni!$B$13*BH9,2),AX9))</f>
        <v/>
      </c>
      <c r="AZ9" s="51" t="str">
        <f aca="false">IF(AY9="","",LOOKUP(AY9,Impostazioni!$E$4:$E$9,Impostazioni!$F$4:$F$9))</f>
        <v/>
      </c>
      <c r="BA9" s="52"/>
      <c r="BB9" s="13" t="str">
        <f aca="false">IF($B9="","",IFERROR(ROUND(SUMPRODUCT((Dati!$AQ$4:$CD$4="TEC")*INDEX(Dati!$AQ$1:$CD$1000,MATCH($A9,Dati!$A$1:$A$1000,0),0)*INDEX(Dati!$DS$1:$FF$1000,MATCH($A9,Dati!$A$1:$A$1000,0),0))/SUMPRODUCT((Dati!$AQ$4:$CD$4="TEC")*INDEX(Dati!$DS$1:$FF$1000,MATCH($A9,Dati!$A$1:$A$1000,0),0)),2),""))</f>
        <v/>
      </c>
      <c r="BC9" s="51" t="str">
        <f aca="false">IF(BB9="","",LOOKUP(BB9,Impostazioni!$E$4:$E$9,Impostazioni!$F$4:$F$9))</f>
        <v/>
      </c>
      <c r="BD9" s="52"/>
      <c r="BE9" s="13" t="str">
        <f aca="false">IF($B9="","",IFERROR(ROUND(SUMPRODUCT((Dati!$AQ$4:$CD$4="CIV")*INDEX(Dati!$AQ$1:$CD$1000,MATCH($A9,Dati!$A$1:$A$1000,0),0)*INDEX(Dati!$DS$1:$FF$1000,MATCH($A9,Dati!$A$1:$A$1000,0),0))/SUMPRODUCT((Dati!$AQ$4:$CD$4="CIV")*INDEX(Dati!$DS$1:$FF$1000,MATCH($A9,Dati!$A$1:$A$1000,0),0)),2),""))</f>
        <v/>
      </c>
      <c r="BF9" s="51" t="str">
        <f aca="false">IF(BE9="","",LOOKUP(BE9,Impostazioni!$E$4:$E$9,Impostazioni!$F$4:$F$9))</f>
        <v/>
      </c>
      <c r="BG9" s="52"/>
      <c r="BH9" s="52"/>
      <c r="BI9" s="13" t="n">
        <f aca="false">IF($B9="","",IFERROR(SUM(INDEX(Dati!$FQ$1:$FZ$1000,MATCH($A9,Dati!$A$1:$A$1000,0),0)),0))</f>
        <v>0</v>
      </c>
      <c r="BJ9" s="16" t="str">
        <f aca="false">IF($B9="","",IF($C9="ES","Esonerato: concordare con referente e dirigente",IF($C9="Ritirato","Ritirato",TRIM(IF(OR(N(AR9)&lt;Impostazioni!$B$14,N(AW9)&lt;Impostazioni!$B$14),"Pochi voti: valutazione alternativa (scritta/orale). ","")&amp;IF(N(BI9)&gt;0,"Da recuperare: "&amp;BI9&amp;". ","")&amp;IF($D9="OP","Riferito agli obiettivi personalizzati.","")))))</f>
        <v>Pochi voti: valutazione alternativa (scritta/orale). Riferito agli obiettivi personalizzati.</v>
      </c>
      <c r="BK9" s="31" t="str">
        <f aca="false">IF($B9="","",IF($C9="ES","ES",IF(AV9&lt;&gt;"",AV9,AU9)))</f>
        <v/>
      </c>
      <c r="BL9" s="31" t="str">
        <f aca="false">IF($B9="","",IF($C9="ES","ES",IF(BA9&lt;&gt;"",BA9,AZ9)))</f>
        <v/>
      </c>
      <c r="BM9" s="31" t="str">
        <f aca="false">IF($B9="","",IF($C9="ES","ES",IF(BD9&lt;&gt;"",BD9,BC9)))</f>
        <v/>
      </c>
      <c r="BN9" s="31" t="str">
        <f aca="false">IF($B9="","",IF($C9="ES","ES",IF(BG9&lt;&gt;"",BG9,BF9)))</f>
        <v/>
      </c>
      <c r="BO9" s="14"/>
    </row>
    <row r="10" customFormat="false" ht="21" hidden="false" customHeight="true" outlineLevel="0" collapsed="false">
      <c r="A10" s="10" t="n">
        <v>3</v>
      </c>
      <c r="B10" s="16" t="str">
        <f aca="false">IFERROR(INDEX(Alunni!$C$1:$C$1000,MATCH($A10,Alunni!$A$1:$A$1000,0))&amp;"","")</f>
        <v>Verdi Luca (esempio)</v>
      </c>
      <c r="C10" s="13" t="str">
        <f aca="false">IFERROR(INDEX(Alunni!$D$1:$D$1000,MATCH($A10,Alunni!$A$1:$A$1000,0))&amp;"","")</f>
        <v>ES</v>
      </c>
      <c r="D10" s="13" t="str">
        <f aca="false">IFERROR(INDEX(Alunni!$E$1:$E$1000,MATCH($A10,Alunni!$A$1:$A$1000,0))&amp;"","")</f>
        <v/>
      </c>
      <c r="E10" s="13" t="str">
        <f aca="false">IF($B10="","",IFERROR(ROUND(SUMPRODUCT((Dati!$C$3:$AP$3="1.1")*INDEX(Dati!$C$1:$AP$1000,MATCH($A10,Dati!$A$1:$A$1000,0),0)*INDEX(Dati!$CE$1:$DR$1000,MATCH($A10,Dati!$A$1:$A$1000,0),0))/SUMPRODUCT((Dati!$C$3:$AP$3="1.1")*INDEX(Dati!$CE$1:$DR$1000,MATCH($A10,Dati!$A$1:$A$1000,0),0)),2),""))</f>
        <v/>
      </c>
      <c r="F10" s="13" t="str">
        <f aca="false">IF($B10="","",IFERROR(ROUND(SUMPRODUCT((Dati!$C$3:$AP$3="2.1")*INDEX(Dati!$C$1:$AP$1000,MATCH($A10,Dati!$A$1:$A$1000,0),0)*INDEX(Dati!$CE$1:$DR$1000,MATCH($A10,Dati!$A$1:$A$1000,0),0))/SUMPRODUCT((Dati!$C$3:$AP$3="2.1")*INDEX(Dati!$CE$1:$DR$1000,MATCH($A10,Dati!$A$1:$A$1000,0),0)),2),""))</f>
        <v/>
      </c>
      <c r="G10" s="13" t="str">
        <f aca="false">IF($B10="","",IFERROR(ROUND(SUMPRODUCT((Dati!$C$3:$AP$3="3.1")*INDEX(Dati!$C$1:$AP$1000,MATCH($A10,Dati!$A$1:$A$1000,0),0)*INDEX(Dati!$CE$1:$DR$1000,MATCH($A10,Dati!$A$1:$A$1000,0),0))/SUMPRODUCT((Dati!$C$3:$AP$3="3.1")*INDEX(Dati!$CE$1:$DR$1000,MATCH($A10,Dati!$A$1:$A$1000,0),0)),2),""))</f>
        <v/>
      </c>
      <c r="H10" s="13" t="str">
        <f aca="false">IF($B10="","",IFERROR(ROUND(SUMPRODUCT((Dati!$C$3:$AP$3="3.2")*INDEX(Dati!$C$1:$AP$1000,MATCH($A10,Dati!$A$1:$A$1000,0),0)*INDEX(Dati!$CE$1:$DR$1000,MATCH($A10,Dati!$A$1:$A$1000,0),0))/SUMPRODUCT((Dati!$C$3:$AP$3="3.2")*INDEX(Dati!$CE$1:$DR$1000,MATCH($A10,Dati!$A$1:$A$1000,0),0)),2),""))</f>
        <v/>
      </c>
      <c r="I10" s="13" t="str">
        <f aca="false">IF($B10="","",IFERROR(ROUND(SUMPRODUCT((Dati!$C$3:$AP$3="3.3")*INDEX(Dati!$C$1:$AP$1000,MATCH($A10,Dati!$A$1:$A$1000,0),0)*INDEX(Dati!$CE$1:$DR$1000,MATCH($A10,Dati!$A$1:$A$1000,0),0))/SUMPRODUCT((Dati!$C$3:$AP$3="3.3")*INDEX(Dati!$CE$1:$DR$1000,MATCH($A10,Dati!$A$1:$A$1000,0),0)),2),""))</f>
        <v/>
      </c>
      <c r="J10" s="13" t="str">
        <f aca="false">IF($B10="","",IFERROR(ROUND(SUMPRODUCT((Dati!$C$3:$AP$3="4.1")*INDEX(Dati!$C$1:$AP$1000,MATCH($A10,Dati!$A$1:$A$1000,0),0)*INDEX(Dati!$CE$1:$DR$1000,MATCH($A10,Dati!$A$1:$A$1000,0),0))/SUMPRODUCT((Dati!$C$3:$AP$3="4.1")*INDEX(Dati!$CE$1:$DR$1000,MATCH($A10,Dati!$A$1:$A$1000,0),0)),2),""))</f>
        <v/>
      </c>
      <c r="K10" s="13" t="str">
        <f aca="false">IF($B10="","",IFERROR(ROUND(SUMPRODUCT((Dati!$C$3:$AP$3="4.2")*INDEX(Dati!$C$1:$AP$1000,MATCH($A10,Dati!$A$1:$A$1000,0),0)*INDEX(Dati!$CE$1:$DR$1000,MATCH($A10,Dati!$A$1:$A$1000,0),0))/SUMPRODUCT((Dati!$C$3:$AP$3="4.2")*INDEX(Dati!$CE$1:$DR$1000,MATCH($A10,Dati!$A$1:$A$1000,0),0)),2),""))</f>
        <v/>
      </c>
      <c r="L10" s="13" t="str">
        <f aca="false">IF($B10="","",IFERROR(ROUND(SUMPRODUCT((Dati!$C$3:$AP$3="4.3")*INDEX(Dati!$C$1:$AP$1000,MATCH($A10,Dati!$A$1:$A$1000,0),0)*INDEX(Dati!$CE$1:$DR$1000,MATCH($A10,Dati!$A$1:$A$1000,0),0))/SUMPRODUCT((Dati!$C$3:$AP$3="4.3")*INDEX(Dati!$CE$1:$DR$1000,MATCH($A10,Dati!$A$1:$A$1000,0),0)),2),""))</f>
        <v/>
      </c>
      <c r="M10" s="13" t="n">
        <f aca="false">IF($B10="","",IFERROR(SUMPRODUCT((Dati!$C$4:$AP$4="A")*(INDEX(Dati!$CE$1:$DR$1000,MATCH($A10,Dati!$A$1:$A$1000,0),0)&gt;0)),0))</f>
        <v>0</v>
      </c>
      <c r="N10" s="13" t="str">
        <f aca="false">IF($B10="","",IFERROR(ROUND(SUMPRODUCT((Dati!$C$4:$AP$4="A")*INDEX(Dati!$C$1:$AP$1000,MATCH($A10,Dati!$A$1:$A$1000,0),0)*INDEX(Dati!$CE$1:$DR$1000,MATCH($A10,Dati!$A$1:$A$1000,0),0))/SUMPRODUCT((Dati!$C$4:$AP$4="A")*INDEX(Dati!$CE$1:$DR$1000,MATCH($A10,Dati!$A$1:$A$1000,0),0)),2),""))</f>
        <v/>
      </c>
      <c r="O10" s="13" t="str">
        <f aca="false">IF(N10="","",IF(ISNUMBER(AC10),ROUND(Impostazioni!$B$12*N10+Impostazioni!$B$13*AC10,2),N10))</f>
        <v/>
      </c>
      <c r="P10" s="51" t="str">
        <f aca="false">IF(O10="","",LOOKUP(O10,Impostazioni!$E$4:$E$9,Impostazioni!$F$4:$F$9))</f>
        <v/>
      </c>
      <c r="Q10" s="52"/>
      <c r="R10" s="13" t="n">
        <f aca="false">IF($B10="","",IFERROR(SUMPRODUCT((Dati!$C$4:$AP$4="B")*(INDEX(Dati!$CE$1:$DR$1000,MATCH($A10,Dati!$A$1:$A$1000,0),0)&gt;0)),0))</f>
        <v>0</v>
      </c>
      <c r="S10" s="13" t="str">
        <f aca="false">IF($B10="","",IFERROR(ROUND(SUMPRODUCT((Dati!$C$4:$AP$4="B")*INDEX(Dati!$C$1:$AP$1000,MATCH($A10,Dati!$A$1:$A$1000,0),0)*INDEX(Dati!$CE$1:$DR$1000,MATCH($A10,Dati!$A$1:$A$1000,0),0))/SUMPRODUCT((Dati!$C$4:$AP$4="B")*INDEX(Dati!$CE$1:$DR$1000,MATCH($A10,Dati!$A$1:$A$1000,0),0)),2),""))</f>
        <v/>
      </c>
      <c r="T10" s="13" t="str">
        <f aca="false">IF(S10="","",IF(ISNUMBER(AC10),ROUND(Impostazioni!$B$12*S10+Impostazioni!$B$13*AC10,2),S10))</f>
        <v/>
      </c>
      <c r="U10" s="51" t="str">
        <f aca="false">IF(T10="","",LOOKUP(T10,Impostazioni!$E$4:$E$9,Impostazioni!$F$4:$F$9))</f>
        <v/>
      </c>
      <c r="V10" s="52"/>
      <c r="W10" s="13" t="str">
        <f aca="false">IF($B10="","",IFERROR(ROUND(SUMPRODUCT((Dati!$C$4:$AP$4="TEC")*INDEX(Dati!$C$1:$AP$1000,MATCH($A10,Dati!$A$1:$A$1000,0),0)*INDEX(Dati!$CE$1:$DR$1000,MATCH($A10,Dati!$A$1:$A$1000,0),0))/SUMPRODUCT((Dati!$C$4:$AP$4="TEC")*INDEX(Dati!$CE$1:$DR$1000,MATCH($A10,Dati!$A$1:$A$1000,0),0)),2),""))</f>
        <v/>
      </c>
      <c r="X10" s="51" t="str">
        <f aca="false">IF(W10="","",LOOKUP(W10,Impostazioni!$E$4:$E$9,Impostazioni!$F$4:$F$9))</f>
        <v/>
      </c>
      <c r="Y10" s="52"/>
      <c r="Z10" s="13" t="str">
        <f aca="false">IF($B10="","",IFERROR(ROUND(SUMPRODUCT((Dati!$C$4:$AP$4="CIV")*INDEX(Dati!$C$1:$AP$1000,MATCH($A10,Dati!$A$1:$A$1000,0),0)*INDEX(Dati!$CE$1:$DR$1000,MATCH($A10,Dati!$A$1:$A$1000,0),0))/SUMPRODUCT((Dati!$C$4:$AP$4="CIV")*INDEX(Dati!$CE$1:$DR$1000,MATCH($A10,Dati!$A$1:$A$1000,0),0)),2),""))</f>
        <v/>
      </c>
      <c r="AA10" s="51" t="str">
        <f aca="false">IF(Z10="","",LOOKUP(Z10,Impostazioni!$E$4:$E$9,Impostazioni!$F$4:$F$9))</f>
        <v/>
      </c>
      <c r="AB10" s="52"/>
      <c r="AC10" s="52"/>
      <c r="AD10" s="13" t="n">
        <f aca="false">IF($B10="","",IFERROR(SUM(INDEX(Dati!$FG$1:$FP$1000,MATCH($A10,Dati!$A$1:$A$1000,0),0)),0))</f>
        <v>0</v>
      </c>
      <c r="AE10" s="16" t="str">
        <f aca="false">IF($B10="","",IF($C10="ES","Esonerato: concordare con referente e dirigente",IF($C10="Ritirato","Ritirato",TRIM(IF(OR(N(M10)&lt;Impostazioni!$B$14,N(R10)&lt;Impostazioni!$B$14),"Pochi voti: valutazione alternativa (scritta/orale). ","")&amp;IF(N(AD10)&gt;0,"Da recuperare: "&amp;AD10&amp;". ","")&amp;IF($D10="OP","Riferito agli obiettivi personalizzati.","")))))</f>
        <v>Esonerato: concordare con referente e dirigente</v>
      </c>
      <c r="AF10" s="31" t="str">
        <f aca="false">IF($B10="","",IF($C10="ES","ES",IF(Q10&lt;&gt;"",Q10,P10)))</f>
        <v>ES</v>
      </c>
      <c r="AG10" s="31" t="str">
        <f aca="false">IF($B10="","",IF($C10="ES","ES",IF(V10&lt;&gt;"",V10,U10)))</f>
        <v>ES</v>
      </c>
      <c r="AH10" s="31" t="str">
        <f aca="false">IF($B10="","",IF($C10="ES","ES",IF(Y10&lt;&gt;"",Y10,X10)))</f>
        <v>ES</v>
      </c>
      <c r="AI10" s="31" t="str">
        <f aca="false">IF($B10="","",IF($C10="ES","ES",IF(AB10&lt;&gt;"",AB10,AA10)))</f>
        <v>ES</v>
      </c>
      <c r="AJ10" s="13" t="str">
        <f aca="false">IF($B10="","",IFERROR(ROUND(SUMPRODUCT((Dati!$AQ$3:$CD$3="1.1")*INDEX(Dati!$AQ$1:$CD$1000,MATCH($A10,Dati!$A$1:$A$1000,0),0)*INDEX(Dati!$DS$1:$FF$1000,MATCH($A10,Dati!$A$1:$A$1000,0),0))/SUMPRODUCT((Dati!$AQ$3:$CD$3="1.1")*INDEX(Dati!$DS$1:$FF$1000,MATCH($A10,Dati!$A$1:$A$1000,0),0)),2),""))</f>
        <v/>
      </c>
      <c r="AK10" s="13" t="str">
        <f aca="false">IF($B10="","",IFERROR(ROUND(SUMPRODUCT((Dati!$AQ$3:$CD$3="2.1")*INDEX(Dati!$AQ$1:$CD$1000,MATCH($A10,Dati!$A$1:$A$1000,0),0)*INDEX(Dati!$DS$1:$FF$1000,MATCH($A10,Dati!$A$1:$A$1000,0),0))/SUMPRODUCT((Dati!$AQ$3:$CD$3="2.1")*INDEX(Dati!$DS$1:$FF$1000,MATCH($A10,Dati!$A$1:$A$1000,0),0)),2),""))</f>
        <v/>
      </c>
      <c r="AL10" s="13" t="str">
        <f aca="false">IF($B10="","",IFERROR(ROUND(SUMPRODUCT((Dati!$AQ$3:$CD$3="3.1")*INDEX(Dati!$AQ$1:$CD$1000,MATCH($A10,Dati!$A$1:$A$1000,0),0)*INDEX(Dati!$DS$1:$FF$1000,MATCH($A10,Dati!$A$1:$A$1000,0),0))/SUMPRODUCT((Dati!$AQ$3:$CD$3="3.1")*INDEX(Dati!$DS$1:$FF$1000,MATCH($A10,Dati!$A$1:$A$1000,0),0)),2),""))</f>
        <v/>
      </c>
      <c r="AM10" s="13" t="str">
        <f aca="false">IF($B10="","",IFERROR(ROUND(SUMPRODUCT((Dati!$AQ$3:$CD$3="3.2")*INDEX(Dati!$AQ$1:$CD$1000,MATCH($A10,Dati!$A$1:$A$1000,0),0)*INDEX(Dati!$DS$1:$FF$1000,MATCH($A10,Dati!$A$1:$A$1000,0),0))/SUMPRODUCT((Dati!$AQ$3:$CD$3="3.2")*INDEX(Dati!$DS$1:$FF$1000,MATCH($A10,Dati!$A$1:$A$1000,0),0)),2),""))</f>
        <v/>
      </c>
      <c r="AN10" s="13" t="str">
        <f aca="false">IF($B10="","",IFERROR(ROUND(SUMPRODUCT((Dati!$AQ$3:$CD$3="3.3")*INDEX(Dati!$AQ$1:$CD$1000,MATCH($A10,Dati!$A$1:$A$1000,0),0)*INDEX(Dati!$DS$1:$FF$1000,MATCH($A10,Dati!$A$1:$A$1000,0),0))/SUMPRODUCT((Dati!$AQ$3:$CD$3="3.3")*INDEX(Dati!$DS$1:$FF$1000,MATCH($A10,Dati!$A$1:$A$1000,0),0)),2),""))</f>
        <v/>
      </c>
      <c r="AO10" s="13" t="str">
        <f aca="false">IF($B10="","",IFERROR(ROUND(SUMPRODUCT((Dati!$AQ$3:$CD$3="4.1")*INDEX(Dati!$AQ$1:$CD$1000,MATCH($A10,Dati!$A$1:$A$1000,0),0)*INDEX(Dati!$DS$1:$FF$1000,MATCH($A10,Dati!$A$1:$A$1000,0),0))/SUMPRODUCT((Dati!$AQ$3:$CD$3="4.1")*INDEX(Dati!$DS$1:$FF$1000,MATCH($A10,Dati!$A$1:$A$1000,0),0)),2),""))</f>
        <v/>
      </c>
      <c r="AP10" s="13" t="str">
        <f aca="false">IF($B10="","",IFERROR(ROUND(SUMPRODUCT((Dati!$AQ$3:$CD$3="4.2")*INDEX(Dati!$AQ$1:$CD$1000,MATCH($A10,Dati!$A$1:$A$1000,0),0)*INDEX(Dati!$DS$1:$FF$1000,MATCH($A10,Dati!$A$1:$A$1000,0),0))/SUMPRODUCT((Dati!$AQ$3:$CD$3="4.2")*INDEX(Dati!$DS$1:$FF$1000,MATCH($A10,Dati!$A$1:$A$1000,0),0)),2),""))</f>
        <v/>
      </c>
      <c r="AQ10" s="13" t="str">
        <f aca="false">IF($B10="","",IFERROR(ROUND(SUMPRODUCT((Dati!$AQ$3:$CD$3="4.3")*INDEX(Dati!$AQ$1:$CD$1000,MATCH($A10,Dati!$A$1:$A$1000,0),0)*INDEX(Dati!$DS$1:$FF$1000,MATCH($A10,Dati!$A$1:$A$1000,0),0))/SUMPRODUCT((Dati!$AQ$3:$CD$3="4.3")*INDEX(Dati!$DS$1:$FF$1000,MATCH($A10,Dati!$A$1:$A$1000,0),0)),2),""))</f>
        <v/>
      </c>
      <c r="AR10" s="13" t="n">
        <f aca="false">IF($B10="","",IFERROR(SUMPRODUCT((Dati!$AQ$4:$CD$4="A")*(INDEX(Dati!$DS$1:$FF$1000,MATCH($A10,Dati!$A$1:$A$1000,0),0)&gt;0)),0))</f>
        <v>0</v>
      </c>
      <c r="AS10" s="13" t="str">
        <f aca="false">IF($B10="","",IFERROR(ROUND(SUMPRODUCT((Dati!$AQ$4:$CD$4="A")*INDEX(Dati!$AQ$1:$CD$1000,MATCH($A10,Dati!$A$1:$A$1000,0),0)*INDEX(Dati!$DS$1:$FF$1000,MATCH($A10,Dati!$A$1:$A$1000,0),0))/SUMPRODUCT((Dati!$AQ$4:$CD$4="A")*INDEX(Dati!$DS$1:$FF$1000,MATCH($A10,Dati!$A$1:$A$1000,0),0)),2),""))</f>
        <v/>
      </c>
      <c r="AT10" s="13" t="str">
        <f aca="false">IF(AS10="","",IF(ISNUMBER(BH10),ROUND(Impostazioni!$B$12*AS10+Impostazioni!$B$13*BH10,2),AS10))</f>
        <v/>
      </c>
      <c r="AU10" s="51" t="str">
        <f aca="false">IF(AT10="","",LOOKUP(AT10,Impostazioni!$E$4:$E$9,Impostazioni!$F$4:$F$9))</f>
        <v/>
      </c>
      <c r="AV10" s="52"/>
      <c r="AW10" s="13" t="n">
        <f aca="false">IF($B10="","",IFERROR(SUMPRODUCT((Dati!$AQ$4:$CD$4="B")*(INDEX(Dati!$DS$1:$FF$1000,MATCH($A10,Dati!$A$1:$A$1000,0),0)&gt;0)),0))</f>
        <v>0</v>
      </c>
      <c r="AX10" s="13" t="str">
        <f aca="false">IF($B10="","",IFERROR(ROUND(SUMPRODUCT((Dati!$AQ$4:$CD$4="B")*INDEX(Dati!$AQ$1:$CD$1000,MATCH($A10,Dati!$A$1:$A$1000,0),0)*INDEX(Dati!$DS$1:$FF$1000,MATCH($A10,Dati!$A$1:$A$1000,0),0))/SUMPRODUCT((Dati!$AQ$4:$CD$4="B")*INDEX(Dati!$DS$1:$FF$1000,MATCH($A10,Dati!$A$1:$A$1000,0),0)),2),""))</f>
        <v/>
      </c>
      <c r="AY10" s="13" t="str">
        <f aca="false">IF(AX10="","",IF(ISNUMBER(BH10),ROUND(Impostazioni!$B$12*AX10+Impostazioni!$B$13*BH10,2),AX10))</f>
        <v/>
      </c>
      <c r="AZ10" s="51" t="str">
        <f aca="false">IF(AY10="","",LOOKUP(AY10,Impostazioni!$E$4:$E$9,Impostazioni!$F$4:$F$9))</f>
        <v/>
      </c>
      <c r="BA10" s="52"/>
      <c r="BB10" s="13" t="str">
        <f aca="false">IF($B10="","",IFERROR(ROUND(SUMPRODUCT((Dati!$AQ$4:$CD$4="TEC")*INDEX(Dati!$AQ$1:$CD$1000,MATCH($A10,Dati!$A$1:$A$1000,0),0)*INDEX(Dati!$DS$1:$FF$1000,MATCH($A10,Dati!$A$1:$A$1000,0),0))/SUMPRODUCT((Dati!$AQ$4:$CD$4="TEC")*INDEX(Dati!$DS$1:$FF$1000,MATCH($A10,Dati!$A$1:$A$1000,0),0)),2),""))</f>
        <v/>
      </c>
      <c r="BC10" s="51" t="str">
        <f aca="false">IF(BB10="","",LOOKUP(BB10,Impostazioni!$E$4:$E$9,Impostazioni!$F$4:$F$9))</f>
        <v/>
      </c>
      <c r="BD10" s="52"/>
      <c r="BE10" s="13" t="str">
        <f aca="false">IF($B10="","",IFERROR(ROUND(SUMPRODUCT((Dati!$AQ$4:$CD$4="CIV")*INDEX(Dati!$AQ$1:$CD$1000,MATCH($A10,Dati!$A$1:$A$1000,0),0)*INDEX(Dati!$DS$1:$FF$1000,MATCH($A10,Dati!$A$1:$A$1000,0),0))/SUMPRODUCT((Dati!$AQ$4:$CD$4="CIV")*INDEX(Dati!$DS$1:$FF$1000,MATCH($A10,Dati!$A$1:$A$1000,0),0)),2),""))</f>
        <v/>
      </c>
      <c r="BF10" s="51" t="str">
        <f aca="false">IF(BE10="","",LOOKUP(BE10,Impostazioni!$E$4:$E$9,Impostazioni!$F$4:$F$9))</f>
        <v/>
      </c>
      <c r="BG10" s="52"/>
      <c r="BH10" s="52"/>
      <c r="BI10" s="13" t="n">
        <f aca="false">IF($B10="","",IFERROR(SUM(INDEX(Dati!$FQ$1:$FZ$1000,MATCH($A10,Dati!$A$1:$A$1000,0),0)),0))</f>
        <v>0</v>
      </c>
      <c r="BJ10" s="16" t="str">
        <f aca="false">IF($B10="","",IF($C10="ES","Esonerato: concordare con referente e dirigente",IF($C10="Ritirato","Ritirato",TRIM(IF(OR(N(AR10)&lt;Impostazioni!$B$14,N(AW10)&lt;Impostazioni!$B$14),"Pochi voti: valutazione alternativa (scritta/orale). ","")&amp;IF(N(BI10)&gt;0,"Da recuperare: "&amp;BI10&amp;". ","")&amp;IF($D10="OP","Riferito agli obiettivi personalizzati.","")))))</f>
        <v>Esonerato: concordare con referente e dirigente</v>
      </c>
      <c r="BK10" s="31" t="str">
        <f aca="false">IF($B10="","",IF($C10="ES","ES",IF(AV10&lt;&gt;"",AV10,AU10)))</f>
        <v>ES</v>
      </c>
      <c r="BL10" s="31" t="str">
        <f aca="false">IF($B10="","",IF($C10="ES","ES",IF(BA10&lt;&gt;"",BA10,AZ10)))</f>
        <v>ES</v>
      </c>
      <c r="BM10" s="31" t="str">
        <f aca="false">IF($B10="","",IF($C10="ES","ES",IF(BD10&lt;&gt;"",BD10,BC10)))</f>
        <v>ES</v>
      </c>
      <c r="BN10" s="31" t="str">
        <f aca="false">IF($B10="","",IF($C10="ES","ES",IF(BG10&lt;&gt;"",BG10,BF10)))</f>
        <v>ES</v>
      </c>
      <c r="BO10" s="14"/>
    </row>
    <row r="11" customFormat="false" ht="21" hidden="false" customHeight="true" outlineLevel="0" collapsed="false">
      <c r="A11" s="10" t="n">
        <v>4</v>
      </c>
      <c r="B11" s="16" t="str">
        <f aca="false">IFERROR(INDEX(Alunni!$C$1:$C$1000,MATCH($A11,Alunni!$A$1:$A$1000,0))&amp;"","")</f>
        <v/>
      </c>
      <c r="C11" s="13" t="str">
        <f aca="false">IFERROR(INDEX(Alunni!$D$1:$D$1000,MATCH($A11,Alunni!$A$1:$A$1000,0))&amp;"","")</f>
        <v/>
      </c>
      <c r="D11" s="13" t="str">
        <f aca="false">IFERROR(INDEX(Alunni!$E$1:$E$1000,MATCH($A11,Alunni!$A$1:$A$1000,0))&amp;"","")</f>
        <v/>
      </c>
      <c r="E11" s="13" t="str">
        <f aca="false">IF($B11="","",IFERROR(ROUND(SUMPRODUCT((Dati!$C$3:$AP$3="1.1")*INDEX(Dati!$C$1:$AP$1000,MATCH($A11,Dati!$A$1:$A$1000,0),0)*INDEX(Dati!$CE$1:$DR$1000,MATCH($A11,Dati!$A$1:$A$1000,0),0))/SUMPRODUCT((Dati!$C$3:$AP$3="1.1")*INDEX(Dati!$CE$1:$DR$1000,MATCH($A11,Dati!$A$1:$A$1000,0),0)),2),""))</f>
        <v/>
      </c>
      <c r="F11" s="13" t="str">
        <f aca="false">IF($B11="","",IFERROR(ROUND(SUMPRODUCT((Dati!$C$3:$AP$3="2.1")*INDEX(Dati!$C$1:$AP$1000,MATCH($A11,Dati!$A$1:$A$1000,0),0)*INDEX(Dati!$CE$1:$DR$1000,MATCH($A11,Dati!$A$1:$A$1000,0),0))/SUMPRODUCT((Dati!$C$3:$AP$3="2.1")*INDEX(Dati!$CE$1:$DR$1000,MATCH($A11,Dati!$A$1:$A$1000,0),0)),2),""))</f>
        <v/>
      </c>
      <c r="G11" s="13" t="str">
        <f aca="false">IF($B11="","",IFERROR(ROUND(SUMPRODUCT((Dati!$C$3:$AP$3="3.1")*INDEX(Dati!$C$1:$AP$1000,MATCH($A11,Dati!$A$1:$A$1000,0),0)*INDEX(Dati!$CE$1:$DR$1000,MATCH($A11,Dati!$A$1:$A$1000,0),0))/SUMPRODUCT((Dati!$C$3:$AP$3="3.1")*INDEX(Dati!$CE$1:$DR$1000,MATCH($A11,Dati!$A$1:$A$1000,0),0)),2),""))</f>
        <v/>
      </c>
      <c r="H11" s="13" t="str">
        <f aca="false">IF($B11="","",IFERROR(ROUND(SUMPRODUCT((Dati!$C$3:$AP$3="3.2")*INDEX(Dati!$C$1:$AP$1000,MATCH($A11,Dati!$A$1:$A$1000,0),0)*INDEX(Dati!$CE$1:$DR$1000,MATCH($A11,Dati!$A$1:$A$1000,0),0))/SUMPRODUCT((Dati!$C$3:$AP$3="3.2")*INDEX(Dati!$CE$1:$DR$1000,MATCH($A11,Dati!$A$1:$A$1000,0),0)),2),""))</f>
        <v/>
      </c>
      <c r="I11" s="13" t="str">
        <f aca="false">IF($B11="","",IFERROR(ROUND(SUMPRODUCT((Dati!$C$3:$AP$3="3.3")*INDEX(Dati!$C$1:$AP$1000,MATCH($A11,Dati!$A$1:$A$1000,0),0)*INDEX(Dati!$CE$1:$DR$1000,MATCH($A11,Dati!$A$1:$A$1000,0),0))/SUMPRODUCT((Dati!$C$3:$AP$3="3.3")*INDEX(Dati!$CE$1:$DR$1000,MATCH($A11,Dati!$A$1:$A$1000,0),0)),2),""))</f>
        <v/>
      </c>
      <c r="J11" s="13" t="str">
        <f aca="false">IF($B11="","",IFERROR(ROUND(SUMPRODUCT((Dati!$C$3:$AP$3="4.1")*INDEX(Dati!$C$1:$AP$1000,MATCH($A11,Dati!$A$1:$A$1000,0),0)*INDEX(Dati!$CE$1:$DR$1000,MATCH($A11,Dati!$A$1:$A$1000,0),0))/SUMPRODUCT((Dati!$C$3:$AP$3="4.1")*INDEX(Dati!$CE$1:$DR$1000,MATCH($A11,Dati!$A$1:$A$1000,0),0)),2),""))</f>
        <v/>
      </c>
      <c r="K11" s="13" t="str">
        <f aca="false">IF($B11="","",IFERROR(ROUND(SUMPRODUCT((Dati!$C$3:$AP$3="4.2")*INDEX(Dati!$C$1:$AP$1000,MATCH($A11,Dati!$A$1:$A$1000,0),0)*INDEX(Dati!$CE$1:$DR$1000,MATCH($A11,Dati!$A$1:$A$1000,0),0))/SUMPRODUCT((Dati!$C$3:$AP$3="4.2")*INDEX(Dati!$CE$1:$DR$1000,MATCH($A11,Dati!$A$1:$A$1000,0),0)),2),""))</f>
        <v/>
      </c>
      <c r="L11" s="13" t="str">
        <f aca="false">IF($B11="","",IFERROR(ROUND(SUMPRODUCT((Dati!$C$3:$AP$3="4.3")*INDEX(Dati!$C$1:$AP$1000,MATCH($A11,Dati!$A$1:$A$1000,0),0)*INDEX(Dati!$CE$1:$DR$1000,MATCH($A11,Dati!$A$1:$A$1000,0),0))/SUMPRODUCT((Dati!$C$3:$AP$3="4.3")*INDEX(Dati!$CE$1:$DR$1000,MATCH($A11,Dati!$A$1:$A$1000,0),0)),2),""))</f>
        <v/>
      </c>
      <c r="M11" s="13" t="str">
        <f aca="false">IF($B11="","",IFERROR(SUMPRODUCT((Dati!$C$4:$AP$4="A")*(INDEX(Dati!$CE$1:$DR$1000,MATCH($A11,Dati!$A$1:$A$1000,0),0)&gt;0)),0))</f>
        <v/>
      </c>
      <c r="N11" s="13" t="str">
        <f aca="false">IF($B11="","",IFERROR(ROUND(SUMPRODUCT((Dati!$C$4:$AP$4="A")*INDEX(Dati!$C$1:$AP$1000,MATCH($A11,Dati!$A$1:$A$1000,0),0)*INDEX(Dati!$CE$1:$DR$1000,MATCH($A11,Dati!$A$1:$A$1000,0),0))/SUMPRODUCT((Dati!$C$4:$AP$4="A")*INDEX(Dati!$CE$1:$DR$1000,MATCH($A11,Dati!$A$1:$A$1000,0),0)),2),""))</f>
        <v/>
      </c>
      <c r="O11" s="13" t="str">
        <f aca="false">IF(N11="","",IF(ISNUMBER(AC11),ROUND(Impostazioni!$B$12*N11+Impostazioni!$B$13*AC11,2),N11))</f>
        <v/>
      </c>
      <c r="P11" s="51" t="str">
        <f aca="false">IF(O11="","",LOOKUP(O11,Impostazioni!$E$4:$E$9,Impostazioni!$F$4:$F$9))</f>
        <v/>
      </c>
      <c r="Q11" s="52"/>
      <c r="R11" s="13" t="str">
        <f aca="false">IF($B11="","",IFERROR(SUMPRODUCT((Dati!$C$4:$AP$4="B")*(INDEX(Dati!$CE$1:$DR$1000,MATCH($A11,Dati!$A$1:$A$1000,0),0)&gt;0)),0))</f>
        <v/>
      </c>
      <c r="S11" s="13" t="str">
        <f aca="false">IF($B11="","",IFERROR(ROUND(SUMPRODUCT((Dati!$C$4:$AP$4="B")*INDEX(Dati!$C$1:$AP$1000,MATCH($A11,Dati!$A$1:$A$1000,0),0)*INDEX(Dati!$CE$1:$DR$1000,MATCH($A11,Dati!$A$1:$A$1000,0),0))/SUMPRODUCT((Dati!$C$4:$AP$4="B")*INDEX(Dati!$CE$1:$DR$1000,MATCH($A11,Dati!$A$1:$A$1000,0),0)),2),""))</f>
        <v/>
      </c>
      <c r="T11" s="13" t="str">
        <f aca="false">IF(S11="","",IF(ISNUMBER(AC11),ROUND(Impostazioni!$B$12*S11+Impostazioni!$B$13*AC11,2),S11))</f>
        <v/>
      </c>
      <c r="U11" s="51" t="str">
        <f aca="false">IF(T11="","",LOOKUP(T11,Impostazioni!$E$4:$E$9,Impostazioni!$F$4:$F$9))</f>
        <v/>
      </c>
      <c r="V11" s="52"/>
      <c r="W11" s="13" t="str">
        <f aca="false">IF($B11="","",IFERROR(ROUND(SUMPRODUCT((Dati!$C$4:$AP$4="TEC")*INDEX(Dati!$C$1:$AP$1000,MATCH($A11,Dati!$A$1:$A$1000,0),0)*INDEX(Dati!$CE$1:$DR$1000,MATCH($A11,Dati!$A$1:$A$1000,0),0))/SUMPRODUCT((Dati!$C$4:$AP$4="TEC")*INDEX(Dati!$CE$1:$DR$1000,MATCH($A11,Dati!$A$1:$A$1000,0),0)),2),""))</f>
        <v/>
      </c>
      <c r="X11" s="51" t="str">
        <f aca="false">IF(W11="","",LOOKUP(W11,Impostazioni!$E$4:$E$9,Impostazioni!$F$4:$F$9))</f>
        <v/>
      </c>
      <c r="Y11" s="52"/>
      <c r="Z11" s="13" t="str">
        <f aca="false">IF($B11="","",IFERROR(ROUND(SUMPRODUCT((Dati!$C$4:$AP$4="CIV")*INDEX(Dati!$C$1:$AP$1000,MATCH($A11,Dati!$A$1:$A$1000,0),0)*INDEX(Dati!$CE$1:$DR$1000,MATCH($A11,Dati!$A$1:$A$1000,0),0))/SUMPRODUCT((Dati!$C$4:$AP$4="CIV")*INDEX(Dati!$CE$1:$DR$1000,MATCH($A11,Dati!$A$1:$A$1000,0),0)),2),""))</f>
        <v/>
      </c>
      <c r="AA11" s="51" t="str">
        <f aca="false">IF(Z11="","",LOOKUP(Z11,Impostazioni!$E$4:$E$9,Impostazioni!$F$4:$F$9))</f>
        <v/>
      </c>
      <c r="AB11" s="52"/>
      <c r="AC11" s="52"/>
      <c r="AD11" s="13" t="str">
        <f aca="false">IF($B11="","",IFERROR(SUM(INDEX(Dati!$FG$1:$FP$1000,MATCH($A11,Dati!$A$1:$A$1000,0),0)),0))</f>
        <v/>
      </c>
      <c r="AE11" s="16" t="str">
        <f aca="false">IF($B11="","",IF($C11="ES","Esonerato: concordare con referente e dirigente",IF($C11="Ritirato","Ritirato",TRIM(IF(OR(N(M11)&lt;Impostazioni!$B$14,N(R11)&lt;Impostazioni!$B$14),"Pochi voti: valutazione alternativa (scritta/orale). ","")&amp;IF(N(AD11)&gt;0,"Da recuperare: "&amp;AD11&amp;". ","")&amp;IF($D11="OP","Riferito agli obiettivi personalizzati.","")))))</f>
        <v/>
      </c>
      <c r="AF11" s="31" t="str">
        <f aca="false">IF($B11="","",IF($C11="ES","ES",IF(Q11&lt;&gt;"",Q11,P11)))</f>
        <v/>
      </c>
      <c r="AG11" s="31" t="str">
        <f aca="false">IF($B11="","",IF($C11="ES","ES",IF(V11&lt;&gt;"",V11,U11)))</f>
        <v/>
      </c>
      <c r="AH11" s="31" t="str">
        <f aca="false">IF($B11="","",IF($C11="ES","ES",IF(Y11&lt;&gt;"",Y11,X11)))</f>
        <v/>
      </c>
      <c r="AI11" s="31" t="str">
        <f aca="false">IF($B11="","",IF($C11="ES","ES",IF(AB11&lt;&gt;"",AB11,AA11)))</f>
        <v/>
      </c>
      <c r="AJ11" s="13" t="str">
        <f aca="false">IF($B11="","",IFERROR(ROUND(SUMPRODUCT((Dati!$AQ$3:$CD$3="1.1")*INDEX(Dati!$AQ$1:$CD$1000,MATCH($A11,Dati!$A$1:$A$1000,0),0)*INDEX(Dati!$DS$1:$FF$1000,MATCH($A11,Dati!$A$1:$A$1000,0),0))/SUMPRODUCT((Dati!$AQ$3:$CD$3="1.1")*INDEX(Dati!$DS$1:$FF$1000,MATCH($A11,Dati!$A$1:$A$1000,0),0)),2),""))</f>
        <v/>
      </c>
      <c r="AK11" s="13" t="str">
        <f aca="false">IF($B11="","",IFERROR(ROUND(SUMPRODUCT((Dati!$AQ$3:$CD$3="2.1")*INDEX(Dati!$AQ$1:$CD$1000,MATCH($A11,Dati!$A$1:$A$1000,0),0)*INDEX(Dati!$DS$1:$FF$1000,MATCH($A11,Dati!$A$1:$A$1000,0),0))/SUMPRODUCT((Dati!$AQ$3:$CD$3="2.1")*INDEX(Dati!$DS$1:$FF$1000,MATCH($A11,Dati!$A$1:$A$1000,0),0)),2),""))</f>
        <v/>
      </c>
      <c r="AL11" s="13" t="str">
        <f aca="false">IF($B11="","",IFERROR(ROUND(SUMPRODUCT((Dati!$AQ$3:$CD$3="3.1")*INDEX(Dati!$AQ$1:$CD$1000,MATCH($A11,Dati!$A$1:$A$1000,0),0)*INDEX(Dati!$DS$1:$FF$1000,MATCH($A11,Dati!$A$1:$A$1000,0),0))/SUMPRODUCT((Dati!$AQ$3:$CD$3="3.1")*INDEX(Dati!$DS$1:$FF$1000,MATCH($A11,Dati!$A$1:$A$1000,0),0)),2),""))</f>
        <v/>
      </c>
      <c r="AM11" s="13" t="str">
        <f aca="false">IF($B11="","",IFERROR(ROUND(SUMPRODUCT((Dati!$AQ$3:$CD$3="3.2")*INDEX(Dati!$AQ$1:$CD$1000,MATCH($A11,Dati!$A$1:$A$1000,0),0)*INDEX(Dati!$DS$1:$FF$1000,MATCH($A11,Dati!$A$1:$A$1000,0),0))/SUMPRODUCT((Dati!$AQ$3:$CD$3="3.2")*INDEX(Dati!$DS$1:$FF$1000,MATCH($A11,Dati!$A$1:$A$1000,0),0)),2),""))</f>
        <v/>
      </c>
      <c r="AN11" s="13" t="str">
        <f aca="false">IF($B11="","",IFERROR(ROUND(SUMPRODUCT((Dati!$AQ$3:$CD$3="3.3")*INDEX(Dati!$AQ$1:$CD$1000,MATCH($A11,Dati!$A$1:$A$1000,0),0)*INDEX(Dati!$DS$1:$FF$1000,MATCH($A11,Dati!$A$1:$A$1000,0),0))/SUMPRODUCT((Dati!$AQ$3:$CD$3="3.3")*INDEX(Dati!$DS$1:$FF$1000,MATCH($A11,Dati!$A$1:$A$1000,0),0)),2),""))</f>
        <v/>
      </c>
      <c r="AO11" s="13" t="str">
        <f aca="false">IF($B11="","",IFERROR(ROUND(SUMPRODUCT((Dati!$AQ$3:$CD$3="4.1")*INDEX(Dati!$AQ$1:$CD$1000,MATCH($A11,Dati!$A$1:$A$1000,0),0)*INDEX(Dati!$DS$1:$FF$1000,MATCH($A11,Dati!$A$1:$A$1000,0),0))/SUMPRODUCT((Dati!$AQ$3:$CD$3="4.1")*INDEX(Dati!$DS$1:$FF$1000,MATCH($A11,Dati!$A$1:$A$1000,0),0)),2),""))</f>
        <v/>
      </c>
      <c r="AP11" s="13" t="str">
        <f aca="false">IF($B11="","",IFERROR(ROUND(SUMPRODUCT((Dati!$AQ$3:$CD$3="4.2")*INDEX(Dati!$AQ$1:$CD$1000,MATCH($A11,Dati!$A$1:$A$1000,0),0)*INDEX(Dati!$DS$1:$FF$1000,MATCH($A11,Dati!$A$1:$A$1000,0),0))/SUMPRODUCT((Dati!$AQ$3:$CD$3="4.2")*INDEX(Dati!$DS$1:$FF$1000,MATCH($A11,Dati!$A$1:$A$1000,0),0)),2),""))</f>
        <v/>
      </c>
      <c r="AQ11" s="13" t="str">
        <f aca="false">IF($B11="","",IFERROR(ROUND(SUMPRODUCT((Dati!$AQ$3:$CD$3="4.3")*INDEX(Dati!$AQ$1:$CD$1000,MATCH($A11,Dati!$A$1:$A$1000,0),0)*INDEX(Dati!$DS$1:$FF$1000,MATCH($A11,Dati!$A$1:$A$1000,0),0))/SUMPRODUCT((Dati!$AQ$3:$CD$3="4.3")*INDEX(Dati!$DS$1:$FF$1000,MATCH($A11,Dati!$A$1:$A$1000,0),0)),2),""))</f>
        <v/>
      </c>
      <c r="AR11" s="13" t="str">
        <f aca="false">IF($B11="","",IFERROR(SUMPRODUCT((Dati!$AQ$4:$CD$4="A")*(INDEX(Dati!$DS$1:$FF$1000,MATCH($A11,Dati!$A$1:$A$1000,0),0)&gt;0)),0))</f>
        <v/>
      </c>
      <c r="AS11" s="13" t="str">
        <f aca="false">IF($B11="","",IFERROR(ROUND(SUMPRODUCT((Dati!$AQ$4:$CD$4="A")*INDEX(Dati!$AQ$1:$CD$1000,MATCH($A11,Dati!$A$1:$A$1000,0),0)*INDEX(Dati!$DS$1:$FF$1000,MATCH($A11,Dati!$A$1:$A$1000,0),0))/SUMPRODUCT((Dati!$AQ$4:$CD$4="A")*INDEX(Dati!$DS$1:$FF$1000,MATCH($A11,Dati!$A$1:$A$1000,0),0)),2),""))</f>
        <v/>
      </c>
      <c r="AT11" s="13" t="str">
        <f aca="false">IF(AS11="","",IF(ISNUMBER(BH11),ROUND(Impostazioni!$B$12*AS11+Impostazioni!$B$13*BH11,2),AS11))</f>
        <v/>
      </c>
      <c r="AU11" s="51" t="str">
        <f aca="false">IF(AT11="","",LOOKUP(AT11,Impostazioni!$E$4:$E$9,Impostazioni!$F$4:$F$9))</f>
        <v/>
      </c>
      <c r="AV11" s="52"/>
      <c r="AW11" s="13" t="str">
        <f aca="false">IF($B11="","",IFERROR(SUMPRODUCT((Dati!$AQ$4:$CD$4="B")*(INDEX(Dati!$DS$1:$FF$1000,MATCH($A11,Dati!$A$1:$A$1000,0),0)&gt;0)),0))</f>
        <v/>
      </c>
      <c r="AX11" s="13" t="str">
        <f aca="false">IF($B11="","",IFERROR(ROUND(SUMPRODUCT((Dati!$AQ$4:$CD$4="B")*INDEX(Dati!$AQ$1:$CD$1000,MATCH($A11,Dati!$A$1:$A$1000,0),0)*INDEX(Dati!$DS$1:$FF$1000,MATCH($A11,Dati!$A$1:$A$1000,0),0))/SUMPRODUCT((Dati!$AQ$4:$CD$4="B")*INDEX(Dati!$DS$1:$FF$1000,MATCH($A11,Dati!$A$1:$A$1000,0),0)),2),""))</f>
        <v/>
      </c>
      <c r="AY11" s="13" t="str">
        <f aca="false">IF(AX11="","",IF(ISNUMBER(BH11),ROUND(Impostazioni!$B$12*AX11+Impostazioni!$B$13*BH11,2),AX11))</f>
        <v/>
      </c>
      <c r="AZ11" s="51" t="str">
        <f aca="false">IF(AY11="","",LOOKUP(AY11,Impostazioni!$E$4:$E$9,Impostazioni!$F$4:$F$9))</f>
        <v/>
      </c>
      <c r="BA11" s="52"/>
      <c r="BB11" s="13" t="str">
        <f aca="false">IF($B11="","",IFERROR(ROUND(SUMPRODUCT((Dati!$AQ$4:$CD$4="TEC")*INDEX(Dati!$AQ$1:$CD$1000,MATCH($A11,Dati!$A$1:$A$1000,0),0)*INDEX(Dati!$DS$1:$FF$1000,MATCH($A11,Dati!$A$1:$A$1000,0),0))/SUMPRODUCT((Dati!$AQ$4:$CD$4="TEC")*INDEX(Dati!$DS$1:$FF$1000,MATCH($A11,Dati!$A$1:$A$1000,0),0)),2),""))</f>
        <v/>
      </c>
      <c r="BC11" s="51" t="str">
        <f aca="false">IF(BB11="","",LOOKUP(BB11,Impostazioni!$E$4:$E$9,Impostazioni!$F$4:$F$9))</f>
        <v/>
      </c>
      <c r="BD11" s="52"/>
      <c r="BE11" s="13" t="str">
        <f aca="false">IF($B11="","",IFERROR(ROUND(SUMPRODUCT((Dati!$AQ$4:$CD$4="CIV")*INDEX(Dati!$AQ$1:$CD$1000,MATCH($A11,Dati!$A$1:$A$1000,0),0)*INDEX(Dati!$DS$1:$FF$1000,MATCH($A11,Dati!$A$1:$A$1000,0),0))/SUMPRODUCT((Dati!$AQ$4:$CD$4="CIV")*INDEX(Dati!$DS$1:$FF$1000,MATCH($A11,Dati!$A$1:$A$1000,0),0)),2),""))</f>
        <v/>
      </c>
      <c r="BF11" s="51" t="str">
        <f aca="false">IF(BE11="","",LOOKUP(BE11,Impostazioni!$E$4:$E$9,Impostazioni!$F$4:$F$9))</f>
        <v/>
      </c>
      <c r="BG11" s="52"/>
      <c r="BH11" s="52"/>
      <c r="BI11" s="13" t="str">
        <f aca="false">IF($B11="","",IFERROR(SUM(INDEX(Dati!$FQ$1:$FZ$1000,MATCH($A11,Dati!$A$1:$A$1000,0),0)),0))</f>
        <v/>
      </c>
      <c r="BJ11" s="16" t="str">
        <f aca="false">IF($B11="","",IF($C11="ES","Esonerato: concordare con referente e dirigente",IF($C11="Ritirato","Ritirato",TRIM(IF(OR(N(AR11)&lt;Impostazioni!$B$14,N(AW11)&lt;Impostazioni!$B$14),"Pochi voti: valutazione alternativa (scritta/orale). ","")&amp;IF(N(BI11)&gt;0,"Da recuperare: "&amp;BI11&amp;". ","")&amp;IF($D11="OP","Riferito agli obiettivi personalizzati.","")))))</f>
        <v/>
      </c>
      <c r="BK11" s="31" t="str">
        <f aca="false">IF($B11="","",IF($C11="ES","ES",IF(AV11&lt;&gt;"",AV11,AU11)))</f>
        <v/>
      </c>
      <c r="BL11" s="31" t="str">
        <f aca="false">IF($B11="","",IF($C11="ES","ES",IF(BA11&lt;&gt;"",BA11,AZ11)))</f>
        <v/>
      </c>
      <c r="BM11" s="31" t="str">
        <f aca="false">IF($B11="","",IF($C11="ES","ES",IF(BD11&lt;&gt;"",BD11,BC11)))</f>
        <v/>
      </c>
      <c r="BN11" s="31" t="str">
        <f aca="false">IF($B11="","",IF($C11="ES","ES",IF(BG11&lt;&gt;"",BG11,BF11)))</f>
        <v/>
      </c>
      <c r="BO11" s="14"/>
    </row>
    <row r="12" customFormat="false" ht="21" hidden="false" customHeight="true" outlineLevel="0" collapsed="false">
      <c r="A12" s="10" t="n">
        <v>5</v>
      </c>
      <c r="B12" s="16" t="str">
        <f aca="false">IFERROR(INDEX(Alunni!$C$1:$C$1000,MATCH($A12,Alunni!$A$1:$A$1000,0))&amp;"","")</f>
        <v/>
      </c>
      <c r="C12" s="13" t="str">
        <f aca="false">IFERROR(INDEX(Alunni!$D$1:$D$1000,MATCH($A12,Alunni!$A$1:$A$1000,0))&amp;"","")</f>
        <v/>
      </c>
      <c r="D12" s="13" t="str">
        <f aca="false">IFERROR(INDEX(Alunni!$E$1:$E$1000,MATCH($A12,Alunni!$A$1:$A$1000,0))&amp;"","")</f>
        <v/>
      </c>
      <c r="E12" s="13" t="str">
        <f aca="false">IF($B12="","",IFERROR(ROUND(SUMPRODUCT((Dati!$C$3:$AP$3="1.1")*INDEX(Dati!$C$1:$AP$1000,MATCH($A12,Dati!$A$1:$A$1000,0),0)*INDEX(Dati!$CE$1:$DR$1000,MATCH($A12,Dati!$A$1:$A$1000,0),0))/SUMPRODUCT((Dati!$C$3:$AP$3="1.1")*INDEX(Dati!$CE$1:$DR$1000,MATCH($A12,Dati!$A$1:$A$1000,0),0)),2),""))</f>
        <v/>
      </c>
      <c r="F12" s="13" t="str">
        <f aca="false">IF($B12="","",IFERROR(ROUND(SUMPRODUCT((Dati!$C$3:$AP$3="2.1")*INDEX(Dati!$C$1:$AP$1000,MATCH($A12,Dati!$A$1:$A$1000,0),0)*INDEX(Dati!$CE$1:$DR$1000,MATCH($A12,Dati!$A$1:$A$1000,0),0))/SUMPRODUCT((Dati!$C$3:$AP$3="2.1")*INDEX(Dati!$CE$1:$DR$1000,MATCH($A12,Dati!$A$1:$A$1000,0),0)),2),""))</f>
        <v/>
      </c>
      <c r="G12" s="13" t="str">
        <f aca="false">IF($B12="","",IFERROR(ROUND(SUMPRODUCT((Dati!$C$3:$AP$3="3.1")*INDEX(Dati!$C$1:$AP$1000,MATCH($A12,Dati!$A$1:$A$1000,0),0)*INDEX(Dati!$CE$1:$DR$1000,MATCH($A12,Dati!$A$1:$A$1000,0),0))/SUMPRODUCT((Dati!$C$3:$AP$3="3.1")*INDEX(Dati!$CE$1:$DR$1000,MATCH($A12,Dati!$A$1:$A$1000,0),0)),2),""))</f>
        <v/>
      </c>
      <c r="H12" s="13" t="str">
        <f aca="false">IF($B12="","",IFERROR(ROUND(SUMPRODUCT((Dati!$C$3:$AP$3="3.2")*INDEX(Dati!$C$1:$AP$1000,MATCH($A12,Dati!$A$1:$A$1000,0),0)*INDEX(Dati!$CE$1:$DR$1000,MATCH($A12,Dati!$A$1:$A$1000,0),0))/SUMPRODUCT((Dati!$C$3:$AP$3="3.2")*INDEX(Dati!$CE$1:$DR$1000,MATCH($A12,Dati!$A$1:$A$1000,0),0)),2),""))</f>
        <v/>
      </c>
      <c r="I12" s="13" t="str">
        <f aca="false">IF($B12="","",IFERROR(ROUND(SUMPRODUCT((Dati!$C$3:$AP$3="3.3")*INDEX(Dati!$C$1:$AP$1000,MATCH($A12,Dati!$A$1:$A$1000,0),0)*INDEX(Dati!$CE$1:$DR$1000,MATCH($A12,Dati!$A$1:$A$1000,0),0))/SUMPRODUCT((Dati!$C$3:$AP$3="3.3")*INDEX(Dati!$CE$1:$DR$1000,MATCH($A12,Dati!$A$1:$A$1000,0),0)),2),""))</f>
        <v/>
      </c>
      <c r="J12" s="13" t="str">
        <f aca="false">IF($B12="","",IFERROR(ROUND(SUMPRODUCT((Dati!$C$3:$AP$3="4.1")*INDEX(Dati!$C$1:$AP$1000,MATCH($A12,Dati!$A$1:$A$1000,0),0)*INDEX(Dati!$CE$1:$DR$1000,MATCH($A12,Dati!$A$1:$A$1000,0),0))/SUMPRODUCT((Dati!$C$3:$AP$3="4.1")*INDEX(Dati!$CE$1:$DR$1000,MATCH($A12,Dati!$A$1:$A$1000,0),0)),2),""))</f>
        <v/>
      </c>
      <c r="K12" s="13" t="str">
        <f aca="false">IF($B12="","",IFERROR(ROUND(SUMPRODUCT((Dati!$C$3:$AP$3="4.2")*INDEX(Dati!$C$1:$AP$1000,MATCH($A12,Dati!$A$1:$A$1000,0),0)*INDEX(Dati!$CE$1:$DR$1000,MATCH($A12,Dati!$A$1:$A$1000,0),0))/SUMPRODUCT((Dati!$C$3:$AP$3="4.2")*INDEX(Dati!$CE$1:$DR$1000,MATCH($A12,Dati!$A$1:$A$1000,0),0)),2),""))</f>
        <v/>
      </c>
      <c r="L12" s="13" t="str">
        <f aca="false">IF($B12="","",IFERROR(ROUND(SUMPRODUCT((Dati!$C$3:$AP$3="4.3")*INDEX(Dati!$C$1:$AP$1000,MATCH($A12,Dati!$A$1:$A$1000,0),0)*INDEX(Dati!$CE$1:$DR$1000,MATCH($A12,Dati!$A$1:$A$1000,0),0))/SUMPRODUCT((Dati!$C$3:$AP$3="4.3")*INDEX(Dati!$CE$1:$DR$1000,MATCH($A12,Dati!$A$1:$A$1000,0),0)),2),""))</f>
        <v/>
      </c>
      <c r="M12" s="13" t="str">
        <f aca="false">IF($B12="","",IFERROR(SUMPRODUCT((Dati!$C$4:$AP$4="A")*(INDEX(Dati!$CE$1:$DR$1000,MATCH($A12,Dati!$A$1:$A$1000,0),0)&gt;0)),0))</f>
        <v/>
      </c>
      <c r="N12" s="13" t="str">
        <f aca="false">IF($B12="","",IFERROR(ROUND(SUMPRODUCT((Dati!$C$4:$AP$4="A")*INDEX(Dati!$C$1:$AP$1000,MATCH($A12,Dati!$A$1:$A$1000,0),0)*INDEX(Dati!$CE$1:$DR$1000,MATCH($A12,Dati!$A$1:$A$1000,0),0))/SUMPRODUCT((Dati!$C$4:$AP$4="A")*INDEX(Dati!$CE$1:$DR$1000,MATCH($A12,Dati!$A$1:$A$1000,0),0)),2),""))</f>
        <v/>
      </c>
      <c r="O12" s="13" t="str">
        <f aca="false">IF(N12="","",IF(ISNUMBER(AC12),ROUND(Impostazioni!$B$12*N12+Impostazioni!$B$13*AC12,2),N12))</f>
        <v/>
      </c>
      <c r="P12" s="51" t="str">
        <f aca="false">IF(O12="","",LOOKUP(O12,Impostazioni!$E$4:$E$9,Impostazioni!$F$4:$F$9))</f>
        <v/>
      </c>
      <c r="Q12" s="52"/>
      <c r="R12" s="13" t="str">
        <f aca="false">IF($B12="","",IFERROR(SUMPRODUCT((Dati!$C$4:$AP$4="B")*(INDEX(Dati!$CE$1:$DR$1000,MATCH($A12,Dati!$A$1:$A$1000,0),0)&gt;0)),0))</f>
        <v/>
      </c>
      <c r="S12" s="13" t="str">
        <f aca="false">IF($B12="","",IFERROR(ROUND(SUMPRODUCT((Dati!$C$4:$AP$4="B")*INDEX(Dati!$C$1:$AP$1000,MATCH($A12,Dati!$A$1:$A$1000,0),0)*INDEX(Dati!$CE$1:$DR$1000,MATCH($A12,Dati!$A$1:$A$1000,0),0))/SUMPRODUCT((Dati!$C$4:$AP$4="B")*INDEX(Dati!$CE$1:$DR$1000,MATCH($A12,Dati!$A$1:$A$1000,0),0)),2),""))</f>
        <v/>
      </c>
      <c r="T12" s="13" t="str">
        <f aca="false">IF(S12="","",IF(ISNUMBER(AC12),ROUND(Impostazioni!$B$12*S12+Impostazioni!$B$13*AC12,2),S12))</f>
        <v/>
      </c>
      <c r="U12" s="51" t="str">
        <f aca="false">IF(T12="","",LOOKUP(T12,Impostazioni!$E$4:$E$9,Impostazioni!$F$4:$F$9))</f>
        <v/>
      </c>
      <c r="V12" s="52"/>
      <c r="W12" s="13" t="str">
        <f aca="false">IF($B12="","",IFERROR(ROUND(SUMPRODUCT((Dati!$C$4:$AP$4="TEC")*INDEX(Dati!$C$1:$AP$1000,MATCH($A12,Dati!$A$1:$A$1000,0),0)*INDEX(Dati!$CE$1:$DR$1000,MATCH($A12,Dati!$A$1:$A$1000,0),0))/SUMPRODUCT((Dati!$C$4:$AP$4="TEC")*INDEX(Dati!$CE$1:$DR$1000,MATCH($A12,Dati!$A$1:$A$1000,0),0)),2),""))</f>
        <v/>
      </c>
      <c r="X12" s="51" t="str">
        <f aca="false">IF(W12="","",LOOKUP(W12,Impostazioni!$E$4:$E$9,Impostazioni!$F$4:$F$9))</f>
        <v/>
      </c>
      <c r="Y12" s="52"/>
      <c r="Z12" s="13" t="str">
        <f aca="false">IF($B12="","",IFERROR(ROUND(SUMPRODUCT((Dati!$C$4:$AP$4="CIV")*INDEX(Dati!$C$1:$AP$1000,MATCH($A12,Dati!$A$1:$A$1000,0),0)*INDEX(Dati!$CE$1:$DR$1000,MATCH($A12,Dati!$A$1:$A$1000,0),0))/SUMPRODUCT((Dati!$C$4:$AP$4="CIV")*INDEX(Dati!$CE$1:$DR$1000,MATCH($A12,Dati!$A$1:$A$1000,0),0)),2),""))</f>
        <v/>
      </c>
      <c r="AA12" s="51" t="str">
        <f aca="false">IF(Z12="","",LOOKUP(Z12,Impostazioni!$E$4:$E$9,Impostazioni!$F$4:$F$9))</f>
        <v/>
      </c>
      <c r="AB12" s="52"/>
      <c r="AC12" s="52"/>
      <c r="AD12" s="13" t="str">
        <f aca="false">IF($B12="","",IFERROR(SUM(INDEX(Dati!$FG$1:$FP$1000,MATCH($A12,Dati!$A$1:$A$1000,0),0)),0))</f>
        <v/>
      </c>
      <c r="AE12" s="16" t="str">
        <f aca="false">IF($B12="","",IF($C12="ES","Esonerato: concordare con referente e dirigente",IF($C12="Ritirato","Ritirato",TRIM(IF(OR(N(M12)&lt;Impostazioni!$B$14,N(R12)&lt;Impostazioni!$B$14),"Pochi voti: valutazione alternativa (scritta/orale). ","")&amp;IF(N(AD12)&gt;0,"Da recuperare: "&amp;AD12&amp;". ","")&amp;IF($D12="OP","Riferito agli obiettivi personalizzati.","")))))</f>
        <v/>
      </c>
      <c r="AF12" s="31" t="str">
        <f aca="false">IF($B12="","",IF($C12="ES","ES",IF(Q12&lt;&gt;"",Q12,P12)))</f>
        <v/>
      </c>
      <c r="AG12" s="31" t="str">
        <f aca="false">IF($B12="","",IF($C12="ES","ES",IF(V12&lt;&gt;"",V12,U12)))</f>
        <v/>
      </c>
      <c r="AH12" s="31" t="str">
        <f aca="false">IF($B12="","",IF($C12="ES","ES",IF(Y12&lt;&gt;"",Y12,X12)))</f>
        <v/>
      </c>
      <c r="AI12" s="31" t="str">
        <f aca="false">IF($B12="","",IF($C12="ES","ES",IF(AB12&lt;&gt;"",AB12,AA12)))</f>
        <v/>
      </c>
      <c r="AJ12" s="13" t="str">
        <f aca="false">IF($B12="","",IFERROR(ROUND(SUMPRODUCT((Dati!$AQ$3:$CD$3="1.1")*INDEX(Dati!$AQ$1:$CD$1000,MATCH($A12,Dati!$A$1:$A$1000,0),0)*INDEX(Dati!$DS$1:$FF$1000,MATCH($A12,Dati!$A$1:$A$1000,0),0))/SUMPRODUCT((Dati!$AQ$3:$CD$3="1.1")*INDEX(Dati!$DS$1:$FF$1000,MATCH($A12,Dati!$A$1:$A$1000,0),0)),2),""))</f>
        <v/>
      </c>
      <c r="AK12" s="13" t="str">
        <f aca="false">IF($B12="","",IFERROR(ROUND(SUMPRODUCT((Dati!$AQ$3:$CD$3="2.1")*INDEX(Dati!$AQ$1:$CD$1000,MATCH($A12,Dati!$A$1:$A$1000,0),0)*INDEX(Dati!$DS$1:$FF$1000,MATCH($A12,Dati!$A$1:$A$1000,0),0))/SUMPRODUCT((Dati!$AQ$3:$CD$3="2.1")*INDEX(Dati!$DS$1:$FF$1000,MATCH($A12,Dati!$A$1:$A$1000,0),0)),2),""))</f>
        <v/>
      </c>
      <c r="AL12" s="13" t="str">
        <f aca="false">IF($B12="","",IFERROR(ROUND(SUMPRODUCT((Dati!$AQ$3:$CD$3="3.1")*INDEX(Dati!$AQ$1:$CD$1000,MATCH($A12,Dati!$A$1:$A$1000,0),0)*INDEX(Dati!$DS$1:$FF$1000,MATCH($A12,Dati!$A$1:$A$1000,0),0))/SUMPRODUCT((Dati!$AQ$3:$CD$3="3.1")*INDEX(Dati!$DS$1:$FF$1000,MATCH($A12,Dati!$A$1:$A$1000,0),0)),2),""))</f>
        <v/>
      </c>
      <c r="AM12" s="13" t="str">
        <f aca="false">IF($B12="","",IFERROR(ROUND(SUMPRODUCT((Dati!$AQ$3:$CD$3="3.2")*INDEX(Dati!$AQ$1:$CD$1000,MATCH($A12,Dati!$A$1:$A$1000,0),0)*INDEX(Dati!$DS$1:$FF$1000,MATCH($A12,Dati!$A$1:$A$1000,0),0))/SUMPRODUCT((Dati!$AQ$3:$CD$3="3.2")*INDEX(Dati!$DS$1:$FF$1000,MATCH($A12,Dati!$A$1:$A$1000,0),0)),2),""))</f>
        <v/>
      </c>
      <c r="AN12" s="13" t="str">
        <f aca="false">IF($B12="","",IFERROR(ROUND(SUMPRODUCT((Dati!$AQ$3:$CD$3="3.3")*INDEX(Dati!$AQ$1:$CD$1000,MATCH($A12,Dati!$A$1:$A$1000,0),0)*INDEX(Dati!$DS$1:$FF$1000,MATCH($A12,Dati!$A$1:$A$1000,0),0))/SUMPRODUCT((Dati!$AQ$3:$CD$3="3.3")*INDEX(Dati!$DS$1:$FF$1000,MATCH($A12,Dati!$A$1:$A$1000,0),0)),2),""))</f>
        <v/>
      </c>
      <c r="AO12" s="13" t="str">
        <f aca="false">IF($B12="","",IFERROR(ROUND(SUMPRODUCT((Dati!$AQ$3:$CD$3="4.1")*INDEX(Dati!$AQ$1:$CD$1000,MATCH($A12,Dati!$A$1:$A$1000,0),0)*INDEX(Dati!$DS$1:$FF$1000,MATCH($A12,Dati!$A$1:$A$1000,0),0))/SUMPRODUCT((Dati!$AQ$3:$CD$3="4.1")*INDEX(Dati!$DS$1:$FF$1000,MATCH($A12,Dati!$A$1:$A$1000,0),0)),2),""))</f>
        <v/>
      </c>
      <c r="AP12" s="13" t="str">
        <f aca="false">IF($B12="","",IFERROR(ROUND(SUMPRODUCT((Dati!$AQ$3:$CD$3="4.2")*INDEX(Dati!$AQ$1:$CD$1000,MATCH($A12,Dati!$A$1:$A$1000,0),0)*INDEX(Dati!$DS$1:$FF$1000,MATCH($A12,Dati!$A$1:$A$1000,0),0))/SUMPRODUCT((Dati!$AQ$3:$CD$3="4.2")*INDEX(Dati!$DS$1:$FF$1000,MATCH($A12,Dati!$A$1:$A$1000,0),0)),2),""))</f>
        <v/>
      </c>
      <c r="AQ12" s="13" t="str">
        <f aca="false">IF($B12="","",IFERROR(ROUND(SUMPRODUCT((Dati!$AQ$3:$CD$3="4.3")*INDEX(Dati!$AQ$1:$CD$1000,MATCH($A12,Dati!$A$1:$A$1000,0),0)*INDEX(Dati!$DS$1:$FF$1000,MATCH($A12,Dati!$A$1:$A$1000,0),0))/SUMPRODUCT((Dati!$AQ$3:$CD$3="4.3")*INDEX(Dati!$DS$1:$FF$1000,MATCH($A12,Dati!$A$1:$A$1000,0),0)),2),""))</f>
        <v/>
      </c>
      <c r="AR12" s="13" t="str">
        <f aca="false">IF($B12="","",IFERROR(SUMPRODUCT((Dati!$AQ$4:$CD$4="A")*(INDEX(Dati!$DS$1:$FF$1000,MATCH($A12,Dati!$A$1:$A$1000,0),0)&gt;0)),0))</f>
        <v/>
      </c>
      <c r="AS12" s="13" t="str">
        <f aca="false">IF($B12="","",IFERROR(ROUND(SUMPRODUCT((Dati!$AQ$4:$CD$4="A")*INDEX(Dati!$AQ$1:$CD$1000,MATCH($A12,Dati!$A$1:$A$1000,0),0)*INDEX(Dati!$DS$1:$FF$1000,MATCH($A12,Dati!$A$1:$A$1000,0),0))/SUMPRODUCT((Dati!$AQ$4:$CD$4="A")*INDEX(Dati!$DS$1:$FF$1000,MATCH($A12,Dati!$A$1:$A$1000,0),0)),2),""))</f>
        <v/>
      </c>
      <c r="AT12" s="13" t="str">
        <f aca="false">IF(AS12="","",IF(ISNUMBER(BH12),ROUND(Impostazioni!$B$12*AS12+Impostazioni!$B$13*BH12,2),AS12))</f>
        <v/>
      </c>
      <c r="AU12" s="51" t="str">
        <f aca="false">IF(AT12="","",LOOKUP(AT12,Impostazioni!$E$4:$E$9,Impostazioni!$F$4:$F$9))</f>
        <v/>
      </c>
      <c r="AV12" s="52"/>
      <c r="AW12" s="13" t="str">
        <f aca="false">IF($B12="","",IFERROR(SUMPRODUCT((Dati!$AQ$4:$CD$4="B")*(INDEX(Dati!$DS$1:$FF$1000,MATCH($A12,Dati!$A$1:$A$1000,0),0)&gt;0)),0))</f>
        <v/>
      </c>
      <c r="AX12" s="13" t="str">
        <f aca="false">IF($B12="","",IFERROR(ROUND(SUMPRODUCT((Dati!$AQ$4:$CD$4="B")*INDEX(Dati!$AQ$1:$CD$1000,MATCH($A12,Dati!$A$1:$A$1000,0),0)*INDEX(Dati!$DS$1:$FF$1000,MATCH($A12,Dati!$A$1:$A$1000,0),0))/SUMPRODUCT((Dati!$AQ$4:$CD$4="B")*INDEX(Dati!$DS$1:$FF$1000,MATCH($A12,Dati!$A$1:$A$1000,0),0)),2),""))</f>
        <v/>
      </c>
      <c r="AY12" s="13" t="str">
        <f aca="false">IF(AX12="","",IF(ISNUMBER(BH12),ROUND(Impostazioni!$B$12*AX12+Impostazioni!$B$13*BH12,2),AX12))</f>
        <v/>
      </c>
      <c r="AZ12" s="51" t="str">
        <f aca="false">IF(AY12="","",LOOKUP(AY12,Impostazioni!$E$4:$E$9,Impostazioni!$F$4:$F$9))</f>
        <v/>
      </c>
      <c r="BA12" s="52"/>
      <c r="BB12" s="13" t="str">
        <f aca="false">IF($B12="","",IFERROR(ROUND(SUMPRODUCT((Dati!$AQ$4:$CD$4="TEC")*INDEX(Dati!$AQ$1:$CD$1000,MATCH($A12,Dati!$A$1:$A$1000,0),0)*INDEX(Dati!$DS$1:$FF$1000,MATCH($A12,Dati!$A$1:$A$1000,0),0))/SUMPRODUCT((Dati!$AQ$4:$CD$4="TEC")*INDEX(Dati!$DS$1:$FF$1000,MATCH($A12,Dati!$A$1:$A$1000,0),0)),2),""))</f>
        <v/>
      </c>
      <c r="BC12" s="51" t="str">
        <f aca="false">IF(BB12="","",LOOKUP(BB12,Impostazioni!$E$4:$E$9,Impostazioni!$F$4:$F$9))</f>
        <v/>
      </c>
      <c r="BD12" s="52"/>
      <c r="BE12" s="13" t="str">
        <f aca="false">IF($B12="","",IFERROR(ROUND(SUMPRODUCT((Dati!$AQ$4:$CD$4="CIV")*INDEX(Dati!$AQ$1:$CD$1000,MATCH($A12,Dati!$A$1:$A$1000,0),0)*INDEX(Dati!$DS$1:$FF$1000,MATCH($A12,Dati!$A$1:$A$1000,0),0))/SUMPRODUCT((Dati!$AQ$4:$CD$4="CIV")*INDEX(Dati!$DS$1:$FF$1000,MATCH($A12,Dati!$A$1:$A$1000,0),0)),2),""))</f>
        <v/>
      </c>
      <c r="BF12" s="51" t="str">
        <f aca="false">IF(BE12="","",LOOKUP(BE12,Impostazioni!$E$4:$E$9,Impostazioni!$F$4:$F$9))</f>
        <v/>
      </c>
      <c r="BG12" s="52"/>
      <c r="BH12" s="52"/>
      <c r="BI12" s="13" t="str">
        <f aca="false">IF($B12="","",IFERROR(SUM(INDEX(Dati!$FQ$1:$FZ$1000,MATCH($A12,Dati!$A$1:$A$1000,0),0)),0))</f>
        <v/>
      </c>
      <c r="BJ12" s="16" t="str">
        <f aca="false">IF($B12="","",IF($C12="ES","Esonerato: concordare con referente e dirigente",IF($C12="Ritirato","Ritirato",TRIM(IF(OR(N(AR12)&lt;Impostazioni!$B$14,N(AW12)&lt;Impostazioni!$B$14),"Pochi voti: valutazione alternativa (scritta/orale). ","")&amp;IF(N(BI12)&gt;0,"Da recuperare: "&amp;BI12&amp;". ","")&amp;IF($D12="OP","Riferito agli obiettivi personalizzati.","")))))</f>
        <v/>
      </c>
      <c r="BK12" s="31" t="str">
        <f aca="false">IF($B12="","",IF($C12="ES","ES",IF(AV12&lt;&gt;"",AV12,AU12)))</f>
        <v/>
      </c>
      <c r="BL12" s="31" t="str">
        <f aca="false">IF($B12="","",IF($C12="ES","ES",IF(BA12&lt;&gt;"",BA12,AZ12)))</f>
        <v/>
      </c>
      <c r="BM12" s="31" t="str">
        <f aca="false">IF($B12="","",IF($C12="ES","ES",IF(BD12&lt;&gt;"",BD12,BC12)))</f>
        <v/>
      </c>
      <c r="BN12" s="31" t="str">
        <f aca="false">IF($B12="","",IF($C12="ES","ES",IF(BG12&lt;&gt;"",BG12,BF12)))</f>
        <v/>
      </c>
      <c r="BO12" s="14"/>
    </row>
    <row r="13" customFormat="false" ht="21" hidden="false" customHeight="true" outlineLevel="0" collapsed="false">
      <c r="A13" s="10" t="n">
        <v>6</v>
      </c>
      <c r="B13" s="16" t="str">
        <f aca="false">IFERROR(INDEX(Alunni!$C$1:$C$1000,MATCH($A13,Alunni!$A$1:$A$1000,0))&amp;"","")</f>
        <v/>
      </c>
      <c r="C13" s="13" t="str">
        <f aca="false">IFERROR(INDEX(Alunni!$D$1:$D$1000,MATCH($A13,Alunni!$A$1:$A$1000,0))&amp;"","")</f>
        <v/>
      </c>
      <c r="D13" s="13" t="str">
        <f aca="false">IFERROR(INDEX(Alunni!$E$1:$E$1000,MATCH($A13,Alunni!$A$1:$A$1000,0))&amp;"","")</f>
        <v/>
      </c>
      <c r="E13" s="13" t="str">
        <f aca="false">IF($B13="","",IFERROR(ROUND(SUMPRODUCT((Dati!$C$3:$AP$3="1.1")*INDEX(Dati!$C$1:$AP$1000,MATCH($A13,Dati!$A$1:$A$1000,0),0)*INDEX(Dati!$CE$1:$DR$1000,MATCH($A13,Dati!$A$1:$A$1000,0),0))/SUMPRODUCT((Dati!$C$3:$AP$3="1.1")*INDEX(Dati!$CE$1:$DR$1000,MATCH($A13,Dati!$A$1:$A$1000,0),0)),2),""))</f>
        <v/>
      </c>
      <c r="F13" s="13" t="str">
        <f aca="false">IF($B13="","",IFERROR(ROUND(SUMPRODUCT((Dati!$C$3:$AP$3="2.1")*INDEX(Dati!$C$1:$AP$1000,MATCH($A13,Dati!$A$1:$A$1000,0),0)*INDEX(Dati!$CE$1:$DR$1000,MATCH($A13,Dati!$A$1:$A$1000,0),0))/SUMPRODUCT((Dati!$C$3:$AP$3="2.1")*INDEX(Dati!$CE$1:$DR$1000,MATCH($A13,Dati!$A$1:$A$1000,0),0)),2),""))</f>
        <v/>
      </c>
      <c r="G13" s="13" t="str">
        <f aca="false">IF($B13="","",IFERROR(ROUND(SUMPRODUCT((Dati!$C$3:$AP$3="3.1")*INDEX(Dati!$C$1:$AP$1000,MATCH($A13,Dati!$A$1:$A$1000,0),0)*INDEX(Dati!$CE$1:$DR$1000,MATCH($A13,Dati!$A$1:$A$1000,0),0))/SUMPRODUCT((Dati!$C$3:$AP$3="3.1")*INDEX(Dati!$CE$1:$DR$1000,MATCH($A13,Dati!$A$1:$A$1000,0),0)),2),""))</f>
        <v/>
      </c>
      <c r="H13" s="13" t="str">
        <f aca="false">IF($B13="","",IFERROR(ROUND(SUMPRODUCT((Dati!$C$3:$AP$3="3.2")*INDEX(Dati!$C$1:$AP$1000,MATCH($A13,Dati!$A$1:$A$1000,0),0)*INDEX(Dati!$CE$1:$DR$1000,MATCH($A13,Dati!$A$1:$A$1000,0),0))/SUMPRODUCT((Dati!$C$3:$AP$3="3.2")*INDEX(Dati!$CE$1:$DR$1000,MATCH($A13,Dati!$A$1:$A$1000,0),0)),2),""))</f>
        <v/>
      </c>
      <c r="I13" s="13" t="str">
        <f aca="false">IF($B13="","",IFERROR(ROUND(SUMPRODUCT((Dati!$C$3:$AP$3="3.3")*INDEX(Dati!$C$1:$AP$1000,MATCH($A13,Dati!$A$1:$A$1000,0),0)*INDEX(Dati!$CE$1:$DR$1000,MATCH($A13,Dati!$A$1:$A$1000,0),0))/SUMPRODUCT((Dati!$C$3:$AP$3="3.3")*INDEX(Dati!$CE$1:$DR$1000,MATCH($A13,Dati!$A$1:$A$1000,0),0)),2),""))</f>
        <v/>
      </c>
      <c r="J13" s="13" t="str">
        <f aca="false">IF($B13="","",IFERROR(ROUND(SUMPRODUCT((Dati!$C$3:$AP$3="4.1")*INDEX(Dati!$C$1:$AP$1000,MATCH($A13,Dati!$A$1:$A$1000,0),0)*INDEX(Dati!$CE$1:$DR$1000,MATCH($A13,Dati!$A$1:$A$1000,0),0))/SUMPRODUCT((Dati!$C$3:$AP$3="4.1")*INDEX(Dati!$CE$1:$DR$1000,MATCH($A13,Dati!$A$1:$A$1000,0),0)),2),""))</f>
        <v/>
      </c>
      <c r="K13" s="13" t="str">
        <f aca="false">IF($B13="","",IFERROR(ROUND(SUMPRODUCT((Dati!$C$3:$AP$3="4.2")*INDEX(Dati!$C$1:$AP$1000,MATCH($A13,Dati!$A$1:$A$1000,0),0)*INDEX(Dati!$CE$1:$DR$1000,MATCH($A13,Dati!$A$1:$A$1000,0),0))/SUMPRODUCT((Dati!$C$3:$AP$3="4.2")*INDEX(Dati!$CE$1:$DR$1000,MATCH($A13,Dati!$A$1:$A$1000,0),0)),2),""))</f>
        <v/>
      </c>
      <c r="L13" s="13" t="str">
        <f aca="false">IF($B13="","",IFERROR(ROUND(SUMPRODUCT((Dati!$C$3:$AP$3="4.3")*INDEX(Dati!$C$1:$AP$1000,MATCH($A13,Dati!$A$1:$A$1000,0),0)*INDEX(Dati!$CE$1:$DR$1000,MATCH($A13,Dati!$A$1:$A$1000,0),0))/SUMPRODUCT((Dati!$C$3:$AP$3="4.3")*INDEX(Dati!$CE$1:$DR$1000,MATCH($A13,Dati!$A$1:$A$1000,0),0)),2),""))</f>
        <v/>
      </c>
      <c r="M13" s="13" t="str">
        <f aca="false">IF($B13="","",IFERROR(SUMPRODUCT((Dati!$C$4:$AP$4="A")*(INDEX(Dati!$CE$1:$DR$1000,MATCH($A13,Dati!$A$1:$A$1000,0),0)&gt;0)),0))</f>
        <v/>
      </c>
      <c r="N13" s="13" t="str">
        <f aca="false">IF($B13="","",IFERROR(ROUND(SUMPRODUCT((Dati!$C$4:$AP$4="A")*INDEX(Dati!$C$1:$AP$1000,MATCH($A13,Dati!$A$1:$A$1000,0),0)*INDEX(Dati!$CE$1:$DR$1000,MATCH($A13,Dati!$A$1:$A$1000,0),0))/SUMPRODUCT((Dati!$C$4:$AP$4="A")*INDEX(Dati!$CE$1:$DR$1000,MATCH($A13,Dati!$A$1:$A$1000,0),0)),2),""))</f>
        <v/>
      </c>
      <c r="O13" s="13" t="str">
        <f aca="false">IF(N13="","",IF(ISNUMBER(AC13),ROUND(Impostazioni!$B$12*N13+Impostazioni!$B$13*AC13,2),N13))</f>
        <v/>
      </c>
      <c r="P13" s="51" t="str">
        <f aca="false">IF(O13="","",LOOKUP(O13,Impostazioni!$E$4:$E$9,Impostazioni!$F$4:$F$9))</f>
        <v/>
      </c>
      <c r="Q13" s="52"/>
      <c r="R13" s="13" t="str">
        <f aca="false">IF($B13="","",IFERROR(SUMPRODUCT((Dati!$C$4:$AP$4="B")*(INDEX(Dati!$CE$1:$DR$1000,MATCH($A13,Dati!$A$1:$A$1000,0),0)&gt;0)),0))</f>
        <v/>
      </c>
      <c r="S13" s="13" t="str">
        <f aca="false">IF($B13="","",IFERROR(ROUND(SUMPRODUCT((Dati!$C$4:$AP$4="B")*INDEX(Dati!$C$1:$AP$1000,MATCH($A13,Dati!$A$1:$A$1000,0),0)*INDEX(Dati!$CE$1:$DR$1000,MATCH($A13,Dati!$A$1:$A$1000,0),0))/SUMPRODUCT((Dati!$C$4:$AP$4="B")*INDEX(Dati!$CE$1:$DR$1000,MATCH($A13,Dati!$A$1:$A$1000,0),0)),2),""))</f>
        <v/>
      </c>
      <c r="T13" s="13" t="str">
        <f aca="false">IF(S13="","",IF(ISNUMBER(AC13),ROUND(Impostazioni!$B$12*S13+Impostazioni!$B$13*AC13,2),S13))</f>
        <v/>
      </c>
      <c r="U13" s="51" t="str">
        <f aca="false">IF(T13="","",LOOKUP(T13,Impostazioni!$E$4:$E$9,Impostazioni!$F$4:$F$9))</f>
        <v/>
      </c>
      <c r="V13" s="52"/>
      <c r="W13" s="13" t="str">
        <f aca="false">IF($B13="","",IFERROR(ROUND(SUMPRODUCT((Dati!$C$4:$AP$4="TEC")*INDEX(Dati!$C$1:$AP$1000,MATCH($A13,Dati!$A$1:$A$1000,0),0)*INDEX(Dati!$CE$1:$DR$1000,MATCH($A13,Dati!$A$1:$A$1000,0),0))/SUMPRODUCT((Dati!$C$4:$AP$4="TEC")*INDEX(Dati!$CE$1:$DR$1000,MATCH($A13,Dati!$A$1:$A$1000,0),0)),2),""))</f>
        <v/>
      </c>
      <c r="X13" s="51" t="str">
        <f aca="false">IF(W13="","",LOOKUP(W13,Impostazioni!$E$4:$E$9,Impostazioni!$F$4:$F$9))</f>
        <v/>
      </c>
      <c r="Y13" s="52"/>
      <c r="Z13" s="13" t="str">
        <f aca="false">IF($B13="","",IFERROR(ROUND(SUMPRODUCT((Dati!$C$4:$AP$4="CIV")*INDEX(Dati!$C$1:$AP$1000,MATCH($A13,Dati!$A$1:$A$1000,0),0)*INDEX(Dati!$CE$1:$DR$1000,MATCH($A13,Dati!$A$1:$A$1000,0),0))/SUMPRODUCT((Dati!$C$4:$AP$4="CIV")*INDEX(Dati!$CE$1:$DR$1000,MATCH($A13,Dati!$A$1:$A$1000,0),0)),2),""))</f>
        <v/>
      </c>
      <c r="AA13" s="51" t="str">
        <f aca="false">IF(Z13="","",LOOKUP(Z13,Impostazioni!$E$4:$E$9,Impostazioni!$F$4:$F$9))</f>
        <v/>
      </c>
      <c r="AB13" s="52"/>
      <c r="AC13" s="52"/>
      <c r="AD13" s="13" t="str">
        <f aca="false">IF($B13="","",IFERROR(SUM(INDEX(Dati!$FG$1:$FP$1000,MATCH($A13,Dati!$A$1:$A$1000,0),0)),0))</f>
        <v/>
      </c>
      <c r="AE13" s="16" t="str">
        <f aca="false">IF($B13="","",IF($C13="ES","Esonerato: concordare con referente e dirigente",IF($C13="Ritirato","Ritirato",TRIM(IF(OR(N(M13)&lt;Impostazioni!$B$14,N(R13)&lt;Impostazioni!$B$14),"Pochi voti: valutazione alternativa (scritta/orale). ","")&amp;IF(N(AD13)&gt;0,"Da recuperare: "&amp;AD13&amp;". ","")&amp;IF($D13="OP","Riferito agli obiettivi personalizzati.","")))))</f>
        <v/>
      </c>
      <c r="AF13" s="31" t="str">
        <f aca="false">IF($B13="","",IF($C13="ES","ES",IF(Q13&lt;&gt;"",Q13,P13)))</f>
        <v/>
      </c>
      <c r="AG13" s="31" t="str">
        <f aca="false">IF($B13="","",IF($C13="ES","ES",IF(V13&lt;&gt;"",V13,U13)))</f>
        <v/>
      </c>
      <c r="AH13" s="31" t="str">
        <f aca="false">IF($B13="","",IF($C13="ES","ES",IF(Y13&lt;&gt;"",Y13,X13)))</f>
        <v/>
      </c>
      <c r="AI13" s="31" t="str">
        <f aca="false">IF($B13="","",IF($C13="ES","ES",IF(AB13&lt;&gt;"",AB13,AA13)))</f>
        <v/>
      </c>
      <c r="AJ13" s="13" t="str">
        <f aca="false">IF($B13="","",IFERROR(ROUND(SUMPRODUCT((Dati!$AQ$3:$CD$3="1.1")*INDEX(Dati!$AQ$1:$CD$1000,MATCH($A13,Dati!$A$1:$A$1000,0),0)*INDEX(Dati!$DS$1:$FF$1000,MATCH($A13,Dati!$A$1:$A$1000,0),0))/SUMPRODUCT((Dati!$AQ$3:$CD$3="1.1")*INDEX(Dati!$DS$1:$FF$1000,MATCH($A13,Dati!$A$1:$A$1000,0),0)),2),""))</f>
        <v/>
      </c>
      <c r="AK13" s="13" t="str">
        <f aca="false">IF($B13="","",IFERROR(ROUND(SUMPRODUCT((Dati!$AQ$3:$CD$3="2.1")*INDEX(Dati!$AQ$1:$CD$1000,MATCH($A13,Dati!$A$1:$A$1000,0),0)*INDEX(Dati!$DS$1:$FF$1000,MATCH($A13,Dati!$A$1:$A$1000,0),0))/SUMPRODUCT((Dati!$AQ$3:$CD$3="2.1")*INDEX(Dati!$DS$1:$FF$1000,MATCH($A13,Dati!$A$1:$A$1000,0),0)),2),""))</f>
        <v/>
      </c>
      <c r="AL13" s="13" t="str">
        <f aca="false">IF($B13="","",IFERROR(ROUND(SUMPRODUCT((Dati!$AQ$3:$CD$3="3.1")*INDEX(Dati!$AQ$1:$CD$1000,MATCH($A13,Dati!$A$1:$A$1000,0),0)*INDEX(Dati!$DS$1:$FF$1000,MATCH($A13,Dati!$A$1:$A$1000,0),0))/SUMPRODUCT((Dati!$AQ$3:$CD$3="3.1")*INDEX(Dati!$DS$1:$FF$1000,MATCH($A13,Dati!$A$1:$A$1000,0),0)),2),""))</f>
        <v/>
      </c>
      <c r="AM13" s="13" t="str">
        <f aca="false">IF($B13="","",IFERROR(ROUND(SUMPRODUCT((Dati!$AQ$3:$CD$3="3.2")*INDEX(Dati!$AQ$1:$CD$1000,MATCH($A13,Dati!$A$1:$A$1000,0),0)*INDEX(Dati!$DS$1:$FF$1000,MATCH($A13,Dati!$A$1:$A$1000,0),0))/SUMPRODUCT((Dati!$AQ$3:$CD$3="3.2")*INDEX(Dati!$DS$1:$FF$1000,MATCH($A13,Dati!$A$1:$A$1000,0),0)),2),""))</f>
        <v/>
      </c>
      <c r="AN13" s="13" t="str">
        <f aca="false">IF($B13="","",IFERROR(ROUND(SUMPRODUCT((Dati!$AQ$3:$CD$3="3.3")*INDEX(Dati!$AQ$1:$CD$1000,MATCH($A13,Dati!$A$1:$A$1000,0),0)*INDEX(Dati!$DS$1:$FF$1000,MATCH($A13,Dati!$A$1:$A$1000,0),0))/SUMPRODUCT((Dati!$AQ$3:$CD$3="3.3")*INDEX(Dati!$DS$1:$FF$1000,MATCH($A13,Dati!$A$1:$A$1000,0),0)),2),""))</f>
        <v/>
      </c>
      <c r="AO13" s="13" t="str">
        <f aca="false">IF($B13="","",IFERROR(ROUND(SUMPRODUCT((Dati!$AQ$3:$CD$3="4.1")*INDEX(Dati!$AQ$1:$CD$1000,MATCH($A13,Dati!$A$1:$A$1000,0),0)*INDEX(Dati!$DS$1:$FF$1000,MATCH($A13,Dati!$A$1:$A$1000,0),0))/SUMPRODUCT((Dati!$AQ$3:$CD$3="4.1")*INDEX(Dati!$DS$1:$FF$1000,MATCH($A13,Dati!$A$1:$A$1000,0),0)),2),""))</f>
        <v/>
      </c>
      <c r="AP13" s="13" t="str">
        <f aca="false">IF($B13="","",IFERROR(ROUND(SUMPRODUCT((Dati!$AQ$3:$CD$3="4.2")*INDEX(Dati!$AQ$1:$CD$1000,MATCH($A13,Dati!$A$1:$A$1000,0),0)*INDEX(Dati!$DS$1:$FF$1000,MATCH($A13,Dati!$A$1:$A$1000,0),0))/SUMPRODUCT((Dati!$AQ$3:$CD$3="4.2")*INDEX(Dati!$DS$1:$FF$1000,MATCH($A13,Dati!$A$1:$A$1000,0),0)),2),""))</f>
        <v/>
      </c>
      <c r="AQ13" s="13" t="str">
        <f aca="false">IF($B13="","",IFERROR(ROUND(SUMPRODUCT((Dati!$AQ$3:$CD$3="4.3")*INDEX(Dati!$AQ$1:$CD$1000,MATCH($A13,Dati!$A$1:$A$1000,0),0)*INDEX(Dati!$DS$1:$FF$1000,MATCH($A13,Dati!$A$1:$A$1000,0),0))/SUMPRODUCT((Dati!$AQ$3:$CD$3="4.3")*INDEX(Dati!$DS$1:$FF$1000,MATCH($A13,Dati!$A$1:$A$1000,0),0)),2),""))</f>
        <v/>
      </c>
      <c r="AR13" s="13" t="str">
        <f aca="false">IF($B13="","",IFERROR(SUMPRODUCT((Dati!$AQ$4:$CD$4="A")*(INDEX(Dati!$DS$1:$FF$1000,MATCH($A13,Dati!$A$1:$A$1000,0),0)&gt;0)),0))</f>
        <v/>
      </c>
      <c r="AS13" s="13" t="str">
        <f aca="false">IF($B13="","",IFERROR(ROUND(SUMPRODUCT((Dati!$AQ$4:$CD$4="A")*INDEX(Dati!$AQ$1:$CD$1000,MATCH($A13,Dati!$A$1:$A$1000,0),0)*INDEX(Dati!$DS$1:$FF$1000,MATCH($A13,Dati!$A$1:$A$1000,0),0))/SUMPRODUCT((Dati!$AQ$4:$CD$4="A")*INDEX(Dati!$DS$1:$FF$1000,MATCH($A13,Dati!$A$1:$A$1000,0),0)),2),""))</f>
        <v/>
      </c>
      <c r="AT13" s="13" t="str">
        <f aca="false">IF(AS13="","",IF(ISNUMBER(BH13),ROUND(Impostazioni!$B$12*AS13+Impostazioni!$B$13*BH13,2),AS13))</f>
        <v/>
      </c>
      <c r="AU13" s="51" t="str">
        <f aca="false">IF(AT13="","",LOOKUP(AT13,Impostazioni!$E$4:$E$9,Impostazioni!$F$4:$F$9))</f>
        <v/>
      </c>
      <c r="AV13" s="52"/>
      <c r="AW13" s="13" t="str">
        <f aca="false">IF($B13="","",IFERROR(SUMPRODUCT((Dati!$AQ$4:$CD$4="B")*(INDEX(Dati!$DS$1:$FF$1000,MATCH($A13,Dati!$A$1:$A$1000,0),0)&gt;0)),0))</f>
        <v/>
      </c>
      <c r="AX13" s="13" t="str">
        <f aca="false">IF($B13="","",IFERROR(ROUND(SUMPRODUCT((Dati!$AQ$4:$CD$4="B")*INDEX(Dati!$AQ$1:$CD$1000,MATCH($A13,Dati!$A$1:$A$1000,0),0)*INDEX(Dati!$DS$1:$FF$1000,MATCH($A13,Dati!$A$1:$A$1000,0),0))/SUMPRODUCT((Dati!$AQ$4:$CD$4="B")*INDEX(Dati!$DS$1:$FF$1000,MATCH($A13,Dati!$A$1:$A$1000,0),0)),2),""))</f>
        <v/>
      </c>
      <c r="AY13" s="13" t="str">
        <f aca="false">IF(AX13="","",IF(ISNUMBER(BH13),ROUND(Impostazioni!$B$12*AX13+Impostazioni!$B$13*BH13,2),AX13))</f>
        <v/>
      </c>
      <c r="AZ13" s="51" t="str">
        <f aca="false">IF(AY13="","",LOOKUP(AY13,Impostazioni!$E$4:$E$9,Impostazioni!$F$4:$F$9))</f>
        <v/>
      </c>
      <c r="BA13" s="52"/>
      <c r="BB13" s="13" t="str">
        <f aca="false">IF($B13="","",IFERROR(ROUND(SUMPRODUCT((Dati!$AQ$4:$CD$4="TEC")*INDEX(Dati!$AQ$1:$CD$1000,MATCH($A13,Dati!$A$1:$A$1000,0),0)*INDEX(Dati!$DS$1:$FF$1000,MATCH($A13,Dati!$A$1:$A$1000,0),0))/SUMPRODUCT((Dati!$AQ$4:$CD$4="TEC")*INDEX(Dati!$DS$1:$FF$1000,MATCH($A13,Dati!$A$1:$A$1000,0),0)),2),""))</f>
        <v/>
      </c>
      <c r="BC13" s="51" t="str">
        <f aca="false">IF(BB13="","",LOOKUP(BB13,Impostazioni!$E$4:$E$9,Impostazioni!$F$4:$F$9))</f>
        <v/>
      </c>
      <c r="BD13" s="52"/>
      <c r="BE13" s="13" t="str">
        <f aca="false">IF($B13="","",IFERROR(ROUND(SUMPRODUCT((Dati!$AQ$4:$CD$4="CIV")*INDEX(Dati!$AQ$1:$CD$1000,MATCH($A13,Dati!$A$1:$A$1000,0),0)*INDEX(Dati!$DS$1:$FF$1000,MATCH($A13,Dati!$A$1:$A$1000,0),0))/SUMPRODUCT((Dati!$AQ$4:$CD$4="CIV")*INDEX(Dati!$DS$1:$FF$1000,MATCH($A13,Dati!$A$1:$A$1000,0),0)),2),""))</f>
        <v/>
      </c>
      <c r="BF13" s="51" t="str">
        <f aca="false">IF(BE13="","",LOOKUP(BE13,Impostazioni!$E$4:$E$9,Impostazioni!$F$4:$F$9))</f>
        <v/>
      </c>
      <c r="BG13" s="52"/>
      <c r="BH13" s="52"/>
      <c r="BI13" s="13" t="str">
        <f aca="false">IF($B13="","",IFERROR(SUM(INDEX(Dati!$FQ$1:$FZ$1000,MATCH($A13,Dati!$A$1:$A$1000,0),0)),0))</f>
        <v/>
      </c>
      <c r="BJ13" s="16" t="str">
        <f aca="false">IF($B13="","",IF($C13="ES","Esonerato: concordare con referente e dirigente",IF($C13="Ritirato","Ritirato",TRIM(IF(OR(N(AR13)&lt;Impostazioni!$B$14,N(AW13)&lt;Impostazioni!$B$14),"Pochi voti: valutazione alternativa (scritta/orale). ","")&amp;IF(N(BI13)&gt;0,"Da recuperare: "&amp;BI13&amp;". ","")&amp;IF($D13="OP","Riferito agli obiettivi personalizzati.","")))))</f>
        <v/>
      </c>
      <c r="BK13" s="31" t="str">
        <f aca="false">IF($B13="","",IF($C13="ES","ES",IF(AV13&lt;&gt;"",AV13,AU13)))</f>
        <v/>
      </c>
      <c r="BL13" s="31" t="str">
        <f aca="false">IF($B13="","",IF($C13="ES","ES",IF(BA13&lt;&gt;"",BA13,AZ13)))</f>
        <v/>
      </c>
      <c r="BM13" s="31" t="str">
        <f aca="false">IF($B13="","",IF($C13="ES","ES",IF(BD13&lt;&gt;"",BD13,BC13)))</f>
        <v/>
      </c>
      <c r="BN13" s="31" t="str">
        <f aca="false">IF($B13="","",IF($C13="ES","ES",IF(BG13&lt;&gt;"",BG13,BF13)))</f>
        <v/>
      </c>
      <c r="BO13" s="14"/>
    </row>
    <row r="14" customFormat="false" ht="21" hidden="false" customHeight="true" outlineLevel="0" collapsed="false">
      <c r="A14" s="10" t="n">
        <v>7</v>
      </c>
      <c r="B14" s="16" t="str">
        <f aca="false">IFERROR(INDEX(Alunni!$C$1:$C$1000,MATCH($A14,Alunni!$A$1:$A$1000,0))&amp;"","")</f>
        <v/>
      </c>
      <c r="C14" s="13" t="str">
        <f aca="false">IFERROR(INDEX(Alunni!$D$1:$D$1000,MATCH($A14,Alunni!$A$1:$A$1000,0))&amp;"","")</f>
        <v/>
      </c>
      <c r="D14" s="13" t="str">
        <f aca="false">IFERROR(INDEX(Alunni!$E$1:$E$1000,MATCH($A14,Alunni!$A$1:$A$1000,0))&amp;"","")</f>
        <v/>
      </c>
      <c r="E14" s="13" t="str">
        <f aca="false">IF($B14="","",IFERROR(ROUND(SUMPRODUCT((Dati!$C$3:$AP$3="1.1")*INDEX(Dati!$C$1:$AP$1000,MATCH($A14,Dati!$A$1:$A$1000,0),0)*INDEX(Dati!$CE$1:$DR$1000,MATCH($A14,Dati!$A$1:$A$1000,0),0))/SUMPRODUCT((Dati!$C$3:$AP$3="1.1")*INDEX(Dati!$CE$1:$DR$1000,MATCH($A14,Dati!$A$1:$A$1000,0),0)),2),""))</f>
        <v/>
      </c>
      <c r="F14" s="13" t="str">
        <f aca="false">IF($B14="","",IFERROR(ROUND(SUMPRODUCT((Dati!$C$3:$AP$3="2.1")*INDEX(Dati!$C$1:$AP$1000,MATCH($A14,Dati!$A$1:$A$1000,0),0)*INDEX(Dati!$CE$1:$DR$1000,MATCH($A14,Dati!$A$1:$A$1000,0),0))/SUMPRODUCT((Dati!$C$3:$AP$3="2.1")*INDEX(Dati!$CE$1:$DR$1000,MATCH($A14,Dati!$A$1:$A$1000,0),0)),2),""))</f>
        <v/>
      </c>
      <c r="G14" s="13" t="str">
        <f aca="false">IF($B14="","",IFERROR(ROUND(SUMPRODUCT((Dati!$C$3:$AP$3="3.1")*INDEX(Dati!$C$1:$AP$1000,MATCH($A14,Dati!$A$1:$A$1000,0),0)*INDEX(Dati!$CE$1:$DR$1000,MATCH($A14,Dati!$A$1:$A$1000,0),0))/SUMPRODUCT((Dati!$C$3:$AP$3="3.1")*INDEX(Dati!$CE$1:$DR$1000,MATCH($A14,Dati!$A$1:$A$1000,0),0)),2),""))</f>
        <v/>
      </c>
      <c r="H14" s="13" t="str">
        <f aca="false">IF($B14="","",IFERROR(ROUND(SUMPRODUCT((Dati!$C$3:$AP$3="3.2")*INDEX(Dati!$C$1:$AP$1000,MATCH($A14,Dati!$A$1:$A$1000,0),0)*INDEX(Dati!$CE$1:$DR$1000,MATCH($A14,Dati!$A$1:$A$1000,0),0))/SUMPRODUCT((Dati!$C$3:$AP$3="3.2")*INDEX(Dati!$CE$1:$DR$1000,MATCH($A14,Dati!$A$1:$A$1000,0),0)),2),""))</f>
        <v/>
      </c>
      <c r="I14" s="13" t="str">
        <f aca="false">IF($B14="","",IFERROR(ROUND(SUMPRODUCT((Dati!$C$3:$AP$3="3.3")*INDEX(Dati!$C$1:$AP$1000,MATCH($A14,Dati!$A$1:$A$1000,0),0)*INDEX(Dati!$CE$1:$DR$1000,MATCH($A14,Dati!$A$1:$A$1000,0),0))/SUMPRODUCT((Dati!$C$3:$AP$3="3.3")*INDEX(Dati!$CE$1:$DR$1000,MATCH($A14,Dati!$A$1:$A$1000,0),0)),2),""))</f>
        <v/>
      </c>
      <c r="J14" s="13" t="str">
        <f aca="false">IF($B14="","",IFERROR(ROUND(SUMPRODUCT((Dati!$C$3:$AP$3="4.1")*INDEX(Dati!$C$1:$AP$1000,MATCH($A14,Dati!$A$1:$A$1000,0),0)*INDEX(Dati!$CE$1:$DR$1000,MATCH($A14,Dati!$A$1:$A$1000,0),0))/SUMPRODUCT((Dati!$C$3:$AP$3="4.1")*INDEX(Dati!$CE$1:$DR$1000,MATCH($A14,Dati!$A$1:$A$1000,0),0)),2),""))</f>
        <v/>
      </c>
      <c r="K14" s="13" t="str">
        <f aca="false">IF($B14="","",IFERROR(ROUND(SUMPRODUCT((Dati!$C$3:$AP$3="4.2")*INDEX(Dati!$C$1:$AP$1000,MATCH($A14,Dati!$A$1:$A$1000,0),0)*INDEX(Dati!$CE$1:$DR$1000,MATCH($A14,Dati!$A$1:$A$1000,0),0))/SUMPRODUCT((Dati!$C$3:$AP$3="4.2")*INDEX(Dati!$CE$1:$DR$1000,MATCH($A14,Dati!$A$1:$A$1000,0),0)),2),""))</f>
        <v/>
      </c>
      <c r="L14" s="13" t="str">
        <f aca="false">IF($B14="","",IFERROR(ROUND(SUMPRODUCT((Dati!$C$3:$AP$3="4.3")*INDEX(Dati!$C$1:$AP$1000,MATCH($A14,Dati!$A$1:$A$1000,0),0)*INDEX(Dati!$CE$1:$DR$1000,MATCH($A14,Dati!$A$1:$A$1000,0),0))/SUMPRODUCT((Dati!$C$3:$AP$3="4.3")*INDEX(Dati!$CE$1:$DR$1000,MATCH($A14,Dati!$A$1:$A$1000,0),0)),2),""))</f>
        <v/>
      </c>
      <c r="M14" s="13" t="str">
        <f aca="false">IF($B14="","",IFERROR(SUMPRODUCT((Dati!$C$4:$AP$4="A")*(INDEX(Dati!$CE$1:$DR$1000,MATCH($A14,Dati!$A$1:$A$1000,0),0)&gt;0)),0))</f>
        <v/>
      </c>
      <c r="N14" s="13" t="str">
        <f aca="false">IF($B14="","",IFERROR(ROUND(SUMPRODUCT((Dati!$C$4:$AP$4="A")*INDEX(Dati!$C$1:$AP$1000,MATCH($A14,Dati!$A$1:$A$1000,0),0)*INDEX(Dati!$CE$1:$DR$1000,MATCH($A14,Dati!$A$1:$A$1000,0),0))/SUMPRODUCT((Dati!$C$4:$AP$4="A")*INDEX(Dati!$CE$1:$DR$1000,MATCH($A14,Dati!$A$1:$A$1000,0),0)),2),""))</f>
        <v/>
      </c>
      <c r="O14" s="13" t="str">
        <f aca="false">IF(N14="","",IF(ISNUMBER(AC14),ROUND(Impostazioni!$B$12*N14+Impostazioni!$B$13*AC14,2),N14))</f>
        <v/>
      </c>
      <c r="P14" s="51" t="str">
        <f aca="false">IF(O14="","",LOOKUP(O14,Impostazioni!$E$4:$E$9,Impostazioni!$F$4:$F$9))</f>
        <v/>
      </c>
      <c r="Q14" s="52"/>
      <c r="R14" s="13" t="str">
        <f aca="false">IF($B14="","",IFERROR(SUMPRODUCT((Dati!$C$4:$AP$4="B")*(INDEX(Dati!$CE$1:$DR$1000,MATCH($A14,Dati!$A$1:$A$1000,0),0)&gt;0)),0))</f>
        <v/>
      </c>
      <c r="S14" s="13" t="str">
        <f aca="false">IF($B14="","",IFERROR(ROUND(SUMPRODUCT((Dati!$C$4:$AP$4="B")*INDEX(Dati!$C$1:$AP$1000,MATCH($A14,Dati!$A$1:$A$1000,0),0)*INDEX(Dati!$CE$1:$DR$1000,MATCH($A14,Dati!$A$1:$A$1000,0),0))/SUMPRODUCT((Dati!$C$4:$AP$4="B")*INDEX(Dati!$CE$1:$DR$1000,MATCH($A14,Dati!$A$1:$A$1000,0),0)),2),""))</f>
        <v/>
      </c>
      <c r="T14" s="13" t="str">
        <f aca="false">IF(S14="","",IF(ISNUMBER(AC14),ROUND(Impostazioni!$B$12*S14+Impostazioni!$B$13*AC14,2),S14))</f>
        <v/>
      </c>
      <c r="U14" s="51" t="str">
        <f aca="false">IF(T14="","",LOOKUP(T14,Impostazioni!$E$4:$E$9,Impostazioni!$F$4:$F$9))</f>
        <v/>
      </c>
      <c r="V14" s="52"/>
      <c r="W14" s="13" t="str">
        <f aca="false">IF($B14="","",IFERROR(ROUND(SUMPRODUCT((Dati!$C$4:$AP$4="TEC")*INDEX(Dati!$C$1:$AP$1000,MATCH($A14,Dati!$A$1:$A$1000,0),0)*INDEX(Dati!$CE$1:$DR$1000,MATCH($A14,Dati!$A$1:$A$1000,0),0))/SUMPRODUCT((Dati!$C$4:$AP$4="TEC")*INDEX(Dati!$CE$1:$DR$1000,MATCH($A14,Dati!$A$1:$A$1000,0),0)),2),""))</f>
        <v/>
      </c>
      <c r="X14" s="51" t="str">
        <f aca="false">IF(W14="","",LOOKUP(W14,Impostazioni!$E$4:$E$9,Impostazioni!$F$4:$F$9))</f>
        <v/>
      </c>
      <c r="Y14" s="52"/>
      <c r="Z14" s="13" t="str">
        <f aca="false">IF($B14="","",IFERROR(ROUND(SUMPRODUCT((Dati!$C$4:$AP$4="CIV")*INDEX(Dati!$C$1:$AP$1000,MATCH($A14,Dati!$A$1:$A$1000,0),0)*INDEX(Dati!$CE$1:$DR$1000,MATCH($A14,Dati!$A$1:$A$1000,0),0))/SUMPRODUCT((Dati!$C$4:$AP$4="CIV")*INDEX(Dati!$CE$1:$DR$1000,MATCH($A14,Dati!$A$1:$A$1000,0),0)),2),""))</f>
        <v/>
      </c>
      <c r="AA14" s="51" t="str">
        <f aca="false">IF(Z14="","",LOOKUP(Z14,Impostazioni!$E$4:$E$9,Impostazioni!$F$4:$F$9))</f>
        <v/>
      </c>
      <c r="AB14" s="52"/>
      <c r="AC14" s="52"/>
      <c r="AD14" s="13" t="str">
        <f aca="false">IF($B14="","",IFERROR(SUM(INDEX(Dati!$FG$1:$FP$1000,MATCH($A14,Dati!$A$1:$A$1000,0),0)),0))</f>
        <v/>
      </c>
      <c r="AE14" s="16" t="str">
        <f aca="false">IF($B14="","",IF($C14="ES","Esonerato: concordare con referente e dirigente",IF($C14="Ritirato","Ritirato",TRIM(IF(OR(N(M14)&lt;Impostazioni!$B$14,N(R14)&lt;Impostazioni!$B$14),"Pochi voti: valutazione alternativa (scritta/orale). ","")&amp;IF(N(AD14)&gt;0,"Da recuperare: "&amp;AD14&amp;". ","")&amp;IF($D14="OP","Riferito agli obiettivi personalizzati.","")))))</f>
        <v/>
      </c>
      <c r="AF14" s="31" t="str">
        <f aca="false">IF($B14="","",IF($C14="ES","ES",IF(Q14&lt;&gt;"",Q14,P14)))</f>
        <v/>
      </c>
      <c r="AG14" s="31" t="str">
        <f aca="false">IF($B14="","",IF($C14="ES","ES",IF(V14&lt;&gt;"",V14,U14)))</f>
        <v/>
      </c>
      <c r="AH14" s="31" t="str">
        <f aca="false">IF($B14="","",IF($C14="ES","ES",IF(Y14&lt;&gt;"",Y14,X14)))</f>
        <v/>
      </c>
      <c r="AI14" s="31" t="str">
        <f aca="false">IF($B14="","",IF($C14="ES","ES",IF(AB14&lt;&gt;"",AB14,AA14)))</f>
        <v/>
      </c>
      <c r="AJ14" s="13" t="str">
        <f aca="false">IF($B14="","",IFERROR(ROUND(SUMPRODUCT((Dati!$AQ$3:$CD$3="1.1")*INDEX(Dati!$AQ$1:$CD$1000,MATCH($A14,Dati!$A$1:$A$1000,0),0)*INDEX(Dati!$DS$1:$FF$1000,MATCH($A14,Dati!$A$1:$A$1000,0),0))/SUMPRODUCT((Dati!$AQ$3:$CD$3="1.1")*INDEX(Dati!$DS$1:$FF$1000,MATCH($A14,Dati!$A$1:$A$1000,0),0)),2),""))</f>
        <v/>
      </c>
      <c r="AK14" s="13" t="str">
        <f aca="false">IF($B14="","",IFERROR(ROUND(SUMPRODUCT((Dati!$AQ$3:$CD$3="2.1")*INDEX(Dati!$AQ$1:$CD$1000,MATCH($A14,Dati!$A$1:$A$1000,0),0)*INDEX(Dati!$DS$1:$FF$1000,MATCH($A14,Dati!$A$1:$A$1000,0),0))/SUMPRODUCT((Dati!$AQ$3:$CD$3="2.1")*INDEX(Dati!$DS$1:$FF$1000,MATCH($A14,Dati!$A$1:$A$1000,0),0)),2),""))</f>
        <v/>
      </c>
      <c r="AL14" s="13" t="str">
        <f aca="false">IF($B14="","",IFERROR(ROUND(SUMPRODUCT((Dati!$AQ$3:$CD$3="3.1")*INDEX(Dati!$AQ$1:$CD$1000,MATCH($A14,Dati!$A$1:$A$1000,0),0)*INDEX(Dati!$DS$1:$FF$1000,MATCH($A14,Dati!$A$1:$A$1000,0),0))/SUMPRODUCT((Dati!$AQ$3:$CD$3="3.1")*INDEX(Dati!$DS$1:$FF$1000,MATCH($A14,Dati!$A$1:$A$1000,0),0)),2),""))</f>
        <v/>
      </c>
      <c r="AM14" s="13" t="str">
        <f aca="false">IF($B14="","",IFERROR(ROUND(SUMPRODUCT((Dati!$AQ$3:$CD$3="3.2")*INDEX(Dati!$AQ$1:$CD$1000,MATCH($A14,Dati!$A$1:$A$1000,0),0)*INDEX(Dati!$DS$1:$FF$1000,MATCH($A14,Dati!$A$1:$A$1000,0),0))/SUMPRODUCT((Dati!$AQ$3:$CD$3="3.2")*INDEX(Dati!$DS$1:$FF$1000,MATCH($A14,Dati!$A$1:$A$1000,0),0)),2),""))</f>
        <v/>
      </c>
      <c r="AN14" s="13" t="str">
        <f aca="false">IF($B14="","",IFERROR(ROUND(SUMPRODUCT((Dati!$AQ$3:$CD$3="3.3")*INDEX(Dati!$AQ$1:$CD$1000,MATCH($A14,Dati!$A$1:$A$1000,0),0)*INDEX(Dati!$DS$1:$FF$1000,MATCH($A14,Dati!$A$1:$A$1000,0),0))/SUMPRODUCT((Dati!$AQ$3:$CD$3="3.3")*INDEX(Dati!$DS$1:$FF$1000,MATCH($A14,Dati!$A$1:$A$1000,0),0)),2),""))</f>
        <v/>
      </c>
      <c r="AO14" s="13" t="str">
        <f aca="false">IF($B14="","",IFERROR(ROUND(SUMPRODUCT((Dati!$AQ$3:$CD$3="4.1")*INDEX(Dati!$AQ$1:$CD$1000,MATCH($A14,Dati!$A$1:$A$1000,0),0)*INDEX(Dati!$DS$1:$FF$1000,MATCH($A14,Dati!$A$1:$A$1000,0),0))/SUMPRODUCT((Dati!$AQ$3:$CD$3="4.1")*INDEX(Dati!$DS$1:$FF$1000,MATCH($A14,Dati!$A$1:$A$1000,0),0)),2),""))</f>
        <v/>
      </c>
      <c r="AP14" s="13" t="str">
        <f aca="false">IF($B14="","",IFERROR(ROUND(SUMPRODUCT((Dati!$AQ$3:$CD$3="4.2")*INDEX(Dati!$AQ$1:$CD$1000,MATCH($A14,Dati!$A$1:$A$1000,0),0)*INDEX(Dati!$DS$1:$FF$1000,MATCH($A14,Dati!$A$1:$A$1000,0),0))/SUMPRODUCT((Dati!$AQ$3:$CD$3="4.2")*INDEX(Dati!$DS$1:$FF$1000,MATCH($A14,Dati!$A$1:$A$1000,0),0)),2),""))</f>
        <v/>
      </c>
      <c r="AQ14" s="13" t="str">
        <f aca="false">IF($B14="","",IFERROR(ROUND(SUMPRODUCT((Dati!$AQ$3:$CD$3="4.3")*INDEX(Dati!$AQ$1:$CD$1000,MATCH($A14,Dati!$A$1:$A$1000,0),0)*INDEX(Dati!$DS$1:$FF$1000,MATCH($A14,Dati!$A$1:$A$1000,0),0))/SUMPRODUCT((Dati!$AQ$3:$CD$3="4.3")*INDEX(Dati!$DS$1:$FF$1000,MATCH($A14,Dati!$A$1:$A$1000,0),0)),2),""))</f>
        <v/>
      </c>
      <c r="AR14" s="13" t="str">
        <f aca="false">IF($B14="","",IFERROR(SUMPRODUCT((Dati!$AQ$4:$CD$4="A")*(INDEX(Dati!$DS$1:$FF$1000,MATCH($A14,Dati!$A$1:$A$1000,0),0)&gt;0)),0))</f>
        <v/>
      </c>
      <c r="AS14" s="13" t="str">
        <f aca="false">IF($B14="","",IFERROR(ROUND(SUMPRODUCT((Dati!$AQ$4:$CD$4="A")*INDEX(Dati!$AQ$1:$CD$1000,MATCH($A14,Dati!$A$1:$A$1000,0),0)*INDEX(Dati!$DS$1:$FF$1000,MATCH($A14,Dati!$A$1:$A$1000,0),0))/SUMPRODUCT((Dati!$AQ$4:$CD$4="A")*INDEX(Dati!$DS$1:$FF$1000,MATCH($A14,Dati!$A$1:$A$1000,0),0)),2),""))</f>
        <v/>
      </c>
      <c r="AT14" s="13" t="str">
        <f aca="false">IF(AS14="","",IF(ISNUMBER(BH14),ROUND(Impostazioni!$B$12*AS14+Impostazioni!$B$13*BH14,2),AS14))</f>
        <v/>
      </c>
      <c r="AU14" s="51" t="str">
        <f aca="false">IF(AT14="","",LOOKUP(AT14,Impostazioni!$E$4:$E$9,Impostazioni!$F$4:$F$9))</f>
        <v/>
      </c>
      <c r="AV14" s="52"/>
      <c r="AW14" s="13" t="str">
        <f aca="false">IF($B14="","",IFERROR(SUMPRODUCT((Dati!$AQ$4:$CD$4="B")*(INDEX(Dati!$DS$1:$FF$1000,MATCH($A14,Dati!$A$1:$A$1000,0),0)&gt;0)),0))</f>
        <v/>
      </c>
      <c r="AX14" s="13" t="str">
        <f aca="false">IF($B14="","",IFERROR(ROUND(SUMPRODUCT((Dati!$AQ$4:$CD$4="B")*INDEX(Dati!$AQ$1:$CD$1000,MATCH($A14,Dati!$A$1:$A$1000,0),0)*INDEX(Dati!$DS$1:$FF$1000,MATCH($A14,Dati!$A$1:$A$1000,0),0))/SUMPRODUCT((Dati!$AQ$4:$CD$4="B")*INDEX(Dati!$DS$1:$FF$1000,MATCH($A14,Dati!$A$1:$A$1000,0),0)),2),""))</f>
        <v/>
      </c>
      <c r="AY14" s="13" t="str">
        <f aca="false">IF(AX14="","",IF(ISNUMBER(BH14),ROUND(Impostazioni!$B$12*AX14+Impostazioni!$B$13*BH14,2),AX14))</f>
        <v/>
      </c>
      <c r="AZ14" s="51" t="str">
        <f aca="false">IF(AY14="","",LOOKUP(AY14,Impostazioni!$E$4:$E$9,Impostazioni!$F$4:$F$9))</f>
        <v/>
      </c>
      <c r="BA14" s="52"/>
      <c r="BB14" s="13" t="str">
        <f aca="false">IF($B14="","",IFERROR(ROUND(SUMPRODUCT((Dati!$AQ$4:$CD$4="TEC")*INDEX(Dati!$AQ$1:$CD$1000,MATCH($A14,Dati!$A$1:$A$1000,0),0)*INDEX(Dati!$DS$1:$FF$1000,MATCH($A14,Dati!$A$1:$A$1000,0),0))/SUMPRODUCT((Dati!$AQ$4:$CD$4="TEC")*INDEX(Dati!$DS$1:$FF$1000,MATCH($A14,Dati!$A$1:$A$1000,0),0)),2),""))</f>
        <v/>
      </c>
      <c r="BC14" s="51" t="str">
        <f aca="false">IF(BB14="","",LOOKUP(BB14,Impostazioni!$E$4:$E$9,Impostazioni!$F$4:$F$9))</f>
        <v/>
      </c>
      <c r="BD14" s="52"/>
      <c r="BE14" s="13" t="str">
        <f aca="false">IF($B14="","",IFERROR(ROUND(SUMPRODUCT((Dati!$AQ$4:$CD$4="CIV")*INDEX(Dati!$AQ$1:$CD$1000,MATCH($A14,Dati!$A$1:$A$1000,0),0)*INDEX(Dati!$DS$1:$FF$1000,MATCH($A14,Dati!$A$1:$A$1000,0),0))/SUMPRODUCT((Dati!$AQ$4:$CD$4="CIV")*INDEX(Dati!$DS$1:$FF$1000,MATCH($A14,Dati!$A$1:$A$1000,0),0)),2),""))</f>
        <v/>
      </c>
      <c r="BF14" s="51" t="str">
        <f aca="false">IF(BE14="","",LOOKUP(BE14,Impostazioni!$E$4:$E$9,Impostazioni!$F$4:$F$9))</f>
        <v/>
      </c>
      <c r="BG14" s="52"/>
      <c r="BH14" s="52"/>
      <c r="BI14" s="13" t="str">
        <f aca="false">IF($B14="","",IFERROR(SUM(INDEX(Dati!$FQ$1:$FZ$1000,MATCH($A14,Dati!$A$1:$A$1000,0),0)),0))</f>
        <v/>
      </c>
      <c r="BJ14" s="16" t="str">
        <f aca="false">IF($B14="","",IF($C14="ES","Esonerato: concordare con referente e dirigente",IF($C14="Ritirato","Ritirato",TRIM(IF(OR(N(AR14)&lt;Impostazioni!$B$14,N(AW14)&lt;Impostazioni!$B$14),"Pochi voti: valutazione alternativa (scritta/orale). ","")&amp;IF(N(BI14)&gt;0,"Da recuperare: "&amp;BI14&amp;". ","")&amp;IF($D14="OP","Riferito agli obiettivi personalizzati.","")))))</f>
        <v/>
      </c>
      <c r="BK14" s="31" t="str">
        <f aca="false">IF($B14="","",IF($C14="ES","ES",IF(AV14&lt;&gt;"",AV14,AU14)))</f>
        <v/>
      </c>
      <c r="BL14" s="31" t="str">
        <f aca="false">IF($B14="","",IF($C14="ES","ES",IF(BA14&lt;&gt;"",BA14,AZ14)))</f>
        <v/>
      </c>
      <c r="BM14" s="31" t="str">
        <f aca="false">IF($B14="","",IF($C14="ES","ES",IF(BD14&lt;&gt;"",BD14,BC14)))</f>
        <v/>
      </c>
      <c r="BN14" s="31" t="str">
        <f aca="false">IF($B14="","",IF($C14="ES","ES",IF(BG14&lt;&gt;"",BG14,BF14)))</f>
        <v/>
      </c>
      <c r="BO14" s="14"/>
    </row>
    <row r="15" customFormat="false" ht="21" hidden="false" customHeight="true" outlineLevel="0" collapsed="false">
      <c r="A15" s="10" t="n">
        <v>8</v>
      </c>
      <c r="B15" s="16" t="str">
        <f aca="false">IFERROR(INDEX(Alunni!$C$1:$C$1000,MATCH($A15,Alunni!$A$1:$A$1000,0))&amp;"","")</f>
        <v/>
      </c>
      <c r="C15" s="13" t="str">
        <f aca="false">IFERROR(INDEX(Alunni!$D$1:$D$1000,MATCH($A15,Alunni!$A$1:$A$1000,0))&amp;"","")</f>
        <v/>
      </c>
      <c r="D15" s="13" t="str">
        <f aca="false">IFERROR(INDEX(Alunni!$E$1:$E$1000,MATCH($A15,Alunni!$A$1:$A$1000,0))&amp;"","")</f>
        <v/>
      </c>
      <c r="E15" s="13" t="str">
        <f aca="false">IF($B15="","",IFERROR(ROUND(SUMPRODUCT((Dati!$C$3:$AP$3="1.1")*INDEX(Dati!$C$1:$AP$1000,MATCH($A15,Dati!$A$1:$A$1000,0),0)*INDEX(Dati!$CE$1:$DR$1000,MATCH($A15,Dati!$A$1:$A$1000,0),0))/SUMPRODUCT((Dati!$C$3:$AP$3="1.1")*INDEX(Dati!$CE$1:$DR$1000,MATCH($A15,Dati!$A$1:$A$1000,0),0)),2),""))</f>
        <v/>
      </c>
      <c r="F15" s="13" t="str">
        <f aca="false">IF($B15="","",IFERROR(ROUND(SUMPRODUCT((Dati!$C$3:$AP$3="2.1")*INDEX(Dati!$C$1:$AP$1000,MATCH($A15,Dati!$A$1:$A$1000,0),0)*INDEX(Dati!$CE$1:$DR$1000,MATCH($A15,Dati!$A$1:$A$1000,0),0))/SUMPRODUCT((Dati!$C$3:$AP$3="2.1")*INDEX(Dati!$CE$1:$DR$1000,MATCH($A15,Dati!$A$1:$A$1000,0),0)),2),""))</f>
        <v/>
      </c>
      <c r="G15" s="13" t="str">
        <f aca="false">IF($B15="","",IFERROR(ROUND(SUMPRODUCT((Dati!$C$3:$AP$3="3.1")*INDEX(Dati!$C$1:$AP$1000,MATCH($A15,Dati!$A$1:$A$1000,0),0)*INDEX(Dati!$CE$1:$DR$1000,MATCH($A15,Dati!$A$1:$A$1000,0),0))/SUMPRODUCT((Dati!$C$3:$AP$3="3.1")*INDEX(Dati!$CE$1:$DR$1000,MATCH($A15,Dati!$A$1:$A$1000,0),0)),2),""))</f>
        <v/>
      </c>
      <c r="H15" s="13" t="str">
        <f aca="false">IF($B15="","",IFERROR(ROUND(SUMPRODUCT((Dati!$C$3:$AP$3="3.2")*INDEX(Dati!$C$1:$AP$1000,MATCH($A15,Dati!$A$1:$A$1000,0),0)*INDEX(Dati!$CE$1:$DR$1000,MATCH($A15,Dati!$A$1:$A$1000,0),0))/SUMPRODUCT((Dati!$C$3:$AP$3="3.2")*INDEX(Dati!$CE$1:$DR$1000,MATCH($A15,Dati!$A$1:$A$1000,0),0)),2),""))</f>
        <v/>
      </c>
      <c r="I15" s="13" t="str">
        <f aca="false">IF($B15="","",IFERROR(ROUND(SUMPRODUCT((Dati!$C$3:$AP$3="3.3")*INDEX(Dati!$C$1:$AP$1000,MATCH($A15,Dati!$A$1:$A$1000,0),0)*INDEX(Dati!$CE$1:$DR$1000,MATCH($A15,Dati!$A$1:$A$1000,0),0))/SUMPRODUCT((Dati!$C$3:$AP$3="3.3")*INDEX(Dati!$CE$1:$DR$1000,MATCH($A15,Dati!$A$1:$A$1000,0),0)),2),""))</f>
        <v/>
      </c>
      <c r="J15" s="13" t="str">
        <f aca="false">IF($B15="","",IFERROR(ROUND(SUMPRODUCT((Dati!$C$3:$AP$3="4.1")*INDEX(Dati!$C$1:$AP$1000,MATCH($A15,Dati!$A$1:$A$1000,0),0)*INDEX(Dati!$CE$1:$DR$1000,MATCH($A15,Dati!$A$1:$A$1000,0),0))/SUMPRODUCT((Dati!$C$3:$AP$3="4.1")*INDEX(Dati!$CE$1:$DR$1000,MATCH($A15,Dati!$A$1:$A$1000,0),0)),2),""))</f>
        <v/>
      </c>
      <c r="K15" s="13" t="str">
        <f aca="false">IF($B15="","",IFERROR(ROUND(SUMPRODUCT((Dati!$C$3:$AP$3="4.2")*INDEX(Dati!$C$1:$AP$1000,MATCH($A15,Dati!$A$1:$A$1000,0),0)*INDEX(Dati!$CE$1:$DR$1000,MATCH($A15,Dati!$A$1:$A$1000,0),0))/SUMPRODUCT((Dati!$C$3:$AP$3="4.2")*INDEX(Dati!$CE$1:$DR$1000,MATCH($A15,Dati!$A$1:$A$1000,0),0)),2),""))</f>
        <v/>
      </c>
      <c r="L15" s="13" t="str">
        <f aca="false">IF($B15="","",IFERROR(ROUND(SUMPRODUCT((Dati!$C$3:$AP$3="4.3")*INDEX(Dati!$C$1:$AP$1000,MATCH($A15,Dati!$A$1:$A$1000,0),0)*INDEX(Dati!$CE$1:$DR$1000,MATCH($A15,Dati!$A$1:$A$1000,0),0))/SUMPRODUCT((Dati!$C$3:$AP$3="4.3")*INDEX(Dati!$CE$1:$DR$1000,MATCH($A15,Dati!$A$1:$A$1000,0),0)),2),""))</f>
        <v/>
      </c>
      <c r="M15" s="13" t="str">
        <f aca="false">IF($B15="","",IFERROR(SUMPRODUCT((Dati!$C$4:$AP$4="A")*(INDEX(Dati!$CE$1:$DR$1000,MATCH($A15,Dati!$A$1:$A$1000,0),0)&gt;0)),0))</f>
        <v/>
      </c>
      <c r="N15" s="13" t="str">
        <f aca="false">IF($B15="","",IFERROR(ROUND(SUMPRODUCT((Dati!$C$4:$AP$4="A")*INDEX(Dati!$C$1:$AP$1000,MATCH($A15,Dati!$A$1:$A$1000,0),0)*INDEX(Dati!$CE$1:$DR$1000,MATCH($A15,Dati!$A$1:$A$1000,0),0))/SUMPRODUCT((Dati!$C$4:$AP$4="A")*INDEX(Dati!$CE$1:$DR$1000,MATCH($A15,Dati!$A$1:$A$1000,0),0)),2),""))</f>
        <v/>
      </c>
      <c r="O15" s="13" t="str">
        <f aca="false">IF(N15="","",IF(ISNUMBER(AC15),ROUND(Impostazioni!$B$12*N15+Impostazioni!$B$13*AC15,2),N15))</f>
        <v/>
      </c>
      <c r="P15" s="51" t="str">
        <f aca="false">IF(O15="","",LOOKUP(O15,Impostazioni!$E$4:$E$9,Impostazioni!$F$4:$F$9))</f>
        <v/>
      </c>
      <c r="Q15" s="52"/>
      <c r="R15" s="13" t="str">
        <f aca="false">IF($B15="","",IFERROR(SUMPRODUCT((Dati!$C$4:$AP$4="B")*(INDEX(Dati!$CE$1:$DR$1000,MATCH($A15,Dati!$A$1:$A$1000,0),0)&gt;0)),0))</f>
        <v/>
      </c>
      <c r="S15" s="13" t="str">
        <f aca="false">IF($B15="","",IFERROR(ROUND(SUMPRODUCT((Dati!$C$4:$AP$4="B")*INDEX(Dati!$C$1:$AP$1000,MATCH($A15,Dati!$A$1:$A$1000,0),0)*INDEX(Dati!$CE$1:$DR$1000,MATCH($A15,Dati!$A$1:$A$1000,0),0))/SUMPRODUCT((Dati!$C$4:$AP$4="B")*INDEX(Dati!$CE$1:$DR$1000,MATCH($A15,Dati!$A$1:$A$1000,0),0)),2),""))</f>
        <v/>
      </c>
      <c r="T15" s="13" t="str">
        <f aca="false">IF(S15="","",IF(ISNUMBER(AC15),ROUND(Impostazioni!$B$12*S15+Impostazioni!$B$13*AC15,2),S15))</f>
        <v/>
      </c>
      <c r="U15" s="51" t="str">
        <f aca="false">IF(T15="","",LOOKUP(T15,Impostazioni!$E$4:$E$9,Impostazioni!$F$4:$F$9))</f>
        <v/>
      </c>
      <c r="V15" s="52"/>
      <c r="W15" s="13" t="str">
        <f aca="false">IF($B15="","",IFERROR(ROUND(SUMPRODUCT((Dati!$C$4:$AP$4="TEC")*INDEX(Dati!$C$1:$AP$1000,MATCH($A15,Dati!$A$1:$A$1000,0),0)*INDEX(Dati!$CE$1:$DR$1000,MATCH($A15,Dati!$A$1:$A$1000,0),0))/SUMPRODUCT((Dati!$C$4:$AP$4="TEC")*INDEX(Dati!$CE$1:$DR$1000,MATCH($A15,Dati!$A$1:$A$1000,0),0)),2),""))</f>
        <v/>
      </c>
      <c r="X15" s="51" t="str">
        <f aca="false">IF(W15="","",LOOKUP(W15,Impostazioni!$E$4:$E$9,Impostazioni!$F$4:$F$9))</f>
        <v/>
      </c>
      <c r="Y15" s="52"/>
      <c r="Z15" s="13" t="str">
        <f aca="false">IF($B15="","",IFERROR(ROUND(SUMPRODUCT((Dati!$C$4:$AP$4="CIV")*INDEX(Dati!$C$1:$AP$1000,MATCH($A15,Dati!$A$1:$A$1000,0),0)*INDEX(Dati!$CE$1:$DR$1000,MATCH($A15,Dati!$A$1:$A$1000,0),0))/SUMPRODUCT((Dati!$C$4:$AP$4="CIV")*INDEX(Dati!$CE$1:$DR$1000,MATCH($A15,Dati!$A$1:$A$1000,0),0)),2),""))</f>
        <v/>
      </c>
      <c r="AA15" s="51" t="str">
        <f aca="false">IF(Z15="","",LOOKUP(Z15,Impostazioni!$E$4:$E$9,Impostazioni!$F$4:$F$9))</f>
        <v/>
      </c>
      <c r="AB15" s="52"/>
      <c r="AC15" s="52"/>
      <c r="AD15" s="13" t="str">
        <f aca="false">IF($B15="","",IFERROR(SUM(INDEX(Dati!$FG$1:$FP$1000,MATCH($A15,Dati!$A$1:$A$1000,0),0)),0))</f>
        <v/>
      </c>
      <c r="AE15" s="16" t="str">
        <f aca="false">IF($B15="","",IF($C15="ES","Esonerato: concordare con referente e dirigente",IF($C15="Ritirato","Ritirato",TRIM(IF(OR(N(M15)&lt;Impostazioni!$B$14,N(R15)&lt;Impostazioni!$B$14),"Pochi voti: valutazione alternativa (scritta/orale). ","")&amp;IF(N(AD15)&gt;0,"Da recuperare: "&amp;AD15&amp;". ","")&amp;IF($D15="OP","Riferito agli obiettivi personalizzati.","")))))</f>
        <v/>
      </c>
      <c r="AF15" s="31" t="str">
        <f aca="false">IF($B15="","",IF($C15="ES","ES",IF(Q15&lt;&gt;"",Q15,P15)))</f>
        <v/>
      </c>
      <c r="AG15" s="31" t="str">
        <f aca="false">IF($B15="","",IF($C15="ES","ES",IF(V15&lt;&gt;"",V15,U15)))</f>
        <v/>
      </c>
      <c r="AH15" s="31" t="str">
        <f aca="false">IF($B15="","",IF($C15="ES","ES",IF(Y15&lt;&gt;"",Y15,X15)))</f>
        <v/>
      </c>
      <c r="AI15" s="31" t="str">
        <f aca="false">IF($B15="","",IF($C15="ES","ES",IF(AB15&lt;&gt;"",AB15,AA15)))</f>
        <v/>
      </c>
      <c r="AJ15" s="13" t="str">
        <f aca="false">IF($B15="","",IFERROR(ROUND(SUMPRODUCT((Dati!$AQ$3:$CD$3="1.1")*INDEX(Dati!$AQ$1:$CD$1000,MATCH($A15,Dati!$A$1:$A$1000,0),0)*INDEX(Dati!$DS$1:$FF$1000,MATCH($A15,Dati!$A$1:$A$1000,0),0))/SUMPRODUCT((Dati!$AQ$3:$CD$3="1.1")*INDEX(Dati!$DS$1:$FF$1000,MATCH($A15,Dati!$A$1:$A$1000,0),0)),2),""))</f>
        <v/>
      </c>
      <c r="AK15" s="13" t="str">
        <f aca="false">IF($B15="","",IFERROR(ROUND(SUMPRODUCT((Dati!$AQ$3:$CD$3="2.1")*INDEX(Dati!$AQ$1:$CD$1000,MATCH($A15,Dati!$A$1:$A$1000,0),0)*INDEX(Dati!$DS$1:$FF$1000,MATCH($A15,Dati!$A$1:$A$1000,0),0))/SUMPRODUCT((Dati!$AQ$3:$CD$3="2.1")*INDEX(Dati!$DS$1:$FF$1000,MATCH($A15,Dati!$A$1:$A$1000,0),0)),2),""))</f>
        <v/>
      </c>
      <c r="AL15" s="13" t="str">
        <f aca="false">IF($B15="","",IFERROR(ROUND(SUMPRODUCT((Dati!$AQ$3:$CD$3="3.1")*INDEX(Dati!$AQ$1:$CD$1000,MATCH($A15,Dati!$A$1:$A$1000,0),0)*INDEX(Dati!$DS$1:$FF$1000,MATCH($A15,Dati!$A$1:$A$1000,0),0))/SUMPRODUCT((Dati!$AQ$3:$CD$3="3.1")*INDEX(Dati!$DS$1:$FF$1000,MATCH($A15,Dati!$A$1:$A$1000,0),0)),2),""))</f>
        <v/>
      </c>
      <c r="AM15" s="13" t="str">
        <f aca="false">IF($B15="","",IFERROR(ROUND(SUMPRODUCT((Dati!$AQ$3:$CD$3="3.2")*INDEX(Dati!$AQ$1:$CD$1000,MATCH($A15,Dati!$A$1:$A$1000,0),0)*INDEX(Dati!$DS$1:$FF$1000,MATCH($A15,Dati!$A$1:$A$1000,0),0))/SUMPRODUCT((Dati!$AQ$3:$CD$3="3.2")*INDEX(Dati!$DS$1:$FF$1000,MATCH($A15,Dati!$A$1:$A$1000,0),0)),2),""))</f>
        <v/>
      </c>
      <c r="AN15" s="13" t="str">
        <f aca="false">IF($B15="","",IFERROR(ROUND(SUMPRODUCT((Dati!$AQ$3:$CD$3="3.3")*INDEX(Dati!$AQ$1:$CD$1000,MATCH($A15,Dati!$A$1:$A$1000,0),0)*INDEX(Dati!$DS$1:$FF$1000,MATCH($A15,Dati!$A$1:$A$1000,0),0))/SUMPRODUCT((Dati!$AQ$3:$CD$3="3.3")*INDEX(Dati!$DS$1:$FF$1000,MATCH($A15,Dati!$A$1:$A$1000,0),0)),2),""))</f>
        <v/>
      </c>
      <c r="AO15" s="13" t="str">
        <f aca="false">IF($B15="","",IFERROR(ROUND(SUMPRODUCT((Dati!$AQ$3:$CD$3="4.1")*INDEX(Dati!$AQ$1:$CD$1000,MATCH($A15,Dati!$A$1:$A$1000,0),0)*INDEX(Dati!$DS$1:$FF$1000,MATCH($A15,Dati!$A$1:$A$1000,0),0))/SUMPRODUCT((Dati!$AQ$3:$CD$3="4.1")*INDEX(Dati!$DS$1:$FF$1000,MATCH($A15,Dati!$A$1:$A$1000,0),0)),2),""))</f>
        <v/>
      </c>
      <c r="AP15" s="13" t="str">
        <f aca="false">IF($B15="","",IFERROR(ROUND(SUMPRODUCT((Dati!$AQ$3:$CD$3="4.2")*INDEX(Dati!$AQ$1:$CD$1000,MATCH($A15,Dati!$A$1:$A$1000,0),0)*INDEX(Dati!$DS$1:$FF$1000,MATCH($A15,Dati!$A$1:$A$1000,0),0))/SUMPRODUCT((Dati!$AQ$3:$CD$3="4.2")*INDEX(Dati!$DS$1:$FF$1000,MATCH($A15,Dati!$A$1:$A$1000,0),0)),2),""))</f>
        <v/>
      </c>
      <c r="AQ15" s="13" t="str">
        <f aca="false">IF($B15="","",IFERROR(ROUND(SUMPRODUCT((Dati!$AQ$3:$CD$3="4.3")*INDEX(Dati!$AQ$1:$CD$1000,MATCH($A15,Dati!$A$1:$A$1000,0),0)*INDEX(Dati!$DS$1:$FF$1000,MATCH($A15,Dati!$A$1:$A$1000,0),0))/SUMPRODUCT((Dati!$AQ$3:$CD$3="4.3")*INDEX(Dati!$DS$1:$FF$1000,MATCH($A15,Dati!$A$1:$A$1000,0),0)),2),""))</f>
        <v/>
      </c>
      <c r="AR15" s="13" t="str">
        <f aca="false">IF($B15="","",IFERROR(SUMPRODUCT((Dati!$AQ$4:$CD$4="A")*(INDEX(Dati!$DS$1:$FF$1000,MATCH($A15,Dati!$A$1:$A$1000,0),0)&gt;0)),0))</f>
        <v/>
      </c>
      <c r="AS15" s="13" t="str">
        <f aca="false">IF($B15="","",IFERROR(ROUND(SUMPRODUCT((Dati!$AQ$4:$CD$4="A")*INDEX(Dati!$AQ$1:$CD$1000,MATCH($A15,Dati!$A$1:$A$1000,0),0)*INDEX(Dati!$DS$1:$FF$1000,MATCH($A15,Dati!$A$1:$A$1000,0),0))/SUMPRODUCT((Dati!$AQ$4:$CD$4="A")*INDEX(Dati!$DS$1:$FF$1000,MATCH($A15,Dati!$A$1:$A$1000,0),0)),2),""))</f>
        <v/>
      </c>
      <c r="AT15" s="13" t="str">
        <f aca="false">IF(AS15="","",IF(ISNUMBER(BH15),ROUND(Impostazioni!$B$12*AS15+Impostazioni!$B$13*BH15,2),AS15))</f>
        <v/>
      </c>
      <c r="AU15" s="51" t="str">
        <f aca="false">IF(AT15="","",LOOKUP(AT15,Impostazioni!$E$4:$E$9,Impostazioni!$F$4:$F$9))</f>
        <v/>
      </c>
      <c r="AV15" s="52"/>
      <c r="AW15" s="13" t="str">
        <f aca="false">IF($B15="","",IFERROR(SUMPRODUCT((Dati!$AQ$4:$CD$4="B")*(INDEX(Dati!$DS$1:$FF$1000,MATCH($A15,Dati!$A$1:$A$1000,0),0)&gt;0)),0))</f>
        <v/>
      </c>
      <c r="AX15" s="13" t="str">
        <f aca="false">IF($B15="","",IFERROR(ROUND(SUMPRODUCT((Dati!$AQ$4:$CD$4="B")*INDEX(Dati!$AQ$1:$CD$1000,MATCH($A15,Dati!$A$1:$A$1000,0),0)*INDEX(Dati!$DS$1:$FF$1000,MATCH($A15,Dati!$A$1:$A$1000,0),0))/SUMPRODUCT((Dati!$AQ$4:$CD$4="B")*INDEX(Dati!$DS$1:$FF$1000,MATCH($A15,Dati!$A$1:$A$1000,0),0)),2),""))</f>
        <v/>
      </c>
      <c r="AY15" s="13" t="str">
        <f aca="false">IF(AX15="","",IF(ISNUMBER(BH15),ROUND(Impostazioni!$B$12*AX15+Impostazioni!$B$13*BH15,2),AX15))</f>
        <v/>
      </c>
      <c r="AZ15" s="51" t="str">
        <f aca="false">IF(AY15="","",LOOKUP(AY15,Impostazioni!$E$4:$E$9,Impostazioni!$F$4:$F$9))</f>
        <v/>
      </c>
      <c r="BA15" s="52"/>
      <c r="BB15" s="13" t="str">
        <f aca="false">IF($B15="","",IFERROR(ROUND(SUMPRODUCT((Dati!$AQ$4:$CD$4="TEC")*INDEX(Dati!$AQ$1:$CD$1000,MATCH($A15,Dati!$A$1:$A$1000,0),0)*INDEX(Dati!$DS$1:$FF$1000,MATCH($A15,Dati!$A$1:$A$1000,0),0))/SUMPRODUCT((Dati!$AQ$4:$CD$4="TEC")*INDEX(Dati!$DS$1:$FF$1000,MATCH($A15,Dati!$A$1:$A$1000,0),0)),2),""))</f>
        <v/>
      </c>
      <c r="BC15" s="51" t="str">
        <f aca="false">IF(BB15="","",LOOKUP(BB15,Impostazioni!$E$4:$E$9,Impostazioni!$F$4:$F$9))</f>
        <v/>
      </c>
      <c r="BD15" s="52"/>
      <c r="BE15" s="13" t="str">
        <f aca="false">IF($B15="","",IFERROR(ROUND(SUMPRODUCT((Dati!$AQ$4:$CD$4="CIV")*INDEX(Dati!$AQ$1:$CD$1000,MATCH($A15,Dati!$A$1:$A$1000,0),0)*INDEX(Dati!$DS$1:$FF$1000,MATCH($A15,Dati!$A$1:$A$1000,0),0))/SUMPRODUCT((Dati!$AQ$4:$CD$4="CIV")*INDEX(Dati!$DS$1:$FF$1000,MATCH($A15,Dati!$A$1:$A$1000,0),0)),2),""))</f>
        <v/>
      </c>
      <c r="BF15" s="51" t="str">
        <f aca="false">IF(BE15="","",LOOKUP(BE15,Impostazioni!$E$4:$E$9,Impostazioni!$F$4:$F$9))</f>
        <v/>
      </c>
      <c r="BG15" s="52"/>
      <c r="BH15" s="52"/>
      <c r="BI15" s="13" t="str">
        <f aca="false">IF($B15="","",IFERROR(SUM(INDEX(Dati!$FQ$1:$FZ$1000,MATCH($A15,Dati!$A$1:$A$1000,0),0)),0))</f>
        <v/>
      </c>
      <c r="BJ15" s="16" t="str">
        <f aca="false">IF($B15="","",IF($C15="ES","Esonerato: concordare con referente e dirigente",IF($C15="Ritirato","Ritirato",TRIM(IF(OR(N(AR15)&lt;Impostazioni!$B$14,N(AW15)&lt;Impostazioni!$B$14),"Pochi voti: valutazione alternativa (scritta/orale). ","")&amp;IF(N(BI15)&gt;0,"Da recuperare: "&amp;BI15&amp;". ","")&amp;IF($D15="OP","Riferito agli obiettivi personalizzati.","")))))</f>
        <v/>
      </c>
      <c r="BK15" s="31" t="str">
        <f aca="false">IF($B15="","",IF($C15="ES","ES",IF(AV15&lt;&gt;"",AV15,AU15)))</f>
        <v/>
      </c>
      <c r="BL15" s="31" t="str">
        <f aca="false">IF($B15="","",IF($C15="ES","ES",IF(BA15&lt;&gt;"",BA15,AZ15)))</f>
        <v/>
      </c>
      <c r="BM15" s="31" t="str">
        <f aca="false">IF($B15="","",IF($C15="ES","ES",IF(BD15&lt;&gt;"",BD15,BC15)))</f>
        <v/>
      </c>
      <c r="BN15" s="31" t="str">
        <f aca="false">IF($B15="","",IF($C15="ES","ES",IF(BG15&lt;&gt;"",BG15,BF15)))</f>
        <v/>
      </c>
      <c r="BO15" s="14"/>
    </row>
    <row r="16" customFormat="false" ht="21" hidden="false" customHeight="true" outlineLevel="0" collapsed="false">
      <c r="A16" s="10" t="n">
        <v>9</v>
      </c>
      <c r="B16" s="16" t="str">
        <f aca="false">IFERROR(INDEX(Alunni!$C$1:$C$1000,MATCH($A16,Alunni!$A$1:$A$1000,0))&amp;"","")</f>
        <v/>
      </c>
      <c r="C16" s="13" t="str">
        <f aca="false">IFERROR(INDEX(Alunni!$D$1:$D$1000,MATCH($A16,Alunni!$A$1:$A$1000,0))&amp;"","")</f>
        <v/>
      </c>
      <c r="D16" s="13" t="str">
        <f aca="false">IFERROR(INDEX(Alunni!$E$1:$E$1000,MATCH($A16,Alunni!$A$1:$A$1000,0))&amp;"","")</f>
        <v/>
      </c>
      <c r="E16" s="13" t="str">
        <f aca="false">IF($B16="","",IFERROR(ROUND(SUMPRODUCT((Dati!$C$3:$AP$3="1.1")*INDEX(Dati!$C$1:$AP$1000,MATCH($A16,Dati!$A$1:$A$1000,0),0)*INDEX(Dati!$CE$1:$DR$1000,MATCH($A16,Dati!$A$1:$A$1000,0),0))/SUMPRODUCT((Dati!$C$3:$AP$3="1.1")*INDEX(Dati!$CE$1:$DR$1000,MATCH($A16,Dati!$A$1:$A$1000,0),0)),2),""))</f>
        <v/>
      </c>
      <c r="F16" s="13" t="str">
        <f aca="false">IF($B16="","",IFERROR(ROUND(SUMPRODUCT((Dati!$C$3:$AP$3="2.1")*INDEX(Dati!$C$1:$AP$1000,MATCH($A16,Dati!$A$1:$A$1000,0),0)*INDEX(Dati!$CE$1:$DR$1000,MATCH($A16,Dati!$A$1:$A$1000,0),0))/SUMPRODUCT((Dati!$C$3:$AP$3="2.1")*INDEX(Dati!$CE$1:$DR$1000,MATCH($A16,Dati!$A$1:$A$1000,0),0)),2),""))</f>
        <v/>
      </c>
      <c r="G16" s="13" t="str">
        <f aca="false">IF($B16="","",IFERROR(ROUND(SUMPRODUCT((Dati!$C$3:$AP$3="3.1")*INDEX(Dati!$C$1:$AP$1000,MATCH($A16,Dati!$A$1:$A$1000,0),0)*INDEX(Dati!$CE$1:$DR$1000,MATCH($A16,Dati!$A$1:$A$1000,0),0))/SUMPRODUCT((Dati!$C$3:$AP$3="3.1")*INDEX(Dati!$CE$1:$DR$1000,MATCH($A16,Dati!$A$1:$A$1000,0),0)),2),""))</f>
        <v/>
      </c>
      <c r="H16" s="13" t="str">
        <f aca="false">IF($B16="","",IFERROR(ROUND(SUMPRODUCT((Dati!$C$3:$AP$3="3.2")*INDEX(Dati!$C$1:$AP$1000,MATCH($A16,Dati!$A$1:$A$1000,0),0)*INDEX(Dati!$CE$1:$DR$1000,MATCH($A16,Dati!$A$1:$A$1000,0),0))/SUMPRODUCT((Dati!$C$3:$AP$3="3.2")*INDEX(Dati!$CE$1:$DR$1000,MATCH($A16,Dati!$A$1:$A$1000,0),0)),2),""))</f>
        <v/>
      </c>
      <c r="I16" s="13" t="str">
        <f aca="false">IF($B16="","",IFERROR(ROUND(SUMPRODUCT((Dati!$C$3:$AP$3="3.3")*INDEX(Dati!$C$1:$AP$1000,MATCH($A16,Dati!$A$1:$A$1000,0),0)*INDEX(Dati!$CE$1:$DR$1000,MATCH($A16,Dati!$A$1:$A$1000,0),0))/SUMPRODUCT((Dati!$C$3:$AP$3="3.3")*INDEX(Dati!$CE$1:$DR$1000,MATCH($A16,Dati!$A$1:$A$1000,0),0)),2),""))</f>
        <v/>
      </c>
      <c r="J16" s="13" t="str">
        <f aca="false">IF($B16="","",IFERROR(ROUND(SUMPRODUCT((Dati!$C$3:$AP$3="4.1")*INDEX(Dati!$C$1:$AP$1000,MATCH($A16,Dati!$A$1:$A$1000,0),0)*INDEX(Dati!$CE$1:$DR$1000,MATCH($A16,Dati!$A$1:$A$1000,0),0))/SUMPRODUCT((Dati!$C$3:$AP$3="4.1")*INDEX(Dati!$CE$1:$DR$1000,MATCH($A16,Dati!$A$1:$A$1000,0),0)),2),""))</f>
        <v/>
      </c>
      <c r="K16" s="13" t="str">
        <f aca="false">IF($B16="","",IFERROR(ROUND(SUMPRODUCT((Dati!$C$3:$AP$3="4.2")*INDEX(Dati!$C$1:$AP$1000,MATCH($A16,Dati!$A$1:$A$1000,0),0)*INDEX(Dati!$CE$1:$DR$1000,MATCH($A16,Dati!$A$1:$A$1000,0),0))/SUMPRODUCT((Dati!$C$3:$AP$3="4.2")*INDEX(Dati!$CE$1:$DR$1000,MATCH($A16,Dati!$A$1:$A$1000,0),0)),2),""))</f>
        <v/>
      </c>
      <c r="L16" s="13" t="str">
        <f aca="false">IF($B16="","",IFERROR(ROUND(SUMPRODUCT((Dati!$C$3:$AP$3="4.3")*INDEX(Dati!$C$1:$AP$1000,MATCH($A16,Dati!$A$1:$A$1000,0),0)*INDEX(Dati!$CE$1:$DR$1000,MATCH($A16,Dati!$A$1:$A$1000,0),0))/SUMPRODUCT((Dati!$C$3:$AP$3="4.3")*INDEX(Dati!$CE$1:$DR$1000,MATCH($A16,Dati!$A$1:$A$1000,0),0)),2),""))</f>
        <v/>
      </c>
      <c r="M16" s="13" t="str">
        <f aca="false">IF($B16="","",IFERROR(SUMPRODUCT((Dati!$C$4:$AP$4="A")*(INDEX(Dati!$CE$1:$DR$1000,MATCH($A16,Dati!$A$1:$A$1000,0),0)&gt;0)),0))</f>
        <v/>
      </c>
      <c r="N16" s="13" t="str">
        <f aca="false">IF($B16="","",IFERROR(ROUND(SUMPRODUCT((Dati!$C$4:$AP$4="A")*INDEX(Dati!$C$1:$AP$1000,MATCH($A16,Dati!$A$1:$A$1000,0),0)*INDEX(Dati!$CE$1:$DR$1000,MATCH($A16,Dati!$A$1:$A$1000,0),0))/SUMPRODUCT((Dati!$C$4:$AP$4="A")*INDEX(Dati!$CE$1:$DR$1000,MATCH($A16,Dati!$A$1:$A$1000,0),0)),2),""))</f>
        <v/>
      </c>
      <c r="O16" s="13" t="str">
        <f aca="false">IF(N16="","",IF(ISNUMBER(AC16),ROUND(Impostazioni!$B$12*N16+Impostazioni!$B$13*AC16,2),N16))</f>
        <v/>
      </c>
      <c r="P16" s="51" t="str">
        <f aca="false">IF(O16="","",LOOKUP(O16,Impostazioni!$E$4:$E$9,Impostazioni!$F$4:$F$9))</f>
        <v/>
      </c>
      <c r="Q16" s="52"/>
      <c r="R16" s="13" t="str">
        <f aca="false">IF($B16="","",IFERROR(SUMPRODUCT((Dati!$C$4:$AP$4="B")*(INDEX(Dati!$CE$1:$DR$1000,MATCH($A16,Dati!$A$1:$A$1000,0),0)&gt;0)),0))</f>
        <v/>
      </c>
      <c r="S16" s="13" t="str">
        <f aca="false">IF($B16="","",IFERROR(ROUND(SUMPRODUCT((Dati!$C$4:$AP$4="B")*INDEX(Dati!$C$1:$AP$1000,MATCH($A16,Dati!$A$1:$A$1000,0),0)*INDEX(Dati!$CE$1:$DR$1000,MATCH($A16,Dati!$A$1:$A$1000,0),0))/SUMPRODUCT((Dati!$C$4:$AP$4="B")*INDEX(Dati!$CE$1:$DR$1000,MATCH($A16,Dati!$A$1:$A$1000,0),0)),2),""))</f>
        <v/>
      </c>
      <c r="T16" s="13" t="str">
        <f aca="false">IF(S16="","",IF(ISNUMBER(AC16),ROUND(Impostazioni!$B$12*S16+Impostazioni!$B$13*AC16,2),S16))</f>
        <v/>
      </c>
      <c r="U16" s="51" t="str">
        <f aca="false">IF(T16="","",LOOKUP(T16,Impostazioni!$E$4:$E$9,Impostazioni!$F$4:$F$9))</f>
        <v/>
      </c>
      <c r="V16" s="52"/>
      <c r="W16" s="13" t="str">
        <f aca="false">IF($B16="","",IFERROR(ROUND(SUMPRODUCT((Dati!$C$4:$AP$4="TEC")*INDEX(Dati!$C$1:$AP$1000,MATCH($A16,Dati!$A$1:$A$1000,0),0)*INDEX(Dati!$CE$1:$DR$1000,MATCH($A16,Dati!$A$1:$A$1000,0),0))/SUMPRODUCT((Dati!$C$4:$AP$4="TEC")*INDEX(Dati!$CE$1:$DR$1000,MATCH($A16,Dati!$A$1:$A$1000,0),0)),2),""))</f>
        <v/>
      </c>
      <c r="X16" s="51" t="str">
        <f aca="false">IF(W16="","",LOOKUP(W16,Impostazioni!$E$4:$E$9,Impostazioni!$F$4:$F$9))</f>
        <v/>
      </c>
      <c r="Y16" s="52"/>
      <c r="Z16" s="13" t="str">
        <f aca="false">IF($B16="","",IFERROR(ROUND(SUMPRODUCT((Dati!$C$4:$AP$4="CIV")*INDEX(Dati!$C$1:$AP$1000,MATCH($A16,Dati!$A$1:$A$1000,0),0)*INDEX(Dati!$CE$1:$DR$1000,MATCH($A16,Dati!$A$1:$A$1000,0),0))/SUMPRODUCT((Dati!$C$4:$AP$4="CIV")*INDEX(Dati!$CE$1:$DR$1000,MATCH($A16,Dati!$A$1:$A$1000,0),0)),2),""))</f>
        <v/>
      </c>
      <c r="AA16" s="51" t="str">
        <f aca="false">IF(Z16="","",LOOKUP(Z16,Impostazioni!$E$4:$E$9,Impostazioni!$F$4:$F$9))</f>
        <v/>
      </c>
      <c r="AB16" s="52"/>
      <c r="AC16" s="52"/>
      <c r="AD16" s="13" t="str">
        <f aca="false">IF($B16="","",IFERROR(SUM(INDEX(Dati!$FG$1:$FP$1000,MATCH($A16,Dati!$A$1:$A$1000,0),0)),0))</f>
        <v/>
      </c>
      <c r="AE16" s="16" t="str">
        <f aca="false">IF($B16="","",IF($C16="ES","Esonerato: concordare con referente e dirigente",IF($C16="Ritirato","Ritirato",TRIM(IF(OR(N(M16)&lt;Impostazioni!$B$14,N(R16)&lt;Impostazioni!$B$14),"Pochi voti: valutazione alternativa (scritta/orale). ","")&amp;IF(N(AD16)&gt;0,"Da recuperare: "&amp;AD16&amp;". ","")&amp;IF($D16="OP","Riferito agli obiettivi personalizzati.","")))))</f>
        <v/>
      </c>
      <c r="AF16" s="31" t="str">
        <f aca="false">IF($B16="","",IF($C16="ES","ES",IF(Q16&lt;&gt;"",Q16,P16)))</f>
        <v/>
      </c>
      <c r="AG16" s="31" t="str">
        <f aca="false">IF($B16="","",IF($C16="ES","ES",IF(V16&lt;&gt;"",V16,U16)))</f>
        <v/>
      </c>
      <c r="AH16" s="31" t="str">
        <f aca="false">IF($B16="","",IF($C16="ES","ES",IF(Y16&lt;&gt;"",Y16,X16)))</f>
        <v/>
      </c>
      <c r="AI16" s="31" t="str">
        <f aca="false">IF($B16="","",IF($C16="ES","ES",IF(AB16&lt;&gt;"",AB16,AA16)))</f>
        <v/>
      </c>
      <c r="AJ16" s="13" t="str">
        <f aca="false">IF($B16="","",IFERROR(ROUND(SUMPRODUCT((Dati!$AQ$3:$CD$3="1.1")*INDEX(Dati!$AQ$1:$CD$1000,MATCH($A16,Dati!$A$1:$A$1000,0),0)*INDEX(Dati!$DS$1:$FF$1000,MATCH($A16,Dati!$A$1:$A$1000,0),0))/SUMPRODUCT((Dati!$AQ$3:$CD$3="1.1")*INDEX(Dati!$DS$1:$FF$1000,MATCH($A16,Dati!$A$1:$A$1000,0),0)),2),""))</f>
        <v/>
      </c>
      <c r="AK16" s="13" t="str">
        <f aca="false">IF($B16="","",IFERROR(ROUND(SUMPRODUCT((Dati!$AQ$3:$CD$3="2.1")*INDEX(Dati!$AQ$1:$CD$1000,MATCH($A16,Dati!$A$1:$A$1000,0),0)*INDEX(Dati!$DS$1:$FF$1000,MATCH($A16,Dati!$A$1:$A$1000,0),0))/SUMPRODUCT((Dati!$AQ$3:$CD$3="2.1")*INDEX(Dati!$DS$1:$FF$1000,MATCH($A16,Dati!$A$1:$A$1000,0),0)),2),""))</f>
        <v/>
      </c>
      <c r="AL16" s="13" t="str">
        <f aca="false">IF($B16="","",IFERROR(ROUND(SUMPRODUCT((Dati!$AQ$3:$CD$3="3.1")*INDEX(Dati!$AQ$1:$CD$1000,MATCH($A16,Dati!$A$1:$A$1000,0),0)*INDEX(Dati!$DS$1:$FF$1000,MATCH($A16,Dati!$A$1:$A$1000,0),0))/SUMPRODUCT((Dati!$AQ$3:$CD$3="3.1")*INDEX(Dati!$DS$1:$FF$1000,MATCH($A16,Dati!$A$1:$A$1000,0),0)),2),""))</f>
        <v/>
      </c>
      <c r="AM16" s="13" t="str">
        <f aca="false">IF($B16="","",IFERROR(ROUND(SUMPRODUCT((Dati!$AQ$3:$CD$3="3.2")*INDEX(Dati!$AQ$1:$CD$1000,MATCH($A16,Dati!$A$1:$A$1000,0),0)*INDEX(Dati!$DS$1:$FF$1000,MATCH($A16,Dati!$A$1:$A$1000,0),0))/SUMPRODUCT((Dati!$AQ$3:$CD$3="3.2")*INDEX(Dati!$DS$1:$FF$1000,MATCH($A16,Dati!$A$1:$A$1000,0),0)),2),""))</f>
        <v/>
      </c>
      <c r="AN16" s="13" t="str">
        <f aca="false">IF($B16="","",IFERROR(ROUND(SUMPRODUCT((Dati!$AQ$3:$CD$3="3.3")*INDEX(Dati!$AQ$1:$CD$1000,MATCH($A16,Dati!$A$1:$A$1000,0),0)*INDEX(Dati!$DS$1:$FF$1000,MATCH($A16,Dati!$A$1:$A$1000,0),0))/SUMPRODUCT((Dati!$AQ$3:$CD$3="3.3")*INDEX(Dati!$DS$1:$FF$1000,MATCH($A16,Dati!$A$1:$A$1000,0),0)),2),""))</f>
        <v/>
      </c>
      <c r="AO16" s="13" t="str">
        <f aca="false">IF($B16="","",IFERROR(ROUND(SUMPRODUCT((Dati!$AQ$3:$CD$3="4.1")*INDEX(Dati!$AQ$1:$CD$1000,MATCH($A16,Dati!$A$1:$A$1000,0),0)*INDEX(Dati!$DS$1:$FF$1000,MATCH($A16,Dati!$A$1:$A$1000,0),0))/SUMPRODUCT((Dati!$AQ$3:$CD$3="4.1")*INDEX(Dati!$DS$1:$FF$1000,MATCH($A16,Dati!$A$1:$A$1000,0),0)),2),""))</f>
        <v/>
      </c>
      <c r="AP16" s="13" t="str">
        <f aca="false">IF($B16="","",IFERROR(ROUND(SUMPRODUCT((Dati!$AQ$3:$CD$3="4.2")*INDEX(Dati!$AQ$1:$CD$1000,MATCH($A16,Dati!$A$1:$A$1000,0),0)*INDEX(Dati!$DS$1:$FF$1000,MATCH($A16,Dati!$A$1:$A$1000,0),0))/SUMPRODUCT((Dati!$AQ$3:$CD$3="4.2")*INDEX(Dati!$DS$1:$FF$1000,MATCH($A16,Dati!$A$1:$A$1000,0),0)),2),""))</f>
        <v/>
      </c>
      <c r="AQ16" s="13" t="str">
        <f aca="false">IF($B16="","",IFERROR(ROUND(SUMPRODUCT((Dati!$AQ$3:$CD$3="4.3")*INDEX(Dati!$AQ$1:$CD$1000,MATCH($A16,Dati!$A$1:$A$1000,0),0)*INDEX(Dati!$DS$1:$FF$1000,MATCH($A16,Dati!$A$1:$A$1000,0),0))/SUMPRODUCT((Dati!$AQ$3:$CD$3="4.3")*INDEX(Dati!$DS$1:$FF$1000,MATCH($A16,Dati!$A$1:$A$1000,0),0)),2),""))</f>
        <v/>
      </c>
      <c r="AR16" s="13" t="str">
        <f aca="false">IF($B16="","",IFERROR(SUMPRODUCT((Dati!$AQ$4:$CD$4="A")*(INDEX(Dati!$DS$1:$FF$1000,MATCH($A16,Dati!$A$1:$A$1000,0),0)&gt;0)),0))</f>
        <v/>
      </c>
      <c r="AS16" s="13" t="str">
        <f aca="false">IF($B16="","",IFERROR(ROUND(SUMPRODUCT((Dati!$AQ$4:$CD$4="A")*INDEX(Dati!$AQ$1:$CD$1000,MATCH($A16,Dati!$A$1:$A$1000,0),0)*INDEX(Dati!$DS$1:$FF$1000,MATCH($A16,Dati!$A$1:$A$1000,0),0))/SUMPRODUCT((Dati!$AQ$4:$CD$4="A")*INDEX(Dati!$DS$1:$FF$1000,MATCH($A16,Dati!$A$1:$A$1000,0),0)),2),""))</f>
        <v/>
      </c>
      <c r="AT16" s="13" t="str">
        <f aca="false">IF(AS16="","",IF(ISNUMBER(BH16),ROUND(Impostazioni!$B$12*AS16+Impostazioni!$B$13*BH16,2),AS16))</f>
        <v/>
      </c>
      <c r="AU16" s="51" t="str">
        <f aca="false">IF(AT16="","",LOOKUP(AT16,Impostazioni!$E$4:$E$9,Impostazioni!$F$4:$F$9))</f>
        <v/>
      </c>
      <c r="AV16" s="52"/>
      <c r="AW16" s="13" t="str">
        <f aca="false">IF($B16="","",IFERROR(SUMPRODUCT((Dati!$AQ$4:$CD$4="B")*(INDEX(Dati!$DS$1:$FF$1000,MATCH($A16,Dati!$A$1:$A$1000,0),0)&gt;0)),0))</f>
        <v/>
      </c>
      <c r="AX16" s="13" t="str">
        <f aca="false">IF($B16="","",IFERROR(ROUND(SUMPRODUCT((Dati!$AQ$4:$CD$4="B")*INDEX(Dati!$AQ$1:$CD$1000,MATCH($A16,Dati!$A$1:$A$1000,0),0)*INDEX(Dati!$DS$1:$FF$1000,MATCH($A16,Dati!$A$1:$A$1000,0),0))/SUMPRODUCT((Dati!$AQ$4:$CD$4="B")*INDEX(Dati!$DS$1:$FF$1000,MATCH($A16,Dati!$A$1:$A$1000,0),0)),2),""))</f>
        <v/>
      </c>
      <c r="AY16" s="13" t="str">
        <f aca="false">IF(AX16="","",IF(ISNUMBER(BH16),ROUND(Impostazioni!$B$12*AX16+Impostazioni!$B$13*BH16,2),AX16))</f>
        <v/>
      </c>
      <c r="AZ16" s="51" t="str">
        <f aca="false">IF(AY16="","",LOOKUP(AY16,Impostazioni!$E$4:$E$9,Impostazioni!$F$4:$F$9))</f>
        <v/>
      </c>
      <c r="BA16" s="52"/>
      <c r="BB16" s="13" t="str">
        <f aca="false">IF($B16="","",IFERROR(ROUND(SUMPRODUCT((Dati!$AQ$4:$CD$4="TEC")*INDEX(Dati!$AQ$1:$CD$1000,MATCH($A16,Dati!$A$1:$A$1000,0),0)*INDEX(Dati!$DS$1:$FF$1000,MATCH($A16,Dati!$A$1:$A$1000,0),0))/SUMPRODUCT((Dati!$AQ$4:$CD$4="TEC")*INDEX(Dati!$DS$1:$FF$1000,MATCH($A16,Dati!$A$1:$A$1000,0),0)),2),""))</f>
        <v/>
      </c>
      <c r="BC16" s="51" t="str">
        <f aca="false">IF(BB16="","",LOOKUP(BB16,Impostazioni!$E$4:$E$9,Impostazioni!$F$4:$F$9))</f>
        <v/>
      </c>
      <c r="BD16" s="52"/>
      <c r="BE16" s="13" t="str">
        <f aca="false">IF($B16="","",IFERROR(ROUND(SUMPRODUCT((Dati!$AQ$4:$CD$4="CIV")*INDEX(Dati!$AQ$1:$CD$1000,MATCH($A16,Dati!$A$1:$A$1000,0),0)*INDEX(Dati!$DS$1:$FF$1000,MATCH($A16,Dati!$A$1:$A$1000,0),0))/SUMPRODUCT((Dati!$AQ$4:$CD$4="CIV")*INDEX(Dati!$DS$1:$FF$1000,MATCH($A16,Dati!$A$1:$A$1000,0),0)),2),""))</f>
        <v/>
      </c>
      <c r="BF16" s="51" t="str">
        <f aca="false">IF(BE16="","",LOOKUP(BE16,Impostazioni!$E$4:$E$9,Impostazioni!$F$4:$F$9))</f>
        <v/>
      </c>
      <c r="BG16" s="52"/>
      <c r="BH16" s="52"/>
      <c r="BI16" s="13" t="str">
        <f aca="false">IF($B16="","",IFERROR(SUM(INDEX(Dati!$FQ$1:$FZ$1000,MATCH($A16,Dati!$A$1:$A$1000,0),0)),0))</f>
        <v/>
      </c>
      <c r="BJ16" s="16" t="str">
        <f aca="false">IF($B16="","",IF($C16="ES","Esonerato: concordare con referente e dirigente",IF($C16="Ritirato","Ritirato",TRIM(IF(OR(N(AR16)&lt;Impostazioni!$B$14,N(AW16)&lt;Impostazioni!$B$14),"Pochi voti: valutazione alternativa (scritta/orale). ","")&amp;IF(N(BI16)&gt;0,"Da recuperare: "&amp;BI16&amp;". ","")&amp;IF($D16="OP","Riferito agli obiettivi personalizzati.","")))))</f>
        <v/>
      </c>
      <c r="BK16" s="31" t="str">
        <f aca="false">IF($B16="","",IF($C16="ES","ES",IF(AV16&lt;&gt;"",AV16,AU16)))</f>
        <v/>
      </c>
      <c r="BL16" s="31" t="str">
        <f aca="false">IF($B16="","",IF($C16="ES","ES",IF(BA16&lt;&gt;"",BA16,AZ16)))</f>
        <v/>
      </c>
      <c r="BM16" s="31" t="str">
        <f aca="false">IF($B16="","",IF($C16="ES","ES",IF(BD16&lt;&gt;"",BD16,BC16)))</f>
        <v/>
      </c>
      <c r="BN16" s="31" t="str">
        <f aca="false">IF($B16="","",IF($C16="ES","ES",IF(BG16&lt;&gt;"",BG16,BF16)))</f>
        <v/>
      </c>
      <c r="BO16" s="14"/>
    </row>
    <row r="17" customFormat="false" ht="21" hidden="false" customHeight="true" outlineLevel="0" collapsed="false">
      <c r="A17" s="10" t="n">
        <v>10</v>
      </c>
      <c r="B17" s="16" t="str">
        <f aca="false">IFERROR(INDEX(Alunni!$C$1:$C$1000,MATCH($A17,Alunni!$A$1:$A$1000,0))&amp;"","")</f>
        <v/>
      </c>
      <c r="C17" s="13" t="str">
        <f aca="false">IFERROR(INDEX(Alunni!$D$1:$D$1000,MATCH($A17,Alunni!$A$1:$A$1000,0))&amp;"","")</f>
        <v/>
      </c>
      <c r="D17" s="13" t="str">
        <f aca="false">IFERROR(INDEX(Alunni!$E$1:$E$1000,MATCH($A17,Alunni!$A$1:$A$1000,0))&amp;"","")</f>
        <v/>
      </c>
      <c r="E17" s="13" t="str">
        <f aca="false">IF($B17="","",IFERROR(ROUND(SUMPRODUCT((Dati!$C$3:$AP$3="1.1")*INDEX(Dati!$C$1:$AP$1000,MATCH($A17,Dati!$A$1:$A$1000,0),0)*INDEX(Dati!$CE$1:$DR$1000,MATCH($A17,Dati!$A$1:$A$1000,0),0))/SUMPRODUCT((Dati!$C$3:$AP$3="1.1")*INDEX(Dati!$CE$1:$DR$1000,MATCH($A17,Dati!$A$1:$A$1000,0),0)),2),""))</f>
        <v/>
      </c>
      <c r="F17" s="13" t="str">
        <f aca="false">IF($B17="","",IFERROR(ROUND(SUMPRODUCT((Dati!$C$3:$AP$3="2.1")*INDEX(Dati!$C$1:$AP$1000,MATCH($A17,Dati!$A$1:$A$1000,0),0)*INDEX(Dati!$CE$1:$DR$1000,MATCH($A17,Dati!$A$1:$A$1000,0),0))/SUMPRODUCT((Dati!$C$3:$AP$3="2.1")*INDEX(Dati!$CE$1:$DR$1000,MATCH($A17,Dati!$A$1:$A$1000,0),0)),2),""))</f>
        <v/>
      </c>
      <c r="G17" s="13" t="str">
        <f aca="false">IF($B17="","",IFERROR(ROUND(SUMPRODUCT((Dati!$C$3:$AP$3="3.1")*INDEX(Dati!$C$1:$AP$1000,MATCH($A17,Dati!$A$1:$A$1000,0),0)*INDEX(Dati!$CE$1:$DR$1000,MATCH($A17,Dati!$A$1:$A$1000,0),0))/SUMPRODUCT((Dati!$C$3:$AP$3="3.1")*INDEX(Dati!$CE$1:$DR$1000,MATCH($A17,Dati!$A$1:$A$1000,0),0)),2),""))</f>
        <v/>
      </c>
      <c r="H17" s="13" t="str">
        <f aca="false">IF($B17="","",IFERROR(ROUND(SUMPRODUCT((Dati!$C$3:$AP$3="3.2")*INDEX(Dati!$C$1:$AP$1000,MATCH($A17,Dati!$A$1:$A$1000,0),0)*INDEX(Dati!$CE$1:$DR$1000,MATCH($A17,Dati!$A$1:$A$1000,0),0))/SUMPRODUCT((Dati!$C$3:$AP$3="3.2")*INDEX(Dati!$CE$1:$DR$1000,MATCH($A17,Dati!$A$1:$A$1000,0),0)),2),""))</f>
        <v/>
      </c>
      <c r="I17" s="13" t="str">
        <f aca="false">IF($B17="","",IFERROR(ROUND(SUMPRODUCT((Dati!$C$3:$AP$3="3.3")*INDEX(Dati!$C$1:$AP$1000,MATCH($A17,Dati!$A$1:$A$1000,0),0)*INDEX(Dati!$CE$1:$DR$1000,MATCH($A17,Dati!$A$1:$A$1000,0),0))/SUMPRODUCT((Dati!$C$3:$AP$3="3.3")*INDEX(Dati!$CE$1:$DR$1000,MATCH($A17,Dati!$A$1:$A$1000,0),0)),2),""))</f>
        <v/>
      </c>
      <c r="J17" s="13" t="str">
        <f aca="false">IF($B17="","",IFERROR(ROUND(SUMPRODUCT((Dati!$C$3:$AP$3="4.1")*INDEX(Dati!$C$1:$AP$1000,MATCH($A17,Dati!$A$1:$A$1000,0),0)*INDEX(Dati!$CE$1:$DR$1000,MATCH($A17,Dati!$A$1:$A$1000,0),0))/SUMPRODUCT((Dati!$C$3:$AP$3="4.1")*INDEX(Dati!$CE$1:$DR$1000,MATCH($A17,Dati!$A$1:$A$1000,0),0)),2),""))</f>
        <v/>
      </c>
      <c r="K17" s="13" t="str">
        <f aca="false">IF($B17="","",IFERROR(ROUND(SUMPRODUCT((Dati!$C$3:$AP$3="4.2")*INDEX(Dati!$C$1:$AP$1000,MATCH($A17,Dati!$A$1:$A$1000,0),0)*INDEX(Dati!$CE$1:$DR$1000,MATCH($A17,Dati!$A$1:$A$1000,0),0))/SUMPRODUCT((Dati!$C$3:$AP$3="4.2")*INDEX(Dati!$CE$1:$DR$1000,MATCH($A17,Dati!$A$1:$A$1000,0),0)),2),""))</f>
        <v/>
      </c>
      <c r="L17" s="13" t="str">
        <f aca="false">IF($B17="","",IFERROR(ROUND(SUMPRODUCT((Dati!$C$3:$AP$3="4.3")*INDEX(Dati!$C$1:$AP$1000,MATCH($A17,Dati!$A$1:$A$1000,0),0)*INDEX(Dati!$CE$1:$DR$1000,MATCH($A17,Dati!$A$1:$A$1000,0),0))/SUMPRODUCT((Dati!$C$3:$AP$3="4.3")*INDEX(Dati!$CE$1:$DR$1000,MATCH($A17,Dati!$A$1:$A$1000,0),0)),2),""))</f>
        <v/>
      </c>
      <c r="M17" s="13" t="str">
        <f aca="false">IF($B17="","",IFERROR(SUMPRODUCT((Dati!$C$4:$AP$4="A")*(INDEX(Dati!$CE$1:$DR$1000,MATCH($A17,Dati!$A$1:$A$1000,0),0)&gt;0)),0))</f>
        <v/>
      </c>
      <c r="N17" s="13" t="str">
        <f aca="false">IF($B17="","",IFERROR(ROUND(SUMPRODUCT((Dati!$C$4:$AP$4="A")*INDEX(Dati!$C$1:$AP$1000,MATCH($A17,Dati!$A$1:$A$1000,0),0)*INDEX(Dati!$CE$1:$DR$1000,MATCH($A17,Dati!$A$1:$A$1000,0),0))/SUMPRODUCT((Dati!$C$4:$AP$4="A")*INDEX(Dati!$CE$1:$DR$1000,MATCH($A17,Dati!$A$1:$A$1000,0),0)),2),""))</f>
        <v/>
      </c>
      <c r="O17" s="13" t="str">
        <f aca="false">IF(N17="","",IF(ISNUMBER(AC17),ROUND(Impostazioni!$B$12*N17+Impostazioni!$B$13*AC17,2),N17))</f>
        <v/>
      </c>
      <c r="P17" s="51" t="str">
        <f aca="false">IF(O17="","",LOOKUP(O17,Impostazioni!$E$4:$E$9,Impostazioni!$F$4:$F$9))</f>
        <v/>
      </c>
      <c r="Q17" s="52"/>
      <c r="R17" s="13" t="str">
        <f aca="false">IF($B17="","",IFERROR(SUMPRODUCT((Dati!$C$4:$AP$4="B")*(INDEX(Dati!$CE$1:$DR$1000,MATCH($A17,Dati!$A$1:$A$1000,0),0)&gt;0)),0))</f>
        <v/>
      </c>
      <c r="S17" s="13" t="str">
        <f aca="false">IF($B17="","",IFERROR(ROUND(SUMPRODUCT((Dati!$C$4:$AP$4="B")*INDEX(Dati!$C$1:$AP$1000,MATCH($A17,Dati!$A$1:$A$1000,0),0)*INDEX(Dati!$CE$1:$DR$1000,MATCH($A17,Dati!$A$1:$A$1000,0),0))/SUMPRODUCT((Dati!$C$4:$AP$4="B")*INDEX(Dati!$CE$1:$DR$1000,MATCH($A17,Dati!$A$1:$A$1000,0),0)),2),""))</f>
        <v/>
      </c>
      <c r="T17" s="13" t="str">
        <f aca="false">IF(S17="","",IF(ISNUMBER(AC17),ROUND(Impostazioni!$B$12*S17+Impostazioni!$B$13*AC17,2),S17))</f>
        <v/>
      </c>
      <c r="U17" s="51" t="str">
        <f aca="false">IF(T17="","",LOOKUP(T17,Impostazioni!$E$4:$E$9,Impostazioni!$F$4:$F$9))</f>
        <v/>
      </c>
      <c r="V17" s="52"/>
      <c r="W17" s="13" t="str">
        <f aca="false">IF($B17="","",IFERROR(ROUND(SUMPRODUCT((Dati!$C$4:$AP$4="TEC")*INDEX(Dati!$C$1:$AP$1000,MATCH($A17,Dati!$A$1:$A$1000,0),0)*INDEX(Dati!$CE$1:$DR$1000,MATCH($A17,Dati!$A$1:$A$1000,0),0))/SUMPRODUCT((Dati!$C$4:$AP$4="TEC")*INDEX(Dati!$CE$1:$DR$1000,MATCH($A17,Dati!$A$1:$A$1000,0),0)),2),""))</f>
        <v/>
      </c>
      <c r="X17" s="51" t="str">
        <f aca="false">IF(W17="","",LOOKUP(W17,Impostazioni!$E$4:$E$9,Impostazioni!$F$4:$F$9))</f>
        <v/>
      </c>
      <c r="Y17" s="52"/>
      <c r="Z17" s="13" t="str">
        <f aca="false">IF($B17="","",IFERROR(ROUND(SUMPRODUCT((Dati!$C$4:$AP$4="CIV")*INDEX(Dati!$C$1:$AP$1000,MATCH($A17,Dati!$A$1:$A$1000,0),0)*INDEX(Dati!$CE$1:$DR$1000,MATCH($A17,Dati!$A$1:$A$1000,0),0))/SUMPRODUCT((Dati!$C$4:$AP$4="CIV")*INDEX(Dati!$CE$1:$DR$1000,MATCH($A17,Dati!$A$1:$A$1000,0),0)),2),""))</f>
        <v/>
      </c>
      <c r="AA17" s="51" t="str">
        <f aca="false">IF(Z17="","",LOOKUP(Z17,Impostazioni!$E$4:$E$9,Impostazioni!$F$4:$F$9))</f>
        <v/>
      </c>
      <c r="AB17" s="52"/>
      <c r="AC17" s="52"/>
      <c r="AD17" s="13" t="str">
        <f aca="false">IF($B17="","",IFERROR(SUM(INDEX(Dati!$FG$1:$FP$1000,MATCH($A17,Dati!$A$1:$A$1000,0),0)),0))</f>
        <v/>
      </c>
      <c r="AE17" s="16" t="str">
        <f aca="false">IF($B17="","",IF($C17="ES","Esonerato: concordare con referente e dirigente",IF($C17="Ritirato","Ritirato",TRIM(IF(OR(N(M17)&lt;Impostazioni!$B$14,N(R17)&lt;Impostazioni!$B$14),"Pochi voti: valutazione alternativa (scritta/orale). ","")&amp;IF(N(AD17)&gt;0,"Da recuperare: "&amp;AD17&amp;". ","")&amp;IF($D17="OP","Riferito agli obiettivi personalizzati.","")))))</f>
        <v/>
      </c>
      <c r="AF17" s="31" t="str">
        <f aca="false">IF($B17="","",IF($C17="ES","ES",IF(Q17&lt;&gt;"",Q17,P17)))</f>
        <v/>
      </c>
      <c r="AG17" s="31" t="str">
        <f aca="false">IF($B17="","",IF($C17="ES","ES",IF(V17&lt;&gt;"",V17,U17)))</f>
        <v/>
      </c>
      <c r="AH17" s="31" t="str">
        <f aca="false">IF($B17="","",IF($C17="ES","ES",IF(Y17&lt;&gt;"",Y17,X17)))</f>
        <v/>
      </c>
      <c r="AI17" s="31" t="str">
        <f aca="false">IF($B17="","",IF($C17="ES","ES",IF(AB17&lt;&gt;"",AB17,AA17)))</f>
        <v/>
      </c>
      <c r="AJ17" s="13" t="str">
        <f aca="false">IF($B17="","",IFERROR(ROUND(SUMPRODUCT((Dati!$AQ$3:$CD$3="1.1")*INDEX(Dati!$AQ$1:$CD$1000,MATCH($A17,Dati!$A$1:$A$1000,0),0)*INDEX(Dati!$DS$1:$FF$1000,MATCH($A17,Dati!$A$1:$A$1000,0),0))/SUMPRODUCT((Dati!$AQ$3:$CD$3="1.1")*INDEX(Dati!$DS$1:$FF$1000,MATCH($A17,Dati!$A$1:$A$1000,0),0)),2),""))</f>
        <v/>
      </c>
      <c r="AK17" s="13" t="str">
        <f aca="false">IF($B17="","",IFERROR(ROUND(SUMPRODUCT((Dati!$AQ$3:$CD$3="2.1")*INDEX(Dati!$AQ$1:$CD$1000,MATCH($A17,Dati!$A$1:$A$1000,0),0)*INDEX(Dati!$DS$1:$FF$1000,MATCH($A17,Dati!$A$1:$A$1000,0),0))/SUMPRODUCT((Dati!$AQ$3:$CD$3="2.1")*INDEX(Dati!$DS$1:$FF$1000,MATCH($A17,Dati!$A$1:$A$1000,0),0)),2),""))</f>
        <v/>
      </c>
      <c r="AL17" s="13" t="str">
        <f aca="false">IF($B17="","",IFERROR(ROUND(SUMPRODUCT((Dati!$AQ$3:$CD$3="3.1")*INDEX(Dati!$AQ$1:$CD$1000,MATCH($A17,Dati!$A$1:$A$1000,0),0)*INDEX(Dati!$DS$1:$FF$1000,MATCH($A17,Dati!$A$1:$A$1000,0),0))/SUMPRODUCT((Dati!$AQ$3:$CD$3="3.1")*INDEX(Dati!$DS$1:$FF$1000,MATCH($A17,Dati!$A$1:$A$1000,0),0)),2),""))</f>
        <v/>
      </c>
      <c r="AM17" s="13" t="str">
        <f aca="false">IF($B17="","",IFERROR(ROUND(SUMPRODUCT((Dati!$AQ$3:$CD$3="3.2")*INDEX(Dati!$AQ$1:$CD$1000,MATCH($A17,Dati!$A$1:$A$1000,0),0)*INDEX(Dati!$DS$1:$FF$1000,MATCH($A17,Dati!$A$1:$A$1000,0),0))/SUMPRODUCT((Dati!$AQ$3:$CD$3="3.2")*INDEX(Dati!$DS$1:$FF$1000,MATCH($A17,Dati!$A$1:$A$1000,0),0)),2),""))</f>
        <v/>
      </c>
      <c r="AN17" s="13" t="str">
        <f aca="false">IF($B17="","",IFERROR(ROUND(SUMPRODUCT((Dati!$AQ$3:$CD$3="3.3")*INDEX(Dati!$AQ$1:$CD$1000,MATCH($A17,Dati!$A$1:$A$1000,0),0)*INDEX(Dati!$DS$1:$FF$1000,MATCH($A17,Dati!$A$1:$A$1000,0),0))/SUMPRODUCT((Dati!$AQ$3:$CD$3="3.3")*INDEX(Dati!$DS$1:$FF$1000,MATCH($A17,Dati!$A$1:$A$1000,0),0)),2),""))</f>
        <v/>
      </c>
      <c r="AO17" s="13" t="str">
        <f aca="false">IF($B17="","",IFERROR(ROUND(SUMPRODUCT((Dati!$AQ$3:$CD$3="4.1")*INDEX(Dati!$AQ$1:$CD$1000,MATCH($A17,Dati!$A$1:$A$1000,0),0)*INDEX(Dati!$DS$1:$FF$1000,MATCH($A17,Dati!$A$1:$A$1000,0),0))/SUMPRODUCT((Dati!$AQ$3:$CD$3="4.1")*INDEX(Dati!$DS$1:$FF$1000,MATCH($A17,Dati!$A$1:$A$1000,0),0)),2),""))</f>
        <v/>
      </c>
      <c r="AP17" s="13" t="str">
        <f aca="false">IF($B17="","",IFERROR(ROUND(SUMPRODUCT((Dati!$AQ$3:$CD$3="4.2")*INDEX(Dati!$AQ$1:$CD$1000,MATCH($A17,Dati!$A$1:$A$1000,0),0)*INDEX(Dati!$DS$1:$FF$1000,MATCH($A17,Dati!$A$1:$A$1000,0),0))/SUMPRODUCT((Dati!$AQ$3:$CD$3="4.2")*INDEX(Dati!$DS$1:$FF$1000,MATCH($A17,Dati!$A$1:$A$1000,0),0)),2),""))</f>
        <v/>
      </c>
      <c r="AQ17" s="13" t="str">
        <f aca="false">IF($B17="","",IFERROR(ROUND(SUMPRODUCT((Dati!$AQ$3:$CD$3="4.3")*INDEX(Dati!$AQ$1:$CD$1000,MATCH($A17,Dati!$A$1:$A$1000,0),0)*INDEX(Dati!$DS$1:$FF$1000,MATCH($A17,Dati!$A$1:$A$1000,0),0))/SUMPRODUCT((Dati!$AQ$3:$CD$3="4.3")*INDEX(Dati!$DS$1:$FF$1000,MATCH($A17,Dati!$A$1:$A$1000,0),0)),2),""))</f>
        <v/>
      </c>
      <c r="AR17" s="13" t="str">
        <f aca="false">IF($B17="","",IFERROR(SUMPRODUCT((Dati!$AQ$4:$CD$4="A")*(INDEX(Dati!$DS$1:$FF$1000,MATCH($A17,Dati!$A$1:$A$1000,0),0)&gt;0)),0))</f>
        <v/>
      </c>
      <c r="AS17" s="13" t="str">
        <f aca="false">IF($B17="","",IFERROR(ROUND(SUMPRODUCT((Dati!$AQ$4:$CD$4="A")*INDEX(Dati!$AQ$1:$CD$1000,MATCH($A17,Dati!$A$1:$A$1000,0),0)*INDEX(Dati!$DS$1:$FF$1000,MATCH($A17,Dati!$A$1:$A$1000,0),0))/SUMPRODUCT((Dati!$AQ$4:$CD$4="A")*INDEX(Dati!$DS$1:$FF$1000,MATCH($A17,Dati!$A$1:$A$1000,0),0)),2),""))</f>
        <v/>
      </c>
      <c r="AT17" s="13" t="str">
        <f aca="false">IF(AS17="","",IF(ISNUMBER(BH17),ROUND(Impostazioni!$B$12*AS17+Impostazioni!$B$13*BH17,2),AS17))</f>
        <v/>
      </c>
      <c r="AU17" s="51" t="str">
        <f aca="false">IF(AT17="","",LOOKUP(AT17,Impostazioni!$E$4:$E$9,Impostazioni!$F$4:$F$9))</f>
        <v/>
      </c>
      <c r="AV17" s="52"/>
      <c r="AW17" s="13" t="str">
        <f aca="false">IF($B17="","",IFERROR(SUMPRODUCT((Dati!$AQ$4:$CD$4="B")*(INDEX(Dati!$DS$1:$FF$1000,MATCH($A17,Dati!$A$1:$A$1000,0),0)&gt;0)),0))</f>
        <v/>
      </c>
      <c r="AX17" s="13" t="str">
        <f aca="false">IF($B17="","",IFERROR(ROUND(SUMPRODUCT((Dati!$AQ$4:$CD$4="B")*INDEX(Dati!$AQ$1:$CD$1000,MATCH($A17,Dati!$A$1:$A$1000,0),0)*INDEX(Dati!$DS$1:$FF$1000,MATCH($A17,Dati!$A$1:$A$1000,0),0))/SUMPRODUCT((Dati!$AQ$4:$CD$4="B")*INDEX(Dati!$DS$1:$FF$1000,MATCH($A17,Dati!$A$1:$A$1000,0),0)),2),""))</f>
        <v/>
      </c>
      <c r="AY17" s="13" t="str">
        <f aca="false">IF(AX17="","",IF(ISNUMBER(BH17),ROUND(Impostazioni!$B$12*AX17+Impostazioni!$B$13*BH17,2),AX17))</f>
        <v/>
      </c>
      <c r="AZ17" s="51" t="str">
        <f aca="false">IF(AY17="","",LOOKUP(AY17,Impostazioni!$E$4:$E$9,Impostazioni!$F$4:$F$9))</f>
        <v/>
      </c>
      <c r="BA17" s="52"/>
      <c r="BB17" s="13" t="str">
        <f aca="false">IF($B17="","",IFERROR(ROUND(SUMPRODUCT((Dati!$AQ$4:$CD$4="TEC")*INDEX(Dati!$AQ$1:$CD$1000,MATCH($A17,Dati!$A$1:$A$1000,0),0)*INDEX(Dati!$DS$1:$FF$1000,MATCH($A17,Dati!$A$1:$A$1000,0),0))/SUMPRODUCT((Dati!$AQ$4:$CD$4="TEC")*INDEX(Dati!$DS$1:$FF$1000,MATCH($A17,Dati!$A$1:$A$1000,0),0)),2),""))</f>
        <v/>
      </c>
      <c r="BC17" s="51" t="str">
        <f aca="false">IF(BB17="","",LOOKUP(BB17,Impostazioni!$E$4:$E$9,Impostazioni!$F$4:$F$9))</f>
        <v/>
      </c>
      <c r="BD17" s="52"/>
      <c r="BE17" s="13" t="str">
        <f aca="false">IF($B17="","",IFERROR(ROUND(SUMPRODUCT((Dati!$AQ$4:$CD$4="CIV")*INDEX(Dati!$AQ$1:$CD$1000,MATCH($A17,Dati!$A$1:$A$1000,0),0)*INDEX(Dati!$DS$1:$FF$1000,MATCH($A17,Dati!$A$1:$A$1000,0),0))/SUMPRODUCT((Dati!$AQ$4:$CD$4="CIV")*INDEX(Dati!$DS$1:$FF$1000,MATCH($A17,Dati!$A$1:$A$1000,0),0)),2),""))</f>
        <v/>
      </c>
      <c r="BF17" s="51" t="str">
        <f aca="false">IF(BE17="","",LOOKUP(BE17,Impostazioni!$E$4:$E$9,Impostazioni!$F$4:$F$9))</f>
        <v/>
      </c>
      <c r="BG17" s="52"/>
      <c r="BH17" s="52"/>
      <c r="BI17" s="13" t="str">
        <f aca="false">IF($B17="","",IFERROR(SUM(INDEX(Dati!$FQ$1:$FZ$1000,MATCH($A17,Dati!$A$1:$A$1000,0),0)),0))</f>
        <v/>
      </c>
      <c r="BJ17" s="16" t="str">
        <f aca="false">IF($B17="","",IF($C17="ES","Esonerato: concordare con referente e dirigente",IF($C17="Ritirato","Ritirato",TRIM(IF(OR(N(AR17)&lt;Impostazioni!$B$14,N(AW17)&lt;Impostazioni!$B$14),"Pochi voti: valutazione alternativa (scritta/orale). ","")&amp;IF(N(BI17)&gt;0,"Da recuperare: "&amp;BI17&amp;". ","")&amp;IF($D17="OP","Riferito agli obiettivi personalizzati.","")))))</f>
        <v/>
      </c>
      <c r="BK17" s="31" t="str">
        <f aca="false">IF($B17="","",IF($C17="ES","ES",IF(AV17&lt;&gt;"",AV17,AU17)))</f>
        <v/>
      </c>
      <c r="BL17" s="31" t="str">
        <f aca="false">IF($B17="","",IF($C17="ES","ES",IF(BA17&lt;&gt;"",BA17,AZ17)))</f>
        <v/>
      </c>
      <c r="BM17" s="31" t="str">
        <f aca="false">IF($B17="","",IF($C17="ES","ES",IF(BD17&lt;&gt;"",BD17,BC17)))</f>
        <v/>
      </c>
      <c r="BN17" s="31" t="str">
        <f aca="false">IF($B17="","",IF($C17="ES","ES",IF(BG17&lt;&gt;"",BG17,BF17)))</f>
        <v/>
      </c>
      <c r="BO17" s="14"/>
    </row>
    <row r="18" customFormat="false" ht="21" hidden="false" customHeight="true" outlineLevel="0" collapsed="false">
      <c r="A18" s="10" t="n">
        <v>11</v>
      </c>
      <c r="B18" s="16" t="str">
        <f aca="false">IFERROR(INDEX(Alunni!$C$1:$C$1000,MATCH($A18,Alunni!$A$1:$A$1000,0))&amp;"","")</f>
        <v/>
      </c>
      <c r="C18" s="13" t="str">
        <f aca="false">IFERROR(INDEX(Alunni!$D$1:$D$1000,MATCH($A18,Alunni!$A$1:$A$1000,0))&amp;"","")</f>
        <v/>
      </c>
      <c r="D18" s="13" t="str">
        <f aca="false">IFERROR(INDEX(Alunni!$E$1:$E$1000,MATCH($A18,Alunni!$A$1:$A$1000,0))&amp;"","")</f>
        <v/>
      </c>
      <c r="E18" s="13" t="str">
        <f aca="false">IF($B18="","",IFERROR(ROUND(SUMPRODUCT((Dati!$C$3:$AP$3="1.1")*INDEX(Dati!$C$1:$AP$1000,MATCH($A18,Dati!$A$1:$A$1000,0),0)*INDEX(Dati!$CE$1:$DR$1000,MATCH($A18,Dati!$A$1:$A$1000,0),0))/SUMPRODUCT((Dati!$C$3:$AP$3="1.1")*INDEX(Dati!$CE$1:$DR$1000,MATCH($A18,Dati!$A$1:$A$1000,0),0)),2),""))</f>
        <v/>
      </c>
      <c r="F18" s="13" t="str">
        <f aca="false">IF($B18="","",IFERROR(ROUND(SUMPRODUCT((Dati!$C$3:$AP$3="2.1")*INDEX(Dati!$C$1:$AP$1000,MATCH($A18,Dati!$A$1:$A$1000,0),0)*INDEX(Dati!$CE$1:$DR$1000,MATCH($A18,Dati!$A$1:$A$1000,0),0))/SUMPRODUCT((Dati!$C$3:$AP$3="2.1")*INDEX(Dati!$CE$1:$DR$1000,MATCH($A18,Dati!$A$1:$A$1000,0),0)),2),""))</f>
        <v/>
      </c>
      <c r="G18" s="13" t="str">
        <f aca="false">IF($B18="","",IFERROR(ROUND(SUMPRODUCT((Dati!$C$3:$AP$3="3.1")*INDEX(Dati!$C$1:$AP$1000,MATCH($A18,Dati!$A$1:$A$1000,0),0)*INDEX(Dati!$CE$1:$DR$1000,MATCH($A18,Dati!$A$1:$A$1000,0),0))/SUMPRODUCT((Dati!$C$3:$AP$3="3.1")*INDEX(Dati!$CE$1:$DR$1000,MATCH($A18,Dati!$A$1:$A$1000,0),0)),2),""))</f>
        <v/>
      </c>
      <c r="H18" s="13" t="str">
        <f aca="false">IF($B18="","",IFERROR(ROUND(SUMPRODUCT((Dati!$C$3:$AP$3="3.2")*INDEX(Dati!$C$1:$AP$1000,MATCH($A18,Dati!$A$1:$A$1000,0),0)*INDEX(Dati!$CE$1:$DR$1000,MATCH($A18,Dati!$A$1:$A$1000,0),0))/SUMPRODUCT((Dati!$C$3:$AP$3="3.2")*INDEX(Dati!$CE$1:$DR$1000,MATCH($A18,Dati!$A$1:$A$1000,0),0)),2),""))</f>
        <v/>
      </c>
      <c r="I18" s="13" t="str">
        <f aca="false">IF($B18="","",IFERROR(ROUND(SUMPRODUCT((Dati!$C$3:$AP$3="3.3")*INDEX(Dati!$C$1:$AP$1000,MATCH($A18,Dati!$A$1:$A$1000,0),0)*INDEX(Dati!$CE$1:$DR$1000,MATCH($A18,Dati!$A$1:$A$1000,0),0))/SUMPRODUCT((Dati!$C$3:$AP$3="3.3")*INDEX(Dati!$CE$1:$DR$1000,MATCH($A18,Dati!$A$1:$A$1000,0),0)),2),""))</f>
        <v/>
      </c>
      <c r="J18" s="13" t="str">
        <f aca="false">IF($B18="","",IFERROR(ROUND(SUMPRODUCT((Dati!$C$3:$AP$3="4.1")*INDEX(Dati!$C$1:$AP$1000,MATCH($A18,Dati!$A$1:$A$1000,0),0)*INDEX(Dati!$CE$1:$DR$1000,MATCH($A18,Dati!$A$1:$A$1000,0),0))/SUMPRODUCT((Dati!$C$3:$AP$3="4.1")*INDEX(Dati!$CE$1:$DR$1000,MATCH($A18,Dati!$A$1:$A$1000,0),0)),2),""))</f>
        <v/>
      </c>
      <c r="K18" s="13" t="str">
        <f aca="false">IF($B18="","",IFERROR(ROUND(SUMPRODUCT((Dati!$C$3:$AP$3="4.2")*INDEX(Dati!$C$1:$AP$1000,MATCH($A18,Dati!$A$1:$A$1000,0),0)*INDEX(Dati!$CE$1:$DR$1000,MATCH($A18,Dati!$A$1:$A$1000,0),0))/SUMPRODUCT((Dati!$C$3:$AP$3="4.2")*INDEX(Dati!$CE$1:$DR$1000,MATCH($A18,Dati!$A$1:$A$1000,0),0)),2),""))</f>
        <v/>
      </c>
      <c r="L18" s="13" t="str">
        <f aca="false">IF($B18="","",IFERROR(ROUND(SUMPRODUCT((Dati!$C$3:$AP$3="4.3")*INDEX(Dati!$C$1:$AP$1000,MATCH($A18,Dati!$A$1:$A$1000,0),0)*INDEX(Dati!$CE$1:$DR$1000,MATCH($A18,Dati!$A$1:$A$1000,0),0))/SUMPRODUCT((Dati!$C$3:$AP$3="4.3")*INDEX(Dati!$CE$1:$DR$1000,MATCH($A18,Dati!$A$1:$A$1000,0),0)),2),""))</f>
        <v/>
      </c>
      <c r="M18" s="13" t="str">
        <f aca="false">IF($B18="","",IFERROR(SUMPRODUCT((Dati!$C$4:$AP$4="A")*(INDEX(Dati!$CE$1:$DR$1000,MATCH($A18,Dati!$A$1:$A$1000,0),0)&gt;0)),0))</f>
        <v/>
      </c>
      <c r="N18" s="13" t="str">
        <f aca="false">IF($B18="","",IFERROR(ROUND(SUMPRODUCT((Dati!$C$4:$AP$4="A")*INDEX(Dati!$C$1:$AP$1000,MATCH($A18,Dati!$A$1:$A$1000,0),0)*INDEX(Dati!$CE$1:$DR$1000,MATCH($A18,Dati!$A$1:$A$1000,0),0))/SUMPRODUCT((Dati!$C$4:$AP$4="A")*INDEX(Dati!$CE$1:$DR$1000,MATCH($A18,Dati!$A$1:$A$1000,0),0)),2),""))</f>
        <v/>
      </c>
      <c r="O18" s="13" t="str">
        <f aca="false">IF(N18="","",IF(ISNUMBER(AC18),ROUND(Impostazioni!$B$12*N18+Impostazioni!$B$13*AC18,2),N18))</f>
        <v/>
      </c>
      <c r="P18" s="51" t="str">
        <f aca="false">IF(O18="","",LOOKUP(O18,Impostazioni!$E$4:$E$9,Impostazioni!$F$4:$F$9))</f>
        <v/>
      </c>
      <c r="Q18" s="52"/>
      <c r="R18" s="13" t="str">
        <f aca="false">IF($B18="","",IFERROR(SUMPRODUCT((Dati!$C$4:$AP$4="B")*(INDEX(Dati!$CE$1:$DR$1000,MATCH($A18,Dati!$A$1:$A$1000,0),0)&gt;0)),0))</f>
        <v/>
      </c>
      <c r="S18" s="13" t="str">
        <f aca="false">IF($B18="","",IFERROR(ROUND(SUMPRODUCT((Dati!$C$4:$AP$4="B")*INDEX(Dati!$C$1:$AP$1000,MATCH($A18,Dati!$A$1:$A$1000,0),0)*INDEX(Dati!$CE$1:$DR$1000,MATCH($A18,Dati!$A$1:$A$1000,0),0))/SUMPRODUCT((Dati!$C$4:$AP$4="B")*INDEX(Dati!$CE$1:$DR$1000,MATCH($A18,Dati!$A$1:$A$1000,0),0)),2),""))</f>
        <v/>
      </c>
      <c r="T18" s="13" t="str">
        <f aca="false">IF(S18="","",IF(ISNUMBER(AC18),ROUND(Impostazioni!$B$12*S18+Impostazioni!$B$13*AC18,2),S18))</f>
        <v/>
      </c>
      <c r="U18" s="51" t="str">
        <f aca="false">IF(T18="","",LOOKUP(T18,Impostazioni!$E$4:$E$9,Impostazioni!$F$4:$F$9))</f>
        <v/>
      </c>
      <c r="V18" s="52"/>
      <c r="W18" s="13" t="str">
        <f aca="false">IF($B18="","",IFERROR(ROUND(SUMPRODUCT((Dati!$C$4:$AP$4="TEC")*INDEX(Dati!$C$1:$AP$1000,MATCH($A18,Dati!$A$1:$A$1000,0),0)*INDEX(Dati!$CE$1:$DR$1000,MATCH($A18,Dati!$A$1:$A$1000,0),0))/SUMPRODUCT((Dati!$C$4:$AP$4="TEC")*INDEX(Dati!$CE$1:$DR$1000,MATCH($A18,Dati!$A$1:$A$1000,0),0)),2),""))</f>
        <v/>
      </c>
      <c r="X18" s="51" t="str">
        <f aca="false">IF(W18="","",LOOKUP(W18,Impostazioni!$E$4:$E$9,Impostazioni!$F$4:$F$9))</f>
        <v/>
      </c>
      <c r="Y18" s="52"/>
      <c r="Z18" s="13" t="str">
        <f aca="false">IF($B18="","",IFERROR(ROUND(SUMPRODUCT((Dati!$C$4:$AP$4="CIV")*INDEX(Dati!$C$1:$AP$1000,MATCH($A18,Dati!$A$1:$A$1000,0),0)*INDEX(Dati!$CE$1:$DR$1000,MATCH($A18,Dati!$A$1:$A$1000,0),0))/SUMPRODUCT((Dati!$C$4:$AP$4="CIV")*INDEX(Dati!$CE$1:$DR$1000,MATCH($A18,Dati!$A$1:$A$1000,0),0)),2),""))</f>
        <v/>
      </c>
      <c r="AA18" s="51" t="str">
        <f aca="false">IF(Z18="","",LOOKUP(Z18,Impostazioni!$E$4:$E$9,Impostazioni!$F$4:$F$9))</f>
        <v/>
      </c>
      <c r="AB18" s="52"/>
      <c r="AC18" s="52"/>
      <c r="AD18" s="13" t="str">
        <f aca="false">IF($B18="","",IFERROR(SUM(INDEX(Dati!$FG$1:$FP$1000,MATCH($A18,Dati!$A$1:$A$1000,0),0)),0))</f>
        <v/>
      </c>
      <c r="AE18" s="16" t="str">
        <f aca="false">IF($B18="","",IF($C18="ES","Esonerato: concordare con referente e dirigente",IF($C18="Ritirato","Ritirato",TRIM(IF(OR(N(M18)&lt;Impostazioni!$B$14,N(R18)&lt;Impostazioni!$B$14),"Pochi voti: valutazione alternativa (scritta/orale). ","")&amp;IF(N(AD18)&gt;0,"Da recuperare: "&amp;AD18&amp;". ","")&amp;IF($D18="OP","Riferito agli obiettivi personalizzati.","")))))</f>
        <v/>
      </c>
      <c r="AF18" s="31" t="str">
        <f aca="false">IF($B18="","",IF($C18="ES","ES",IF(Q18&lt;&gt;"",Q18,P18)))</f>
        <v/>
      </c>
      <c r="AG18" s="31" t="str">
        <f aca="false">IF($B18="","",IF($C18="ES","ES",IF(V18&lt;&gt;"",V18,U18)))</f>
        <v/>
      </c>
      <c r="AH18" s="31" t="str">
        <f aca="false">IF($B18="","",IF($C18="ES","ES",IF(Y18&lt;&gt;"",Y18,X18)))</f>
        <v/>
      </c>
      <c r="AI18" s="31" t="str">
        <f aca="false">IF($B18="","",IF($C18="ES","ES",IF(AB18&lt;&gt;"",AB18,AA18)))</f>
        <v/>
      </c>
      <c r="AJ18" s="13" t="str">
        <f aca="false">IF($B18="","",IFERROR(ROUND(SUMPRODUCT((Dati!$AQ$3:$CD$3="1.1")*INDEX(Dati!$AQ$1:$CD$1000,MATCH($A18,Dati!$A$1:$A$1000,0),0)*INDEX(Dati!$DS$1:$FF$1000,MATCH($A18,Dati!$A$1:$A$1000,0),0))/SUMPRODUCT((Dati!$AQ$3:$CD$3="1.1")*INDEX(Dati!$DS$1:$FF$1000,MATCH($A18,Dati!$A$1:$A$1000,0),0)),2),""))</f>
        <v/>
      </c>
      <c r="AK18" s="13" t="str">
        <f aca="false">IF($B18="","",IFERROR(ROUND(SUMPRODUCT((Dati!$AQ$3:$CD$3="2.1")*INDEX(Dati!$AQ$1:$CD$1000,MATCH($A18,Dati!$A$1:$A$1000,0),0)*INDEX(Dati!$DS$1:$FF$1000,MATCH($A18,Dati!$A$1:$A$1000,0),0))/SUMPRODUCT((Dati!$AQ$3:$CD$3="2.1")*INDEX(Dati!$DS$1:$FF$1000,MATCH($A18,Dati!$A$1:$A$1000,0),0)),2),""))</f>
        <v/>
      </c>
      <c r="AL18" s="13" t="str">
        <f aca="false">IF($B18="","",IFERROR(ROUND(SUMPRODUCT((Dati!$AQ$3:$CD$3="3.1")*INDEX(Dati!$AQ$1:$CD$1000,MATCH($A18,Dati!$A$1:$A$1000,0),0)*INDEX(Dati!$DS$1:$FF$1000,MATCH($A18,Dati!$A$1:$A$1000,0),0))/SUMPRODUCT((Dati!$AQ$3:$CD$3="3.1")*INDEX(Dati!$DS$1:$FF$1000,MATCH($A18,Dati!$A$1:$A$1000,0),0)),2),""))</f>
        <v/>
      </c>
      <c r="AM18" s="13" t="str">
        <f aca="false">IF($B18="","",IFERROR(ROUND(SUMPRODUCT((Dati!$AQ$3:$CD$3="3.2")*INDEX(Dati!$AQ$1:$CD$1000,MATCH($A18,Dati!$A$1:$A$1000,0),0)*INDEX(Dati!$DS$1:$FF$1000,MATCH($A18,Dati!$A$1:$A$1000,0),0))/SUMPRODUCT((Dati!$AQ$3:$CD$3="3.2")*INDEX(Dati!$DS$1:$FF$1000,MATCH($A18,Dati!$A$1:$A$1000,0),0)),2),""))</f>
        <v/>
      </c>
      <c r="AN18" s="13" t="str">
        <f aca="false">IF($B18="","",IFERROR(ROUND(SUMPRODUCT((Dati!$AQ$3:$CD$3="3.3")*INDEX(Dati!$AQ$1:$CD$1000,MATCH($A18,Dati!$A$1:$A$1000,0),0)*INDEX(Dati!$DS$1:$FF$1000,MATCH($A18,Dati!$A$1:$A$1000,0),0))/SUMPRODUCT((Dati!$AQ$3:$CD$3="3.3")*INDEX(Dati!$DS$1:$FF$1000,MATCH($A18,Dati!$A$1:$A$1000,0),0)),2),""))</f>
        <v/>
      </c>
      <c r="AO18" s="13" t="str">
        <f aca="false">IF($B18="","",IFERROR(ROUND(SUMPRODUCT((Dati!$AQ$3:$CD$3="4.1")*INDEX(Dati!$AQ$1:$CD$1000,MATCH($A18,Dati!$A$1:$A$1000,0),0)*INDEX(Dati!$DS$1:$FF$1000,MATCH($A18,Dati!$A$1:$A$1000,0),0))/SUMPRODUCT((Dati!$AQ$3:$CD$3="4.1")*INDEX(Dati!$DS$1:$FF$1000,MATCH($A18,Dati!$A$1:$A$1000,0),0)),2),""))</f>
        <v/>
      </c>
      <c r="AP18" s="13" t="str">
        <f aca="false">IF($B18="","",IFERROR(ROUND(SUMPRODUCT((Dati!$AQ$3:$CD$3="4.2")*INDEX(Dati!$AQ$1:$CD$1000,MATCH($A18,Dati!$A$1:$A$1000,0),0)*INDEX(Dati!$DS$1:$FF$1000,MATCH($A18,Dati!$A$1:$A$1000,0),0))/SUMPRODUCT((Dati!$AQ$3:$CD$3="4.2")*INDEX(Dati!$DS$1:$FF$1000,MATCH($A18,Dati!$A$1:$A$1000,0),0)),2),""))</f>
        <v/>
      </c>
      <c r="AQ18" s="13" t="str">
        <f aca="false">IF($B18="","",IFERROR(ROUND(SUMPRODUCT((Dati!$AQ$3:$CD$3="4.3")*INDEX(Dati!$AQ$1:$CD$1000,MATCH($A18,Dati!$A$1:$A$1000,0),0)*INDEX(Dati!$DS$1:$FF$1000,MATCH($A18,Dati!$A$1:$A$1000,0),0))/SUMPRODUCT((Dati!$AQ$3:$CD$3="4.3")*INDEX(Dati!$DS$1:$FF$1000,MATCH($A18,Dati!$A$1:$A$1000,0),0)),2),""))</f>
        <v/>
      </c>
      <c r="AR18" s="13" t="str">
        <f aca="false">IF($B18="","",IFERROR(SUMPRODUCT((Dati!$AQ$4:$CD$4="A")*(INDEX(Dati!$DS$1:$FF$1000,MATCH($A18,Dati!$A$1:$A$1000,0),0)&gt;0)),0))</f>
        <v/>
      </c>
      <c r="AS18" s="13" t="str">
        <f aca="false">IF($B18="","",IFERROR(ROUND(SUMPRODUCT((Dati!$AQ$4:$CD$4="A")*INDEX(Dati!$AQ$1:$CD$1000,MATCH($A18,Dati!$A$1:$A$1000,0),0)*INDEX(Dati!$DS$1:$FF$1000,MATCH($A18,Dati!$A$1:$A$1000,0),0))/SUMPRODUCT((Dati!$AQ$4:$CD$4="A")*INDEX(Dati!$DS$1:$FF$1000,MATCH($A18,Dati!$A$1:$A$1000,0),0)),2),""))</f>
        <v/>
      </c>
      <c r="AT18" s="13" t="str">
        <f aca="false">IF(AS18="","",IF(ISNUMBER(BH18),ROUND(Impostazioni!$B$12*AS18+Impostazioni!$B$13*BH18,2),AS18))</f>
        <v/>
      </c>
      <c r="AU18" s="51" t="str">
        <f aca="false">IF(AT18="","",LOOKUP(AT18,Impostazioni!$E$4:$E$9,Impostazioni!$F$4:$F$9))</f>
        <v/>
      </c>
      <c r="AV18" s="52"/>
      <c r="AW18" s="13" t="str">
        <f aca="false">IF($B18="","",IFERROR(SUMPRODUCT((Dati!$AQ$4:$CD$4="B")*(INDEX(Dati!$DS$1:$FF$1000,MATCH($A18,Dati!$A$1:$A$1000,0),0)&gt;0)),0))</f>
        <v/>
      </c>
      <c r="AX18" s="13" t="str">
        <f aca="false">IF($B18="","",IFERROR(ROUND(SUMPRODUCT((Dati!$AQ$4:$CD$4="B")*INDEX(Dati!$AQ$1:$CD$1000,MATCH($A18,Dati!$A$1:$A$1000,0),0)*INDEX(Dati!$DS$1:$FF$1000,MATCH($A18,Dati!$A$1:$A$1000,0),0))/SUMPRODUCT((Dati!$AQ$4:$CD$4="B")*INDEX(Dati!$DS$1:$FF$1000,MATCH($A18,Dati!$A$1:$A$1000,0),0)),2),""))</f>
        <v/>
      </c>
      <c r="AY18" s="13" t="str">
        <f aca="false">IF(AX18="","",IF(ISNUMBER(BH18),ROUND(Impostazioni!$B$12*AX18+Impostazioni!$B$13*BH18,2),AX18))</f>
        <v/>
      </c>
      <c r="AZ18" s="51" t="str">
        <f aca="false">IF(AY18="","",LOOKUP(AY18,Impostazioni!$E$4:$E$9,Impostazioni!$F$4:$F$9))</f>
        <v/>
      </c>
      <c r="BA18" s="52"/>
      <c r="BB18" s="13" t="str">
        <f aca="false">IF($B18="","",IFERROR(ROUND(SUMPRODUCT((Dati!$AQ$4:$CD$4="TEC")*INDEX(Dati!$AQ$1:$CD$1000,MATCH($A18,Dati!$A$1:$A$1000,0),0)*INDEX(Dati!$DS$1:$FF$1000,MATCH($A18,Dati!$A$1:$A$1000,0),0))/SUMPRODUCT((Dati!$AQ$4:$CD$4="TEC")*INDEX(Dati!$DS$1:$FF$1000,MATCH($A18,Dati!$A$1:$A$1000,0),0)),2),""))</f>
        <v/>
      </c>
      <c r="BC18" s="51" t="str">
        <f aca="false">IF(BB18="","",LOOKUP(BB18,Impostazioni!$E$4:$E$9,Impostazioni!$F$4:$F$9))</f>
        <v/>
      </c>
      <c r="BD18" s="52"/>
      <c r="BE18" s="13" t="str">
        <f aca="false">IF($B18="","",IFERROR(ROUND(SUMPRODUCT((Dati!$AQ$4:$CD$4="CIV")*INDEX(Dati!$AQ$1:$CD$1000,MATCH($A18,Dati!$A$1:$A$1000,0),0)*INDEX(Dati!$DS$1:$FF$1000,MATCH($A18,Dati!$A$1:$A$1000,0),0))/SUMPRODUCT((Dati!$AQ$4:$CD$4="CIV")*INDEX(Dati!$DS$1:$FF$1000,MATCH($A18,Dati!$A$1:$A$1000,0),0)),2),""))</f>
        <v/>
      </c>
      <c r="BF18" s="51" t="str">
        <f aca="false">IF(BE18="","",LOOKUP(BE18,Impostazioni!$E$4:$E$9,Impostazioni!$F$4:$F$9))</f>
        <v/>
      </c>
      <c r="BG18" s="52"/>
      <c r="BH18" s="52"/>
      <c r="BI18" s="13" t="str">
        <f aca="false">IF($B18="","",IFERROR(SUM(INDEX(Dati!$FQ$1:$FZ$1000,MATCH($A18,Dati!$A$1:$A$1000,0),0)),0))</f>
        <v/>
      </c>
      <c r="BJ18" s="16" t="str">
        <f aca="false">IF($B18="","",IF($C18="ES","Esonerato: concordare con referente e dirigente",IF($C18="Ritirato","Ritirato",TRIM(IF(OR(N(AR18)&lt;Impostazioni!$B$14,N(AW18)&lt;Impostazioni!$B$14),"Pochi voti: valutazione alternativa (scritta/orale). ","")&amp;IF(N(BI18)&gt;0,"Da recuperare: "&amp;BI18&amp;". ","")&amp;IF($D18="OP","Riferito agli obiettivi personalizzati.","")))))</f>
        <v/>
      </c>
      <c r="BK18" s="31" t="str">
        <f aca="false">IF($B18="","",IF($C18="ES","ES",IF(AV18&lt;&gt;"",AV18,AU18)))</f>
        <v/>
      </c>
      <c r="BL18" s="31" t="str">
        <f aca="false">IF($B18="","",IF($C18="ES","ES",IF(BA18&lt;&gt;"",BA18,AZ18)))</f>
        <v/>
      </c>
      <c r="BM18" s="31" t="str">
        <f aca="false">IF($B18="","",IF($C18="ES","ES",IF(BD18&lt;&gt;"",BD18,BC18)))</f>
        <v/>
      </c>
      <c r="BN18" s="31" t="str">
        <f aca="false">IF($B18="","",IF($C18="ES","ES",IF(BG18&lt;&gt;"",BG18,BF18)))</f>
        <v/>
      </c>
      <c r="BO18" s="14"/>
    </row>
    <row r="19" customFormat="false" ht="21" hidden="false" customHeight="true" outlineLevel="0" collapsed="false">
      <c r="A19" s="10" t="n">
        <v>12</v>
      </c>
      <c r="B19" s="16" t="str">
        <f aca="false">IFERROR(INDEX(Alunni!$C$1:$C$1000,MATCH($A19,Alunni!$A$1:$A$1000,0))&amp;"","")</f>
        <v/>
      </c>
      <c r="C19" s="13" t="str">
        <f aca="false">IFERROR(INDEX(Alunni!$D$1:$D$1000,MATCH($A19,Alunni!$A$1:$A$1000,0))&amp;"","")</f>
        <v/>
      </c>
      <c r="D19" s="13" t="str">
        <f aca="false">IFERROR(INDEX(Alunni!$E$1:$E$1000,MATCH($A19,Alunni!$A$1:$A$1000,0))&amp;"","")</f>
        <v/>
      </c>
      <c r="E19" s="13" t="str">
        <f aca="false">IF($B19="","",IFERROR(ROUND(SUMPRODUCT((Dati!$C$3:$AP$3="1.1")*INDEX(Dati!$C$1:$AP$1000,MATCH($A19,Dati!$A$1:$A$1000,0),0)*INDEX(Dati!$CE$1:$DR$1000,MATCH($A19,Dati!$A$1:$A$1000,0),0))/SUMPRODUCT((Dati!$C$3:$AP$3="1.1")*INDEX(Dati!$CE$1:$DR$1000,MATCH($A19,Dati!$A$1:$A$1000,0),0)),2),""))</f>
        <v/>
      </c>
      <c r="F19" s="13" t="str">
        <f aca="false">IF($B19="","",IFERROR(ROUND(SUMPRODUCT((Dati!$C$3:$AP$3="2.1")*INDEX(Dati!$C$1:$AP$1000,MATCH($A19,Dati!$A$1:$A$1000,0),0)*INDEX(Dati!$CE$1:$DR$1000,MATCH($A19,Dati!$A$1:$A$1000,0),0))/SUMPRODUCT((Dati!$C$3:$AP$3="2.1")*INDEX(Dati!$CE$1:$DR$1000,MATCH($A19,Dati!$A$1:$A$1000,0),0)),2),""))</f>
        <v/>
      </c>
      <c r="G19" s="13" t="str">
        <f aca="false">IF($B19="","",IFERROR(ROUND(SUMPRODUCT((Dati!$C$3:$AP$3="3.1")*INDEX(Dati!$C$1:$AP$1000,MATCH($A19,Dati!$A$1:$A$1000,0),0)*INDEX(Dati!$CE$1:$DR$1000,MATCH($A19,Dati!$A$1:$A$1000,0),0))/SUMPRODUCT((Dati!$C$3:$AP$3="3.1")*INDEX(Dati!$CE$1:$DR$1000,MATCH($A19,Dati!$A$1:$A$1000,0),0)),2),""))</f>
        <v/>
      </c>
      <c r="H19" s="13" t="str">
        <f aca="false">IF($B19="","",IFERROR(ROUND(SUMPRODUCT((Dati!$C$3:$AP$3="3.2")*INDEX(Dati!$C$1:$AP$1000,MATCH($A19,Dati!$A$1:$A$1000,0),0)*INDEX(Dati!$CE$1:$DR$1000,MATCH($A19,Dati!$A$1:$A$1000,0),0))/SUMPRODUCT((Dati!$C$3:$AP$3="3.2")*INDEX(Dati!$CE$1:$DR$1000,MATCH($A19,Dati!$A$1:$A$1000,0),0)),2),""))</f>
        <v/>
      </c>
      <c r="I19" s="13" t="str">
        <f aca="false">IF($B19="","",IFERROR(ROUND(SUMPRODUCT((Dati!$C$3:$AP$3="3.3")*INDEX(Dati!$C$1:$AP$1000,MATCH($A19,Dati!$A$1:$A$1000,0),0)*INDEX(Dati!$CE$1:$DR$1000,MATCH($A19,Dati!$A$1:$A$1000,0),0))/SUMPRODUCT((Dati!$C$3:$AP$3="3.3")*INDEX(Dati!$CE$1:$DR$1000,MATCH($A19,Dati!$A$1:$A$1000,0),0)),2),""))</f>
        <v/>
      </c>
      <c r="J19" s="13" t="str">
        <f aca="false">IF($B19="","",IFERROR(ROUND(SUMPRODUCT((Dati!$C$3:$AP$3="4.1")*INDEX(Dati!$C$1:$AP$1000,MATCH($A19,Dati!$A$1:$A$1000,0),0)*INDEX(Dati!$CE$1:$DR$1000,MATCH($A19,Dati!$A$1:$A$1000,0),0))/SUMPRODUCT((Dati!$C$3:$AP$3="4.1")*INDEX(Dati!$CE$1:$DR$1000,MATCH($A19,Dati!$A$1:$A$1000,0),0)),2),""))</f>
        <v/>
      </c>
      <c r="K19" s="13" t="str">
        <f aca="false">IF($B19="","",IFERROR(ROUND(SUMPRODUCT((Dati!$C$3:$AP$3="4.2")*INDEX(Dati!$C$1:$AP$1000,MATCH($A19,Dati!$A$1:$A$1000,0),0)*INDEX(Dati!$CE$1:$DR$1000,MATCH($A19,Dati!$A$1:$A$1000,0),0))/SUMPRODUCT((Dati!$C$3:$AP$3="4.2")*INDEX(Dati!$CE$1:$DR$1000,MATCH($A19,Dati!$A$1:$A$1000,0),0)),2),""))</f>
        <v/>
      </c>
      <c r="L19" s="13" t="str">
        <f aca="false">IF($B19="","",IFERROR(ROUND(SUMPRODUCT((Dati!$C$3:$AP$3="4.3")*INDEX(Dati!$C$1:$AP$1000,MATCH($A19,Dati!$A$1:$A$1000,0),0)*INDEX(Dati!$CE$1:$DR$1000,MATCH($A19,Dati!$A$1:$A$1000,0),0))/SUMPRODUCT((Dati!$C$3:$AP$3="4.3")*INDEX(Dati!$CE$1:$DR$1000,MATCH($A19,Dati!$A$1:$A$1000,0),0)),2),""))</f>
        <v/>
      </c>
      <c r="M19" s="13" t="str">
        <f aca="false">IF($B19="","",IFERROR(SUMPRODUCT((Dati!$C$4:$AP$4="A")*(INDEX(Dati!$CE$1:$DR$1000,MATCH($A19,Dati!$A$1:$A$1000,0),0)&gt;0)),0))</f>
        <v/>
      </c>
      <c r="N19" s="13" t="str">
        <f aca="false">IF($B19="","",IFERROR(ROUND(SUMPRODUCT((Dati!$C$4:$AP$4="A")*INDEX(Dati!$C$1:$AP$1000,MATCH($A19,Dati!$A$1:$A$1000,0),0)*INDEX(Dati!$CE$1:$DR$1000,MATCH($A19,Dati!$A$1:$A$1000,0),0))/SUMPRODUCT((Dati!$C$4:$AP$4="A")*INDEX(Dati!$CE$1:$DR$1000,MATCH($A19,Dati!$A$1:$A$1000,0),0)),2),""))</f>
        <v/>
      </c>
      <c r="O19" s="13" t="str">
        <f aca="false">IF(N19="","",IF(ISNUMBER(AC19),ROUND(Impostazioni!$B$12*N19+Impostazioni!$B$13*AC19,2),N19))</f>
        <v/>
      </c>
      <c r="P19" s="51" t="str">
        <f aca="false">IF(O19="","",LOOKUP(O19,Impostazioni!$E$4:$E$9,Impostazioni!$F$4:$F$9))</f>
        <v/>
      </c>
      <c r="Q19" s="52"/>
      <c r="R19" s="13" t="str">
        <f aca="false">IF($B19="","",IFERROR(SUMPRODUCT((Dati!$C$4:$AP$4="B")*(INDEX(Dati!$CE$1:$DR$1000,MATCH($A19,Dati!$A$1:$A$1000,0),0)&gt;0)),0))</f>
        <v/>
      </c>
      <c r="S19" s="13" t="str">
        <f aca="false">IF($B19="","",IFERROR(ROUND(SUMPRODUCT((Dati!$C$4:$AP$4="B")*INDEX(Dati!$C$1:$AP$1000,MATCH($A19,Dati!$A$1:$A$1000,0),0)*INDEX(Dati!$CE$1:$DR$1000,MATCH($A19,Dati!$A$1:$A$1000,0),0))/SUMPRODUCT((Dati!$C$4:$AP$4="B")*INDEX(Dati!$CE$1:$DR$1000,MATCH($A19,Dati!$A$1:$A$1000,0),0)),2),""))</f>
        <v/>
      </c>
      <c r="T19" s="13" t="str">
        <f aca="false">IF(S19="","",IF(ISNUMBER(AC19),ROUND(Impostazioni!$B$12*S19+Impostazioni!$B$13*AC19,2),S19))</f>
        <v/>
      </c>
      <c r="U19" s="51" t="str">
        <f aca="false">IF(T19="","",LOOKUP(T19,Impostazioni!$E$4:$E$9,Impostazioni!$F$4:$F$9))</f>
        <v/>
      </c>
      <c r="V19" s="52"/>
      <c r="W19" s="13" t="str">
        <f aca="false">IF($B19="","",IFERROR(ROUND(SUMPRODUCT((Dati!$C$4:$AP$4="TEC")*INDEX(Dati!$C$1:$AP$1000,MATCH($A19,Dati!$A$1:$A$1000,0),0)*INDEX(Dati!$CE$1:$DR$1000,MATCH($A19,Dati!$A$1:$A$1000,0),0))/SUMPRODUCT((Dati!$C$4:$AP$4="TEC")*INDEX(Dati!$CE$1:$DR$1000,MATCH($A19,Dati!$A$1:$A$1000,0),0)),2),""))</f>
        <v/>
      </c>
      <c r="X19" s="51" t="str">
        <f aca="false">IF(W19="","",LOOKUP(W19,Impostazioni!$E$4:$E$9,Impostazioni!$F$4:$F$9))</f>
        <v/>
      </c>
      <c r="Y19" s="52"/>
      <c r="Z19" s="13" t="str">
        <f aca="false">IF($B19="","",IFERROR(ROUND(SUMPRODUCT((Dati!$C$4:$AP$4="CIV")*INDEX(Dati!$C$1:$AP$1000,MATCH($A19,Dati!$A$1:$A$1000,0),0)*INDEX(Dati!$CE$1:$DR$1000,MATCH($A19,Dati!$A$1:$A$1000,0),0))/SUMPRODUCT((Dati!$C$4:$AP$4="CIV")*INDEX(Dati!$CE$1:$DR$1000,MATCH($A19,Dati!$A$1:$A$1000,0),0)),2),""))</f>
        <v/>
      </c>
      <c r="AA19" s="51" t="str">
        <f aca="false">IF(Z19="","",LOOKUP(Z19,Impostazioni!$E$4:$E$9,Impostazioni!$F$4:$F$9))</f>
        <v/>
      </c>
      <c r="AB19" s="52"/>
      <c r="AC19" s="52"/>
      <c r="AD19" s="13" t="str">
        <f aca="false">IF($B19="","",IFERROR(SUM(INDEX(Dati!$FG$1:$FP$1000,MATCH($A19,Dati!$A$1:$A$1000,0),0)),0))</f>
        <v/>
      </c>
      <c r="AE19" s="16" t="str">
        <f aca="false">IF($B19="","",IF($C19="ES","Esonerato: concordare con referente e dirigente",IF($C19="Ritirato","Ritirato",TRIM(IF(OR(N(M19)&lt;Impostazioni!$B$14,N(R19)&lt;Impostazioni!$B$14),"Pochi voti: valutazione alternativa (scritta/orale). ","")&amp;IF(N(AD19)&gt;0,"Da recuperare: "&amp;AD19&amp;". ","")&amp;IF($D19="OP","Riferito agli obiettivi personalizzati.","")))))</f>
        <v/>
      </c>
      <c r="AF19" s="31" t="str">
        <f aca="false">IF($B19="","",IF($C19="ES","ES",IF(Q19&lt;&gt;"",Q19,P19)))</f>
        <v/>
      </c>
      <c r="AG19" s="31" t="str">
        <f aca="false">IF($B19="","",IF($C19="ES","ES",IF(V19&lt;&gt;"",V19,U19)))</f>
        <v/>
      </c>
      <c r="AH19" s="31" t="str">
        <f aca="false">IF($B19="","",IF($C19="ES","ES",IF(Y19&lt;&gt;"",Y19,X19)))</f>
        <v/>
      </c>
      <c r="AI19" s="31" t="str">
        <f aca="false">IF($B19="","",IF($C19="ES","ES",IF(AB19&lt;&gt;"",AB19,AA19)))</f>
        <v/>
      </c>
      <c r="AJ19" s="13" t="str">
        <f aca="false">IF($B19="","",IFERROR(ROUND(SUMPRODUCT((Dati!$AQ$3:$CD$3="1.1")*INDEX(Dati!$AQ$1:$CD$1000,MATCH($A19,Dati!$A$1:$A$1000,0),0)*INDEX(Dati!$DS$1:$FF$1000,MATCH($A19,Dati!$A$1:$A$1000,0),0))/SUMPRODUCT((Dati!$AQ$3:$CD$3="1.1")*INDEX(Dati!$DS$1:$FF$1000,MATCH($A19,Dati!$A$1:$A$1000,0),0)),2),""))</f>
        <v/>
      </c>
      <c r="AK19" s="13" t="str">
        <f aca="false">IF($B19="","",IFERROR(ROUND(SUMPRODUCT((Dati!$AQ$3:$CD$3="2.1")*INDEX(Dati!$AQ$1:$CD$1000,MATCH($A19,Dati!$A$1:$A$1000,0),0)*INDEX(Dati!$DS$1:$FF$1000,MATCH($A19,Dati!$A$1:$A$1000,0),0))/SUMPRODUCT((Dati!$AQ$3:$CD$3="2.1")*INDEX(Dati!$DS$1:$FF$1000,MATCH($A19,Dati!$A$1:$A$1000,0),0)),2),""))</f>
        <v/>
      </c>
      <c r="AL19" s="13" t="str">
        <f aca="false">IF($B19="","",IFERROR(ROUND(SUMPRODUCT((Dati!$AQ$3:$CD$3="3.1")*INDEX(Dati!$AQ$1:$CD$1000,MATCH($A19,Dati!$A$1:$A$1000,0),0)*INDEX(Dati!$DS$1:$FF$1000,MATCH($A19,Dati!$A$1:$A$1000,0),0))/SUMPRODUCT((Dati!$AQ$3:$CD$3="3.1")*INDEX(Dati!$DS$1:$FF$1000,MATCH($A19,Dati!$A$1:$A$1000,0),0)),2),""))</f>
        <v/>
      </c>
      <c r="AM19" s="13" t="str">
        <f aca="false">IF($B19="","",IFERROR(ROUND(SUMPRODUCT((Dati!$AQ$3:$CD$3="3.2")*INDEX(Dati!$AQ$1:$CD$1000,MATCH($A19,Dati!$A$1:$A$1000,0),0)*INDEX(Dati!$DS$1:$FF$1000,MATCH($A19,Dati!$A$1:$A$1000,0),0))/SUMPRODUCT((Dati!$AQ$3:$CD$3="3.2")*INDEX(Dati!$DS$1:$FF$1000,MATCH($A19,Dati!$A$1:$A$1000,0),0)),2),""))</f>
        <v/>
      </c>
      <c r="AN19" s="13" t="str">
        <f aca="false">IF($B19="","",IFERROR(ROUND(SUMPRODUCT((Dati!$AQ$3:$CD$3="3.3")*INDEX(Dati!$AQ$1:$CD$1000,MATCH($A19,Dati!$A$1:$A$1000,0),0)*INDEX(Dati!$DS$1:$FF$1000,MATCH($A19,Dati!$A$1:$A$1000,0),0))/SUMPRODUCT((Dati!$AQ$3:$CD$3="3.3")*INDEX(Dati!$DS$1:$FF$1000,MATCH($A19,Dati!$A$1:$A$1000,0),0)),2),""))</f>
        <v/>
      </c>
      <c r="AO19" s="13" t="str">
        <f aca="false">IF($B19="","",IFERROR(ROUND(SUMPRODUCT((Dati!$AQ$3:$CD$3="4.1")*INDEX(Dati!$AQ$1:$CD$1000,MATCH($A19,Dati!$A$1:$A$1000,0),0)*INDEX(Dati!$DS$1:$FF$1000,MATCH($A19,Dati!$A$1:$A$1000,0),0))/SUMPRODUCT((Dati!$AQ$3:$CD$3="4.1")*INDEX(Dati!$DS$1:$FF$1000,MATCH($A19,Dati!$A$1:$A$1000,0),0)),2),""))</f>
        <v/>
      </c>
      <c r="AP19" s="13" t="str">
        <f aca="false">IF($B19="","",IFERROR(ROUND(SUMPRODUCT((Dati!$AQ$3:$CD$3="4.2")*INDEX(Dati!$AQ$1:$CD$1000,MATCH($A19,Dati!$A$1:$A$1000,0),0)*INDEX(Dati!$DS$1:$FF$1000,MATCH($A19,Dati!$A$1:$A$1000,0),0))/SUMPRODUCT((Dati!$AQ$3:$CD$3="4.2")*INDEX(Dati!$DS$1:$FF$1000,MATCH($A19,Dati!$A$1:$A$1000,0),0)),2),""))</f>
        <v/>
      </c>
      <c r="AQ19" s="13" t="str">
        <f aca="false">IF($B19="","",IFERROR(ROUND(SUMPRODUCT((Dati!$AQ$3:$CD$3="4.3")*INDEX(Dati!$AQ$1:$CD$1000,MATCH($A19,Dati!$A$1:$A$1000,0),0)*INDEX(Dati!$DS$1:$FF$1000,MATCH($A19,Dati!$A$1:$A$1000,0),0))/SUMPRODUCT((Dati!$AQ$3:$CD$3="4.3")*INDEX(Dati!$DS$1:$FF$1000,MATCH($A19,Dati!$A$1:$A$1000,0),0)),2),""))</f>
        <v/>
      </c>
      <c r="AR19" s="13" t="str">
        <f aca="false">IF($B19="","",IFERROR(SUMPRODUCT((Dati!$AQ$4:$CD$4="A")*(INDEX(Dati!$DS$1:$FF$1000,MATCH($A19,Dati!$A$1:$A$1000,0),0)&gt;0)),0))</f>
        <v/>
      </c>
      <c r="AS19" s="13" t="str">
        <f aca="false">IF($B19="","",IFERROR(ROUND(SUMPRODUCT((Dati!$AQ$4:$CD$4="A")*INDEX(Dati!$AQ$1:$CD$1000,MATCH($A19,Dati!$A$1:$A$1000,0),0)*INDEX(Dati!$DS$1:$FF$1000,MATCH($A19,Dati!$A$1:$A$1000,0),0))/SUMPRODUCT((Dati!$AQ$4:$CD$4="A")*INDEX(Dati!$DS$1:$FF$1000,MATCH($A19,Dati!$A$1:$A$1000,0),0)),2),""))</f>
        <v/>
      </c>
      <c r="AT19" s="13" t="str">
        <f aca="false">IF(AS19="","",IF(ISNUMBER(BH19),ROUND(Impostazioni!$B$12*AS19+Impostazioni!$B$13*BH19,2),AS19))</f>
        <v/>
      </c>
      <c r="AU19" s="51" t="str">
        <f aca="false">IF(AT19="","",LOOKUP(AT19,Impostazioni!$E$4:$E$9,Impostazioni!$F$4:$F$9))</f>
        <v/>
      </c>
      <c r="AV19" s="52"/>
      <c r="AW19" s="13" t="str">
        <f aca="false">IF($B19="","",IFERROR(SUMPRODUCT((Dati!$AQ$4:$CD$4="B")*(INDEX(Dati!$DS$1:$FF$1000,MATCH($A19,Dati!$A$1:$A$1000,0),0)&gt;0)),0))</f>
        <v/>
      </c>
      <c r="AX19" s="13" t="str">
        <f aca="false">IF($B19="","",IFERROR(ROUND(SUMPRODUCT((Dati!$AQ$4:$CD$4="B")*INDEX(Dati!$AQ$1:$CD$1000,MATCH($A19,Dati!$A$1:$A$1000,0),0)*INDEX(Dati!$DS$1:$FF$1000,MATCH($A19,Dati!$A$1:$A$1000,0),0))/SUMPRODUCT((Dati!$AQ$4:$CD$4="B")*INDEX(Dati!$DS$1:$FF$1000,MATCH($A19,Dati!$A$1:$A$1000,0),0)),2),""))</f>
        <v/>
      </c>
      <c r="AY19" s="13" t="str">
        <f aca="false">IF(AX19="","",IF(ISNUMBER(BH19),ROUND(Impostazioni!$B$12*AX19+Impostazioni!$B$13*BH19,2),AX19))</f>
        <v/>
      </c>
      <c r="AZ19" s="51" t="str">
        <f aca="false">IF(AY19="","",LOOKUP(AY19,Impostazioni!$E$4:$E$9,Impostazioni!$F$4:$F$9))</f>
        <v/>
      </c>
      <c r="BA19" s="52"/>
      <c r="BB19" s="13" t="str">
        <f aca="false">IF($B19="","",IFERROR(ROUND(SUMPRODUCT((Dati!$AQ$4:$CD$4="TEC")*INDEX(Dati!$AQ$1:$CD$1000,MATCH($A19,Dati!$A$1:$A$1000,0),0)*INDEX(Dati!$DS$1:$FF$1000,MATCH($A19,Dati!$A$1:$A$1000,0),0))/SUMPRODUCT((Dati!$AQ$4:$CD$4="TEC")*INDEX(Dati!$DS$1:$FF$1000,MATCH($A19,Dati!$A$1:$A$1000,0),0)),2),""))</f>
        <v/>
      </c>
      <c r="BC19" s="51" t="str">
        <f aca="false">IF(BB19="","",LOOKUP(BB19,Impostazioni!$E$4:$E$9,Impostazioni!$F$4:$F$9))</f>
        <v/>
      </c>
      <c r="BD19" s="52"/>
      <c r="BE19" s="13" t="str">
        <f aca="false">IF($B19="","",IFERROR(ROUND(SUMPRODUCT((Dati!$AQ$4:$CD$4="CIV")*INDEX(Dati!$AQ$1:$CD$1000,MATCH($A19,Dati!$A$1:$A$1000,0),0)*INDEX(Dati!$DS$1:$FF$1000,MATCH($A19,Dati!$A$1:$A$1000,0),0))/SUMPRODUCT((Dati!$AQ$4:$CD$4="CIV")*INDEX(Dati!$DS$1:$FF$1000,MATCH($A19,Dati!$A$1:$A$1000,0),0)),2),""))</f>
        <v/>
      </c>
      <c r="BF19" s="51" t="str">
        <f aca="false">IF(BE19="","",LOOKUP(BE19,Impostazioni!$E$4:$E$9,Impostazioni!$F$4:$F$9))</f>
        <v/>
      </c>
      <c r="BG19" s="52"/>
      <c r="BH19" s="52"/>
      <c r="BI19" s="13" t="str">
        <f aca="false">IF($B19="","",IFERROR(SUM(INDEX(Dati!$FQ$1:$FZ$1000,MATCH($A19,Dati!$A$1:$A$1000,0),0)),0))</f>
        <v/>
      </c>
      <c r="BJ19" s="16" t="str">
        <f aca="false">IF($B19="","",IF($C19="ES","Esonerato: concordare con referente e dirigente",IF($C19="Ritirato","Ritirato",TRIM(IF(OR(N(AR19)&lt;Impostazioni!$B$14,N(AW19)&lt;Impostazioni!$B$14),"Pochi voti: valutazione alternativa (scritta/orale). ","")&amp;IF(N(BI19)&gt;0,"Da recuperare: "&amp;BI19&amp;". ","")&amp;IF($D19="OP","Riferito agli obiettivi personalizzati.","")))))</f>
        <v/>
      </c>
      <c r="BK19" s="31" t="str">
        <f aca="false">IF($B19="","",IF($C19="ES","ES",IF(AV19&lt;&gt;"",AV19,AU19)))</f>
        <v/>
      </c>
      <c r="BL19" s="31" t="str">
        <f aca="false">IF($B19="","",IF($C19="ES","ES",IF(BA19&lt;&gt;"",BA19,AZ19)))</f>
        <v/>
      </c>
      <c r="BM19" s="31" t="str">
        <f aca="false">IF($B19="","",IF($C19="ES","ES",IF(BD19&lt;&gt;"",BD19,BC19)))</f>
        <v/>
      </c>
      <c r="BN19" s="31" t="str">
        <f aca="false">IF($B19="","",IF($C19="ES","ES",IF(BG19&lt;&gt;"",BG19,BF19)))</f>
        <v/>
      </c>
      <c r="BO19" s="14"/>
    </row>
    <row r="20" customFormat="false" ht="21" hidden="false" customHeight="true" outlineLevel="0" collapsed="false">
      <c r="A20" s="10" t="n">
        <v>13</v>
      </c>
      <c r="B20" s="16" t="str">
        <f aca="false">IFERROR(INDEX(Alunni!$C$1:$C$1000,MATCH($A20,Alunni!$A$1:$A$1000,0))&amp;"","")</f>
        <v/>
      </c>
      <c r="C20" s="13" t="str">
        <f aca="false">IFERROR(INDEX(Alunni!$D$1:$D$1000,MATCH($A20,Alunni!$A$1:$A$1000,0))&amp;"","")</f>
        <v/>
      </c>
      <c r="D20" s="13" t="str">
        <f aca="false">IFERROR(INDEX(Alunni!$E$1:$E$1000,MATCH($A20,Alunni!$A$1:$A$1000,0))&amp;"","")</f>
        <v/>
      </c>
      <c r="E20" s="13" t="str">
        <f aca="false">IF($B20="","",IFERROR(ROUND(SUMPRODUCT((Dati!$C$3:$AP$3="1.1")*INDEX(Dati!$C$1:$AP$1000,MATCH($A20,Dati!$A$1:$A$1000,0),0)*INDEX(Dati!$CE$1:$DR$1000,MATCH($A20,Dati!$A$1:$A$1000,0),0))/SUMPRODUCT((Dati!$C$3:$AP$3="1.1")*INDEX(Dati!$CE$1:$DR$1000,MATCH($A20,Dati!$A$1:$A$1000,0),0)),2),""))</f>
        <v/>
      </c>
      <c r="F20" s="13" t="str">
        <f aca="false">IF($B20="","",IFERROR(ROUND(SUMPRODUCT((Dati!$C$3:$AP$3="2.1")*INDEX(Dati!$C$1:$AP$1000,MATCH($A20,Dati!$A$1:$A$1000,0),0)*INDEX(Dati!$CE$1:$DR$1000,MATCH($A20,Dati!$A$1:$A$1000,0),0))/SUMPRODUCT((Dati!$C$3:$AP$3="2.1")*INDEX(Dati!$CE$1:$DR$1000,MATCH($A20,Dati!$A$1:$A$1000,0),0)),2),""))</f>
        <v/>
      </c>
      <c r="G20" s="13" t="str">
        <f aca="false">IF($B20="","",IFERROR(ROUND(SUMPRODUCT((Dati!$C$3:$AP$3="3.1")*INDEX(Dati!$C$1:$AP$1000,MATCH($A20,Dati!$A$1:$A$1000,0),0)*INDEX(Dati!$CE$1:$DR$1000,MATCH($A20,Dati!$A$1:$A$1000,0),0))/SUMPRODUCT((Dati!$C$3:$AP$3="3.1")*INDEX(Dati!$CE$1:$DR$1000,MATCH($A20,Dati!$A$1:$A$1000,0),0)),2),""))</f>
        <v/>
      </c>
      <c r="H20" s="13" t="str">
        <f aca="false">IF($B20="","",IFERROR(ROUND(SUMPRODUCT((Dati!$C$3:$AP$3="3.2")*INDEX(Dati!$C$1:$AP$1000,MATCH($A20,Dati!$A$1:$A$1000,0),0)*INDEX(Dati!$CE$1:$DR$1000,MATCH($A20,Dati!$A$1:$A$1000,0),0))/SUMPRODUCT((Dati!$C$3:$AP$3="3.2")*INDEX(Dati!$CE$1:$DR$1000,MATCH($A20,Dati!$A$1:$A$1000,0),0)),2),""))</f>
        <v/>
      </c>
      <c r="I20" s="13" t="str">
        <f aca="false">IF($B20="","",IFERROR(ROUND(SUMPRODUCT((Dati!$C$3:$AP$3="3.3")*INDEX(Dati!$C$1:$AP$1000,MATCH($A20,Dati!$A$1:$A$1000,0),0)*INDEX(Dati!$CE$1:$DR$1000,MATCH($A20,Dati!$A$1:$A$1000,0),0))/SUMPRODUCT((Dati!$C$3:$AP$3="3.3")*INDEX(Dati!$CE$1:$DR$1000,MATCH($A20,Dati!$A$1:$A$1000,0),0)),2),""))</f>
        <v/>
      </c>
      <c r="J20" s="13" t="str">
        <f aca="false">IF($B20="","",IFERROR(ROUND(SUMPRODUCT((Dati!$C$3:$AP$3="4.1")*INDEX(Dati!$C$1:$AP$1000,MATCH($A20,Dati!$A$1:$A$1000,0),0)*INDEX(Dati!$CE$1:$DR$1000,MATCH($A20,Dati!$A$1:$A$1000,0),0))/SUMPRODUCT((Dati!$C$3:$AP$3="4.1")*INDEX(Dati!$CE$1:$DR$1000,MATCH($A20,Dati!$A$1:$A$1000,0),0)),2),""))</f>
        <v/>
      </c>
      <c r="K20" s="13" t="str">
        <f aca="false">IF($B20="","",IFERROR(ROUND(SUMPRODUCT((Dati!$C$3:$AP$3="4.2")*INDEX(Dati!$C$1:$AP$1000,MATCH($A20,Dati!$A$1:$A$1000,0),0)*INDEX(Dati!$CE$1:$DR$1000,MATCH($A20,Dati!$A$1:$A$1000,0),0))/SUMPRODUCT((Dati!$C$3:$AP$3="4.2")*INDEX(Dati!$CE$1:$DR$1000,MATCH($A20,Dati!$A$1:$A$1000,0),0)),2),""))</f>
        <v/>
      </c>
      <c r="L20" s="13" t="str">
        <f aca="false">IF($B20="","",IFERROR(ROUND(SUMPRODUCT((Dati!$C$3:$AP$3="4.3")*INDEX(Dati!$C$1:$AP$1000,MATCH($A20,Dati!$A$1:$A$1000,0),0)*INDEX(Dati!$CE$1:$DR$1000,MATCH($A20,Dati!$A$1:$A$1000,0),0))/SUMPRODUCT((Dati!$C$3:$AP$3="4.3")*INDEX(Dati!$CE$1:$DR$1000,MATCH($A20,Dati!$A$1:$A$1000,0),0)),2),""))</f>
        <v/>
      </c>
      <c r="M20" s="13" t="str">
        <f aca="false">IF($B20="","",IFERROR(SUMPRODUCT((Dati!$C$4:$AP$4="A")*(INDEX(Dati!$CE$1:$DR$1000,MATCH($A20,Dati!$A$1:$A$1000,0),0)&gt;0)),0))</f>
        <v/>
      </c>
      <c r="N20" s="13" t="str">
        <f aca="false">IF($B20="","",IFERROR(ROUND(SUMPRODUCT((Dati!$C$4:$AP$4="A")*INDEX(Dati!$C$1:$AP$1000,MATCH($A20,Dati!$A$1:$A$1000,0),0)*INDEX(Dati!$CE$1:$DR$1000,MATCH($A20,Dati!$A$1:$A$1000,0),0))/SUMPRODUCT((Dati!$C$4:$AP$4="A")*INDEX(Dati!$CE$1:$DR$1000,MATCH($A20,Dati!$A$1:$A$1000,0),0)),2),""))</f>
        <v/>
      </c>
      <c r="O20" s="13" t="str">
        <f aca="false">IF(N20="","",IF(ISNUMBER(AC20),ROUND(Impostazioni!$B$12*N20+Impostazioni!$B$13*AC20,2),N20))</f>
        <v/>
      </c>
      <c r="P20" s="51" t="str">
        <f aca="false">IF(O20="","",LOOKUP(O20,Impostazioni!$E$4:$E$9,Impostazioni!$F$4:$F$9))</f>
        <v/>
      </c>
      <c r="Q20" s="52"/>
      <c r="R20" s="13" t="str">
        <f aca="false">IF($B20="","",IFERROR(SUMPRODUCT((Dati!$C$4:$AP$4="B")*(INDEX(Dati!$CE$1:$DR$1000,MATCH($A20,Dati!$A$1:$A$1000,0),0)&gt;0)),0))</f>
        <v/>
      </c>
      <c r="S20" s="13" t="str">
        <f aca="false">IF($B20="","",IFERROR(ROUND(SUMPRODUCT((Dati!$C$4:$AP$4="B")*INDEX(Dati!$C$1:$AP$1000,MATCH($A20,Dati!$A$1:$A$1000,0),0)*INDEX(Dati!$CE$1:$DR$1000,MATCH($A20,Dati!$A$1:$A$1000,0),0))/SUMPRODUCT((Dati!$C$4:$AP$4="B")*INDEX(Dati!$CE$1:$DR$1000,MATCH($A20,Dati!$A$1:$A$1000,0),0)),2),""))</f>
        <v/>
      </c>
      <c r="T20" s="13" t="str">
        <f aca="false">IF(S20="","",IF(ISNUMBER(AC20),ROUND(Impostazioni!$B$12*S20+Impostazioni!$B$13*AC20,2),S20))</f>
        <v/>
      </c>
      <c r="U20" s="51" t="str">
        <f aca="false">IF(T20="","",LOOKUP(T20,Impostazioni!$E$4:$E$9,Impostazioni!$F$4:$F$9))</f>
        <v/>
      </c>
      <c r="V20" s="52"/>
      <c r="W20" s="13" t="str">
        <f aca="false">IF($B20="","",IFERROR(ROUND(SUMPRODUCT((Dati!$C$4:$AP$4="TEC")*INDEX(Dati!$C$1:$AP$1000,MATCH($A20,Dati!$A$1:$A$1000,0),0)*INDEX(Dati!$CE$1:$DR$1000,MATCH($A20,Dati!$A$1:$A$1000,0),0))/SUMPRODUCT((Dati!$C$4:$AP$4="TEC")*INDEX(Dati!$CE$1:$DR$1000,MATCH($A20,Dati!$A$1:$A$1000,0),0)),2),""))</f>
        <v/>
      </c>
      <c r="X20" s="51" t="str">
        <f aca="false">IF(W20="","",LOOKUP(W20,Impostazioni!$E$4:$E$9,Impostazioni!$F$4:$F$9))</f>
        <v/>
      </c>
      <c r="Y20" s="52"/>
      <c r="Z20" s="13" t="str">
        <f aca="false">IF($B20="","",IFERROR(ROUND(SUMPRODUCT((Dati!$C$4:$AP$4="CIV")*INDEX(Dati!$C$1:$AP$1000,MATCH($A20,Dati!$A$1:$A$1000,0),0)*INDEX(Dati!$CE$1:$DR$1000,MATCH($A20,Dati!$A$1:$A$1000,0),0))/SUMPRODUCT((Dati!$C$4:$AP$4="CIV")*INDEX(Dati!$CE$1:$DR$1000,MATCH($A20,Dati!$A$1:$A$1000,0),0)),2),""))</f>
        <v/>
      </c>
      <c r="AA20" s="51" t="str">
        <f aca="false">IF(Z20="","",LOOKUP(Z20,Impostazioni!$E$4:$E$9,Impostazioni!$F$4:$F$9))</f>
        <v/>
      </c>
      <c r="AB20" s="52"/>
      <c r="AC20" s="52"/>
      <c r="AD20" s="13" t="str">
        <f aca="false">IF($B20="","",IFERROR(SUM(INDEX(Dati!$FG$1:$FP$1000,MATCH($A20,Dati!$A$1:$A$1000,0),0)),0))</f>
        <v/>
      </c>
      <c r="AE20" s="16" t="str">
        <f aca="false">IF($B20="","",IF($C20="ES","Esonerato: concordare con referente e dirigente",IF($C20="Ritirato","Ritirato",TRIM(IF(OR(N(M20)&lt;Impostazioni!$B$14,N(R20)&lt;Impostazioni!$B$14),"Pochi voti: valutazione alternativa (scritta/orale). ","")&amp;IF(N(AD20)&gt;0,"Da recuperare: "&amp;AD20&amp;". ","")&amp;IF($D20="OP","Riferito agli obiettivi personalizzati.","")))))</f>
        <v/>
      </c>
      <c r="AF20" s="31" t="str">
        <f aca="false">IF($B20="","",IF($C20="ES","ES",IF(Q20&lt;&gt;"",Q20,P20)))</f>
        <v/>
      </c>
      <c r="AG20" s="31" t="str">
        <f aca="false">IF($B20="","",IF($C20="ES","ES",IF(V20&lt;&gt;"",V20,U20)))</f>
        <v/>
      </c>
      <c r="AH20" s="31" t="str">
        <f aca="false">IF($B20="","",IF($C20="ES","ES",IF(Y20&lt;&gt;"",Y20,X20)))</f>
        <v/>
      </c>
      <c r="AI20" s="31" t="str">
        <f aca="false">IF($B20="","",IF($C20="ES","ES",IF(AB20&lt;&gt;"",AB20,AA20)))</f>
        <v/>
      </c>
      <c r="AJ20" s="13" t="str">
        <f aca="false">IF($B20="","",IFERROR(ROUND(SUMPRODUCT((Dati!$AQ$3:$CD$3="1.1")*INDEX(Dati!$AQ$1:$CD$1000,MATCH($A20,Dati!$A$1:$A$1000,0),0)*INDEX(Dati!$DS$1:$FF$1000,MATCH($A20,Dati!$A$1:$A$1000,0),0))/SUMPRODUCT((Dati!$AQ$3:$CD$3="1.1")*INDEX(Dati!$DS$1:$FF$1000,MATCH($A20,Dati!$A$1:$A$1000,0),0)),2),""))</f>
        <v/>
      </c>
      <c r="AK20" s="13" t="str">
        <f aca="false">IF($B20="","",IFERROR(ROUND(SUMPRODUCT((Dati!$AQ$3:$CD$3="2.1")*INDEX(Dati!$AQ$1:$CD$1000,MATCH($A20,Dati!$A$1:$A$1000,0),0)*INDEX(Dati!$DS$1:$FF$1000,MATCH($A20,Dati!$A$1:$A$1000,0),0))/SUMPRODUCT((Dati!$AQ$3:$CD$3="2.1")*INDEX(Dati!$DS$1:$FF$1000,MATCH($A20,Dati!$A$1:$A$1000,0),0)),2),""))</f>
        <v/>
      </c>
      <c r="AL20" s="13" t="str">
        <f aca="false">IF($B20="","",IFERROR(ROUND(SUMPRODUCT((Dati!$AQ$3:$CD$3="3.1")*INDEX(Dati!$AQ$1:$CD$1000,MATCH($A20,Dati!$A$1:$A$1000,0),0)*INDEX(Dati!$DS$1:$FF$1000,MATCH($A20,Dati!$A$1:$A$1000,0),0))/SUMPRODUCT((Dati!$AQ$3:$CD$3="3.1")*INDEX(Dati!$DS$1:$FF$1000,MATCH($A20,Dati!$A$1:$A$1000,0),0)),2),""))</f>
        <v/>
      </c>
      <c r="AM20" s="13" t="str">
        <f aca="false">IF($B20="","",IFERROR(ROUND(SUMPRODUCT((Dati!$AQ$3:$CD$3="3.2")*INDEX(Dati!$AQ$1:$CD$1000,MATCH($A20,Dati!$A$1:$A$1000,0),0)*INDEX(Dati!$DS$1:$FF$1000,MATCH($A20,Dati!$A$1:$A$1000,0),0))/SUMPRODUCT((Dati!$AQ$3:$CD$3="3.2")*INDEX(Dati!$DS$1:$FF$1000,MATCH($A20,Dati!$A$1:$A$1000,0),0)),2),""))</f>
        <v/>
      </c>
      <c r="AN20" s="13" t="str">
        <f aca="false">IF($B20="","",IFERROR(ROUND(SUMPRODUCT((Dati!$AQ$3:$CD$3="3.3")*INDEX(Dati!$AQ$1:$CD$1000,MATCH($A20,Dati!$A$1:$A$1000,0),0)*INDEX(Dati!$DS$1:$FF$1000,MATCH($A20,Dati!$A$1:$A$1000,0),0))/SUMPRODUCT((Dati!$AQ$3:$CD$3="3.3")*INDEX(Dati!$DS$1:$FF$1000,MATCH($A20,Dati!$A$1:$A$1000,0),0)),2),""))</f>
        <v/>
      </c>
      <c r="AO20" s="13" t="str">
        <f aca="false">IF($B20="","",IFERROR(ROUND(SUMPRODUCT((Dati!$AQ$3:$CD$3="4.1")*INDEX(Dati!$AQ$1:$CD$1000,MATCH($A20,Dati!$A$1:$A$1000,0),0)*INDEX(Dati!$DS$1:$FF$1000,MATCH($A20,Dati!$A$1:$A$1000,0),0))/SUMPRODUCT((Dati!$AQ$3:$CD$3="4.1")*INDEX(Dati!$DS$1:$FF$1000,MATCH($A20,Dati!$A$1:$A$1000,0),0)),2),""))</f>
        <v/>
      </c>
      <c r="AP20" s="13" t="str">
        <f aca="false">IF($B20="","",IFERROR(ROUND(SUMPRODUCT((Dati!$AQ$3:$CD$3="4.2")*INDEX(Dati!$AQ$1:$CD$1000,MATCH($A20,Dati!$A$1:$A$1000,0),0)*INDEX(Dati!$DS$1:$FF$1000,MATCH($A20,Dati!$A$1:$A$1000,0),0))/SUMPRODUCT((Dati!$AQ$3:$CD$3="4.2")*INDEX(Dati!$DS$1:$FF$1000,MATCH($A20,Dati!$A$1:$A$1000,0),0)),2),""))</f>
        <v/>
      </c>
      <c r="AQ20" s="13" t="str">
        <f aca="false">IF($B20="","",IFERROR(ROUND(SUMPRODUCT((Dati!$AQ$3:$CD$3="4.3")*INDEX(Dati!$AQ$1:$CD$1000,MATCH($A20,Dati!$A$1:$A$1000,0),0)*INDEX(Dati!$DS$1:$FF$1000,MATCH($A20,Dati!$A$1:$A$1000,0),0))/SUMPRODUCT((Dati!$AQ$3:$CD$3="4.3")*INDEX(Dati!$DS$1:$FF$1000,MATCH($A20,Dati!$A$1:$A$1000,0),0)),2),""))</f>
        <v/>
      </c>
      <c r="AR20" s="13" t="str">
        <f aca="false">IF($B20="","",IFERROR(SUMPRODUCT((Dati!$AQ$4:$CD$4="A")*(INDEX(Dati!$DS$1:$FF$1000,MATCH($A20,Dati!$A$1:$A$1000,0),0)&gt;0)),0))</f>
        <v/>
      </c>
      <c r="AS20" s="13" t="str">
        <f aca="false">IF($B20="","",IFERROR(ROUND(SUMPRODUCT((Dati!$AQ$4:$CD$4="A")*INDEX(Dati!$AQ$1:$CD$1000,MATCH($A20,Dati!$A$1:$A$1000,0),0)*INDEX(Dati!$DS$1:$FF$1000,MATCH($A20,Dati!$A$1:$A$1000,0),0))/SUMPRODUCT((Dati!$AQ$4:$CD$4="A")*INDEX(Dati!$DS$1:$FF$1000,MATCH($A20,Dati!$A$1:$A$1000,0),0)),2),""))</f>
        <v/>
      </c>
      <c r="AT20" s="13" t="str">
        <f aca="false">IF(AS20="","",IF(ISNUMBER(BH20),ROUND(Impostazioni!$B$12*AS20+Impostazioni!$B$13*BH20,2),AS20))</f>
        <v/>
      </c>
      <c r="AU20" s="51" t="str">
        <f aca="false">IF(AT20="","",LOOKUP(AT20,Impostazioni!$E$4:$E$9,Impostazioni!$F$4:$F$9))</f>
        <v/>
      </c>
      <c r="AV20" s="52"/>
      <c r="AW20" s="13" t="str">
        <f aca="false">IF($B20="","",IFERROR(SUMPRODUCT((Dati!$AQ$4:$CD$4="B")*(INDEX(Dati!$DS$1:$FF$1000,MATCH($A20,Dati!$A$1:$A$1000,0),0)&gt;0)),0))</f>
        <v/>
      </c>
      <c r="AX20" s="13" t="str">
        <f aca="false">IF($B20="","",IFERROR(ROUND(SUMPRODUCT((Dati!$AQ$4:$CD$4="B")*INDEX(Dati!$AQ$1:$CD$1000,MATCH($A20,Dati!$A$1:$A$1000,0),0)*INDEX(Dati!$DS$1:$FF$1000,MATCH($A20,Dati!$A$1:$A$1000,0),0))/SUMPRODUCT((Dati!$AQ$4:$CD$4="B")*INDEX(Dati!$DS$1:$FF$1000,MATCH($A20,Dati!$A$1:$A$1000,0),0)),2),""))</f>
        <v/>
      </c>
      <c r="AY20" s="13" t="str">
        <f aca="false">IF(AX20="","",IF(ISNUMBER(BH20),ROUND(Impostazioni!$B$12*AX20+Impostazioni!$B$13*BH20,2),AX20))</f>
        <v/>
      </c>
      <c r="AZ20" s="51" t="str">
        <f aca="false">IF(AY20="","",LOOKUP(AY20,Impostazioni!$E$4:$E$9,Impostazioni!$F$4:$F$9))</f>
        <v/>
      </c>
      <c r="BA20" s="52"/>
      <c r="BB20" s="13" t="str">
        <f aca="false">IF($B20="","",IFERROR(ROUND(SUMPRODUCT((Dati!$AQ$4:$CD$4="TEC")*INDEX(Dati!$AQ$1:$CD$1000,MATCH($A20,Dati!$A$1:$A$1000,0),0)*INDEX(Dati!$DS$1:$FF$1000,MATCH($A20,Dati!$A$1:$A$1000,0),0))/SUMPRODUCT((Dati!$AQ$4:$CD$4="TEC")*INDEX(Dati!$DS$1:$FF$1000,MATCH($A20,Dati!$A$1:$A$1000,0),0)),2),""))</f>
        <v/>
      </c>
      <c r="BC20" s="51" t="str">
        <f aca="false">IF(BB20="","",LOOKUP(BB20,Impostazioni!$E$4:$E$9,Impostazioni!$F$4:$F$9))</f>
        <v/>
      </c>
      <c r="BD20" s="52"/>
      <c r="BE20" s="13" t="str">
        <f aca="false">IF($B20="","",IFERROR(ROUND(SUMPRODUCT((Dati!$AQ$4:$CD$4="CIV")*INDEX(Dati!$AQ$1:$CD$1000,MATCH($A20,Dati!$A$1:$A$1000,0),0)*INDEX(Dati!$DS$1:$FF$1000,MATCH($A20,Dati!$A$1:$A$1000,0),0))/SUMPRODUCT((Dati!$AQ$4:$CD$4="CIV")*INDEX(Dati!$DS$1:$FF$1000,MATCH($A20,Dati!$A$1:$A$1000,0),0)),2),""))</f>
        <v/>
      </c>
      <c r="BF20" s="51" t="str">
        <f aca="false">IF(BE20="","",LOOKUP(BE20,Impostazioni!$E$4:$E$9,Impostazioni!$F$4:$F$9))</f>
        <v/>
      </c>
      <c r="BG20" s="52"/>
      <c r="BH20" s="52"/>
      <c r="BI20" s="13" t="str">
        <f aca="false">IF($B20="","",IFERROR(SUM(INDEX(Dati!$FQ$1:$FZ$1000,MATCH($A20,Dati!$A$1:$A$1000,0),0)),0))</f>
        <v/>
      </c>
      <c r="BJ20" s="16" t="str">
        <f aca="false">IF($B20="","",IF($C20="ES","Esonerato: concordare con referente e dirigente",IF($C20="Ritirato","Ritirato",TRIM(IF(OR(N(AR20)&lt;Impostazioni!$B$14,N(AW20)&lt;Impostazioni!$B$14),"Pochi voti: valutazione alternativa (scritta/orale). ","")&amp;IF(N(BI20)&gt;0,"Da recuperare: "&amp;BI20&amp;". ","")&amp;IF($D20="OP","Riferito agli obiettivi personalizzati.","")))))</f>
        <v/>
      </c>
      <c r="BK20" s="31" t="str">
        <f aca="false">IF($B20="","",IF($C20="ES","ES",IF(AV20&lt;&gt;"",AV20,AU20)))</f>
        <v/>
      </c>
      <c r="BL20" s="31" t="str">
        <f aca="false">IF($B20="","",IF($C20="ES","ES",IF(BA20&lt;&gt;"",BA20,AZ20)))</f>
        <v/>
      </c>
      <c r="BM20" s="31" t="str">
        <f aca="false">IF($B20="","",IF($C20="ES","ES",IF(BD20&lt;&gt;"",BD20,BC20)))</f>
        <v/>
      </c>
      <c r="BN20" s="31" t="str">
        <f aca="false">IF($B20="","",IF($C20="ES","ES",IF(BG20&lt;&gt;"",BG20,BF20)))</f>
        <v/>
      </c>
      <c r="BO20" s="14"/>
    </row>
    <row r="21" customFormat="false" ht="21" hidden="false" customHeight="true" outlineLevel="0" collapsed="false">
      <c r="A21" s="10" t="n">
        <v>14</v>
      </c>
      <c r="B21" s="16" t="str">
        <f aca="false">IFERROR(INDEX(Alunni!$C$1:$C$1000,MATCH($A21,Alunni!$A$1:$A$1000,0))&amp;"","")</f>
        <v/>
      </c>
      <c r="C21" s="13" t="str">
        <f aca="false">IFERROR(INDEX(Alunni!$D$1:$D$1000,MATCH($A21,Alunni!$A$1:$A$1000,0))&amp;"","")</f>
        <v/>
      </c>
      <c r="D21" s="13" t="str">
        <f aca="false">IFERROR(INDEX(Alunni!$E$1:$E$1000,MATCH($A21,Alunni!$A$1:$A$1000,0))&amp;"","")</f>
        <v/>
      </c>
      <c r="E21" s="13" t="str">
        <f aca="false">IF($B21="","",IFERROR(ROUND(SUMPRODUCT((Dati!$C$3:$AP$3="1.1")*INDEX(Dati!$C$1:$AP$1000,MATCH($A21,Dati!$A$1:$A$1000,0),0)*INDEX(Dati!$CE$1:$DR$1000,MATCH($A21,Dati!$A$1:$A$1000,0),0))/SUMPRODUCT((Dati!$C$3:$AP$3="1.1")*INDEX(Dati!$CE$1:$DR$1000,MATCH($A21,Dati!$A$1:$A$1000,0),0)),2),""))</f>
        <v/>
      </c>
      <c r="F21" s="13" t="str">
        <f aca="false">IF($B21="","",IFERROR(ROUND(SUMPRODUCT((Dati!$C$3:$AP$3="2.1")*INDEX(Dati!$C$1:$AP$1000,MATCH($A21,Dati!$A$1:$A$1000,0),0)*INDEX(Dati!$CE$1:$DR$1000,MATCH($A21,Dati!$A$1:$A$1000,0),0))/SUMPRODUCT((Dati!$C$3:$AP$3="2.1")*INDEX(Dati!$CE$1:$DR$1000,MATCH($A21,Dati!$A$1:$A$1000,0),0)),2),""))</f>
        <v/>
      </c>
      <c r="G21" s="13" t="str">
        <f aca="false">IF($B21="","",IFERROR(ROUND(SUMPRODUCT((Dati!$C$3:$AP$3="3.1")*INDEX(Dati!$C$1:$AP$1000,MATCH($A21,Dati!$A$1:$A$1000,0),0)*INDEX(Dati!$CE$1:$DR$1000,MATCH($A21,Dati!$A$1:$A$1000,0),0))/SUMPRODUCT((Dati!$C$3:$AP$3="3.1")*INDEX(Dati!$CE$1:$DR$1000,MATCH($A21,Dati!$A$1:$A$1000,0),0)),2),""))</f>
        <v/>
      </c>
      <c r="H21" s="13" t="str">
        <f aca="false">IF($B21="","",IFERROR(ROUND(SUMPRODUCT((Dati!$C$3:$AP$3="3.2")*INDEX(Dati!$C$1:$AP$1000,MATCH($A21,Dati!$A$1:$A$1000,0),0)*INDEX(Dati!$CE$1:$DR$1000,MATCH($A21,Dati!$A$1:$A$1000,0),0))/SUMPRODUCT((Dati!$C$3:$AP$3="3.2")*INDEX(Dati!$CE$1:$DR$1000,MATCH($A21,Dati!$A$1:$A$1000,0),0)),2),""))</f>
        <v/>
      </c>
      <c r="I21" s="13" t="str">
        <f aca="false">IF($B21="","",IFERROR(ROUND(SUMPRODUCT((Dati!$C$3:$AP$3="3.3")*INDEX(Dati!$C$1:$AP$1000,MATCH($A21,Dati!$A$1:$A$1000,0),0)*INDEX(Dati!$CE$1:$DR$1000,MATCH($A21,Dati!$A$1:$A$1000,0),0))/SUMPRODUCT((Dati!$C$3:$AP$3="3.3")*INDEX(Dati!$CE$1:$DR$1000,MATCH($A21,Dati!$A$1:$A$1000,0),0)),2),""))</f>
        <v/>
      </c>
      <c r="J21" s="13" t="str">
        <f aca="false">IF($B21="","",IFERROR(ROUND(SUMPRODUCT((Dati!$C$3:$AP$3="4.1")*INDEX(Dati!$C$1:$AP$1000,MATCH($A21,Dati!$A$1:$A$1000,0),0)*INDEX(Dati!$CE$1:$DR$1000,MATCH($A21,Dati!$A$1:$A$1000,0),0))/SUMPRODUCT((Dati!$C$3:$AP$3="4.1")*INDEX(Dati!$CE$1:$DR$1000,MATCH($A21,Dati!$A$1:$A$1000,0),0)),2),""))</f>
        <v/>
      </c>
      <c r="K21" s="13" t="str">
        <f aca="false">IF($B21="","",IFERROR(ROUND(SUMPRODUCT((Dati!$C$3:$AP$3="4.2")*INDEX(Dati!$C$1:$AP$1000,MATCH($A21,Dati!$A$1:$A$1000,0),0)*INDEX(Dati!$CE$1:$DR$1000,MATCH($A21,Dati!$A$1:$A$1000,0),0))/SUMPRODUCT((Dati!$C$3:$AP$3="4.2")*INDEX(Dati!$CE$1:$DR$1000,MATCH($A21,Dati!$A$1:$A$1000,0),0)),2),""))</f>
        <v/>
      </c>
      <c r="L21" s="13" t="str">
        <f aca="false">IF($B21="","",IFERROR(ROUND(SUMPRODUCT((Dati!$C$3:$AP$3="4.3")*INDEX(Dati!$C$1:$AP$1000,MATCH($A21,Dati!$A$1:$A$1000,0),0)*INDEX(Dati!$CE$1:$DR$1000,MATCH($A21,Dati!$A$1:$A$1000,0),0))/SUMPRODUCT((Dati!$C$3:$AP$3="4.3")*INDEX(Dati!$CE$1:$DR$1000,MATCH($A21,Dati!$A$1:$A$1000,0),0)),2),""))</f>
        <v/>
      </c>
      <c r="M21" s="13" t="str">
        <f aca="false">IF($B21="","",IFERROR(SUMPRODUCT((Dati!$C$4:$AP$4="A")*(INDEX(Dati!$CE$1:$DR$1000,MATCH($A21,Dati!$A$1:$A$1000,0),0)&gt;0)),0))</f>
        <v/>
      </c>
      <c r="N21" s="13" t="str">
        <f aca="false">IF($B21="","",IFERROR(ROUND(SUMPRODUCT((Dati!$C$4:$AP$4="A")*INDEX(Dati!$C$1:$AP$1000,MATCH($A21,Dati!$A$1:$A$1000,0),0)*INDEX(Dati!$CE$1:$DR$1000,MATCH($A21,Dati!$A$1:$A$1000,0),0))/SUMPRODUCT((Dati!$C$4:$AP$4="A")*INDEX(Dati!$CE$1:$DR$1000,MATCH($A21,Dati!$A$1:$A$1000,0),0)),2),""))</f>
        <v/>
      </c>
      <c r="O21" s="13" t="str">
        <f aca="false">IF(N21="","",IF(ISNUMBER(AC21),ROUND(Impostazioni!$B$12*N21+Impostazioni!$B$13*AC21,2),N21))</f>
        <v/>
      </c>
      <c r="P21" s="51" t="str">
        <f aca="false">IF(O21="","",LOOKUP(O21,Impostazioni!$E$4:$E$9,Impostazioni!$F$4:$F$9))</f>
        <v/>
      </c>
      <c r="Q21" s="52"/>
      <c r="R21" s="13" t="str">
        <f aca="false">IF($B21="","",IFERROR(SUMPRODUCT((Dati!$C$4:$AP$4="B")*(INDEX(Dati!$CE$1:$DR$1000,MATCH($A21,Dati!$A$1:$A$1000,0),0)&gt;0)),0))</f>
        <v/>
      </c>
      <c r="S21" s="13" t="str">
        <f aca="false">IF($B21="","",IFERROR(ROUND(SUMPRODUCT((Dati!$C$4:$AP$4="B")*INDEX(Dati!$C$1:$AP$1000,MATCH($A21,Dati!$A$1:$A$1000,0),0)*INDEX(Dati!$CE$1:$DR$1000,MATCH($A21,Dati!$A$1:$A$1000,0),0))/SUMPRODUCT((Dati!$C$4:$AP$4="B")*INDEX(Dati!$CE$1:$DR$1000,MATCH($A21,Dati!$A$1:$A$1000,0),0)),2),""))</f>
        <v/>
      </c>
      <c r="T21" s="13" t="str">
        <f aca="false">IF(S21="","",IF(ISNUMBER(AC21),ROUND(Impostazioni!$B$12*S21+Impostazioni!$B$13*AC21,2),S21))</f>
        <v/>
      </c>
      <c r="U21" s="51" t="str">
        <f aca="false">IF(T21="","",LOOKUP(T21,Impostazioni!$E$4:$E$9,Impostazioni!$F$4:$F$9))</f>
        <v/>
      </c>
      <c r="V21" s="52"/>
      <c r="W21" s="13" t="str">
        <f aca="false">IF($B21="","",IFERROR(ROUND(SUMPRODUCT((Dati!$C$4:$AP$4="TEC")*INDEX(Dati!$C$1:$AP$1000,MATCH($A21,Dati!$A$1:$A$1000,0),0)*INDEX(Dati!$CE$1:$DR$1000,MATCH($A21,Dati!$A$1:$A$1000,0),0))/SUMPRODUCT((Dati!$C$4:$AP$4="TEC")*INDEX(Dati!$CE$1:$DR$1000,MATCH($A21,Dati!$A$1:$A$1000,0),0)),2),""))</f>
        <v/>
      </c>
      <c r="X21" s="51" t="str">
        <f aca="false">IF(W21="","",LOOKUP(W21,Impostazioni!$E$4:$E$9,Impostazioni!$F$4:$F$9))</f>
        <v/>
      </c>
      <c r="Y21" s="52"/>
      <c r="Z21" s="13" t="str">
        <f aca="false">IF($B21="","",IFERROR(ROUND(SUMPRODUCT((Dati!$C$4:$AP$4="CIV")*INDEX(Dati!$C$1:$AP$1000,MATCH($A21,Dati!$A$1:$A$1000,0),0)*INDEX(Dati!$CE$1:$DR$1000,MATCH($A21,Dati!$A$1:$A$1000,0),0))/SUMPRODUCT((Dati!$C$4:$AP$4="CIV")*INDEX(Dati!$CE$1:$DR$1000,MATCH($A21,Dati!$A$1:$A$1000,0),0)),2),""))</f>
        <v/>
      </c>
      <c r="AA21" s="51" t="str">
        <f aca="false">IF(Z21="","",LOOKUP(Z21,Impostazioni!$E$4:$E$9,Impostazioni!$F$4:$F$9))</f>
        <v/>
      </c>
      <c r="AB21" s="52"/>
      <c r="AC21" s="52"/>
      <c r="AD21" s="13" t="str">
        <f aca="false">IF($B21="","",IFERROR(SUM(INDEX(Dati!$FG$1:$FP$1000,MATCH($A21,Dati!$A$1:$A$1000,0),0)),0))</f>
        <v/>
      </c>
      <c r="AE21" s="16" t="str">
        <f aca="false">IF($B21="","",IF($C21="ES","Esonerato: concordare con referente e dirigente",IF($C21="Ritirato","Ritirato",TRIM(IF(OR(N(M21)&lt;Impostazioni!$B$14,N(R21)&lt;Impostazioni!$B$14),"Pochi voti: valutazione alternativa (scritta/orale). ","")&amp;IF(N(AD21)&gt;0,"Da recuperare: "&amp;AD21&amp;". ","")&amp;IF($D21="OP","Riferito agli obiettivi personalizzati.","")))))</f>
        <v/>
      </c>
      <c r="AF21" s="31" t="str">
        <f aca="false">IF($B21="","",IF($C21="ES","ES",IF(Q21&lt;&gt;"",Q21,P21)))</f>
        <v/>
      </c>
      <c r="AG21" s="31" t="str">
        <f aca="false">IF($B21="","",IF($C21="ES","ES",IF(V21&lt;&gt;"",V21,U21)))</f>
        <v/>
      </c>
      <c r="AH21" s="31" t="str">
        <f aca="false">IF($B21="","",IF($C21="ES","ES",IF(Y21&lt;&gt;"",Y21,X21)))</f>
        <v/>
      </c>
      <c r="AI21" s="31" t="str">
        <f aca="false">IF($B21="","",IF($C21="ES","ES",IF(AB21&lt;&gt;"",AB21,AA21)))</f>
        <v/>
      </c>
      <c r="AJ21" s="13" t="str">
        <f aca="false">IF($B21="","",IFERROR(ROUND(SUMPRODUCT((Dati!$AQ$3:$CD$3="1.1")*INDEX(Dati!$AQ$1:$CD$1000,MATCH($A21,Dati!$A$1:$A$1000,0),0)*INDEX(Dati!$DS$1:$FF$1000,MATCH($A21,Dati!$A$1:$A$1000,0),0))/SUMPRODUCT((Dati!$AQ$3:$CD$3="1.1")*INDEX(Dati!$DS$1:$FF$1000,MATCH($A21,Dati!$A$1:$A$1000,0),0)),2),""))</f>
        <v/>
      </c>
      <c r="AK21" s="13" t="str">
        <f aca="false">IF($B21="","",IFERROR(ROUND(SUMPRODUCT((Dati!$AQ$3:$CD$3="2.1")*INDEX(Dati!$AQ$1:$CD$1000,MATCH($A21,Dati!$A$1:$A$1000,0),0)*INDEX(Dati!$DS$1:$FF$1000,MATCH($A21,Dati!$A$1:$A$1000,0),0))/SUMPRODUCT((Dati!$AQ$3:$CD$3="2.1")*INDEX(Dati!$DS$1:$FF$1000,MATCH($A21,Dati!$A$1:$A$1000,0),0)),2),""))</f>
        <v/>
      </c>
      <c r="AL21" s="13" t="str">
        <f aca="false">IF($B21="","",IFERROR(ROUND(SUMPRODUCT((Dati!$AQ$3:$CD$3="3.1")*INDEX(Dati!$AQ$1:$CD$1000,MATCH($A21,Dati!$A$1:$A$1000,0),0)*INDEX(Dati!$DS$1:$FF$1000,MATCH($A21,Dati!$A$1:$A$1000,0),0))/SUMPRODUCT((Dati!$AQ$3:$CD$3="3.1")*INDEX(Dati!$DS$1:$FF$1000,MATCH($A21,Dati!$A$1:$A$1000,0),0)),2),""))</f>
        <v/>
      </c>
      <c r="AM21" s="13" t="str">
        <f aca="false">IF($B21="","",IFERROR(ROUND(SUMPRODUCT((Dati!$AQ$3:$CD$3="3.2")*INDEX(Dati!$AQ$1:$CD$1000,MATCH($A21,Dati!$A$1:$A$1000,0),0)*INDEX(Dati!$DS$1:$FF$1000,MATCH($A21,Dati!$A$1:$A$1000,0),0))/SUMPRODUCT((Dati!$AQ$3:$CD$3="3.2")*INDEX(Dati!$DS$1:$FF$1000,MATCH($A21,Dati!$A$1:$A$1000,0),0)),2),""))</f>
        <v/>
      </c>
      <c r="AN21" s="13" t="str">
        <f aca="false">IF($B21="","",IFERROR(ROUND(SUMPRODUCT((Dati!$AQ$3:$CD$3="3.3")*INDEX(Dati!$AQ$1:$CD$1000,MATCH($A21,Dati!$A$1:$A$1000,0),0)*INDEX(Dati!$DS$1:$FF$1000,MATCH($A21,Dati!$A$1:$A$1000,0),0))/SUMPRODUCT((Dati!$AQ$3:$CD$3="3.3")*INDEX(Dati!$DS$1:$FF$1000,MATCH($A21,Dati!$A$1:$A$1000,0),0)),2),""))</f>
        <v/>
      </c>
      <c r="AO21" s="13" t="str">
        <f aca="false">IF($B21="","",IFERROR(ROUND(SUMPRODUCT((Dati!$AQ$3:$CD$3="4.1")*INDEX(Dati!$AQ$1:$CD$1000,MATCH($A21,Dati!$A$1:$A$1000,0),0)*INDEX(Dati!$DS$1:$FF$1000,MATCH($A21,Dati!$A$1:$A$1000,0),0))/SUMPRODUCT((Dati!$AQ$3:$CD$3="4.1")*INDEX(Dati!$DS$1:$FF$1000,MATCH($A21,Dati!$A$1:$A$1000,0),0)),2),""))</f>
        <v/>
      </c>
      <c r="AP21" s="13" t="str">
        <f aca="false">IF($B21="","",IFERROR(ROUND(SUMPRODUCT((Dati!$AQ$3:$CD$3="4.2")*INDEX(Dati!$AQ$1:$CD$1000,MATCH($A21,Dati!$A$1:$A$1000,0),0)*INDEX(Dati!$DS$1:$FF$1000,MATCH($A21,Dati!$A$1:$A$1000,0),0))/SUMPRODUCT((Dati!$AQ$3:$CD$3="4.2")*INDEX(Dati!$DS$1:$FF$1000,MATCH($A21,Dati!$A$1:$A$1000,0),0)),2),""))</f>
        <v/>
      </c>
      <c r="AQ21" s="13" t="str">
        <f aca="false">IF($B21="","",IFERROR(ROUND(SUMPRODUCT((Dati!$AQ$3:$CD$3="4.3")*INDEX(Dati!$AQ$1:$CD$1000,MATCH($A21,Dati!$A$1:$A$1000,0),0)*INDEX(Dati!$DS$1:$FF$1000,MATCH($A21,Dati!$A$1:$A$1000,0),0))/SUMPRODUCT((Dati!$AQ$3:$CD$3="4.3")*INDEX(Dati!$DS$1:$FF$1000,MATCH($A21,Dati!$A$1:$A$1000,0),0)),2),""))</f>
        <v/>
      </c>
      <c r="AR21" s="13" t="str">
        <f aca="false">IF($B21="","",IFERROR(SUMPRODUCT((Dati!$AQ$4:$CD$4="A")*(INDEX(Dati!$DS$1:$FF$1000,MATCH($A21,Dati!$A$1:$A$1000,0),0)&gt;0)),0))</f>
        <v/>
      </c>
      <c r="AS21" s="13" t="str">
        <f aca="false">IF($B21="","",IFERROR(ROUND(SUMPRODUCT((Dati!$AQ$4:$CD$4="A")*INDEX(Dati!$AQ$1:$CD$1000,MATCH($A21,Dati!$A$1:$A$1000,0),0)*INDEX(Dati!$DS$1:$FF$1000,MATCH($A21,Dati!$A$1:$A$1000,0),0))/SUMPRODUCT((Dati!$AQ$4:$CD$4="A")*INDEX(Dati!$DS$1:$FF$1000,MATCH($A21,Dati!$A$1:$A$1000,0),0)),2),""))</f>
        <v/>
      </c>
      <c r="AT21" s="13" t="str">
        <f aca="false">IF(AS21="","",IF(ISNUMBER(BH21),ROUND(Impostazioni!$B$12*AS21+Impostazioni!$B$13*BH21,2),AS21))</f>
        <v/>
      </c>
      <c r="AU21" s="51" t="str">
        <f aca="false">IF(AT21="","",LOOKUP(AT21,Impostazioni!$E$4:$E$9,Impostazioni!$F$4:$F$9))</f>
        <v/>
      </c>
      <c r="AV21" s="52"/>
      <c r="AW21" s="13" t="str">
        <f aca="false">IF($B21="","",IFERROR(SUMPRODUCT((Dati!$AQ$4:$CD$4="B")*(INDEX(Dati!$DS$1:$FF$1000,MATCH($A21,Dati!$A$1:$A$1000,0),0)&gt;0)),0))</f>
        <v/>
      </c>
      <c r="AX21" s="13" t="str">
        <f aca="false">IF($B21="","",IFERROR(ROUND(SUMPRODUCT((Dati!$AQ$4:$CD$4="B")*INDEX(Dati!$AQ$1:$CD$1000,MATCH($A21,Dati!$A$1:$A$1000,0),0)*INDEX(Dati!$DS$1:$FF$1000,MATCH($A21,Dati!$A$1:$A$1000,0),0))/SUMPRODUCT((Dati!$AQ$4:$CD$4="B")*INDEX(Dati!$DS$1:$FF$1000,MATCH($A21,Dati!$A$1:$A$1000,0),0)),2),""))</f>
        <v/>
      </c>
      <c r="AY21" s="13" t="str">
        <f aca="false">IF(AX21="","",IF(ISNUMBER(BH21),ROUND(Impostazioni!$B$12*AX21+Impostazioni!$B$13*BH21,2),AX21))</f>
        <v/>
      </c>
      <c r="AZ21" s="51" t="str">
        <f aca="false">IF(AY21="","",LOOKUP(AY21,Impostazioni!$E$4:$E$9,Impostazioni!$F$4:$F$9))</f>
        <v/>
      </c>
      <c r="BA21" s="52"/>
      <c r="BB21" s="13" t="str">
        <f aca="false">IF($B21="","",IFERROR(ROUND(SUMPRODUCT((Dati!$AQ$4:$CD$4="TEC")*INDEX(Dati!$AQ$1:$CD$1000,MATCH($A21,Dati!$A$1:$A$1000,0),0)*INDEX(Dati!$DS$1:$FF$1000,MATCH($A21,Dati!$A$1:$A$1000,0),0))/SUMPRODUCT((Dati!$AQ$4:$CD$4="TEC")*INDEX(Dati!$DS$1:$FF$1000,MATCH($A21,Dati!$A$1:$A$1000,0),0)),2),""))</f>
        <v/>
      </c>
      <c r="BC21" s="51" t="str">
        <f aca="false">IF(BB21="","",LOOKUP(BB21,Impostazioni!$E$4:$E$9,Impostazioni!$F$4:$F$9))</f>
        <v/>
      </c>
      <c r="BD21" s="52"/>
      <c r="BE21" s="13" t="str">
        <f aca="false">IF($B21="","",IFERROR(ROUND(SUMPRODUCT((Dati!$AQ$4:$CD$4="CIV")*INDEX(Dati!$AQ$1:$CD$1000,MATCH($A21,Dati!$A$1:$A$1000,0),0)*INDEX(Dati!$DS$1:$FF$1000,MATCH($A21,Dati!$A$1:$A$1000,0),0))/SUMPRODUCT((Dati!$AQ$4:$CD$4="CIV")*INDEX(Dati!$DS$1:$FF$1000,MATCH($A21,Dati!$A$1:$A$1000,0),0)),2),""))</f>
        <v/>
      </c>
      <c r="BF21" s="51" t="str">
        <f aca="false">IF(BE21="","",LOOKUP(BE21,Impostazioni!$E$4:$E$9,Impostazioni!$F$4:$F$9))</f>
        <v/>
      </c>
      <c r="BG21" s="52"/>
      <c r="BH21" s="52"/>
      <c r="BI21" s="13" t="str">
        <f aca="false">IF($B21="","",IFERROR(SUM(INDEX(Dati!$FQ$1:$FZ$1000,MATCH($A21,Dati!$A$1:$A$1000,0),0)),0))</f>
        <v/>
      </c>
      <c r="BJ21" s="16" t="str">
        <f aca="false">IF($B21="","",IF($C21="ES","Esonerato: concordare con referente e dirigente",IF($C21="Ritirato","Ritirato",TRIM(IF(OR(N(AR21)&lt;Impostazioni!$B$14,N(AW21)&lt;Impostazioni!$B$14),"Pochi voti: valutazione alternativa (scritta/orale). ","")&amp;IF(N(BI21)&gt;0,"Da recuperare: "&amp;BI21&amp;". ","")&amp;IF($D21="OP","Riferito agli obiettivi personalizzati.","")))))</f>
        <v/>
      </c>
      <c r="BK21" s="31" t="str">
        <f aca="false">IF($B21="","",IF($C21="ES","ES",IF(AV21&lt;&gt;"",AV21,AU21)))</f>
        <v/>
      </c>
      <c r="BL21" s="31" t="str">
        <f aca="false">IF($B21="","",IF($C21="ES","ES",IF(BA21&lt;&gt;"",BA21,AZ21)))</f>
        <v/>
      </c>
      <c r="BM21" s="31" t="str">
        <f aca="false">IF($B21="","",IF($C21="ES","ES",IF(BD21&lt;&gt;"",BD21,BC21)))</f>
        <v/>
      </c>
      <c r="BN21" s="31" t="str">
        <f aca="false">IF($B21="","",IF($C21="ES","ES",IF(BG21&lt;&gt;"",BG21,BF21)))</f>
        <v/>
      </c>
      <c r="BO21" s="14"/>
    </row>
    <row r="22" customFormat="false" ht="21" hidden="false" customHeight="true" outlineLevel="0" collapsed="false">
      <c r="A22" s="10" t="n">
        <v>15</v>
      </c>
      <c r="B22" s="16" t="str">
        <f aca="false">IFERROR(INDEX(Alunni!$C$1:$C$1000,MATCH($A22,Alunni!$A$1:$A$1000,0))&amp;"","")</f>
        <v/>
      </c>
      <c r="C22" s="13" t="str">
        <f aca="false">IFERROR(INDEX(Alunni!$D$1:$D$1000,MATCH($A22,Alunni!$A$1:$A$1000,0))&amp;"","")</f>
        <v/>
      </c>
      <c r="D22" s="13" t="str">
        <f aca="false">IFERROR(INDEX(Alunni!$E$1:$E$1000,MATCH($A22,Alunni!$A$1:$A$1000,0))&amp;"","")</f>
        <v/>
      </c>
      <c r="E22" s="13" t="str">
        <f aca="false">IF($B22="","",IFERROR(ROUND(SUMPRODUCT((Dati!$C$3:$AP$3="1.1")*INDEX(Dati!$C$1:$AP$1000,MATCH($A22,Dati!$A$1:$A$1000,0),0)*INDEX(Dati!$CE$1:$DR$1000,MATCH($A22,Dati!$A$1:$A$1000,0),0))/SUMPRODUCT((Dati!$C$3:$AP$3="1.1")*INDEX(Dati!$CE$1:$DR$1000,MATCH($A22,Dati!$A$1:$A$1000,0),0)),2),""))</f>
        <v/>
      </c>
      <c r="F22" s="13" t="str">
        <f aca="false">IF($B22="","",IFERROR(ROUND(SUMPRODUCT((Dati!$C$3:$AP$3="2.1")*INDEX(Dati!$C$1:$AP$1000,MATCH($A22,Dati!$A$1:$A$1000,0),0)*INDEX(Dati!$CE$1:$DR$1000,MATCH($A22,Dati!$A$1:$A$1000,0),0))/SUMPRODUCT((Dati!$C$3:$AP$3="2.1")*INDEX(Dati!$CE$1:$DR$1000,MATCH($A22,Dati!$A$1:$A$1000,0),0)),2),""))</f>
        <v/>
      </c>
      <c r="G22" s="13" t="str">
        <f aca="false">IF($B22="","",IFERROR(ROUND(SUMPRODUCT((Dati!$C$3:$AP$3="3.1")*INDEX(Dati!$C$1:$AP$1000,MATCH($A22,Dati!$A$1:$A$1000,0),0)*INDEX(Dati!$CE$1:$DR$1000,MATCH($A22,Dati!$A$1:$A$1000,0),0))/SUMPRODUCT((Dati!$C$3:$AP$3="3.1")*INDEX(Dati!$CE$1:$DR$1000,MATCH($A22,Dati!$A$1:$A$1000,0),0)),2),""))</f>
        <v/>
      </c>
      <c r="H22" s="13" t="str">
        <f aca="false">IF($B22="","",IFERROR(ROUND(SUMPRODUCT((Dati!$C$3:$AP$3="3.2")*INDEX(Dati!$C$1:$AP$1000,MATCH($A22,Dati!$A$1:$A$1000,0),0)*INDEX(Dati!$CE$1:$DR$1000,MATCH($A22,Dati!$A$1:$A$1000,0),0))/SUMPRODUCT((Dati!$C$3:$AP$3="3.2")*INDEX(Dati!$CE$1:$DR$1000,MATCH($A22,Dati!$A$1:$A$1000,0),0)),2),""))</f>
        <v/>
      </c>
      <c r="I22" s="13" t="str">
        <f aca="false">IF($B22="","",IFERROR(ROUND(SUMPRODUCT((Dati!$C$3:$AP$3="3.3")*INDEX(Dati!$C$1:$AP$1000,MATCH($A22,Dati!$A$1:$A$1000,0),0)*INDEX(Dati!$CE$1:$DR$1000,MATCH($A22,Dati!$A$1:$A$1000,0),0))/SUMPRODUCT((Dati!$C$3:$AP$3="3.3")*INDEX(Dati!$CE$1:$DR$1000,MATCH($A22,Dati!$A$1:$A$1000,0),0)),2),""))</f>
        <v/>
      </c>
      <c r="J22" s="13" t="str">
        <f aca="false">IF($B22="","",IFERROR(ROUND(SUMPRODUCT((Dati!$C$3:$AP$3="4.1")*INDEX(Dati!$C$1:$AP$1000,MATCH($A22,Dati!$A$1:$A$1000,0),0)*INDEX(Dati!$CE$1:$DR$1000,MATCH($A22,Dati!$A$1:$A$1000,0),0))/SUMPRODUCT((Dati!$C$3:$AP$3="4.1")*INDEX(Dati!$CE$1:$DR$1000,MATCH($A22,Dati!$A$1:$A$1000,0),0)),2),""))</f>
        <v/>
      </c>
      <c r="K22" s="13" t="str">
        <f aca="false">IF($B22="","",IFERROR(ROUND(SUMPRODUCT((Dati!$C$3:$AP$3="4.2")*INDEX(Dati!$C$1:$AP$1000,MATCH($A22,Dati!$A$1:$A$1000,0),0)*INDEX(Dati!$CE$1:$DR$1000,MATCH($A22,Dati!$A$1:$A$1000,0),0))/SUMPRODUCT((Dati!$C$3:$AP$3="4.2")*INDEX(Dati!$CE$1:$DR$1000,MATCH($A22,Dati!$A$1:$A$1000,0),0)),2),""))</f>
        <v/>
      </c>
      <c r="L22" s="13" t="str">
        <f aca="false">IF($B22="","",IFERROR(ROUND(SUMPRODUCT((Dati!$C$3:$AP$3="4.3")*INDEX(Dati!$C$1:$AP$1000,MATCH($A22,Dati!$A$1:$A$1000,0),0)*INDEX(Dati!$CE$1:$DR$1000,MATCH($A22,Dati!$A$1:$A$1000,0),0))/SUMPRODUCT((Dati!$C$3:$AP$3="4.3")*INDEX(Dati!$CE$1:$DR$1000,MATCH($A22,Dati!$A$1:$A$1000,0),0)),2),""))</f>
        <v/>
      </c>
      <c r="M22" s="13" t="str">
        <f aca="false">IF($B22="","",IFERROR(SUMPRODUCT((Dati!$C$4:$AP$4="A")*(INDEX(Dati!$CE$1:$DR$1000,MATCH($A22,Dati!$A$1:$A$1000,0),0)&gt;0)),0))</f>
        <v/>
      </c>
      <c r="N22" s="13" t="str">
        <f aca="false">IF($B22="","",IFERROR(ROUND(SUMPRODUCT((Dati!$C$4:$AP$4="A")*INDEX(Dati!$C$1:$AP$1000,MATCH($A22,Dati!$A$1:$A$1000,0),0)*INDEX(Dati!$CE$1:$DR$1000,MATCH($A22,Dati!$A$1:$A$1000,0),0))/SUMPRODUCT((Dati!$C$4:$AP$4="A")*INDEX(Dati!$CE$1:$DR$1000,MATCH($A22,Dati!$A$1:$A$1000,0),0)),2),""))</f>
        <v/>
      </c>
      <c r="O22" s="13" t="str">
        <f aca="false">IF(N22="","",IF(ISNUMBER(AC22),ROUND(Impostazioni!$B$12*N22+Impostazioni!$B$13*AC22,2),N22))</f>
        <v/>
      </c>
      <c r="P22" s="51" t="str">
        <f aca="false">IF(O22="","",LOOKUP(O22,Impostazioni!$E$4:$E$9,Impostazioni!$F$4:$F$9))</f>
        <v/>
      </c>
      <c r="Q22" s="52"/>
      <c r="R22" s="13" t="str">
        <f aca="false">IF($B22="","",IFERROR(SUMPRODUCT((Dati!$C$4:$AP$4="B")*(INDEX(Dati!$CE$1:$DR$1000,MATCH($A22,Dati!$A$1:$A$1000,0),0)&gt;0)),0))</f>
        <v/>
      </c>
      <c r="S22" s="13" t="str">
        <f aca="false">IF($B22="","",IFERROR(ROUND(SUMPRODUCT((Dati!$C$4:$AP$4="B")*INDEX(Dati!$C$1:$AP$1000,MATCH($A22,Dati!$A$1:$A$1000,0),0)*INDEX(Dati!$CE$1:$DR$1000,MATCH($A22,Dati!$A$1:$A$1000,0),0))/SUMPRODUCT((Dati!$C$4:$AP$4="B")*INDEX(Dati!$CE$1:$DR$1000,MATCH($A22,Dati!$A$1:$A$1000,0),0)),2),""))</f>
        <v/>
      </c>
      <c r="T22" s="13" t="str">
        <f aca="false">IF(S22="","",IF(ISNUMBER(AC22),ROUND(Impostazioni!$B$12*S22+Impostazioni!$B$13*AC22,2),S22))</f>
        <v/>
      </c>
      <c r="U22" s="51" t="str">
        <f aca="false">IF(T22="","",LOOKUP(T22,Impostazioni!$E$4:$E$9,Impostazioni!$F$4:$F$9))</f>
        <v/>
      </c>
      <c r="V22" s="52"/>
      <c r="W22" s="13" t="str">
        <f aca="false">IF($B22="","",IFERROR(ROUND(SUMPRODUCT((Dati!$C$4:$AP$4="TEC")*INDEX(Dati!$C$1:$AP$1000,MATCH($A22,Dati!$A$1:$A$1000,0),0)*INDEX(Dati!$CE$1:$DR$1000,MATCH($A22,Dati!$A$1:$A$1000,0),0))/SUMPRODUCT((Dati!$C$4:$AP$4="TEC")*INDEX(Dati!$CE$1:$DR$1000,MATCH($A22,Dati!$A$1:$A$1000,0),0)),2),""))</f>
        <v/>
      </c>
      <c r="X22" s="51" t="str">
        <f aca="false">IF(W22="","",LOOKUP(W22,Impostazioni!$E$4:$E$9,Impostazioni!$F$4:$F$9))</f>
        <v/>
      </c>
      <c r="Y22" s="52"/>
      <c r="Z22" s="13" t="str">
        <f aca="false">IF($B22="","",IFERROR(ROUND(SUMPRODUCT((Dati!$C$4:$AP$4="CIV")*INDEX(Dati!$C$1:$AP$1000,MATCH($A22,Dati!$A$1:$A$1000,0),0)*INDEX(Dati!$CE$1:$DR$1000,MATCH($A22,Dati!$A$1:$A$1000,0),0))/SUMPRODUCT((Dati!$C$4:$AP$4="CIV")*INDEX(Dati!$CE$1:$DR$1000,MATCH($A22,Dati!$A$1:$A$1000,0),0)),2),""))</f>
        <v/>
      </c>
      <c r="AA22" s="51" t="str">
        <f aca="false">IF(Z22="","",LOOKUP(Z22,Impostazioni!$E$4:$E$9,Impostazioni!$F$4:$F$9))</f>
        <v/>
      </c>
      <c r="AB22" s="52"/>
      <c r="AC22" s="52"/>
      <c r="AD22" s="13" t="str">
        <f aca="false">IF($B22="","",IFERROR(SUM(INDEX(Dati!$FG$1:$FP$1000,MATCH($A22,Dati!$A$1:$A$1000,0),0)),0))</f>
        <v/>
      </c>
      <c r="AE22" s="16" t="str">
        <f aca="false">IF($B22="","",IF($C22="ES","Esonerato: concordare con referente e dirigente",IF($C22="Ritirato","Ritirato",TRIM(IF(OR(N(M22)&lt;Impostazioni!$B$14,N(R22)&lt;Impostazioni!$B$14),"Pochi voti: valutazione alternativa (scritta/orale). ","")&amp;IF(N(AD22)&gt;0,"Da recuperare: "&amp;AD22&amp;". ","")&amp;IF($D22="OP","Riferito agli obiettivi personalizzati.","")))))</f>
        <v/>
      </c>
      <c r="AF22" s="31" t="str">
        <f aca="false">IF($B22="","",IF($C22="ES","ES",IF(Q22&lt;&gt;"",Q22,P22)))</f>
        <v/>
      </c>
      <c r="AG22" s="31" t="str">
        <f aca="false">IF($B22="","",IF($C22="ES","ES",IF(V22&lt;&gt;"",V22,U22)))</f>
        <v/>
      </c>
      <c r="AH22" s="31" t="str">
        <f aca="false">IF($B22="","",IF($C22="ES","ES",IF(Y22&lt;&gt;"",Y22,X22)))</f>
        <v/>
      </c>
      <c r="AI22" s="31" t="str">
        <f aca="false">IF($B22="","",IF($C22="ES","ES",IF(AB22&lt;&gt;"",AB22,AA22)))</f>
        <v/>
      </c>
      <c r="AJ22" s="13" t="str">
        <f aca="false">IF($B22="","",IFERROR(ROUND(SUMPRODUCT((Dati!$AQ$3:$CD$3="1.1")*INDEX(Dati!$AQ$1:$CD$1000,MATCH($A22,Dati!$A$1:$A$1000,0),0)*INDEX(Dati!$DS$1:$FF$1000,MATCH($A22,Dati!$A$1:$A$1000,0),0))/SUMPRODUCT((Dati!$AQ$3:$CD$3="1.1")*INDEX(Dati!$DS$1:$FF$1000,MATCH($A22,Dati!$A$1:$A$1000,0),0)),2),""))</f>
        <v/>
      </c>
      <c r="AK22" s="13" t="str">
        <f aca="false">IF($B22="","",IFERROR(ROUND(SUMPRODUCT((Dati!$AQ$3:$CD$3="2.1")*INDEX(Dati!$AQ$1:$CD$1000,MATCH($A22,Dati!$A$1:$A$1000,0),0)*INDEX(Dati!$DS$1:$FF$1000,MATCH($A22,Dati!$A$1:$A$1000,0),0))/SUMPRODUCT((Dati!$AQ$3:$CD$3="2.1")*INDEX(Dati!$DS$1:$FF$1000,MATCH($A22,Dati!$A$1:$A$1000,0),0)),2),""))</f>
        <v/>
      </c>
      <c r="AL22" s="13" t="str">
        <f aca="false">IF($B22="","",IFERROR(ROUND(SUMPRODUCT((Dati!$AQ$3:$CD$3="3.1")*INDEX(Dati!$AQ$1:$CD$1000,MATCH($A22,Dati!$A$1:$A$1000,0),0)*INDEX(Dati!$DS$1:$FF$1000,MATCH($A22,Dati!$A$1:$A$1000,0),0))/SUMPRODUCT((Dati!$AQ$3:$CD$3="3.1")*INDEX(Dati!$DS$1:$FF$1000,MATCH($A22,Dati!$A$1:$A$1000,0),0)),2),""))</f>
        <v/>
      </c>
      <c r="AM22" s="13" t="str">
        <f aca="false">IF($B22="","",IFERROR(ROUND(SUMPRODUCT((Dati!$AQ$3:$CD$3="3.2")*INDEX(Dati!$AQ$1:$CD$1000,MATCH($A22,Dati!$A$1:$A$1000,0),0)*INDEX(Dati!$DS$1:$FF$1000,MATCH($A22,Dati!$A$1:$A$1000,0),0))/SUMPRODUCT((Dati!$AQ$3:$CD$3="3.2")*INDEX(Dati!$DS$1:$FF$1000,MATCH($A22,Dati!$A$1:$A$1000,0),0)),2),""))</f>
        <v/>
      </c>
      <c r="AN22" s="13" t="str">
        <f aca="false">IF($B22="","",IFERROR(ROUND(SUMPRODUCT((Dati!$AQ$3:$CD$3="3.3")*INDEX(Dati!$AQ$1:$CD$1000,MATCH($A22,Dati!$A$1:$A$1000,0),0)*INDEX(Dati!$DS$1:$FF$1000,MATCH($A22,Dati!$A$1:$A$1000,0),0))/SUMPRODUCT((Dati!$AQ$3:$CD$3="3.3")*INDEX(Dati!$DS$1:$FF$1000,MATCH($A22,Dati!$A$1:$A$1000,0),0)),2),""))</f>
        <v/>
      </c>
      <c r="AO22" s="13" t="str">
        <f aca="false">IF($B22="","",IFERROR(ROUND(SUMPRODUCT((Dati!$AQ$3:$CD$3="4.1")*INDEX(Dati!$AQ$1:$CD$1000,MATCH($A22,Dati!$A$1:$A$1000,0),0)*INDEX(Dati!$DS$1:$FF$1000,MATCH($A22,Dati!$A$1:$A$1000,0),0))/SUMPRODUCT((Dati!$AQ$3:$CD$3="4.1")*INDEX(Dati!$DS$1:$FF$1000,MATCH($A22,Dati!$A$1:$A$1000,0),0)),2),""))</f>
        <v/>
      </c>
      <c r="AP22" s="13" t="str">
        <f aca="false">IF($B22="","",IFERROR(ROUND(SUMPRODUCT((Dati!$AQ$3:$CD$3="4.2")*INDEX(Dati!$AQ$1:$CD$1000,MATCH($A22,Dati!$A$1:$A$1000,0),0)*INDEX(Dati!$DS$1:$FF$1000,MATCH($A22,Dati!$A$1:$A$1000,0),0))/SUMPRODUCT((Dati!$AQ$3:$CD$3="4.2")*INDEX(Dati!$DS$1:$FF$1000,MATCH($A22,Dati!$A$1:$A$1000,0),0)),2),""))</f>
        <v/>
      </c>
      <c r="AQ22" s="13" t="str">
        <f aca="false">IF($B22="","",IFERROR(ROUND(SUMPRODUCT((Dati!$AQ$3:$CD$3="4.3")*INDEX(Dati!$AQ$1:$CD$1000,MATCH($A22,Dati!$A$1:$A$1000,0),0)*INDEX(Dati!$DS$1:$FF$1000,MATCH($A22,Dati!$A$1:$A$1000,0),0))/SUMPRODUCT((Dati!$AQ$3:$CD$3="4.3")*INDEX(Dati!$DS$1:$FF$1000,MATCH($A22,Dati!$A$1:$A$1000,0),0)),2),""))</f>
        <v/>
      </c>
      <c r="AR22" s="13" t="str">
        <f aca="false">IF($B22="","",IFERROR(SUMPRODUCT((Dati!$AQ$4:$CD$4="A")*(INDEX(Dati!$DS$1:$FF$1000,MATCH($A22,Dati!$A$1:$A$1000,0),0)&gt;0)),0))</f>
        <v/>
      </c>
      <c r="AS22" s="13" t="str">
        <f aca="false">IF($B22="","",IFERROR(ROUND(SUMPRODUCT((Dati!$AQ$4:$CD$4="A")*INDEX(Dati!$AQ$1:$CD$1000,MATCH($A22,Dati!$A$1:$A$1000,0),0)*INDEX(Dati!$DS$1:$FF$1000,MATCH($A22,Dati!$A$1:$A$1000,0),0))/SUMPRODUCT((Dati!$AQ$4:$CD$4="A")*INDEX(Dati!$DS$1:$FF$1000,MATCH($A22,Dati!$A$1:$A$1000,0),0)),2),""))</f>
        <v/>
      </c>
      <c r="AT22" s="13" t="str">
        <f aca="false">IF(AS22="","",IF(ISNUMBER(BH22),ROUND(Impostazioni!$B$12*AS22+Impostazioni!$B$13*BH22,2),AS22))</f>
        <v/>
      </c>
      <c r="AU22" s="51" t="str">
        <f aca="false">IF(AT22="","",LOOKUP(AT22,Impostazioni!$E$4:$E$9,Impostazioni!$F$4:$F$9))</f>
        <v/>
      </c>
      <c r="AV22" s="52"/>
      <c r="AW22" s="13" t="str">
        <f aca="false">IF($B22="","",IFERROR(SUMPRODUCT((Dati!$AQ$4:$CD$4="B")*(INDEX(Dati!$DS$1:$FF$1000,MATCH($A22,Dati!$A$1:$A$1000,0),0)&gt;0)),0))</f>
        <v/>
      </c>
      <c r="AX22" s="13" t="str">
        <f aca="false">IF($B22="","",IFERROR(ROUND(SUMPRODUCT((Dati!$AQ$4:$CD$4="B")*INDEX(Dati!$AQ$1:$CD$1000,MATCH($A22,Dati!$A$1:$A$1000,0),0)*INDEX(Dati!$DS$1:$FF$1000,MATCH($A22,Dati!$A$1:$A$1000,0),0))/SUMPRODUCT((Dati!$AQ$4:$CD$4="B")*INDEX(Dati!$DS$1:$FF$1000,MATCH($A22,Dati!$A$1:$A$1000,0),0)),2),""))</f>
        <v/>
      </c>
      <c r="AY22" s="13" t="str">
        <f aca="false">IF(AX22="","",IF(ISNUMBER(BH22),ROUND(Impostazioni!$B$12*AX22+Impostazioni!$B$13*BH22,2),AX22))</f>
        <v/>
      </c>
      <c r="AZ22" s="51" t="str">
        <f aca="false">IF(AY22="","",LOOKUP(AY22,Impostazioni!$E$4:$E$9,Impostazioni!$F$4:$F$9))</f>
        <v/>
      </c>
      <c r="BA22" s="52"/>
      <c r="BB22" s="13" t="str">
        <f aca="false">IF($B22="","",IFERROR(ROUND(SUMPRODUCT((Dati!$AQ$4:$CD$4="TEC")*INDEX(Dati!$AQ$1:$CD$1000,MATCH($A22,Dati!$A$1:$A$1000,0),0)*INDEX(Dati!$DS$1:$FF$1000,MATCH($A22,Dati!$A$1:$A$1000,0),0))/SUMPRODUCT((Dati!$AQ$4:$CD$4="TEC")*INDEX(Dati!$DS$1:$FF$1000,MATCH($A22,Dati!$A$1:$A$1000,0),0)),2),""))</f>
        <v/>
      </c>
      <c r="BC22" s="51" t="str">
        <f aca="false">IF(BB22="","",LOOKUP(BB22,Impostazioni!$E$4:$E$9,Impostazioni!$F$4:$F$9))</f>
        <v/>
      </c>
      <c r="BD22" s="52"/>
      <c r="BE22" s="13" t="str">
        <f aca="false">IF($B22="","",IFERROR(ROUND(SUMPRODUCT((Dati!$AQ$4:$CD$4="CIV")*INDEX(Dati!$AQ$1:$CD$1000,MATCH($A22,Dati!$A$1:$A$1000,0),0)*INDEX(Dati!$DS$1:$FF$1000,MATCH($A22,Dati!$A$1:$A$1000,0),0))/SUMPRODUCT((Dati!$AQ$4:$CD$4="CIV")*INDEX(Dati!$DS$1:$FF$1000,MATCH($A22,Dati!$A$1:$A$1000,0),0)),2),""))</f>
        <v/>
      </c>
      <c r="BF22" s="51" t="str">
        <f aca="false">IF(BE22="","",LOOKUP(BE22,Impostazioni!$E$4:$E$9,Impostazioni!$F$4:$F$9))</f>
        <v/>
      </c>
      <c r="BG22" s="52"/>
      <c r="BH22" s="52"/>
      <c r="BI22" s="13" t="str">
        <f aca="false">IF($B22="","",IFERROR(SUM(INDEX(Dati!$FQ$1:$FZ$1000,MATCH($A22,Dati!$A$1:$A$1000,0),0)),0))</f>
        <v/>
      </c>
      <c r="BJ22" s="16" t="str">
        <f aca="false">IF($B22="","",IF($C22="ES","Esonerato: concordare con referente e dirigente",IF($C22="Ritirato","Ritirato",TRIM(IF(OR(N(AR22)&lt;Impostazioni!$B$14,N(AW22)&lt;Impostazioni!$B$14),"Pochi voti: valutazione alternativa (scritta/orale). ","")&amp;IF(N(BI22)&gt;0,"Da recuperare: "&amp;BI22&amp;". ","")&amp;IF($D22="OP","Riferito agli obiettivi personalizzati.","")))))</f>
        <v/>
      </c>
      <c r="BK22" s="31" t="str">
        <f aca="false">IF($B22="","",IF($C22="ES","ES",IF(AV22&lt;&gt;"",AV22,AU22)))</f>
        <v/>
      </c>
      <c r="BL22" s="31" t="str">
        <f aca="false">IF($B22="","",IF($C22="ES","ES",IF(BA22&lt;&gt;"",BA22,AZ22)))</f>
        <v/>
      </c>
      <c r="BM22" s="31" t="str">
        <f aca="false">IF($B22="","",IF($C22="ES","ES",IF(BD22&lt;&gt;"",BD22,BC22)))</f>
        <v/>
      </c>
      <c r="BN22" s="31" t="str">
        <f aca="false">IF($B22="","",IF($C22="ES","ES",IF(BG22&lt;&gt;"",BG22,BF22)))</f>
        <v/>
      </c>
      <c r="BO22" s="14"/>
    </row>
    <row r="23" customFormat="false" ht="21" hidden="false" customHeight="true" outlineLevel="0" collapsed="false">
      <c r="A23" s="10" t="n">
        <v>16</v>
      </c>
      <c r="B23" s="16" t="str">
        <f aca="false">IFERROR(INDEX(Alunni!$C$1:$C$1000,MATCH($A23,Alunni!$A$1:$A$1000,0))&amp;"","")</f>
        <v/>
      </c>
      <c r="C23" s="13" t="str">
        <f aca="false">IFERROR(INDEX(Alunni!$D$1:$D$1000,MATCH($A23,Alunni!$A$1:$A$1000,0))&amp;"","")</f>
        <v/>
      </c>
      <c r="D23" s="13" t="str">
        <f aca="false">IFERROR(INDEX(Alunni!$E$1:$E$1000,MATCH($A23,Alunni!$A$1:$A$1000,0))&amp;"","")</f>
        <v/>
      </c>
      <c r="E23" s="13" t="str">
        <f aca="false">IF($B23="","",IFERROR(ROUND(SUMPRODUCT((Dati!$C$3:$AP$3="1.1")*INDEX(Dati!$C$1:$AP$1000,MATCH($A23,Dati!$A$1:$A$1000,0),0)*INDEX(Dati!$CE$1:$DR$1000,MATCH($A23,Dati!$A$1:$A$1000,0),0))/SUMPRODUCT((Dati!$C$3:$AP$3="1.1")*INDEX(Dati!$CE$1:$DR$1000,MATCH($A23,Dati!$A$1:$A$1000,0),0)),2),""))</f>
        <v/>
      </c>
      <c r="F23" s="13" t="str">
        <f aca="false">IF($B23="","",IFERROR(ROUND(SUMPRODUCT((Dati!$C$3:$AP$3="2.1")*INDEX(Dati!$C$1:$AP$1000,MATCH($A23,Dati!$A$1:$A$1000,0),0)*INDEX(Dati!$CE$1:$DR$1000,MATCH($A23,Dati!$A$1:$A$1000,0),0))/SUMPRODUCT((Dati!$C$3:$AP$3="2.1")*INDEX(Dati!$CE$1:$DR$1000,MATCH($A23,Dati!$A$1:$A$1000,0),0)),2),""))</f>
        <v/>
      </c>
      <c r="G23" s="13" t="str">
        <f aca="false">IF($B23="","",IFERROR(ROUND(SUMPRODUCT((Dati!$C$3:$AP$3="3.1")*INDEX(Dati!$C$1:$AP$1000,MATCH($A23,Dati!$A$1:$A$1000,0),0)*INDEX(Dati!$CE$1:$DR$1000,MATCH($A23,Dati!$A$1:$A$1000,0),0))/SUMPRODUCT((Dati!$C$3:$AP$3="3.1")*INDEX(Dati!$CE$1:$DR$1000,MATCH($A23,Dati!$A$1:$A$1000,0),0)),2),""))</f>
        <v/>
      </c>
      <c r="H23" s="13" t="str">
        <f aca="false">IF($B23="","",IFERROR(ROUND(SUMPRODUCT((Dati!$C$3:$AP$3="3.2")*INDEX(Dati!$C$1:$AP$1000,MATCH($A23,Dati!$A$1:$A$1000,0),0)*INDEX(Dati!$CE$1:$DR$1000,MATCH($A23,Dati!$A$1:$A$1000,0),0))/SUMPRODUCT((Dati!$C$3:$AP$3="3.2")*INDEX(Dati!$CE$1:$DR$1000,MATCH($A23,Dati!$A$1:$A$1000,0),0)),2),""))</f>
        <v/>
      </c>
      <c r="I23" s="13" t="str">
        <f aca="false">IF($B23="","",IFERROR(ROUND(SUMPRODUCT((Dati!$C$3:$AP$3="3.3")*INDEX(Dati!$C$1:$AP$1000,MATCH($A23,Dati!$A$1:$A$1000,0),0)*INDEX(Dati!$CE$1:$DR$1000,MATCH($A23,Dati!$A$1:$A$1000,0),0))/SUMPRODUCT((Dati!$C$3:$AP$3="3.3")*INDEX(Dati!$CE$1:$DR$1000,MATCH($A23,Dati!$A$1:$A$1000,0),0)),2),""))</f>
        <v/>
      </c>
      <c r="J23" s="13" t="str">
        <f aca="false">IF($B23="","",IFERROR(ROUND(SUMPRODUCT((Dati!$C$3:$AP$3="4.1")*INDEX(Dati!$C$1:$AP$1000,MATCH($A23,Dati!$A$1:$A$1000,0),0)*INDEX(Dati!$CE$1:$DR$1000,MATCH($A23,Dati!$A$1:$A$1000,0),0))/SUMPRODUCT((Dati!$C$3:$AP$3="4.1")*INDEX(Dati!$CE$1:$DR$1000,MATCH($A23,Dati!$A$1:$A$1000,0),0)),2),""))</f>
        <v/>
      </c>
      <c r="K23" s="13" t="str">
        <f aca="false">IF($B23="","",IFERROR(ROUND(SUMPRODUCT((Dati!$C$3:$AP$3="4.2")*INDEX(Dati!$C$1:$AP$1000,MATCH($A23,Dati!$A$1:$A$1000,0),0)*INDEX(Dati!$CE$1:$DR$1000,MATCH($A23,Dati!$A$1:$A$1000,0),0))/SUMPRODUCT((Dati!$C$3:$AP$3="4.2")*INDEX(Dati!$CE$1:$DR$1000,MATCH($A23,Dati!$A$1:$A$1000,0),0)),2),""))</f>
        <v/>
      </c>
      <c r="L23" s="13" t="str">
        <f aca="false">IF($B23="","",IFERROR(ROUND(SUMPRODUCT((Dati!$C$3:$AP$3="4.3")*INDEX(Dati!$C$1:$AP$1000,MATCH($A23,Dati!$A$1:$A$1000,0),0)*INDEX(Dati!$CE$1:$DR$1000,MATCH($A23,Dati!$A$1:$A$1000,0),0))/SUMPRODUCT((Dati!$C$3:$AP$3="4.3")*INDEX(Dati!$CE$1:$DR$1000,MATCH($A23,Dati!$A$1:$A$1000,0),0)),2),""))</f>
        <v/>
      </c>
      <c r="M23" s="13" t="str">
        <f aca="false">IF($B23="","",IFERROR(SUMPRODUCT((Dati!$C$4:$AP$4="A")*(INDEX(Dati!$CE$1:$DR$1000,MATCH($A23,Dati!$A$1:$A$1000,0),0)&gt;0)),0))</f>
        <v/>
      </c>
      <c r="N23" s="13" t="str">
        <f aca="false">IF($B23="","",IFERROR(ROUND(SUMPRODUCT((Dati!$C$4:$AP$4="A")*INDEX(Dati!$C$1:$AP$1000,MATCH($A23,Dati!$A$1:$A$1000,0),0)*INDEX(Dati!$CE$1:$DR$1000,MATCH($A23,Dati!$A$1:$A$1000,0),0))/SUMPRODUCT((Dati!$C$4:$AP$4="A")*INDEX(Dati!$CE$1:$DR$1000,MATCH($A23,Dati!$A$1:$A$1000,0),0)),2),""))</f>
        <v/>
      </c>
      <c r="O23" s="13" t="str">
        <f aca="false">IF(N23="","",IF(ISNUMBER(AC23),ROUND(Impostazioni!$B$12*N23+Impostazioni!$B$13*AC23,2),N23))</f>
        <v/>
      </c>
      <c r="P23" s="51" t="str">
        <f aca="false">IF(O23="","",LOOKUP(O23,Impostazioni!$E$4:$E$9,Impostazioni!$F$4:$F$9))</f>
        <v/>
      </c>
      <c r="Q23" s="52"/>
      <c r="R23" s="13" t="str">
        <f aca="false">IF($B23="","",IFERROR(SUMPRODUCT((Dati!$C$4:$AP$4="B")*(INDEX(Dati!$CE$1:$DR$1000,MATCH($A23,Dati!$A$1:$A$1000,0),0)&gt;0)),0))</f>
        <v/>
      </c>
      <c r="S23" s="13" t="str">
        <f aca="false">IF($B23="","",IFERROR(ROUND(SUMPRODUCT((Dati!$C$4:$AP$4="B")*INDEX(Dati!$C$1:$AP$1000,MATCH($A23,Dati!$A$1:$A$1000,0),0)*INDEX(Dati!$CE$1:$DR$1000,MATCH($A23,Dati!$A$1:$A$1000,0),0))/SUMPRODUCT((Dati!$C$4:$AP$4="B")*INDEX(Dati!$CE$1:$DR$1000,MATCH($A23,Dati!$A$1:$A$1000,0),0)),2),""))</f>
        <v/>
      </c>
      <c r="T23" s="13" t="str">
        <f aca="false">IF(S23="","",IF(ISNUMBER(AC23),ROUND(Impostazioni!$B$12*S23+Impostazioni!$B$13*AC23,2),S23))</f>
        <v/>
      </c>
      <c r="U23" s="51" t="str">
        <f aca="false">IF(T23="","",LOOKUP(T23,Impostazioni!$E$4:$E$9,Impostazioni!$F$4:$F$9))</f>
        <v/>
      </c>
      <c r="V23" s="52"/>
      <c r="W23" s="13" t="str">
        <f aca="false">IF($B23="","",IFERROR(ROUND(SUMPRODUCT((Dati!$C$4:$AP$4="TEC")*INDEX(Dati!$C$1:$AP$1000,MATCH($A23,Dati!$A$1:$A$1000,0),0)*INDEX(Dati!$CE$1:$DR$1000,MATCH($A23,Dati!$A$1:$A$1000,0),0))/SUMPRODUCT((Dati!$C$4:$AP$4="TEC")*INDEX(Dati!$CE$1:$DR$1000,MATCH($A23,Dati!$A$1:$A$1000,0),0)),2),""))</f>
        <v/>
      </c>
      <c r="X23" s="51" t="str">
        <f aca="false">IF(W23="","",LOOKUP(W23,Impostazioni!$E$4:$E$9,Impostazioni!$F$4:$F$9))</f>
        <v/>
      </c>
      <c r="Y23" s="52"/>
      <c r="Z23" s="13" t="str">
        <f aca="false">IF($B23="","",IFERROR(ROUND(SUMPRODUCT((Dati!$C$4:$AP$4="CIV")*INDEX(Dati!$C$1:$AP$1000,MATCH($A23,Dati!$A$1:$A$1000,0),0)*INDEX(Dati!$CE$1:$DR$1000,MATCH($A23,Dati!$A$1:$A$1000,0),0))/SUMPRODUCT((Dati!$C$4:$AP$4="CIV")*INDEX(Dati!$CE$1:$DR$1000,MATCH($A23,Dati!$A$1:$A$1000,0),0)),2),""))</f>
        <v/>
      </c>
      <c r="AA23" s="51" t="str">
        <f aca="false">IF(Z23="","",LOOKUP(Z23,Impostazioni!$E$4:$E$9,Impostazioni!$F$4:$F$9))</f>
        <v/>
      </c>
      <c r="AB23" s="52"/>
      <c r="AC23" s="52"/>
      <c r="AD23" s="13" t="str">
        <f aca="false">IF($B23="","",IFERROR(SUM(INDEX(Dati!$FG$1:$FP$1000,MATCH($A23,Dati!$A$1:$A$1000,0),0)),0))</f>
        <v/>
      </c>
      <c r="AE23" s="16" t="str">
        <f aca="false">IF($B23="","",IF($C23="ES","Esonerato: concordare con referente e dirigente",IF($C23="Ritirato","Ritirato",TRIM(IF(OR(N(M23)&lt;Impostazioni!$B$14,N(R23)&lt;Impostazioni!$B$14),"Pochi voti: valutazione alternativa (scritta/orale). ","")&amp;IF(N(AD23)&gt;0,"Da recuperare: "&amp;AD23&amp;". ","")&amp;IF($D23="OP","Riferito agli obiettivi personalizzati.","")))))</f>
        <v/>
      </c>
      <c r="AF23" s="31" t="str">
        <f aca="false">IF($B23="","",IF($C23="ES","ES",IF(Q23&lt;&gt;"",Q23,P23)))</f>
        <v/>
      </c>
      <c r="AG23" s="31" t="str">
        <f aca="false">IF($B23="","",IF($C23="ES","ES",IF(V23&lt;&gt;"",V23,U23)))</f>
        <v/>
      </c>
      <c r="AH23" s="31" t="str">
        <f aca="false">IF($B23="","",IF($C23="ES","ES",IF(Y23&lt;&gt;"",Y23,X23)))</f>
        <v/>
      </c>
      <c r="AI23" s="31" t="str">
        <f aca="false">IF($B23="","",IF($C23="ES","ES",IF(AB23&lt;&gt;"",AB23,AA23)))</f>
        <v/>
      </c>
      <c r="AJ23" s="13" t="str">
        <f aca="false">IF($B23="","",IFERROR(ROUND(SUMPRODUCT((Dati!$AQ$3:$CD$3="1.1")*INDEX(Dati!$AQ$1:$CD$1000,MATCH($A23,Dati!$A$1:$A$1000,0),0)*INDEX(Dati!$DS$1:$FF$1000,MATCH($A23,Dati!$A$1:$A$1000,0),0))/SUMPRODUCT((Dati!$AQ$3:$CD$3="1.1")*INDEX(Dati!$DS$1:$FF$1000,MATCH($A23,Dati!$A$1:$A$1000,0),0)),2),""))</f>
        <v/>
      </c>
      <c r="AK23" s="13" t="str">
        <f aca="false">IF($B23="","",IFERROR(ROUND(SUMPRODUCT((Dati!$AQ$3:$CD$3="2.1")*INDEX(Dati!$AQ$1:$CD$1000,MATCH($A23,Dati!$A$1:$A$1000,0),0)*INDEX(Dati!$DS$1:$FF$1000,MATCH($A23,Dati!$A$1:$A$1000,0),0))/SUMPRODUCT((Dati!$AQ$3:$CD$3="2.1")*INDEX(Dati!$DS$1:$FF$1000,MATCH($A23,Dati!$A$1:$A$1000,0),0)),2),""))</f>
        <v/>
      </c>
      <c r="AL23" s="13" t="str">
        <f aca="false">IF($B23="","",IFERROR(ROUND(SUMPRODUCT((Dati!$AQ$3:$CD$3="3.1")*INDEX(Dati!$AQ$1:$CD$1000,MATCH($A23,Dati!$A$1:$A$1000,0),0)*INDEX(Dati!$DS$1:$FF$1000,MATCH($A23,Dati!$A$1:$A$1000,0),0))/SUMPRODUCT((Dati!$AQ$3:$CD$3="3.1")*INDEX(Dati!$DS$1:$FF$1000,MATCH($A23,Dati!$A$1:$A$1000,0),0)),2),""))</f>
        <v/>
      </c>
      <c r="AM23" s="13" t="str">
        <f aca="false">IF($B23="","",IFERROR(ROUND(SUMPRODUCT((Dati!$AQ$3:$CD$3="3.2")*INDEX(Dati!$AQ$1:$CD$1000,MATCH($A23,Dati!$A$1:$A$1000,0),0)*INDEX(Dati!$DS$1:$FF$1000,MATCH($A23,Dati!$A$1:$A$1000,0),0))/SUMPRODUCT((Dati!$AQ$3:$CD$3="3.2")*INDEX(Dati!$DS$1:$FF$1000,MATCH($A23,Dati!$A$1:$A$1000,0),0)),2),""))</f>
        <v/>
      </c>
      <c r="AN23" s="13" t="str">
        <f aca="false">IF($B23="","",IFERROR(ROUND(SUMPRODUCT((Dati!$AQ$3:$CD$3="3.3")*INDEX(Dati!$AQ$1:$CD$1000,MATCH($A23,Dati!$A$1:$A$1000,0),0)*INDEX(Dati!$DS$1:$FF$1000,MATCH($A23,Dati!$A$1:$A$1000,0),0))/SUMPRODUCT((Dati!$AQ$3:$CD$3="3.3")*INDEX(Dati!$DS$1:$FF$1000,MATCH($A23,Dati!$A$1:$A$1000,0),0)),2),""))</f>
        <v/>
      </c>
      <c r="AO23" s="13" t="str">
        <f aca="false">IF($B23="","",IFERROR(ROUND(SUMPRODUCT((Dati!$AQ$3:$CD$3="4.1")*INDEX(Dati!$AQ$1:$CD$1000,MATCH($A23,Dati!$A$1:$A$1000,0),0)*INDEX(Dati!$DS$1:$FF$1000,MATCH($A23,Dati!$A$1:$A$1000,0),0))/SUMPRODUCT((Dati!$AQ$3:$CD$3="4.1")*INDEX(Dati!$DS$1:$FF$1000,MATCH($A23,Dati!$A$1:$A$1000,0),0)),2),""))</f>
        <v/>
      </c>
      <c r="AP23" s="13" t="str">
        <f aca="false">IF($B23="","",IFERROR(ROUND(SUMPRODUCT((Dati!$AQ$3:$CD$3="4.2")*INDEX(Dati!$AQ$1:$CD$1000,MATCH($A23,Dati!$A$1:$A$1000,0),0)*INDEX(Dati!$DS$1:$FF$1000,MATCH($A23,Dati!$A$1:$A$1000,0),0))/SUMPRODUCT((Dati!$AQ$3:$CD$3="4.2")*INDEX(Dati!$DS$1:$FF$1000,MATCH($A23,Dati!$A$1:$A$1000,0),0)),2),""))</f>
        <v/>
      </c>
      <c r="AQ23" s="13" t="str">
        <f aca="false">IF($B23="","",IFERROR(ROUND(SUMPRODUCT((Dati!$AQ$3:$CD$3="4.3")*INDEX(Dati!$AQ$1:$CD$1000,MATCH($A23,Dati!$A$1:$A$1000,0),0)*INDEX(Dati!$DS$1:$FF$1000,MATCH($A23,Dati!$A$1:$A$1000,0),0))/SUMPRODUCT((Dati!$AQ$3:$CD$3="4.3")*INDEX(Dati!$DS$1:$FF$1000,MATCH($A23,Dati!$A$1:$A$1000,0),0)),2),""))</f>
        <v/>
      </c>
      <c r="AR23" s="13" t="str">
        <f aca="false">IF($B23="","",IFERROR(SUMPRODUCT((Dati!$AQ$4:$CD$4="A")*(INDEX(Dati!$DS$1:$FF$1000,MATCH($A23,Dati!$A$1:$A$1000,0),0)&gt;0)),0))</f>
        <v/>
      </c>
      <c r="AS23" s="13" t="str">
        <f aca="false">IF($B23="","",IFERROR(ROUND(SUMPRODUCT((Dati!$AQ$4:$CD$4="A")*INDEX(Dati!$AQ$1:$CD$1000,MATCH($A23,Dati!$A$1:$A$1000,0),0)*INDEX(Dati!$DS$1:$FF$1000,MATCH($A23,Dati!$A$1:$A$1000,0),0))/SUMPRODUCT((Dati!$AQ$4:$CD$4="A")*INDEX(Dati!$DS$1:$FF$1000,MATCH($A23,Dati!$A$1:$A$1000,0),0)),2),""))</f>
        <v/>
      </c>
      <c r="AT23" s="13" t="str">
        <f aca="false">IF(AS23="","",IF(ISNUMBER(BH23),ROUND(Impostazioni!$B$12*AS23+Impostazioni!$B$13*BH23,2),AS23))</f>
        <v/>
      </c>
      <c r="AU23" s="51" t="str">
        <f aca="false">IF(AT23="","",LOOKUP(AT23,Impostazioni!$E$4:$E$9,Impostazioni!$F$4:$F$9))</f>
        <v/>
      </c>
      <c r="AV23" s="52"/>
      <c r="AW23" s="13" t="str">
        <f aca="false">IF($B23="","",IFERROR(SUMPRODUCT((Dati!$AQ$4:$CD$4="B")*(INDEX(Dati!$DS$1:$FF$1000,MATCH($A23,Dati!$A$1:$A$1000,0),0)&gt;0)),0))</f>
        <v/>
      </c>
      <c r="AX23" s="13" t="str">
        <f aca="false">IF($B23="","",IFERROR(ROUND(SUMPRODUCT((Dati!$AQ$4:$CD$4="B")*INDEX(Dati!$AQ$1:$CD$1000,MATCH($A23,Dati!$A$1:$A$1000,0),0)*INDEX(Dati!$DS$1:$FF$1000,MATCH($A23,Dati!$A$1:$A$1000,0),0))/SUMPRODUCT((Dati!$AQ$4:$CD$4="B")*INDEX(Dati!$DS$1:$FF$1000,MATCH($A23,Dati!$A$1:$A$1000,0),0)),2),""))</f>
        <v/>
      </c>
      <c r="AY23" s="13" t="str">
        <f aca="false">IF(AX23="","",IF(ISNUMBER(BH23),ROUND(Impostazioni!$B$12*AX23+Impostazioni!$B$13*BH23,2),AX23))</f>
        <v/>
      </c>
      <c r="AZ23" s="51" t="str">
        <f aca="false">IF(AY23="","",LOOKUP(AY23,Impostazioni!$E$4:$E$9,Impostazioni!$F$4:$F$9))</f>
        <v/>
      </c>
      <c r="BA23" s="52"/>
      <c r="BB23" s="13" t="str">
        <f aca="false">IF($B23="","",IFERROR(ROUND(SUMPRODUCT((Dati!$AQ$4:$CD$4="TEC")*INDEX(Dati!$AQ$1:$CD$1000,MATCH($A23,Dati!$A$1:$A$1000,0),0)*INDEX(Dati!$DS$1:$FF$1000,MATCH($A23,Dati!$A$1:$A$1000,0),0))/SUMPRODUCT((Dati!$AQ$4:$CD$4="TEC")*INDEX(Dati!$DS$1:$FF$1000,MATCH($A23,Dati!$A$1:$A$1000,0),0)),2),""))</f>
        <v/>
      </c>
      <c r="BC23" s="51" t="str">
        <f aca="false">IF(BB23="","",LOOKUP(BB23,Impostazioni!$E$4:$E$9,Impostazioni!$F$4:$F$9))</f>
        <v/>
      </c>
      <c r="BD23" s="52"/>
      <c r="BE23" s="13" t="str">
        <f aca="false">IF($B23="","",IFERROR(ROUND(SUMPRODUCT((Dati!$AQ$4:$CD$4="CIV")*INDEX(Dati!$AQ$1:$CD$1000,MATCH($A23,Dati!$A$1:$A$1000,0),0)*INDEX(Dati!$DS$1:$FF$1000,MATCH($A23,Dati!$A$1:$A$1000,0),0))/SUMPRODUCT((Dati!$AQ$4:$CD$4="CIV")*INDEX(Dati!$DS$1:$FF$1000,MATCH($A23,Dati!$A$1:$A$1000,0),0)),2),""))</f>
        <v/>
      </c>
      <c r="BF23" s="51" t="str">
        <f aca="false">IF(BE23="","",LOOKUP(BE23,Impostazioni!$E$4:$E$9,Impostazioni!$F$4:$F$9))</f>
        <v/>
      </c>
      <c r="BG23" s="52"/>
      <c r="BH23" s="52"/>
      <c r="BI23" s="13" t="str">
        <f aca="false">IF($B23="","",IFERROR(SUM(INDEX(Dati!$FQ$1:$FZ$1000,MATCH($A23,Dati!$A$1:$A$1000,0),0)),0))</f>
        <v/>
      </c>
      <c r="BJ23" s="16" t="str">
        <f aca="false">IF($B23="","",IF($C23="ES","Esonerato: concordare con referente e dirigente",IF($C23="Ritirato","Ritirato",TRIM(IF(OR(N(AR23)&lt;Impostazioni!$B$14,N(AW23)&lt;Impostazioni!$B$14),"Pochi voti: valutazione alternativa (scritta/orale). ","")&amp;IF(N(BI23)&gt;0,"Da recuperare: "&amp;BI23&amp;". ","")&amp;IF($D23="OP","Riferito agli obiettivi personalizzati.","")))))</f>
        <v/>
      </c>
      <c r="BK23" s="31" t="str">
        <f aca="false">IF($B23="","",IF($C23="ES","ES",IF(AV23&lt;&gt;"",AV23,AU23)))</f>
        <v/>
      </c>
      <c r="BL23" s="31" t="str">
        <f aca="false">IF($B23="","",IF($C23="ES","ES",IF(BA23&lt;&gt;"",BA23,AZ23)))</f>
        <v/>
      </c>
      <c r="BM23" s="31" t="str">
        <f aca="false">IF($B23="","",IF($C23="ES","ES",IF(BD23&lt;&gt;"",BD23,BC23)))</f>
        <v/>
      </c>
      <c r="BN23" s="31" t="str">
        <f aca="false">IF($B23="","",IF($C23="ES","ES",IF(BG23&lt;&gt;"",BG23,BF23)))</f>
        <v/>
      </c>
      <c r="BO23" s="14"/>
    </row>
    <row r="24" customFormat="false" ht="21" hidden="false" customHeight="true" outlineLevel="0" collapsed="false">
      <c r="A24" s="10" t="n">
        <v>17</v>
      </c>
      <c r="B24" s="16" t="str">
        <f aca="false">IFERROR(INDEX(Alunni!$C$1:$C$1000,MATCH($A24,Alunni!$A$1:$A$1000,0))&amp;"","")</f>
        <v/>
      </c>
      <c r="C24" s="13" t="str">
        <f aca="false">IFERROR(INDEX(Alunni!$D$1:$D$1000,MATCH($A24,Alunni!$A$1:$A$1000,0))&amp;"","")</f>
        <v/>
      </c>
      <c r="D24" s="13" t="str">
        <f aca="false">IFERROR(INDEX(Alunni!$E$1:$E$1000,MATCH($A24,Alunni!$A$1:$A$1000,0))&amp;"","")</f>
        <v/>
      </c>
      <c r="E24" s="13" t="str">
        <f aca="false">IF($B24="","",IFERROR(ROUND(SUMPRODUCT((Dati!$C$3:$AP$3="1.1")*INDEX(Dati!$C$1:$AP$1000,MATCH($A24,Dati!$A$1:$A$1000,0),0)*INDEX(Dati!$CE$1:$DR$1000,MATCH($A24,Dati!$A$1:$A$1000,0),0))/SUMPRODUCT((Dati!$C$3:$AP$3="1.1")*INDEX(Dati!$CE$1:$DR$1000,MATCH($A24,Dati!$A$1:$A$1000,0),0)),2),""))</f>
        <v/>
      </c>
      <c r="F24" s="13" t="str">
        <f aca="false">IF($B24="","",IFERROR(ROUND(SUMPRODUCT((Dati!$C$3:$AP$3="2.1")*INDEX(Dati!$C$1:$AP$1000,MATCH($A24,Dati!$A$1:$A$1000,0),0)*INDEX(Dati!$CE$1:$DR$1000,MATCH($A24,Dati!$A$1:$A$1000,0),0))/SUMPRODUCT((Dati!$C$3:$AP$3="2.1")*INDEX(Dati!$CE$1:$DR$1000,MATCH($A24,Dati!$A$1:$A$1000,0),0)),2),""))</f>
        <v/>
      </c>
      <c r="G24" s="13" t="str">
        <f aca="false">IF($B24="","",IFERROR(ROUND(SUMPRODUCT((Dati!$C$3:$AP$3="3.1")*INDEX(Dati!$C$1:$AP$1000,MATCH($A24,Dati!$A$1:$A$1000,0),0)*INDEX(Dati!$CE$1:$DR$1000,MATCH($A24,Dati!$A$1:$A$1000,0),0))/SUMPRODUCT((Dati!$C$3:$AP$3="3.1")*INDEX(Dati!$CE$1:$DR$1000,MATCH($A24,Dati!$A$1:$A$1000,0),0)),2),""))</f>
        <v/>
      </c>
      <c r="H24" s="13" t="str">
        <f aca="false">IF($B24="","",IFERROR(ROUND(SUMPRODUCT((Dati!$C$3:$AP$3="3.2")*INDEX(Dati!$C$1:$AP$1000,MATCH($A24,Dati!$A$1:$A$1000,0),0)*INDEX(Dati!$CE$1:$DR$1000,MATCH($A24,Dati!$A$1:$A$1000,0),0))/SUMPRODUCT((Dati!$C$3:$AP$3="3.2")*INDEX(Dati!$CE$1:$DR$1000,MATCH($A24,Dati!$A$1:$A$1000,0),0)),2),""))</f>
        <v/>
      </c>
      <c r="I24" s="13" t="str">
        <f aca="false">IF($B24="","",IFERROR(ROUND(SUMPRODUCT((Dati!$C$3:$AP$3="3.3")*INDEX(Dati!$C$1:$AP$1000,MATCH($A24,Dati!$A$1:$A$1000,0),0)*INDEX(Dati!$CE$1:$DR$1000,MATCH($A24,Dati!$A$1:$A$1000,0),0))/SUMPRODUCT((Dati!$C$3:$AP$3="3.3")*INDEX(Dati!$CE$1:$DR$1000,MATCH($A24,Dati!$A$1:$A$1000,0),0)),2),""))</f>
        <v/>
      </c>
      <c r="J24" s="13" t="str">
        <f aca="false">IF($B24="","",IFERROR(ROUND(SUMPRODUCT((Dati!$C$3:$AP$3="4.1")*INDEX(Dati!$C$1:$AP$1000,MATCH($A24,Dati!$A$1:$A$1000,0),0)*INDEX(Dati!$CE$1:$DR$1000,MATCH($A24,Dati!$A$1:$A$1000,0),0))/SUMPRODUCT((Dati!$C$3:$AP$3="4.1")*INDEX(Dati!$CE$1:$DR$1000,MATCH($A24,Dati!$A$1:$A$1000,0),0)),2),""))</f>
        <v/>
      </c>
      <c r="K24" s="13" t="str">
        <f aca="false">IF($B24="","",IFERROR(ROUND(SUMPRODUCT((Dati!$C$3:$AP$3="4.2")*INDEX(Dati!$C$1:$AP$1000,MATCH($A24,Dati!$A$1:$A$1000,0),0)*INDEX(Dati!$CE$1:$DR$1000,MATCH($A24,Dati!$A$1:$A$1000,0),0))/SUMPRODUCT((Dati!$C$3:$AP$3="4.2")*INDEX(Dati!$CE$1:$DR$1000,MATCH($A24,Dati!$A$1:$A$1000,0),0)),2),""))</f>
        <v/>
      </c>
      <c r="L24" s="13" t="str">
        <f aca="false">IF($B24="","",IFERROR(ROUND(SUMPRODUCT((Dati!$C$3:$AP$3="4.3")*INDEX(Dati!$C$1:$AP$1000,MATCH($A24,Dati!$A$1:$A$1000,0),0)*INDEX(Dati!$CE$1:$DR$1000,MATCH($A24,Dati!$A$1:$A$1000,0),0))/SUMPRODUCT((Dati!$C$3:$AP$3="4.3")*INDEX(Dati!$CE$1:$DR$1000,MATCH($A24,Dati!$A$1:$A$1000,0),0)),2),""))</f>
        <v/>
      </c>
      <c r="M24" s="13" t="str">
        <f aca="false">IF($B24="","",IFERROR(SUMPRODUCT((Dati!$C$4:$AP$4="A")*(INDEX(Dati!$CE$1:$DR$1000,MATCH($A24,Dati!$A$1:$A$1000,0),0)&gt;0)),0))</f>
        <v/>
      </c>
      <c r="N24" s="13" t="str">
        <f aca="false">IF($B24="","",IFERROR(ROUND(SUMPRODUCT((Dati!$C$4:$AP$4="A")*INDEX(Dati!$C$1:$AP$1000,MATCH($A24,Dati!$A$1:$A$1000,0),0)*INDEX(Dati!$CE$1:$DR$1000,MATCH($A24,Dati!$A$1:$A$1000,0),0))/SUMPRODUCT((Dati!$C$4:$AP$4="A")*INDEX(Dati!$CE$1:$DR$1000,MATCH($A24,Dati!$A$1:$A$1000,0),0)),2),""))</f>
        <v/>
      </c>
      <c r="O24" s="13" t="str">
        <f aca="false">IF(N24="","",IF(ISNUMBER(AC24),ROUND(Impostazioni!$B$12*N24+Impostazioni!$B$13*AC24,2),N24))</f>
        <v/>
      </c>
      <c r="P24" s="51" t="str">
        <f aca="false">IF(O24="","",LOOKUP(O24,Impostazioni!$E$4:$E$9,Impostazioni!$F$4:$F$9))</f>
        <v/>
      </c>
      <c r="Q24" s="52"/>
      <c r="R24" s="13" t="str">
        <f aca="false">IF($B24="","",IFERROR(SUMPRODUCT((Dati!$C$4:$AP$4="B")*(INDEX(Dati!$CE$1:$DR$1000,MATCH($A24,Dati!$A$1:$A$1000,0),0)&gt;0)),0))</f>
        <v/>
      </c>
      <c r="S24" s="13" t="str">
        <f aca="false">IF($B24="","",IFERROR(ROUND(SUMPRODUCT((Dati!$C$4:$AP$4="B")*INDEX(Dati!$C$1:$AP$1000,MATCH($A24,Dati!$A$1:$A$1000,0),0)*INDEX(Dati!$CE$1:$DR$1000,MATCH($A24,Dati!$A$1:$A$1000,0),0))/SUMPRODUCT((Dati!$C$4:$AP$4="B")*INDEX(Dati!$CE$1:$DR$1000,MATCH($A24,Dati!$A$1:$A$1000,0),0)),2),""))</f>
        <v/>
      </c>
      <c r="T24" s="13" t="str">
        <f aca="false">IF(S24="","",IF(ISNUMBER(AC24),ROUND(Impostazioni!$B$12*S24+Impostazioni!$B$13*AC24,2),S24))</f>
        <v/>
      </c>
      <c r="U24" s="51" t="str">
        <f aca="false">IF(T24="","",LOOKUP(T24,Impostazioni!$E$4:$E$9,Impostazioni!$F$4:$F$9))</f>
        <v/>
      </c>
      <c r="V24" s="52"/>
      <c r="W24" s="13" t="str">
        <f aca="false">IF($B24="","",IFERROR(ROUND(SUMPRODUCT((Dati!$C$4:$AP$4="TEC")*INDEX(Dati!$C$1:$AP$1000,MATCH($A24,Dati!$A$1:$A$1000,0),0)*INDEX(Dati!$CE$1:$DR$1000,MATCH($A24,Dati!$A$1:$A$1000,0),0))/SUMPRODUCT((Dati!$C$4:$AP$4="TEC")*INDEX(Dati!$CE$1:$DR$1000,MATCH($A24,Dati!$A$1:$A$1000,0),0)),2),""))</f>
        <v/>
      </c>
      <c r="X24" s="51" t="str">
        <f aca="false">IF(W24="","",LOOKUP(W24,Impostazioni!$E$4:$E$9,Impostazioni!$F$4:$F$9))</f>
        <v/>
      </c>
      <c r="Y24" s="52"/>
      <c r="Z24" s="13" t="str">
        <f aca="false">IF($B24="","",IFERROR(ROUND(SUMPRODUCT((Dati!$C$4:$AP$4="CIV")*INDEX(Dati!$C$1:$AP$1000,MATCH($A24,Dati!$A$1:$A$1000,0),0)*INDEX(Dati!$CE$1:$DR$1000,MATCH($A24,Dati!$A$1:$A$1000,0),0))/SUMPRODUCT((Dati!$C$4:$AP$4="CIV")*INDEX(Dati!$CE$1:$DR$1000,MATCH($A24,Dati!$A$1:$A$1000,0),0)),2),""))</f>
        <v/>
      </c>
      <c r="AA24" s="51" t="str">
        <f aca="false">IF(Z24="","",LOOKUP(Z24,Impostazioni!$E$4:$E$9,Impostazioni!$F$4:$F$9))</f>
        <v/>
      </c>
      <c r="AB24" s="52"/>
      <c r="AC24" s="52"/>
      <c r="AD24" s="13" t="str">
        <f aca="false">IF($B24="","",IFERROR(SUM(INDEX(Dati!$FG$1:$FP$1000,MATCH($A24,Dati!$A$1:$A$1000,0),0)),0))</f>
        <v/>
      </c>
      <c r="AE24" s="16" t="str">
        <f aca="false">IF($B24="","",IF($C24="ES","Esonerato: concordare con referente e dirigente",IF($C24="Ritirato","Ritirato",TRIM(IF(OR(N(M24)&lt;Impostazioni!$B$14,N(R24)&lt;Impostazioni!$B$14),"Pochi voti: valutazione alternativa (scritta/orale). ","")&amp;IF(N(AD24)&gt;0,"Da recuperare: "&amp;AD24&amp;". ","")&amp;IF($D24="OP","Riferito agli obiettivi personalizzati.","")))))</f>
        <v/>
      </c>
      <c r="AF24" s="31" t="str">
        <f aca="false">IF($B24="","",IF($C24="ES","ES",IF(Q24&lt;&gt;"",Q24,P24)))</f>
        <v/>
      </c>
      <c r="AG24" s="31" t="str">
        <f aca="false">IF($B24="","",IF($C24="ES","ES",IF(V24&lt;&gt;"",V24,U24)))</f>
        <v/>
      </c>
      <c r="AH24" s="31" t="str">
        <f aca="false">IF($B24="","",IF($C24="ES","ES",IF(Y24&lt;&gt;"",Y24,X24)))</f>
        <v/>
      </c>
      <c r="AI24" s="31" t="str">
        <f aca="false">IF($B24="","",IF($C24="ES","ES",IF(AB24&lt;&gt;"",AB24,AA24)))</f>
        <v/>
      </c>
      <c r="AJ24" s="13" t="str">
        <f aca="false">IF($B24="","",IFERROR(ROUND(SUMPRODUCT((Dati!$AQ$3:$CD$3="1.1")*INDEX(Dati!$AQ$1:$CD$1000,MATCH($A24,Dati!$A$1:$A$1000,0),0)*INDEX(Dati!$DS$1:$FF$1000,MATCH($A24,Dati!$A$1:$A$1000,0),0))/SUMPRODUCT((Dati!$AQ$3:$CD$3="1.1")*INDEX(Dati!$DS$1:$FF$1000,MATCH($A24,Dati!$A$1:$A$1000,0),0)),2),""))</f>
        <v/>
      </c>
      <c r="AK24" s="13" t="str">
        <f aca="false">IF($B24="","",IFERROR(ROUND(SUMPRODUCT((Dati!$AQ$3:$CD$3="2.1")*INDEX(Dati!$AQ$1:$CD$1000,MATCH($A24,Dati!$A$1:$A$1000,0),0)*INDEX(Dati!$DS$1:$FF$1000,MATCH($A24,Dati!$A$1:$A$1000,0),0))/SUMPRODUCT((Dati!$AQ$3:$CD$3="2.1")*INDEX(Dati!$DS$1:$FF$1000,MATCH($A24,Dati!$A$1:$A$1000,0),0)),2),""))</f>
        <v/>
      </c>
      <c r="AL24" s="13" t="str">
        <f aca="false">IF($B24="","",IFERROR(ROUND(SUMPRODUCT((Dati!$AQ$3:$CD$3="3.1")*INDEX(Dati!$AQ$1:$CD$1000,MATCH($A24,Dati!$A$1:$A$1000,0),0)*INDEX(Dati!$DS$1:$FF$1000,MATCH($A24,Dati!$A$1:$A$1000,0),0))/SUMPRODUCT((Dati!$AQ$3:$CD$3="3.1")*INDEX(Dati!$DS$1:$FF$1000,MATCH($A24,Dati!$A$1:$A$1000,0),0)),2),""))</f>
        <v/>
      </c>
      <c r="AM24" s="13" t="str">
        <f aca="false">IF($B24="","",IFERROR(ROUND(SUMPRODUCT((Dati!$AQ$3:$CD$3="3.2")*INDEX(Dati!$AQ$1:$CD$1000,MATCH($A24,Dati!$A$1:$A$1000,0),0)*INDEX(Dati!$DS$1:$FF$1000,MATCH($A24,Dati!$A$1:$A$1000,0),0))/SUMPRODUCT((Dati!$AQ$3:$CD$3="3.2")*INDEX(Dati!$DS$1:$FF$1000,MATCH($A24,Dati!$A$1:$A$1000,0),0)),2),""))</f>
        <v/>
      </c>
      <c r="AN24" s="13" t="str">
        <f aca="false">IF($B24="","",IFERROR(ROUND(SUMPRODUCT((Dati!$AQ$3:$CD$3="3.3")*INDEX(Dati!$AQ$1:$CD$1000,MATCH($A24,Dati!$A$1:$A$1000,0),0)*INDEX(Dati!$DS$1:$FF$1000,MATCH($A24,Dati!$A$1:$A$1000,0),0))/SUMPRODUCT((Dati!$AQ$3:$CD$3="3.3")*INDEX(Dati!$DS$1:$FF$1000,MATCH($A24,Dati!$A$1:$A$1000,0),0)),2),""))</f>
        <v/>
      </c>
      <c r="AO24" s="13" t="str">
        <f aca="false">IF($B24="","",IFERROR(ROUND(SUMPRODUCT((Dati!$AQ$3:$CD$3="4.1")*INDEX(Dati!$AQ$1:$CD$1000,MATCH($A24,Dati!$A$1:$A$1000,0),0)*INDEX(Dati!$DS$1:$FF$1000,MATCH($A24,Dati!$A$1:$A$1000,0),0))/SUMPRODUCT((Dati!$AQ$3:$CD$3="4.1")*INDEX(Dati!$DS$1:$FF$1000,MATCH($A24,Dati!$A$1:$A$1000,0),0)),2),""))</f>
        <v/>
      </c>
      <c r="AP24" s="13" t="str">
        <f aca="false">IF($B24="","",IFERROR(ROUND(SUMPRODUCT((Dati!$AQ$3:$CD$3="4.2")*INDEX(Dati!$AQ$1:$CD$1000,MATCH($A24,Dati!$A$1:$A$1000,0),0)*INDEX(Dati!$DS$1:$FF$1000,MATCH($A24,Dati!$A$1:$A$1000,0),0))/SUMPRODUCT((Dati!$AQ$3:$CD$3="4.2")*INDEX(Dati!$DS$1:$FF$1000,MATCH($A24,Dati!$A$1:$A$1000,0),0)),2),""))</f>
        <v/>
      </c>
      <c r="AQ24" s="13" t="str">
        <f aca="false">IF($B24="","",IFERROR(ROUND(SUMPRODUCT((Dati!$AQ$3:$CD$3="4.3")*INDEX(Dati!$AQ$1:$CD$1000,MATCH($A24,Dati!$A$1:$A$1000,0),0)*INDEX(Dati!$DS$1:$FF$1000,MATCH($A24,Dati!$A$1:$A$1000,0),0))/SUMPRODUCT((Dati!$AQ$3:$CD$3="4.3")*INDEX(Dati!$DS$1:$FF$1000,MATCH($A24,Dati!$A$1:$A$1000,0),0)),2),""))</f>
        <v/>
      </c>
      <c r="AR24" s="13" t="str">
        <f aca="false">IF($B24="","",IFERROR(SUMPRODUCT((Dati!$AQ$4:$CD$4="A")*(INDEX(Dati!$DS$1:$FF$1000,MATCH($A24,Dati!$A$1:$A$1000,0),0)&gt;0)),0))</f>
        <v/>
      </c>
      <c r="AS24" s="13" t="str">
        <f aca="false">IF($B24="","",IFERROR(ROUND(SUMPRODUCT((Dati!$AQ$4:$CD$4="A")*INDEX(Dati!$AQ$1:$CD$1000,MATCH($A24,Dati!$A$1:$A$1000,0),0)*INDEX(Dati!$DS$1:$FF$1000,MATCH($A24,Dati!$A$1:$A$1000,0),0))/SUMPRODUCT((Dati!$AQ$4:$CD$4="A")*INDEX(Dati!$DS$1:$FF$1000,MATCH($A24,Dati!$A$1:$A$1000,0),0)),2),""))</f>
        <v/>
      </c>
      <c r="AT24" s="13" t="str">
        <f aca="false">IF(AS24="","",IF(ISNUMBER(BH24),ROUND(Impostazioni!$B$12*AS24+Impostazioni!$B$13*BH24,2),AS24))</f>
        <v/>
      </c>
      <c r="AU24" s="51" t="str">
        <f aca="false">IF(AT24="","",LOOKUP(AT24,Impostazioni!$E$4:$E$9,Impostazioni!$F$4:$F$9))</f>
        <v/>
      </c>
      <c r="AV24" s="52"/>
      <c r="AW24" s="13" t="str">
        <f aca="false">IF($B24="","",IFERROR(SUMPRODUCT((Dati!$AQ$4:$CD$4="B")*(INDEX(Dati!$DS$1:$FF$1000,MATCH($A24,Dati!$A$1:$A$1000,0),0)&gt;0)),0))</f>
        <v/>
      </c>
      <c r="AX24" s="13" t="str">
        <f aca="false">IF($B24="","",IFERROR(ROUND(SUMPRODUCT((Dati!$AQ$4:$CD$4="B")*INDEX(Dati!$AQ$1:$CD$1000,MATCH($A24,Dati!$A$1:$A$1000,0),0)*INDEX(Dati!$DS$1:$FF$1000,MATCH($A24,Dati!$A$1:$A$1000,0),0))/SUMPRODUCT((Dati!$AQ$4:$CD$4="B")*INDEX(Dati!$DS$1:$FF$1000,MATCH($A24,Dati!$A$1:$A$1000,0),0)),2),""))</f>
        <v/>
      </c>
      <c r="AY24" s="13" t="str">
        <f aca="false">IF(AX24="","",IF(ISNUMBER(BH24),ROUND(Impostazioni!$B$12*AX24+Impostazioni!$B$13*BH24,2),AX24))</f>
        <v/>
      </c>
      <c r="AZ24" s="51" t="str">
        <f aca="false">IF(AY24="","",LOOKUP(AY24,Impostazioni!$E$4:$E$9,Impostazioni!$F$4:$F$9))</f>
        <v/>
      </c>
      <c r="BA24" s="52"/>
      <c r="BB24" s="13" t="str">
        <f aca="false">IF($B24="","",IFERROR(ROUND(SUMPRODUCT((Dati!$AQ$4:$CD$4="TEC")*INDEX(Dati!$AQ$1:$CD$1000,MATCH($A24,Dati!$A$1:$A$1000,0),0)*INDEX(Dati!$DS$1:$FF$1000,MATCH($A24,Dati!$A$1:$A$1000,0),0))/SUMPRODUCT((Dati!$AQ$4:$CD$4="TEC")*INDEX(Dati!$DS$1:$FF$1000,MATCH($A24,Dati!$A$1:$A$1000,0),0)),2),""))</f>
        <v/>
      </c>
      <c r="BC24" s="51" t="str">
        <f aca="false">IF(BB24="","",LOOKUP(BB24,Impostazioni!$E$4:$E$9,Impostazioni!$F$4:$F$9))</f>
        <v/>
      </c>
      <c r="BD24" s="52"/>
      <c r="BE24" s="13" t="str">
        <f aca="false">IF($B24="","",IFERROR(ROUND(SUMPRODUCT((Dati!$AQ$4:$CD$4="CIV")*INDEX(Dati!$AQ$1:$CD$1000,MATCH($A24,Dati!$A$1:$A$1000,0),0)*INDEX(Dati!$DS$1:$FF$1000,MATCH($A24,Dati!$A$1:$A$1000,0),0))/SUMPRODUCT((Dati!$AQ$4:$CD$4="CIV")*INDEX(Dati!$DS$1:$FF$1000,MATCH($A24,Dati!$A$1:$A$1000,0),0)),2),""))</f>
        <v/>
      </c>
      <c r="BF24" s="51" t="str">
        <f aca="false">IF(BE24="","",LOOKUP(BE24,Impostazioni!$E$4:$E$9,Impostazioni!$F$4:$F$9))</f>
        <v/>
      </c>
      <c r="BG24" s="52"/>
      <c r="BH24" s="52"/>
      <c r="BI24" s="13" t="str">
        <f aca="false">IF($B24="","",IFERROR(SUM(INDEX(Dati!$FQ$1:$FZ$1000,MATCH($A24,Dati!$A$1:$A$1000,0),0)),0))</f>
        <v/>
      </c>
      <c r="BJ24" s="16" t="str">
        <f aca="false">IF($B24="","",IF($C24="ES","Esonerato: concordare con referente e dirigente",IF($C24="Ritirato","Ritirato",TRIM(IF(OR(N(AR24)&lt;Impostazioni!$B$14,N(AW24)&lt;Impostazioni!$B$14),"Pochi voti: valutazione alternativa (scritta/orale). ","")&amp;IF(N(BI24)&gt;0,"Da recuperare: "&amp;BI24&amp;". ","")&amp;IF($D24="OP","Riferito agli obiettivi personalizzati.","")))))</f>
        <v/>
      </c>
      <c r="BK24" s="31" t="str">
        <f aca="false">IF($B24="","",IF($C24="ES","ES",IF(AV24&lt;&gt;"",AV24,AU24)))</f>
        <v/>
      </c>
      <c r="BL24" s="31" t="str">
        <f aca="false">IF($B24="","",IF($C24="ES","ES",IF(BA24&lt;&gt;"",BA24,AZ24)))</f>
        <v/>
      </c>
      <c r="BM24" s="31" t="str">
        <f aca="false">IF($B24="","",IF($C24="ES","ES",IF(BD24&lt;&gt;"",BD24,BC24)))</f>
        <v/>
      </c>
      <c r="BN24" s="31" t="str">
        <f aca="false">IF($B24="","",IF($C24="ES","ES",IF(BG24&lt;&gt;"",BG24,BF24)))</f>
        <v/>
      </c>
      <c r="BO24" s="14"/>
    </row>
    <row r="25" customFormat="false" ht="21" hidden="false" customHeight="true" outlineLevel="0" collapsed="false">
      <c r="A25" s="10" t="n">
        <v>18</v>
      </c>
      <c r="B25" s="16" t="str">
        <f aca="false">IFERROR(INDEX(Alunni!$C$1:$C$1000,MATCH($A25,Alunni!$A$1:$A$1000,0))&amp;"","")</f>
        <v/>
      </c>
      <c r="C25" s="13" t="str">
        <f aca="false">IFERROR(INDEX(Alunni!$D$1:$D$1000,MATCH($A25,Alunni!$A$1:$A$1000,0))&amp;"","")</f>
        <v/>
      </c>
      <c r="D25" s="13" t="str">
        <f aca="false">IFERROR(INDEX(Alunni!$E$1:$E$1000,MATCH($A25,Alunni!$A$1:$A$1000,0))&amp;"","")</f>
        <v/>
      </c>
      <c r="E25" s="13" t="str">
        <f aca="false">IF($B25="","",IFERROR(ROUND(SUMPRODUCT((Dati!$C$3:$AP$3="1.1")*INDEX(Dati!$C$1:$AP$1000,MATCH($A25,Dati!$A$1:$A$1000,0),0)*INDEX(Dati!$CE$1:$DR$1000,MATCH($A25,Dati!$A$1:$A$1000,0),0))/SUMPRODUCT((Dati!$C$3:$AP$3="1.1")*INDEX(Dati!$CE$1:$DR$1000,MATCH($A25,Dati!$A$1:$A$1000,0),0)),2),""))</f>
        <v/>
      </c>
      <c r="F25" s="13" t="str">
        <f aca="false">IF($B25="","",IFERROR(ROUND(SUMPRODUCT((Dati!$C$3:$AP$3="2.1")*INDEX(Dati!$C$1:$AP$1000,MATCH($A25,Dati!$A$1:$A$1000,0),0)*INDEX(Dati!$CE$1:$DR$1000,MATCH($A25,Dati!$A$1:$A$1000,0),0))/SUMPRODUCT((Dati!$C$3:$AP$3="2.1")*INDEX(Dati!$CE$1:$DR$1000,MATCH($A25,Dati!$A$1:$A$1000,0),0)),2),""))</f>
        <v/>
      </c>
      <c r="G25" s="13" t="str">
        <f aca="false">IF($B25="","",IFERROR(ROUND(SUMPRODUCT((Dati!$C$3:$AP$3="3.1")*INDEX(Dati!$C$1:$AP$1000,MATCH($A25,Dati!$A$1:$A$1000,0),0)*INDEX(Dati!$CE$1:$DR$1000,MATCH($A25,Dati!$A$1:$A$1000,0),0))/SUMPRODUCT((Dati!$C$3:$AP$3="3.1")*INDEX(Dati!$CE$1:$DR$1000,MATCH($A25,Dati!$A$1:$A$1000,0),0)),2),""))</f>
        <v/>
      </c>
      <c r="H25" s="13" t="str">
        <f aca="false">IF($B25="","",IFERROR(ROUND(SUMPRODUCT((Dati!$C$3:$AP$3="3.2")*INDEX(Dati!$C$1:$AP$1000,MATCH($A25,Dati!$A$1:$A$1000,0),0)*INDEX(Dati!$CE$1:$DR$1000,MATCH($A25,Dati!$A$1:$A$1000,0),0))/SUMPRODUCT((Dati!$C$3:$AP$3="3.2")*INDEX(Dati!$CE$1:$DR$1000,MATCH($A25,Dati!$A$1:$A$1000,0),0)),2),""))</f>
        <v/>
      </c>
      <c r="I25" s="13" t="str">
        <f aca="false">IF($B25="","",IFERROR(ROUND(SUMPRODUCT((Dati!$C$3:$AP$3="3.3")*INDEX(Dati!$C$1:$AP$1000,MATCH($A25,Dati!$A$1:$A$1000,0),0)*INDEX(Dati!$CE$1:$DR$1000,MATCH($A25,Dati!$A$1:$A$1000,0),0))/SUMPRODUCT((Dati!$C$3:$AP$3="3.3")*INDEX(Dati!$CE$1:$DR$1000,MATCH($A25,Dati!$A$1:$A$1000,0),0)),2),""))</f>
        <v/>
      </c>
      <c r="J25" s="13" t="str">
        <f aca="false">IF($B25="","",IFERROR(ROUND(SUMPRODUCT((Dati!$C$3:$AP$3="4.1")*INDEX(Dati!$C$1:$AP$1000,MATCH($A25,Dati!$A$1:$A$1000,0),0)*INDEX(Dati!$CE$1:$DR$1000,MATCH($A25,Dati!$A$1:$A$1000,0),0))/SUMPRODUCT((Dati!$C$3:$AP$3="4.1")*INDEX(Dati!$CE$1:$DR$1000,MATCH($A25,Dati!$A$1:$A$1000,0),0)),2),""))</f>
        <v/>
      </c>
      <c r="K25" s="13" t="str">
        <f aca="false">IF($B25="","",IFERROR(ROUND(SUMPRODUCT((Dati!$C$3:$AP$3="4.2")*INDEX(Dati!$C$1:$AP$1000,MATCH($A25,Dati!$A$1:$A$1000,0),0)*INDEX(Dati!$CE$1:$DR$1000,MATCH($A25,Dati!$A$1:$A$1000,0),0))/SUMPRODUCT((Dati!$C$3:$AP$3="4.2")*INDEX(Dati!$CE$1:$DR$1000,MATCH($A25,Dati!$A$1:$A$1000,0),0)),2),""))</f>
        <v/>
      </c>
      <c r="L25" s="13" t="str">
        <f aca="false">IF($B25="","",IFERROR(ROUND(SUMPRODUCT((Dati!$C$3:$AP$3="4.3")*INDEX(Dati!$C$1:$AP$1000,MATCH($A25,Dati!$A$1:$A$1000,0),0)*INDEX(Dati!$CE$1:$DR$1000,MATCH($A25,Dati!$A$1:$A$1000,0),0))/SUMPRODUCT((Dati!$C$3:$AP$3="4.3")*INDEX(Dati!$CE$1:$DR$1000,MATCH($A25,Dati!$A$1:$A$1000,0),0)),2),""))</f>
        <v/>
      </c>
      <c r="M25" s="13" t="str">
        <f aca="false">IF($B25="","",IFERROR(SUMPRODUCT((Dati!$C$4:$AP$4="A")*(INDEX(Dati!$CE$1:$DR$1000,MATCH($A25,Dati!$A$1:$A$1000,0),0)&gt;0)),0))</f>
        <v/>
      </c>
      <c r="N25" s="13" t="str">
        <f aca="false">IF($B25="","",IFERROR(ROUND(SUMPRODUCT((Dati!$C$4:$AP$4="A")*INDEX(Dati!$C$1:$AP$1000,MATCH($A25,Dati!$A$1:$A$1000,0),0)*INDEX(Dati!$CE$1:$DR$1000,MATCH($A25,Dati!$A$1:$A$1000,0),0))/SUMPRODUCT((Dati!$C$4:$AP$4="A")*INDEX(Dati!$CE$1:$DR$1000,MATCH($A25,Dati!$A$1:$A$1000,0),0)),2),""))</f>
        <v/>
      </c>
      <c r="O25" s="13" t="str">
        <f aca="false">IF(N25="","",IF(ISNUMBER(AC25),ROUND(Impostazioni!$B$12*N25+Impostazioni!$B$13*AC25,2),N25))</f>
        <v/>
      </c>
      <c r="P25" s="51" t="str">
        <f aca="false">IF(O25="","",LOOKUP(O25,Impostazioni!$E$4:$E$9,Impostazioni!$F$4:$F$9))</f>
        <v/>
      </c>
      <c r="Q25" s="52"/>
      <c r="R25" s="13" t="str">
        <f aca="false">IF($B25="","",IFERROR(SUMPRODUCT((Dati!$C$4:$AP$4="B")*(INDEX(Dati!$CE$1:$DR$1000,MATCH($A25,Dati!$A$1:$A$1000,0),0)&gt;0)),0))</f>
        <v/>
      </c>
      <c r="S25" s="13" t="str">
        <f aca="false">IF($B25="","",IFERROR(ROUND(SUMPRODUCT((Dati!$C$4:$AP$4="B")*INDEX(Dati!$C$1:$AP$1000,MATCH($A25,Dati!$A$1:$A$1000,0),0)*INDEX(Dati!$CE$1:$DR$1000,MATCH($A25,Dati!$A$1:$A$1000,0),0))/SUMPRODUCT((Dati!$C$4:$AP$4="B")*INDEX(Dati!$CE$1:$DR$1000,MATCH($A25,Dati!$A$1:$A$1000,0),0)),2),""))</f>
        <v/>
      </c>
      <c r="T25" s="13" t="str">
        <f aca="false">IF(S25="","",IF(ISNUMBER(AC25),ROUND(Impostazioni!$B$12*S25+Impostazioni!$B$13*AC25,2),S25))</f>
        <v/>
      </c>
      <c r="U25" s="51" t="str">
        <f aca="false">IF(T25="","",LOOKUP(T25,Impostazioni!$E$4:$E$9,Impostazioni!$F$4:$F$9))</f>
        <v/>
      </c>
      <c r="V25" s="52"/>
      <c r="W25" s="13" t="str">
        <f aca="false">IF($B25="","",IFERROR(ROUND(SUMPRODUCT((Dati!$C$4:$AP$4="TEC")*INDEX(Dati!$C$1:$AP$1000,MATCH($A25,Dati!$A$1:$A$1000,0),0)*INDEX(Dati!$CE$1:$DR$1000,MATCH($A25,Dati!$A$1:$A$1000,0),0))/SUMPRODUCT((Dati!$C$4:$AP$4="TEC")*INDEX(Dati!$CE$1:$DR$1000,MATCH($A25,Dati!$A$1:$A$1000,0),0)),2),""))</f>
        <v/>
      </c>
      <c r="X25" s="51" t="str">
        <f aca="false">IF(W25="","",LOOKUP(W25,Impostazioni!$E$4:$E$9,Impostazioni!$F$4:$F$9))</f>
        <v/>
      </c>
      <c r="Y25" s="52"/>
      <c r="Z25" s="13" t="str">
        <f aca="false">IF($B25="","",IFERROR(ROUND(SUMPRODUCT((Dati!$C$4:$AP$4="CIV")*INDEX(Dati!$C$1:$AP$1000,MATCH($A25,Dati!$A$1:$A$1000,0),0)*INDEX(Dati!$CE$1:$DR$1000,MATCH($A25,Dati!$A$1:$A$1000,0),0))/SUMPRODUCT((Dati!$C$4:$AP$4="CIV")*INDEX(Dati!$CE$1:$DR$1000,MATCH($A25,Dati!$A$1:$A$1000,0),0)),2),""))</f>
        <v/>
      </c>
      <c r="AA25" s="51" t="str">
        <f aca="false">IF(Z25="","",LOOKUP(Z25,Impostazioni!$E$4:$E$9,Impostazioni!$F$4:$F$9))</f>
        <v/>
      </c>
      <c r="AB25" s="52"/>
      <c r="AC25" s="52"/>
      <c r="AD25" s="13" t="str">
        <f aca="false">IF($B25="","",IFERROR(SUM(INDEX(Dati!$FG$1:$FP$1000,MATCH($A25,Dati!$A$1:$A$1000,0),0)),0))</f>
        <v/>
      </c>
      <c r="AE25" s="16" t="str">
        <f aca="false">IF($B25="","",IF($C25="ES","Esonerato: concordare con referente e dirigente",IF($C25="Ritirato","Ritirato",TRIM(IF(OR(N(M25)&lt;Impostazioni!$B$14,N(R25)&lt;Impostazioni!$B$14),"Pochi voti: valutazione alternativa (scritta/orale). ","")&amp;IF(N(AD25)&gt;0,"Da recuperare: "&amp;AD25&amp;". ","")&amp;IF($D25="OP","Riferito agli obiettivi personalizzati.","")))))</f>
        <v/>
      </c>
      <c r="AF25" s="31" t="str">
        <f aca="false">IF($B25="","",IF($C25="ES","ES",IF(Q25&lt;&gt;"",Q25,P25)))</f>
        <v/>
      </c>
      <c r="AG25" s="31" t="str">
        <f aca="false">IF($B25="","",IF($C25="ES","ES",IF(V25&lt;&gt;"",V25,U25)))</f>
        <v/>
      </c>
      <c r="AH25" s="31" t="str">
        <f aca="false">IF($B25="","",IF($C25="ES","ES",IF(Y25&lt;&gt;"",Y25,X25)))</f>
        <v/>
      </c>
      <c r="AI25" s="31" t="str">
        <f aca="false">IF($B25="","",IF($C25="ES","ES",IF(AB25&lt;&gt;"",AB25,AA25)))</f>
        <v/>
      </c>
      <c r="AJ25" s="13" t="str">
        <f aca="false">IF($B25="","",IFERROR(ROUND(SUMPRODUCT((Dati!$AQ$3:$CD$3="1.1")*INDEX(Dati!$AQ$1:$CD$1000,MATCH($A25,Dati!$A$1:$A$1000,0),0)*INDEX(Dati!$DS$1:$FF$1000,MATCH($A25,Dati!$A$1:$A$1000,0),0))/SUMPRODUCT((Dati!$AQ$3:$CD$3="1.1")*INDEX(Dati!$DS$1:$FF$1000,MATCH($A25,Dati!$A$1:$A$1000,0),0)),2),""))</f>
        <v/>
      </c>
      <c r="AK25" s="13" t="str">
        <f aca="false">IF($B25="","",IFERROR(ROUND(SUMPRODUCT((Dati!$AQ$3:$CD$3="2.1")*INDEX(Dati!$AQ$1:$CD$1000,MATCH($A25,Dati!$A$1:$A$1000,0),0)*INDEX(Dati!$DS$1:$FF$1000,MATCH($A25,Dati!$A$1:$A$1000,0),0))/SUMPRODUCT((Dati!$AQ$3:$CD$3="2.1")*INDEX(Dati!$DS$1:$FF$1000,MATCH($A25,Dati!$A$1:$A$1000,0),0)),2),""))</f>
        <v/>
      </c>
      <c r="AL25" s="13" t="str">
        <f aca="false">IF($B25="","",IFERROR(ROUND(SUMPRODUCT((Dati!$AQ$3:$CD$3="3.1")*INDEX(Dati!$AQ$1:$CD$1000,MATCH($A25,Dati!$A$1:$A$1000,0),0)*INDEX(Dati!$DS$1:$FF$1000,MATCH($A25,Dati!$A$1:$A$1000,0),0))/SUMPRODUCT((Dati!$AQ$3:$CD$3="3.1")*INDEX(Dati!$DS$1:$FF$1000,MATCH($A25,Dati!$A$1:$A$1000,0),0)),2),""))</f>
        <v/>
      </c>
      <c r="AM25" s="13" t="str">
        <f aca="false">IF($B25="","",IFERROR(ROUND(SUMPRODUCT((Dati!$AQ$3:$CD$3="3.2")*INDEX(Dati!$AQ$1:$CD$1000,MATCH($A25,Dati!$A$1:$A$1000,0),0)*INDEX(Dati!$DS$1:$FF$1000,MATCH($A25,Dati!$A$1:$A$1000,0),0))/SUMPRODUCT((Dati!$AQ$3:$CD$3="3.2")*INDEX(Dati!$DS$1:$FF$1000,MATCH($A25,Dati!$A$1:$A$1000,0),0)),2),""))</f>
        <v/>
      </c>
      <c r="AN25" s="13" t="str">
        <f aca="false">IF($B25="","",IFERROR(ROUND(SUMPRODUCT((Dati!$AQ$3:$CD$3="3.3")*INDEX(Dati!$AQ$1:$CD$1000,MATCH($A25,Dati!$A$1:$A$1000,0),0)*INDEX(Dati!$DS$1:$FF$1000,MATCH($A25,Dati!$A$1:$A$1000,0),0))/SUMPRODUCT((Dati!$AQ$3:$CD$3="3.3")*INDEX(Dati!$DS$1:$FF$1000,MATCH($A25,Dati!$A$1:$A$1000,0),0)),2),""))</f>
        <v/>
      </c>
      <c r="AO25" s="13" t="str">
        <f aca="false">IF($B25="","",IFERROR(ROUND(SUMPRODUCT((Dati!$AQ$3:$CD$3="4.1")*INDEX(Dati!$AQ$1:$CD$1000,MATCH($A25,Dati!$A$1:$A$1000,0),0)*INDEX(Dati!$DS$1:$FF$1000,MATCH($A25,Dati!$A$1:$A$1000,0),0))/SUMPRODUCT((Dati!$AQ$3:$CD$3="4.1")*INDEX(Dati!$DS$1:$FF$1000,MATCH($A25,Dati!$A$1:$A$1000,0),0)),2),""))</f>
        <v/>
      </c>
      <c r="AP25" s="13" t="str">
        <f aca="false">IF($B25="","",IFERROR(ROUND(SUMPRODUCT((Dati!$AQ$3:$CD$3="4.2")*INDEX(Dati!$AQ$1:$CD$1000,MATCH($A25,Dati!$A$1:$A$1000,0),0)*INDEX(Dati!$DS$1:$FF$1000,MATCH($A25,Dati!$A$1:$A$1000,0),0))/SUMPRODUCT((Dati!$AQ$3:$CD$3="4.2")*INDEX(Dati!$DS$1:$FF$1000,MATCH($A25,Dati!$A$1:$A$1000,0),0)),2),""))</f>
        <v/>
      </c>
      <c r="AQ25" s="13" t="str">
        <f aca="false">IF($B25="","",IFERROR(ROUND(SUMPRODUCT((Dati!$AQ$3:$CD$3="4.3")*INDEX(Dati!$AQ$1:$CD$1000,MATCH($A25,Dati!$A$1:$A$1000,0),0)*INDEX(Dati!$DS$1:$FF$1000,MATCH($A25,Dati!$A$1:$A$1000,0),0))/SUMPRODUCT((Dati!$AQ$3:$CD$3="4.3")*INDEX(Dati!$DS$1:$FF$1000,MATCH($A25,Dati!$A$1:$A$1000,0),0)),2),""))</f>
        <v/>
      </c>
      <c r="AR25" s="13" t="str">
        <f aca="false">IF($B25="","",IFERROR(SUMPRODUCT((Dati!$AQ$4:$CD$4="A")*(INDEX(Dati!$DS$1:$FF$1000,MATCH($A25,Dati!$A$1:$A$1000,0),0)&gt;0)),0))</f>
        <v/>
      </c>
      <c r="AS25" s="13" t="str">
        <f aca="false">IF($B25="","",IFERROR(ROUND(SUMPRODUCT((Dati!$AQ$4:$CD$4="A")*INDEX(Dati!$AQ$1:$CD$1000,MATCH($A25,Dati!$A$1:$A$1000,0),0)*INDEX(Dati!$DS$1:$FF$1000,MATCH($A25,Dati!$A$1:$A$1000,0),0))/SUMPRODUCT((Dati!$AQ$4:$CD$4="A")*INDEX(Dati!$DS$1:$FF$1000,MATCH($A25,Dati!$A$1:$A$1000,0),0)),2),""))</f>
        <v/>
      </c>
      <c r="AT25" s="13" t="str">
        <f aca="false">IF(AS25="","",IF(ISNUMBER(BH25),ROUND(Impostazioni!$B$12*AS25+Impostazioni!$B$13*BH25,2),AS25))</f>
        <v/>
      </c>
      <c r="AU25" s="51" t="str">
        <f aca="false">IF(AT25="","",LOOKUP(AT25,Impostazioni!$E$4:$E$9,Impostazioni!$F$4:$F$9))</f>
        <v/>
      </c>
      <c r="AV25" s="52"/>
      <c r="AW25" s="13" t="str">
        <f aca="false">IF($B25="","",IFERROR(SUMPRODUCT((Dati!$AQ$4:$CD$4="B")*(INDEX(Dati!$DS$1:$FF$1000,MATCH($A25,Dati!$A$1:$A$1000,0),0)&gt;0)),0))</f>
        <v/>
      </c>
      <c r="AX25" s="13" t="str">
        <f aca="false">IF($B25="","",IFERROR(ROUND(SUMPRODUCT((Dati!$AQ$4:$CD$4="B")*INDEX(Dati!$AQ$1:$CD$1000,MATCH($A25,Dati!$A$1:$A$1000,0),0)*INDEX(Dati!$DS$1:$FF$1000,MATCH($A25,Dati!$A$1:$A$1000,0),0))/SUMPRODUCT((Dati!$AQ$4:$CD$4="B")*INDEX(Dati!$DS$1:$FF$1000,MATCH($A25,Dati!$A$1:$A$1000,0),0)),2),""))</f>
        <v/>
      </c>
      <c r="AY25" s="13" t="str">
        <f aca="false">IF(AX25="","",IF(ISNUMBER(BH25),ROUND(Impostazioni!$B$12*AX25+Impostazioni!$B$13*BH25,2),AX25))</f>
        <v/>
      </c>
      <c r="AZ25" s="51" t="str">
        <f aca="false">IF(AY25="","",LOOKUP(AY25,Impostazioni!$E$4:$E$9,Impostazioni!$F$4:$F$9))</f>
        <v/>
      </c>
      <c r="BA25" s="52"/>
      <c r="BB25" s="13" t="str">
        <f aca="false">IF($B25="","",IFERROR(ROUND(SUMPRODUCT((Dati!$AQ$4:$CD$4="TEC")*INDEX(Dati!$AQ$1:$CD$1000,MATCH($A25,Dati!$A$1:$A$1000,0),0)*INDEX(Dati!$DS$1:$FF$1000,MATCH($A25,Dati!$A$1:$A$1000,0),0))/SUMPRODUCT((Dati!$AQ$4:$CD$4="TEC")*INDEX(Dati!$DS$1:$FF$1000,MATCH($A25,Dati!$A$1:$A$1000,0),0)),2),""))</f>
        <v/>
      </c>
      <c r="BC25" s="51" t="str">
        <f aca="false">IF(BB25="","",LOOKUP(BB25,Impostazioni!$E$4:$E$9,Impostazioni!$F$4:$F$9))</f>
        <v/>
      </c>
      <c r="BD25" s="52"/>
      <c r="BE25" s="13" t="str">
        <f aca="false">IF($B25="","",IFERROR(ROUND(SUMPRODUCT((Dati!$AQ$4:$CD$4="CIV")*INDEX(Dati!$AQ$1:$CD$1000,MATCH($A25,Dati!$A$1:$A$1000,0),0)*INDEX(Dati!$DS$1:$FF$1000,MATCH($A25,Dati!$A$1:$A$1000,0),0))/SUMPRODUCT((Dati!$AQ$4:$CD$4="CIV")*INDEX(Dati!$DS$1:$FF$1000,MATCH($A25,Dati!$A$1:$A$1000,0),0)),2),""))</f>
        <v/>
      </c>
      <c r="BF25" s="51" t="str">
        <f aca="false">IF(BE25="","",LOOKUP(BE25,Impostazioni!$E$4:$E$9,Impostazioni!$F$4:$F$9))</f>
        <v/>
      </c>
      <c r="BG25" s="52"/>
      <c r="BH25" s="52"/>
      <c r="BI25" s="13" t="str">
        <f aca="false">IF($B25="","",IFERROR(SUM(INDEX(Dati!$FQ$1:$FZ$1000,MATCH($A25,Dati!$A$1:$A$1000,0),0)),0))</f>
        <v/>
      </c>
      <c r="BJ25" s="16" t="str">
        <f aca="false">IF($B25="","",IF($C25="ES","Esonerato: concordare con referente e dirigente",IF($C25="Ritirato","Ritirato",TRIM(IF(OR(N(AR25)&lt;Impostazioni!$B$14,N(AW25)&lt;Impostazioni!$B$14),"Pochi voti: valutazione alternativa (scritta/orale). ","")&amp;IF(N(BI25)&gt;0,"Da recuperare: "&amp;BI25&amp;". ","")&amp;IF($D25="OP","Riferito agli obiettivi personalizzati.","")))))</f>
        <v/>
      </c>
      <c r="BK25" s="31" t="str">
        <f aca="false">IF($B25="","",IF($C25="ES","ES",IF(AV25&lt;&gt;"",AV25,AU25)))</f>
        <v/>
      </c>
      <c r="BL25" s="31" t="str">
        <f aca="false">IF($B25="","",IF($C25="ES","ES",IF(BA25&lt;&gt;"",BA25,AZ25)))</f>
        <v/>
      </c>
      <c r="BM25" s="31" t="str">
        <f aca="false">IF($B25="","",IF($C25="ES","ES",IF(BD25&lt;&gt;"",BD25,BC25)))</f>
        <v/>
      </c>
      <c r="BN25" s="31" t="str">
        <f aca="false">IF($B25="","",IF($C25="ES","ES",IF(BG25&lt;&gt;"",BG25,BF25)))</f>
        <v/>
      </c>
      <c r="BO25" s="14"/>
    </row>
    <row r="26" customFormat="false" ht="21" hidden="false" customHeight="true" outlineLevel="0" collapsed="false">
      <c r="A26" s="10" t="n">
        <v>19</v>
      </c>
      <c r="B26" s="16" t="str">
        <f aca="false">IFERROR(INDEX(Alunni!$C$1:$C$1000,MATCH($A26,Alunni!$A$1:$A$1000,0))&amp;"","")</f>
        <v/>
      </c>
      <c r="C26" s="13" t="str">
        <f aca="false">IFERROR(INDEX(Alunni!$D$1:$D$1000,MATCH($A26,Alunni!$A$1:$A$1000,0))&amp;"","")</f>
        <v/>
      </c>
      <c r="D26" s="13" t="str">
        <f aca="false">IFERROR(INDEX(Alunni!$E$1:$E$1000,MATCH($A26,Alunni!$A$1:$A$1000,0))&amp;"","")</f>
        <v/>
      </c>
      <c r="E26" s="13" t="str">
        <f aca="false">IF($B26="","",IFERROR(ROUND(SUMPRODUCT((Dati!$C$3:$AP$3="1.1")*INDEX(Dati!$C$1:$AP$1000,MATCH($A26,Dati!$A$1:$A$1000,0),0)*INDEX(Dati!$CE$1:$DR$1000,MATCH($A26,Dati!$A$1:$A$1000,0),0))/SUMPRODUCT((Dati!$C$3:$AP$3="1.1")*INDEX(Dati!$CE$1:$DR$1000,MATCH($A26,Dati!$A$1:$A$1000,0),0)),2),""))</f>
        <v/>
      </c>
      <c r="F26" s="13" t="str">
        <f aca="false">IF($B26="","",IFERROR(ROUND(SUMPRODUCT((Dati!$C$3:$AP$3="2.1")*INDEX(Dati!$C$1:$AP$1000,MATCH($A26,Dati!$A$1:$A$1000,0),0)*INDEX(Dati!$CE$1:$DR$1000,MATCH($A26,Dati!$A$1:$A$1000,0),0))/SUMPRODUCT((Dati!$C$3:$AP$3="2.1")*INDEX(Dati!$CE$1:$DR$1000,MATCH($A26,Dati!$A$1:$A$1000,0),0)),2),""))</f>
        <v/>
      </c>
      <c r="G26" s="13" t="str">
        <f aca="false">IF($B26="","",IFERROR(ROUND(SUMPRODUCT((Dati!$C$3:$AP$3="3.1")*INDEX(Dati!$C$1:$AP$1000,MATCH($A26,Dati!$A$1:$A$1000,0),0)*INDEX(Dati!$CE$1:$DR$1000,MATCH($A26,Dati!$A$1:$A$1000,0),0))/SUMPRODUCT((Dati!$C$3:$AP$3="3.1")*INDEX(Dati!$CE$1:$DR$1000,MATCH($A26,Dati!$A$1:$A$1000,0),0)),2),""))</f>
        <v/>
      </c>
      <c r="H26" s="13" t="str">
        <f aca="false">IF($B26="","",IFERROR(ROUND(SUMPRODUCT((Dati!$C$3:$AP$3="3.2")*INDEX(Dati!$C$1:$AP$1000,MATCH($A26,Dati!$A$1:$A$1000,0),0)*INDEX(Dati!$CE$1:$DR$1000,MATCH($A26,Dati!$A$1:$A$1000,0),0))/SUMPRODUCT((Dati!$C$3:$AP$3="3.2")*INDEX(Dati!$CE$1:$DR$1000,MATCH($A26,Dati!$A$1:$A$1000,0),0)),2),""))</f>
        <v/>
      </c>
      <c r="I26" s="13" t="str">
        <f aca="false">IF($B26="","",IFERROR(ROUND(SUMPRODUCT((Dati!$C$3:$AP$3="3.3")*INDEX(Dati!$C$1:$AP$1000,MATCH($A26,Dati!$A$1:$A$1000,0),0)*INDEX(Dati!$CE$1:$DR$1000,MATCH($A26,Dati!$A$1:$A$1000,0),0))/SUMPRODUCT((Dati!$C$3:$AP$3="3.3")*INDEX(Dati!$CE$1:$DR$1000,MATCH($A26,Dati!$A$1:$A$1000,0),0)),2),""))</f>
        <v/>
      </c>
      <c r="J26" s="13" t="str">
        <f aca="false">IF($B26="","",IFERROR(ROUND(SUMPRODUCT((Dati!$C$3:$AP$3="4.1")*INDEX(Dati!$C$1:$AP$1000,MATCH($A26,Dati!$A$1:$A$1000,0),0)*INDEX(Dati!$CE$1:$DR$1000,MATCH($A26,Dati!$A$1:$A$1000,0),0))/SUMPRODUCT((Dati!$C$3:$AP$3="4.1")*INDEX(Dati!$CE$1:$DR$1000,MATCH($A26,Dati!$A$1:$A$1000,0),0)),2),""))</f>
        <v/>
      </c>
      <c r="K26" s="13" t="str">
        <f aca="false">IF($B26="","",IFERROR(ROUND(SUMPRODUCT((Dati!$C$3:$AP$3="4.2")*INDEX(Dati!$C$1:$AP$1000,MATCH($A26,Dati!$A$1:$A$1000,0),0)*INDEX(Dati!$CE$1:$DR$1000,MATCH($A26,Dati!$A$1:$A$1000,0),0))/SUMPRODUCT((Dati!$C$3:$AP$3="4.2")*INDEX(Dati!$CE$1:$DR$1000,MATCH($A26,Dati!$A$1:$A$1000,0),0)),2),""))</f>
        <v/>
      </c>
      <c r="L26" s="13" t="str">
        <f aca="false">IF($B26="","",IFERROR(ROUND(SUMPRODUCT((Dati!$C$3:$AP$3="4.3")*INDEX(Dati!$C$1:$AP$1000,MATCH($A26,Dati!$A$1:$A$1000,0),0)*INDEX(Dati!$CE$1:$DR$1000,MATCH($A26,Dati!$A$1:$A$1000,0),0))/SUMPRODUCT((Dati!$C$3:$AP$3="4.3")*INDEX(Dati!$CE$1:$DR$1000,MATCH($A26,Dati!$A$1:$A$1000,0),0)),2),""))</f>
        <v/>
      </c>
      <c r="M26" s="13" t="str">
        <f aca="false">IF($B26="","",IFERROR(SUMPRODUCT((Dati!$C$4:$AP$4="A")*(INDEX(Dati!$CE$1:$DR$1000,MATCH($A26,Dati!$A$1:$A$1000,0),0)&gt;0)),0))</f>
        <v/>
      </c>
      <c r="N26" s="13" t="str">
        <f aca="false">IF($B26="","",IFERROR(ROUND(SUMPRODUCT((Dati!$C$4:$AP$4="A")*INDEX(Dati!$C$1:$AP$1000,MATCH($A26,Dati!$A$1:$A$1000,0),0)*INDEX(Dati!$CE$1:$DR$1000,MATCH($A26,Dati!$A$1:$A$1000,0),0))/SUMPRODUCT((Dati!$C$4:$AP$4="A")*INDEX(Dati!$CE$1:$DR$1000,MATCH($A26,Dati!$A$1:$A$1000,0),0)),2),""))</f>
        <v/>
      </c>
      <c r="O26" s="13" t="str">
        <f aca="false">IF(N26="","",IF(ISNUMBER(AC26),ROUND(Impostazioni!$B$12*N26+Impostazioni!$B$13*AC26,2),N26))</f>
        <v/>
      </c>
      <c r="P26" s="51" t="str">
        <f aca="false">IF(O26="","",LOOKUP(O26,Impostazioni!$E$4:$E$9,Impostazioni!$F$4:$F$9))</f>
        <v/>
      </c>
      <c r="Q26" s="52"/>
      <c r="R26" s="13" t="str">
        <f aca="false">IF($B26="","",IFERROR(SUMPRODUCT((Dati!$C$4:$AP$4="B")*(INDEX(Dati!$CE$1:$DR$1000,MATCH($A26,Dati!$A$1:$A$1000,0),0)&gt;0)),0))</f>
        <v/>
      </c>
      <c r="S26" s="13" t="str">
        <f aca="false">IF($B26="","",IFERROR(ROUND(SUMPRODUCT((Dati!$C$4:$AP$4="B")*INDEX(Dati!$C$1:$AP$1000,MATCH($A26,Dati!$A$1:$A$1000,0),0)*INDEX(Dati!$CE$1:$DR$1000,MATCH($A26,Dati!$A$1:$A$1000,0),0))/SUMPRODUCT((Dati!$C$4:$AP$4="B")*INDEX(Dati!$CE$1:$DR$1000,MATCH($A26,Dati!$A$1:$A$1000,0),0)),2),""))</f>
        <v/>
      </c>
      <c r="T26" s="13" t="str">
        <f aca="false">IF(S26="","",IF(ISNUMBER(AC26),ROUND(Impostazioni!$B$12*S26+Impostazioni!$B$13*AC26,2),S26))</f>
        <v/>
      </c>
      <c r="U26" s="51" t="str">
        <f aca="false">IF(T26="","",LOOKUP(T26,Impostazioni!$E$4:$E$9,Impostazioni!$F$4:$F$9))</f>
        <v/>
      </c>
      <c r="V26" s="52"/>
      <c r="W26" s="13" t="str">
        <f aca="false">IF($B26="","",IFERROR(ROUND(SUMPRODUCT((Dati!$C$4:$AP$4="TEC")*INDEX(Dati!$C$1:$AP$1000,MATCH($A26,Dati!$A$1:$A$1000,0),0)*INDEX(Dati!$CE$1:$DR$1000,MATCH($A26,Dati!$A$1:$A$1000,0),0))/SUMPRODUCT((Dati!$C$4:$AP$4="TEC")*INDEX(Dati!$CE$1:$DR$1000,MATCH($A26,Dati!$A$1:$A$1000,0),0)),2),""))</f>
        <v/>
      </c>
      <c r="X26" s="51" t="str">
        <f aca="false">IF(W26="","",LOOKUP(W26,Impostazioni!$E$4:$E$9,Impostazioni!$F$4:$F$9))</f>
        <v/>
      </c>
      <c r="Y26" s="52"/>
      <c r="Z26" s="13" t="str">
        <f aca="false">IF($B26="","",IFERROR(ROUND(SUMPRODUCT((Dati!$C$4:$AP$4="CIV")*INDEX(Dati!$C$1:$AP$1000,MATCH($A26,Dati!$A$1:$A$1000,0),0)*INDEX(Dati!$CE$1:$DR$1000,MATCH($A26,Dati!$A$1:$A$1000,0),0))/SUMPRODUCT((Dati!$C$4:$AP$4="CIV")*INDEX(Dati!$CE$1:$DR$1000,MATCH($A26,Dati!$A$1:$A$1000,0),0)),2),""))</f>
        <v/>
      </c>
      <c r="AA26" s="51" t="str">
        <f aca="false">IF(Z26="","",LOOKUP(Z26,Impostazioni!$E$4:$E$9,Impostazioni!$F$4:$F$9))</f>
        <v/>
      </c>
      <c r="AB26" s="52"/>
      <c r="AC26" s="52"/>
      <c r="AD26" s="13" t="str">
        <f aca="false">IF($B26="","",IFERROR(SUM(INDEX(Dati!$FG$1:$FP$1000,MATCH($A26,Dati!$A$1:$A$1000,0),0)),0))</f>
        <v/>
      </c>
      <c r="AE26" s="16" t="str">
        <f aca="false">IF($B26="","",IF($C26="ES","Esonerato: concordare con referente e dirigente",IF($C26="Ritirato","Ritirato",TRIM(IF(OR(N(M26)&lt;Impostazioni!$B$14,N(R26)&lt;Impostazioni!$B$14),"Pochi voti: valutazione alternativa (scritta/orale). ","")&amp;IF(N(AD26)&gt;0,"Da recuperare: "&amp;AD26&amp;". ","")&amp;IF($D26="OP","Riferito agli obiettivi personalizzati.","")))))</f>
        <v/>
      </c>
      <c r="AF26" s="31" t="str">
        <f aca="false">IF($B26="","",IF($C26="ES","ES",IF(Q26&lt;&gt;"",Q26,P26)))</f>
        <v/>
      </c>
      <c r="AG26" s="31" t="str">
        <f aca="false">IF($B26="","",IF($C26="ES","ES",IF(V26&lt;&gt;"",V26,U26)))</f>
        <v/>
      </c>
      <c r="AH26" s="31" t="str">
        <f aca="false">IF($B26="","",IF($C26="ES","ES",IF(Y26&lt;&gt;"",Y26,X26)))</f>
        <v/>
      </c>
      <c r="AI26" s="31" t="str">
        <f aca="false">IF($B26="","",IF($C26="ES","ES",IF(AB26&lt;&gt;"",AB26,AA26)))</f>
        <v/>
      </c>
      <c r="AJ26" s="13" t="str">
        <f aca="false">IF($B26="","",IFERROR(ROUND(SUMPRODUCT((Dati!$AQ$3:$CD$3="1.1")*INDEX(Dati!$AQ$1:$CD$1000,MATCH($A26,Dati!$A$1:$A$1000,0),0)*INDEX(Dati!$DS$1:$FF$1000,MATCH($A26,Dati!$A$1:$A$1000,0),0))/SUMPRODUCT((Dati!$AQ$3:$CD$3="1.1")*INDEX(Dati!$DS$1:$FF$1000,MATCH($A26,Dati!$A$1:$A$1000,0),0)),2),""))</f>
        <v/>
      </c>
      <c r="AK26" s="13" t="str">
        <f aca="false">IF($B26="","",IFERROR(ROUND(SUMPRODUCT((Dati!$AQ$3:$CD$3="2.1")*INDEX(Dati!$AQ$1:$CD$1000,MATCH($A26,Dati!$A$1:$A$1000,0),0)*INDEX(Dati!$DS$1:$FF$1000,MATCH($A26,Dati!$A$1:$A$1000,0),0))/SUMPRODUCT((Dati!$AQ$3:$CD$3="2.1")*INDEX(Dati!$DS$1:$FF$1000,MATCH($A26,Dati!$A$1:$A$1000,0),0)),2),""))</f>
        <v/>
      </c>
      <c r="AL26" s="13" t="str">
        <f aca="false">IF($B26="","",IFERROR(ROUND(SUMPRODUCT((Dati!$AQ$3:$CD$3="3.1")*INDEX(Dati!$AQ$1:$CD$1000,MATCH($A26,Dati!$A$1:$A$1000,0),0)*INDEX(Dati!$DS$1:$FF$1000,MATCH($A26,Dati!$A$1:$A$1000,0),0))/SUMPRODUCT((Dati!$AQ$3:$CD$3="3.1")*INDEX(Dati!$DS$1:$FF$1000,MATCH($A26,Dati!$A$1:$A$1000,0),0)),2),""))</f>
        <v/>
      </c>
      <c r="AM26" s="13" t="str">
        <f aca="false">IF($B26="","",IFERROR(ROUND(SUMPRODUCT((Dati!$AQ$3:$CD$3="3.2")*INDEX(Dati!$AQ$1:$CD$1000,MATCH($A26,Dati!$A$1:$A$1000,0),0)*INDEX(Dati!$DS$1:$FF$1000,MATCH($A26,Dati!$A$1:$A$1000,0),0))/SUMPRODUCT((Dati!$AQ$3:$CD$3="3.2")*INDEX(Dati!$DS$1:$FF$1000,MATCH($A26,Dati!$A$1:$A$1000,0),0)),2),""))</f>
        <v/>
      </c>
      <c r="AN26" s="13" t="str">
        <f aca="false">IF($B26="","",IFERROR(ROUND(SUMPRODUCT((Dati!$AQ$3:$CD$3="3.3")*INDEX(Dati!$AQ$1:$CD$1000,MATCH($A26,Dati!$A$1:$A$1000,0),0)*INDEX(Dati!$DS$1:$FF$1000,MATCH($A26,Dati!$A$1:$A$1000,0),0))/SUMPRODUCT((Dati!$AQ$3:$CD$3="3.3")*INDEX(Dati!$DS$1:$FF$1000,MATCH($A26,Dati!$A$1:$A$1000,0),0)),2),""))</f>
        <v/>
      </c>
      <c r="AO26" s="13" t="str">
        <f aca="false">IF($B26="","",IFERROR(ROUND(SUMPRODUCT((Dati!$AQ$3:$CD$3="4.1")*INDEX(Dati!$AQ$1:$CD$1000,MATCH($A26,Dati!$A$1:$A$1000,0),0)*INDEX(Dati!$DS$1:$FF$1000,MATCH($A26,Dati!$A$1:$A$1000,0),0))/SUMPRODUCT((Dati!$AQ$3:$CD$3="4.1")*INDEX(Dati!$DS$1:$FF$1000,MATCH($A26,Dati!$A$1:$A$1000,0),0)),2),""))</f>
        <v/>
      </c>
      <c r="AP26" s="13" t="str">
        <f aca="false">IF($B26="","",IFERROR(ROUND(SUMPRODUCT((Dati!$AQ$3:$CD$3="4.2")*INDEX(Dati!$AQ$1:$CD$1000,MATCH($A26,Dati!$A$1:$A$1000,0),0)*INDEX(Dati!$DS$1:$FF$1000,MATCH($A26,Dati!$A$1:$A$1000,0),0))/SUMPRODUCT((Dati!$AQ$3:$CD$3="4.2")*INDEX(Dati!$DS$1:$FF$1000,MATCH($A26,Dati!$A$1:$A$1000,0),0)),2),""))</f>
        <v/>
      </c>
      <c r="AQ26" s="13" t="str">
        <f aca="false">IF($B26="","",IFERROR(ROUND(SUMPRODUCT((Dati!$AQ$3:$CD$3="4.3")*INDEX(Dati!$AQ$1:$CD$1000,MATCH($A26,Dati!$A$1:$A$1000,0),0)*INDEX(Dati!$DS$1:$FF$1000,MATCH($A26,Dati!$A$1:$A$1000,0),0))/SUMPRODUCT((Dati!$AQ$3:$CD$3="4.3")*INDEX(Dati!$DS$1:$FF$1000,MATCH($A26,Dati!$A$1:$A$1000,0),0)),2),""))</f>
        <v/>
      </c>
      <c r="AR26" s="13" t="str">
        <f aca="false">IF($B26="","",IFERROR(SUMPRODUCT((Dati!$AQ$4:$CD$4="A")*(INDEX(Dati!$DS$1:$FF$1000,MATCH($A26,Dati!$A$1:$A$1000,0),0)&gt;0)),0))</f>
        <v/>
      </c>
      <c r="AS26" s="13" t="str">
        <f aca="false">IF($B26="","",IFERROR(ROUND(SUMPRODUCT((Dati!$AQ$4:$CD$4="A")*INDEX(Dati!$AQ$1:$CD$1000,MATCH($A26,Dati!$A$1:$A$1000,0),0)*INDEX(Dati!$DS$1:$FF$1000,MATCH($A26,Dati!$A$1:$A$1000,0),0))/SUMPRODUCT((Dati!$AQ$4:$CD$4="A")*INDEX(Dati!$DS$1:$FF$1000,MATCH($A26,Dati!$A$1:$A$1000,0),0)),2),""))</f>
        <v/>
      </c>
      <c r="AT26" s="13" t="str">
        <f aca="false">IF(AS26="","",IF(ISNUMBER(BH26),ROUND(Impostazioni!$B$12*AS26+Impostazioni!$B$13*BH26,2),AS26))</f>
        <v/>
      </c>
      <c r="AU26" s="51" t="str">
        <f aca="false">IF(AT26="","",LOOKUP(AT26,Impostazioni!$E$4:$E$9,Impostazioni!$F$4:$F$9))</f>
        <v/>
      </c>
      <c r="AV26" s="52"/>
      <c r="AW26" s="13" t="str">
        <f aca="false">IF($B26="","",IFERROR(SUMPRODUCT((Dati!$AQ$4:$CD$4="B")*(INDEX(Dati!$DS$1:$FF$1000,MATCH($A26,Dati!$A$1:$A$1000,0),0)&gt;0)),0))</f>
        <v/>
      </c>
      <c r="AX26" s="13" t="str">
        <f aca="false">IF($B26="","",IFERROR(ROUND(SUMPRODUCT((Dati!$AQ$4:$CD$4="B")*INDEX(Dati!$AQ$1:$CD$1000,MATCH($A26,Dati!$A$1:$A$1000,0),0)*INDEX(Dati!$DS$1:$FF$1000,MATCH($A26,Dati!$A$1:$A$1000,0),0))/SUMPRODUCT((Dati!$AQ$4:$CD$4="B")*INDEX(Dati!$DS$1:$FF$1000,MATCH($A26,Dati!$A$1:$A$1000,0),0)),2),""))</f>
        <v/>
      </c>
      <c r="AY26" s="13" t="str">
        <f aca="false">IF(AX26="","",IF(ISNUMBER(BH26),ROUND(Impostazioni!$B$12*AX26+Impostazioni!$B$13*BH26,2),AX26))</f>
        <v/>
      </c>
      <c r="AZ26" s="51" t="str">
        <f aca="false">IF(AY26="","",LOOKUP(AY26,Impostazioni!$E$4:$E$9,Impostazioni!$F$4:$F$9))</f>
        <v/>
      </c>
      <c r="BA26" s="52"/>
      <c r="BB26" s="13" t="str">
        <f aca="false">IF($B26="","",IFERROR(ROUND(SUMPRODUCT((Dati!$AQ$4:$CD$4="TEC")*INDEX(Dati!$AQ$1:$CD$1000,MATCH($A26,Dati!$A$1:$A$1000,0),0)*INDEX(Dati!$DS$1:$FF$1000,MATCH($A26,Dati!$A$1:$A$1000,0),0))/SUMPRODUCT((Dati!$AQ$4:$CD$4="TEC")*INDEX(Dati!$DS$1:$FF$1000,MATCH($A26,Dati!$A$1:$A$1000,0),0)),2),""))</f>
        <v/>
      </c>
      <c r="BC26" s="51" t="str">
        <f aca="false">IF(BB26="","",LOOKUP(BB26,Impostazioni!$E$4:$E$9,Impostazioni!$F$4:$F$9))</f>
        <v/>
      </c>
      <c r="BD26" s="52"/>
      <c r="BE26" s="13" t="str">
        <f aca="false">IF($B26="","",IFERROR(ROUND(SUMPRODUCT((Dati!$AQ$4:$CD$4="CIV")*INDEX(Dati!$AQ$1:$CD$1000,MATCH($A26,Dati!$A$1:$A$1000,0),0)*INDEX(Dati!$DS$1:$FF$1000,MATCH($A26,Dati!$A$1:$A$1000,0),0))/SUMPRODUCT((Dati!$AQ$4:$CD$4="CIV")*INDEX(Dati!$DS$1:$FF$1000,MATCH($A26,Dati!$A$1:$A$1000,0),0)),2),""))</f>
        <v/>
      </c>
      <c r="BF26" s="51" t="str">
        <f aca="false">IF(BE26="","",LOOKUP(BE26,Impostazioni!$E$4:$E$9,Impostazioni!$F$4:$F$9))</f>
        <v/>
      </c>
      <c r="BG26" s="52"/>
      <c r="BH26" s="52"/>
      <c r="BI26" s="13" t="str">
        <f aca="false">IF($B26="","",IFERROR(SUM(INDEX(Dati!$FQ$1:$FZ$1000,MATCH($A26,Dati!$A$1:$A$1000,0),0)),0))</f>
        <v/>
      </c>
      <c r="BJ26" s="16" t="str">
        <f aca="false">IF($B26="","",IF($C26="ES","Esonerato: concordare con referente e dirigente",IF($C26="Ritirato","Ritirato",TRIM(IF(OR(N(AR26)&lt;Impostazioni!$B$14,N(AW26)&lt;Impostazioni!$B$14),"Pochi voti: valutazione alternativa (scritta/orale). ","")&amp;IF(N(BI26)&gt;0,"Da recuperare: "&amp;BI26&amp;". ","")&amp;IF($D26="OP","Riferito agli obiettivi personalizzati.","")))))</f>
        <v/>
      </c>
      <c r="BK26" s="31" t="str">
        <f aca="false">IF($B26="","",IF($C26="ES","ES",IF(AV26&lt;&gt;"",AV26,AU26)))</f>
        <v/>
      </c>
      <c r="BL26" s="31" t="str">
        <f aca="false">IF($B26="","",IF($C26="ES","ES",IF(BA26&lt;&gt;"",BA26,AZ26)))</f>
        <v/>
      </c>
      <c r="BM26" s="31" t="str">
        <f aca="false">IF($B26="","",IF($C26="ES","ES",IF(BD26&lt;&gt;"",BD26,BC26)))</f>
        <v/>
      </c>
      <c r="BN26" s="31" t="str">
        <f aca="false">IF($B26="","",IF($C26="ES","ES",IF(BG26&lt;&gt;"",BG26,BF26)))</f>
        <v/>
      </c>
      <c r="BO26" s="14"/>
    </row>
    <row r="27" customFormat="false" ht="21" hidden="false" customHeight="true" outlineLevel="0" collapsed="false">
      <c r="A27" s="10" t="n">
        <v>20</v>
      </c>
      <c r="B27" s="16" t="str">
        <f aca="false">IFERROR(INDEX(Alunni!$C$1:$C$1000,MATCH($A27,Alunni!$A$1:$A$1000,0))&amp;"","")</f>
        <v/>
      </c>
      <c r="C27" s="13" t="str">
        <f aca="false">IFERROR(INDEX(Alunni!$D$1:$D$1000,MATCH($A27,Alunni!$A$1:$A$1000,0))&amp;"","")</f>
        <v/>
      </c>
      <c r="D27" s="13" t="str">
        <f aca="false">IFERROR(INDEX(Alunni!$E$1:$E$1000,MATCH($A27,Alunni!$A$1:$A$1000,0))&amp;"","")</f>
        <v/>
      </c>
      <c r="E27" s="13" t="str">
        <f aca="false">IF($B27="","",IFERROR(ROUND(SUMPRODUCT((Dati!$C$3:$AP$3="1.1")*INDEX(Dati!$C$1:$AP$1000,MATCH($A27,Dati!$A$1:$A$1000,0),0)*INDEX(Dati!$CE$1:$DR$1000,MATCH($A27,Dati!$A$1:$A$1000,0),0))/SUMPRODUCT((Dati!$C$3:$AP$3="1.1")*INDEX(Dati!$CE$1:$DR$1000,MATCH($A27,Dati!$A$1:$A$1000,0),0)),2),""))</f>
        <v/>
      </c>
      <c r="F27" s="13" t="str">
        <f aca="false">IF($B27="","",IFERROR(ROUND(SUMPRODUCT((Dati!$C$3:$AP$3="2.1")*INDEX(Dati!$C$1:$AP$1000,MATCH($A27,Dati!$A$1:$A$1000,0),0)*INDEX(Dati!$CE$1:$DR$1000,MATCH($A27,Dati!$A$1:$A$1000,0),0))/SUMPRODUCT((Dati!$C$3:$AP$3="2.1")*INDEX(Dati!$CE$1:$DR$1000,MATCH($A27,Dati!$A$1:$A$1000,0),0)),2),""))</f>
        <v/>
      </c>
      <c r="G27" s="13" t="str">
        <f aca="false">IF($B27="","",IFERROR(ROUND(SUMPRODUCT((Dati!$C$3:$AP$3="3.1")*INDEX(Dati!$C$1:$AP$1000,MATCH($A27,Dati!$A$1:$A$1000,0),0)*INDEX(Dati!$CE$1:$DR$1000,MATCH($A27,Dati!$A$1:$A$1000,0),0))/SUMPRODUCT((Dati!$C$3:$AP$3="3.1")*INDEX(Dati!$CE$1:$DR$1000,MATCH($A27,Dati!$A$1:$A$1000,0),0)),2),""))</f>
        <v/>
      </c>
      <c r="H27" s="13" t="str">
        <f aca="false">IF($B27="","",IFERROR(ROUND(SUMPRODUCT((Dati!$C$3:$AP$3="3.2")*INDEX(Dati!$C$1:$AP$1000,MATCH($A27,Dati!$A$1:$A$1000,0),0)*INDEX(Dati!$CE$1:$DR$1000,MATCH($A27,Dati!$A$1:$A$1000,0),0))/SUMPRODUCT((Dati!$C$3:$AP$3="3.2")*INDEX(Dati!$CE$1:$DR$1000,MATCH($A27,Dati!$A$1:$A$1000,0),0)),2),""))</f>
        <v/>
      </c>
      <c r="I27" s="13" t="str">
        <f aca="false">IF($B27="","",IFERROR(ROUND(SUMPRODUCT((Dati!$C$3:$AP$3="3.3")*INDEX(Dati!$C$1:$AP$1000,MATCH($A27,Dati!$A$1:$A$1000,0),0)*INDEX(Dati!$CE$1:$DR$1000,MATCH($A27,Dati!$A$1:$A$1000,0),0))/SUMPRODUCT((Dati!$C$3:$AP$3="3.3")*INDEX(Dati!$CE$1:$DR$1000,MATCH($A27,Dati!$A$1:$A$1000,0),0)),2),""))</f>
        <v/>
      </c>
      <c r="J27" s="13" t="str">
        <f aca="false">IF($B27="","",IFERROR(ROUND(SUMPRODUCT((Dati!$C$3:$AP$3="4.1")*INDEX(Dati!$C$1:$AP$1000,MATCH($A27,Dati!$A$1:$A$1000,0),0)*INDEX(Dati!$CE$1:$DR$1000,MATCH($A27,Dati!$A$1:$A$1000,0),0))/SUMPRODUCT((Dati!$C$3:$AP$3="4.1")*INDEX(Dati!$CE$1:$DR$1000,MATCH($A27,Dati!$A$1:$A$1000,0),0)),2),""))</f>
        <v/>
      </c>
      <c r="K27" s="13" t="str">
        <f aca="false">IF($B27="","",IFERROR(ROUND(SUMPRODUCT((Dati!$C$3:$AP$3="4.2")*INDEX(Dati!$C$1:$AP$1000,MATCH($A27,Dati!$A$1:$A$1000,0),0)*INDEX(Dati!$CE$1:$DR$1000,MATCH($A27,Dati!$A$1:$A$1000,0),0))/SUMPRODUCT((Dati!$C$3:$AP$3="4.2")*INDEX(Dati!$CE$1:$DR$1000,MATCH($A27,Dati!$A$1:$A$1000,0),0)),2),""))</f>
        <v/>
      </c>
      <c r="L27" s="13" t="str">
        <f aca="false">IF($B27="","",IFERROR(ROUND(SUMPRODUCT((Dati!$C$3:$AP$3="4.3")*INDEX(Dati!$C$1:$AP$1000,MATCH($A27,Dati!$A$1:$A$1000,0),0)*INDEX(Dati!$CE$1:$DR$1000,MATCH($A27,Dati!$A$1:$A$1000,0),0))/SUMPRODUCT((Dati!$C$3:$AP$3="4.3")*INDEX(Dati!$CE$1:$DR$1000,MATCH($A27,Dati!$A$1:$A$1000,0),0)),2),""))</f>
        <v/>
      </c>
      <c r="M27" s="13" t="str">
        <f aca="false">IF($B27="","",IFERROR(SUMPRODUCT((Dati!$C$4:$AP$4="A")*(INDEX(Dati!$CE$1:$DR$1000,MATCH($A27,Dati!$A$1:$A$1000,0),0)&gt;0)),0))</f>
        <v/>
      </c>
      <c r="N27" s="13" t="str">
        <f aca="false">IF($B27="","",IFERROR(ROUND(SUMPRODUCT((Dati!$C$4:$AP$4="A")*INDEX(Dati!$C$1:$AP$1000,MATCH($A27,Dati!$A$1:$A$1000,0),0)*INDEX(Dati!$CE$1:$DR$1000,MATCH($A27,Dati!$A$1:$A$1000,0),0))/SUMPRODUCT((Dati!$C$4:$AP$4="A")*INDEX(Dati!$CE$1:$DR$1000,MATCH($A27,Dati!$A$1:$A$1000,0),0)),2),""))</f>
        <v/>
      </c>
      <c r="O27" s="13" t="str">
        <f aca="false">IF(N27="","",IF(ISNUMBER(AC27),ROUND(Impostazioni!$B$12*N27+Impostazioni!$B$13*AC27,2),N27))</f>
        <v/>
      </c>
      <c r="P27" s="51" t="str">
        <f aca="false">IF(O27="","",LOOKUP(O27,Impostazioni!$E$4:$E$9,Impostazioni!$F$4:$F$9))</f>
        <v/>
      </c>
      <c r="Q27" s="52"/>
      <c r="R27" s="13" t="str">
        <f aca="false">IF($B27="","",IFERROR(SUMPRODUCT((Dati!$C$4:$AP$4="B")*(INDEX(Dati!$CE$1:$DR$1000,MATCH($A27,Dati!$A$1:$A$1000,0),0)&gt;0)),0))</f>
        <v/>
      </c>
      <c r="S27" s="13" t="str">
        <f aca="false">IF($B27="","",IFERROR(ROUND(SUMPRODUCT((Dati!$C$4:$AP$4="B")*INDEX(Dati!$C$1:$AP$1000,MATCH($A27,Dati!$A$1:$A$1000,0),0)*INDEX(Dati!$CE$1:$DR$1000,MATCH($A27,Dati!$A$1:$A$1000,0),0))/SUMPRODUCT((Dati!$C$4:$AP$4="B")*INDEX(Dati!$CE$1:$DR$1000,MATCH($A27,Dati!$A$1:$A$1000,0),0)),2),""))</f>
        <v/>
      </c>
      <c r="T27" s="13" t="str">
        <f aca="false">IF(S27="","",IF(ISNUMBER(AC27),ROUND(Impostazioni!$B$12*S27+Impostazioni!$B$13*AC27,2),S27))</f>
        <v/>
      </c>
      <c r="U27" s="51" t="str">
        <f aca="false">IF(T27="","",LOOKUP(T27,Impostazioni!$E$4:$E$9,Impostazioni!$F$4:$F$9))</f>
        <v/>
      </c>
      <c r="V27" s="52"/>
      <c r="W27" s="13" t="str">
        <f aca="false">IF($B27="","",IFERROR(ROUND(SUMPRODUCT((Dati!$C$4:$AP$4="TEC")*INDEX(Dati!$C$1:$AP$1000,MATCH($A27,Dati!$A$1:$A$1000,0),0)*INDEX(Dati!$CE$1:$DR$1000,MATCH($A27,Dati!$A$1:$A$1000,0),0))/SUMPRODUCT((Dati!$C$4:$AP$4="TEC")*INDEX(Dati!$CE$1:$DR$1000,MATCH($A27,Dati!$A$1:$A$1000,0),0)),2),""))</f>
        <v/>
      </c>
      <c r="X27" s="51" t="str">
        <f aca="false">IF(W27="","",LOOKUP(W27,Impostazioni!$E$4:$E$9,Impostazioni!$F$4:$F$9))</f>
        <v/>
      </c>
      <c r="Y27" s="52"/>
      <c r="Z27" s="13" t="str">
        <f aca="false">IF($B27="","",IFERROR(ROUND(SUMPRODUCT((Dati!$C$4:$AP$4="CIV")*INDEX(Dati!$C$1:$AP$1000,MATCH($A27,Dati!$A$1:$A$1000,0),0)*INDEX(Dati!$CE$1:$DR$1000,MATCH($A27,Dati!$A$1:$A$1000,0),0))/SUMPRODUCT((Dati!$C$4:$AP$4="CIV")*INDEX(Dati!$CE$1:$DR$1000,MATCH($A27,Dati!$A$1:$A$1000,0),0)),2),""))</f>
        <v/>
      </c>
      <c r="AA27" s="51" t="str">
        <f aca="false">IF(Z27="","",LOOKUP(Z27,Impostazioni!$E$4:$E$9,Impostazioni!$F$4:$F$9))</f>
        <v/>
      </c>
      <c r="AB27" s="52"/>
      <c r="AC27" s="52"/>
      <c r="AD27" s="13" t="str">
        <f aca="false">IF($B27="","",IFERROR(SUM(INDEX(Dati!$FG$1:$FP$1000,MATCH($A27,Dati!$A$1:$A$1000,0),0)),0))</f>
        <v/>
      </c>
      <c r="AE27" s="16" t="str">
        <f aca="false">IF($B27="","",IF($C27="ES","Esonerato: concordare con referente e dirigente",IF($C27="Ritirato","Ritirato",TRIM(IF(OR(N(M27)&lt;Impostazioni!$B$14,N(R27)&lt;Impostazioni!$B$14),"Pochi voti: valutazione alternativa (scritta/orale). ","")&amp;IF(N(AD27)&gt;0,"Da recuperare: "&amp;AD27&amp;". ","")&amp;IF($D27="OP","Riferito agli obiettivi personalizzati.","")))))</f>
        <v/>
      </c>
      <c r="AF27" s="31" t="str">
        <f aca="false">IF($B27="","",IF($C27="ES","ES",IF(Q27&lt;&gt;"",Q27,P27)))</f>
        <v/>
      </c>
      <c r="AG27" s="31" t="str">
        <f aca="false">IF($B27="","",IF($C27="ES","ES",IF(V27&lt;&gt;"",V27,U27)))</f>
        <v/>
      </c>
      <c r="AH27" s="31" t="str">
        <f aca="false">IF($B27="","",IF($C27="ES","ES",IF(Y27&lt;&gt;"",Y27,X27)))</f>
        <v/>
      </c>
      <c r="AI27" s="31" t="str">
        <f aca="false">IF($B27="","",IF($C27="ES","ES",IF(AB27&lt;&gt;"",AB27,AA27)))</f>
        <v/>
      </c>
      <c r="AJ27" s="13" t="str">
        <f aca="false">IF($B27="","",IFERROR(ROUND(SUMPRODUCT((Dati!$AQ$3:$CD$3="1.1")*INDEX(Dati!$AQ$1:$CD$1000,MATCH($A27,Dati!$A$1:$A$1000,0),0)*INDEX(Dati!$DS$1:$FF$1000,MATCH($A27,Dati!$A$1:$A$1000,0),0))/SUMPRODUCT((Dati!$AQ$3:$CD$3="1.1")*INDEX(Dati!$DS$1:$FF$1000,MATCH($A27,Dati!$A$1:$A$1000,0),0)),2),""))</f>
        <v/>
      </c>
      <c r="AK27" s="13" t="str">
        <f aca="false">IF($B27="","",IFERROR(ROUND(SUMPRODUCT((Dati!$AQ$3:$CD$3="2.1")*INDEX(Dati!$AQ$1:$CD$1000,MATCH($A27,Dati!$A$1:$A$1000,0),0)*INDEX(Dati!$DS$1:$FF$1000,MATCH($A27,Dati!$A$1:$A$1000,0),0))/SUMPRODUCT((Dati!$AQ$3:$CD$3="2.1")*INDEX(Dati!$DS$1:$FF$1000,MATCH($A27,Dati!$A$1:$A$1000,0),0)),2),""))</f>
        <v/>
      </c>
      <c r="AL27" s="13" t="str">
        <f aca="false">IF($B27="","",IFERROR(ROUND(SUMPRODUCT((Dati!$AQ$3:$CD$3="3.1")*INDEX(Dati!$AQ$1:$CD$1000,MATCH($A27,Dati!$A$1:$A$1000,0),0)*INDEX(Dati!$DS$1:$FF$1000,MATCH($A27,Dati!$A$1:$A$1000,0),0))/SUMPRODUCT((Dati!$AQ$3:$CD$3="3.1")*INDEX(Dati!$DS$1:$FF$1000,MATCH($A27,Dati!$A$1:$A$1000,0),0)),2),""))</f>
        <v/>
      </c>
      <c r="AM27" s="13" t="str">
        <f aca="false">IF($B27="","",IFERROR(ROUND(SUMPRODUCT((Dati!$AQ$3:$CD$3="3.2")*INDEX(Dati!$AQ$1:$CD$1000,MATCH($A27,Dati!$A$1:$A$1000,0),0)*INDEX(Dati!$DS$1:$FF$1000,MATCH($A27,Dati!$A$1:$A$1000,0),0))/SUMPRODUCT((Dati!$AQ$3:$CD$3="3.2")*INDEX(Dati!$DS$1:$FF$1000,MATCH($A27,Dati!$A$1:$A$1000,0),0)),2),""))</f>
        <v/>
      </c>
      <c r="AN27" s="13" t="str">
        <f aca="false">IF($B27="","",IFERROR(ROUND(SUMPRODUCT((Dati!$AQ$3:$CD$3="3.3")*INDEX(Dati!$AQ$1:$CD$1000,MATCH($A27,Dati!$A$1:$A$1000,0),0)*INDEX(Dati!$DS$1:$FF$1000,MATCH($A27,Dati!$A$1:$A$1000,0),0))/SUMPRODUCT((Dati!$AQ$3:$CD$3="3.3")*INDEX(Dati!$DS$1:$FF$1000,MATCH($A27,Dati!$A$1:$A$1000,0),0)),2),""))</f>
        <v/>
      </c>
      <c r="AO27" s="13" t="str">
        <f aca="false">IF($B27="","",IFERROR(ROUND(SUMPRODUCT((Dati!$AQ$3:$CD$3="4.1")*INDEX(Dati!$AQ$1:$CD$1000,MATCH($A27,Dati!$A$1:$A$1000,0),0)*INDEX(Dati!$DS$1:$FF$1000,MATCH($A27,Dati!$A$1:$A$1000,0),0))/SUMPRODUCT((Dati!$AQ$3:$CD$3="4.1")*INDEX(Dati!$DS$1:$FF$1000,MATCH($A27,Dati!$A$1:$A$1000,0),0)),2),""))</f>
        <v/>
      </c>
      <c r="AP27" s="13" t="str">
        <f aca="false">IF($B27="","",IFERROR(ROUND(SUMPRODUCT((Dati!$AQ$3:$CD$3="4.2")*INDEX(Dati!$AQ$1:$CD$1000,MATCH($A27,Dati!$A$1:$A$1000,0),0)*INDEX(Dati!$DS$1:$FF$1000,MATCH($A27,Dati!$A$1:$A$1000,0),0))/SUMPRODUCT((Dati!$AQ$3:$CD$3="4.2")*INDEX(Dati!$DS$1:$FF$1000,MATCH($A27,Dati!$A$1:$A$1000,0),0)),2),""))</f>
        <v/>
      </c>
      <c r="AQ27" s="13" t="str">
        <f aca="false">IF($B27="","",IFERROR(ROUND(SUMPRODUCT((Dati!$AQ$3:$CD$3="4.3")*INDEX(Dati!$AQ$1:$CD$1000,MATCH($A27,Dati!$A$1:$A$1000,0),0)*INDEX(Dati!$DS$1:$FF$1000,MATCH($A27,Dati!$A$1:$A$1000,0),0))/SUMPRODUCT((Dati!$AQ$3:$CD$3="4.3")*INDEX(Dati!$DS$1:$FF$1000,MATCH($A27,Dati!$A$1:$A$1000,0),0)),2),""))</f>
        <v/>
      </c>
      <c r="AR27" s="13" t="str">
        <f aca="false">IF($B27="","",IFERROR(SUMPRODUCT((Dati!$AQ$4:$CD$4="A")*(INDEX(Dati!$DS$1:$FF$1000,MATCH($A27,Dati!$A$1:$A$1000,0),0)&gt;0)),0))</f>
        <v/>
      </c>
      <c r="AS27" s="13" t="str">
        <f aca="false">IF($B27="","",IFERROR(ROUND(SUMPRODUCT((Dati!$AQ$4:$CD$4="A")*INDEX(Dati!$AQ$1:$CD$1000,MATCH($A27,Dati!$A$1:$A$1000,0),0)*INDEX(Dati!$DS$1:$FF$1000,MATCH($A27,Dati!$A$1:$A$1000,0),0))/SUMPRODUCT((Dati!$AQ$4:$CD$4="A")*INDEX(Dati!$DS$1:$FF$1000,MATCH($A27,Dati!$A$1:$A$1000,0),0)),2),""))</f>
        <v/>
      </c>
      <c r="AT27" s="13" t="str">
        <f aca="false">IF(AS27="","",IF(ISNUMBER(BH27),ROUND(Impostazioni!$B$12*AS27+Impostazioni!$B$13*BH27,2),AS27))</f>
        <v/>
      </c>
      <c r="AU27" s="51" t="str">
        <f aca="false">IF(AT27="","",LOOKUP(AT27,Impostazioni!$E$4:$E$9,Impostazioni!$F$4:$F$9))</f>
        <v/>
      </c>
      <c r="AV27" s="52"/>
      <c r="AW27" s="13" t="str">
        <f aca="false">IF($B27="","",IFERROR(SUMPRODUCT((Dati!$AQ$4:$CD$4="B")*(INDEX(Dati!$DS$1:$FF$1000,MATCH($A27,Dati!$A$1:$A$1000,0),0)&gt;0)),0))</f>
        <v/>
      </c>
      <c r="AX27" s="13" t="str">
        <f aca="false">IF($B27="","",IFERROR(ROUND(SUMPRODUCT((Dati!$AQ$4:$CD$4="B")*INDEX(Dati!$AQ$1:$CD$1000,MATCH($A27,Dati!$A$1:$A$1000,0),0)*INDEX(Dati!$DS$1:$FF$1000,MATCH($A27,Dati!$A$1:$A$1000,0),0))/SUMPRODUCT((Dati!$AQ$4:$CD$4="B")*INDEX(Dati!$DS$1:$FF$1000,MATCH($A27,Dati!$A$1:$A$1000,0),0)),2),""))</f>
        <v/>
      </c>
      <c r="AY27" s="13" t="str">
        <f aca="false">IF(AX27="","",IF(ISNUMBER(BH27),ROUND(Impostazioni!$B$12*AX27+Impostazioni!$B$13*BH27,2),AX27))</f>
        <v/>
      </c>
      <c r="AZ27" s="51" t="str">
        <f aca="false">IF(AY27="","",LOOKUP(AY27,Impostazioni!$E$4:$E$9,Impostazioni!$F$4:$F$9))</f>
        <v/>
      </c>
      <c r="BA27" s="52"/>
      <c r="BB27" s="13" t="str">
        <f aca="false">IF($B27="","",IFERROR(ROUND(SUMPRODUCT((Dati!$AQ$4:$CD$4="TEC")*INDEX(Dati!$AQ$1:$CD$1000,MATCH($A27,Dati!$A$1:$A$1000,0),0)*INDEX(Dati!$DS$1:$FF$1000,MATCH($A27,Dati!$A$1:$A$1000,0),0))/SUMPRODUCT((Dati!$AQ$4:$CD$4="TEC")*INDEX(Dati!$DS$1:$FF$1000,MATCH($A27,Dati!$A$1:$A$1000,0),0)),2),""))</f>
        <v/>
      </c>
      <c r="BC27" s="51" t="str">
        <f aca="false">IF(BB27="","",LOOKUP(BB27,Impostazioni!$E$4:$E$9,Impostazioni!$F$4:$F$9))</f>
        <v/>
      </c>
      <c r="BD27" s="52"/>
      <c r="BE27" s="13" t="str">
        <f aca="false">IF($B27="","",IFERROR(ROUND(SUMPRODUCT((Dati!$AQ$4:$CD$4="CIV")*INDEX(Dati!$AQ$1:$CD$1000,MATCH($A27,Dati!$A$1:$A$1000,0),0)*INDEX(Dati!$DS$1:$FF$1000,MATCH($A27,Dati!$A$1:$A$1000,0),0))/SUMPRODUCT((Dati!$AQ$4:$CD$4="CIV")*INDEX(Dati!$DS$1:$FF$1000,MATCH($A27,Dati!$A$1:$A$1000,0),0)),2),""))</f>
        <v/>
      </c>
      <c r="BF27" s="51" t="str">
        <f aca="false">IF(BE27="","",LOOKUP(BE27,Impostazioni!$E$4:$E$9,Impostazioni!$F$4:$F$9))</f>
        <v/>
      </c>
      <c r="BG27" s="52"/>
      <c r="BH27" s="52"/>
      <c r="BI27" s="13" t="str">
        <f aca="false">IF($B27="","",IFERROR(SUM(INDEX(Dati!$FQ$1:$FZ$1000,MATCH($A27,Dati!$A$1:$A$1000,0),0)),0))</f>
        <v/>
      </c>
      <c r="BJ27" s="16" t="str">
        <f aca="false">IF($B27="","",IF($C27="ES","Esonerato: concordare con referente e dirigente",IF($C27="Ritirato","Ritirato",TRIM(IF(OR(N(AR27)&lt;Impostazioni!$B$14,N(AW27)&lt;Impostazioni!$B$14),"Pochi voti: valutazione alternativa (scritta/orale). ","")&amp;IF(N(BI27)&gt;0,"Da recuperare: "&amp;BI27&amp;". ","")&amp;IF($D27="OP","Riferito agli obiettivi personalizzati.","")))))</f>
        <v/>
      </c>
      <c r="BK27" s="31" t="str">
        <f aca="false">IF($B27="","",IF($C27="ES","ES",IF(AV27&lt;&gt;"",AV27,AU27)))</f>
        <v/>
      </c>
      <c r="BL27" s="31" t="str">
        <f aca="false">IF($B27="","",IF($C27="ES","ES",IF(BA27&lt;&gt;"",BA27,AZ27)))</f>
        <v/>
      </c>
      <c r="BM27" s="31" t="str">
        <f aca="false">IF($B27="","",IF($C27="ES","ES",IF(BD27&lt;&gt;"",BD27,BC27)))</f>
        <v/>
      </c>
      <c r="BN27" s="31" t="str">
        <f aca="false">IF($B27="","",IF($C27="ES","ES",IF(BG27&lt;&gt;"",BG27,BF27)))</f>
        <v/>
      </c>
      <c r="BO27" s="14"/>
    </row>
    <row r="28" customFormat="false" ht="21" hidden="false" customHeight="true" outlineLevel="0" collapsed="false">
      <c r="A28" s="10" t="n">
        <v>21</v>
      </c>
      <c r="B28" s="16" t="str">
        <f aca="false">IFERROR(INDEX(Alunni!$C$1:$C$1000,MATCH($A28,Alunni!$A$1:$A$1000,0))&amp;"","")</f>
        <v/>
      </c>
      <c r="C28" s="13" t="str">
        <f aca="false">IFERROR(INDEX(Alunni!$D$1:$D$1000,MATCH($A28,Alunni!$A$1:$A$1000,0))&amp;"","")</f>
        <v/>
      </c>
      <c r="D28" s="13" t="str">
        <f aca="false">IFERROR(INDEX(Alunni!$E$1:$E$1000,MATCH($A28,Alunni!$A$1:$A$1000,0))&amp;"","")</f>
        <v/>
      </c>
      <c r="E28" s="13" t="str">
        <f aca="false">IF($B28="","",IFERROR(ROUND(SUMPRODUCT((Dati!$C$3:$AP$3="1.1")*INDEX(Dati!$C$1:$AP$1000,MATCH($A28,Dati!$A$1:$A$1000,0),0)*INDEX(Dati!$CE$1:$DR$1000,MATCH($A28,Dati!$A$1:$A$1000,0),0))/SUMPRODUCT((Dati!$C$3:$AP$3="1.1")*INDEX(Dati!$CE$1:$DR$1000,MATCH($A28,Dati!$A$1:$A$1000,0),0)),2),""))</f>
        <v/>
      </c>
      <c r="F28" s="13" t="str">
        <f aca="false">IF($B28="","",IFERROR(ROUND(SUMPRODUCT((Dati!$C$3:$AP$3="2.1")*INDEX(Dati!$C$1:$AP$1000,MATCH($A28,Dati!$A$1:$A$1000,0),0)*INDEX(Dati!$CE$1:$DR$1000,MATCH($A28,Dati!$A$1:$A$1000,0),0))/SUMPRODUCT((Dati!$C$3:$AP$3="2.1")*INDEX(Dati!$CE$1:$DR$1000,MATCH($A28,Dati!$A$1:$A$1000,0),0)),2),""))</f>
        <v/>
      </c>
      <c r="G28" s="13" t="str">
        <f aca="false">IF($B28="","",IFERROR(ROUND(SUMPRODUCT((Dati!$C$3:$AP$3="3.1")*INDEX(Dati!$C$1:$AP$1000,MATCH($A28,Dati!$A$1:$A$1000,0),0)*INDEX(Dati!$CE$1:$DR$1000,MATCH($A28,Dati!$A$1:$A$1000,0),0))/SUMPRODUCT((Dati!$C$3:$AP$3="3.1")*INDEX(Dati!$CE$1:$DR$1000,MATCH($A28,Dati!$A$1:$A$1000,0),0)),2),""))</f>
        <v/>
      </c>
      <c r="H28" s="13" t="str">
        <f aca="false">IF($B28="","",IFERROR(ROUND(SUMPRODUCT((Dati!$C$3:$AP$3="3.2")*INDEX(Dati!$C$1:$AP$1000,MATCH($A28,Dati!$A$1:$A$1000,0),0)*INDEX(Dati!$CE$1:$DR$1000,MATCH($A28,Dati!$A$1:$A$1000,0),0))/SUMPRODUCT((Dati!$C$3:$AP$3="3.2")*INDEX(Dati!$CE$1:$DR$1000,MATCH($A28,Dati!$A$1:$A$1000,0),0)),2),""))</f>
        <v/>
      </c>
      <c r="I28" s="13" t="str">
        <f aca="false">IF($B28="","",IFERROR(ROUND(SUMPRODUCT((Dati!$C$3:$AP$3="3.3")*INDEX(Dati!$C$1:$AP$1000,MATCH($A28,Dati!$A$1:$A$1000,0),0)*INDEX(Dati!$CE$1:$DR$1000,MATCH($A28,Dati!$A$1:$A$1000,0),0))/SUMPRODUCT((Dati!$C$3:$AP$3="3.3")*INDEX(Dati!$CE$1:$DR$1000,MATCH($A28,Dati!$A$1:$A$1000,0),0)),2),""))</f>
        <v/>
      </c>
      <c r="J28" s="13" t="str">
        <f aca="false">IF($B28="","",IFERROR(ROUND(SUMPRODUCT((Dati!$C$3:$AP$3="4.1")*INDEX(Dati!$C$1:$AP$1000,MATCH($A28,Dati!$A$1:$A$1000,0),0)*INDEX(Dati!$CE$1:$DR$1000,MATCH($A28,Dati!$A$1:$A$1000,0),0))/SUMPRODUCT((Dati!$C$3:$AP$3="4.1")*INDEX(Dati!$CE$1:$DR$1000,MATCH($A28,Dati!$A$1:$A$1000,0),0)),2),""))</f>
        <v/>
      </c>
      <c r="K28" s="13" t="str">
        <f aca="false">IF($B28="","",IFERROR(ROUND(SUMPRODUCT((Dati!$C$3:$AP$3="4.2")*INDEX(Dati!$C$1:$AP$1000,MATCH($A28,Dati!$A$1:$A$1000,0),0)*INDEX(Dati!$CE$1:$DR$1000,MATCH($A28,Dati!$A$1:$A$1000,0),0))/SUMPRODUCT((Dati!$C$3:$AP$3="4.2")*INDEX(Dati!$CE$1:$DR$1000,MATCH($A28,Dati!$A$1:$A$1000,0),0)),2),""))</f>
        <v/>
      </c>
      <c r="L28" s="13" t="str">
        <f aca="false">IF($B28="","",IFERROR(ROUND(SUMPRODUCT((Dati!$C$3:$AP$3="4.3")*INDEX(Dati!$C$1:$AP$1000,MATCH($A28,Dati!$A$1:$A$1000,0),0)*INDEX(Dati!$CE$1:$DR$1000,MATCH($A28,Dati!$A$1:$A$1000,0),0))/SUMPRODUCT((Dati!$C$3:$AP$3="4.3")*INDEX(Dati!$CE$1:$DR$1000,MATCH($A28,Dati!$A$1:$A$1000,0),0)),2),""))</f>
        <v/>
      </c>
      <c r="M28" s="13" t="str">
        <f aca="false">IF($B28="","",IFERROR(SUMPRODUCT((Dati!$C$4:$AP$4="A")*(INDEX(Dati!$CE$1:$DR$1000,MATCH($A28,Dati!$A$1:$A$1000,0),0)&gt;0)),0))</f>
        <v/>
      </c>
      <c r="N28" s="13" t="str">
        <f aca="false">IF($B28="","",IFERROR(ROUND(SUMPRODUCT((Dati!$C$4:$AP$4="A")*INDEX(Dati!$C$1:$AP$1000,MATCH($A28,Dati!$A$1:$A$1000,0),0)*INDEX(Dati!$CE$1:$DR$1000,MATCH($A28,Dati!$A$1:$A$1000,0),0))/SUMPRODUCT((Dati!$C$4:$AP$4="A")*INDEX(Dati!$CE$1:$DR$1000,MATCH($A28,Dati!$A$1:$A$1000,0),0)),2),""))</f>
        <v/>
      </c>
      <c r="O28" s="13" t="str">
        <f aca="false">IF(N28="","",IF(ISNUMBER(AC28),ROUND(Impostazioni!$B$12*N28+Impostazioni!$B$13*AC28,2),N28))</f>
        <v/>
      </c>
      <c r="P28" s="51" t="str">
        <f aca="false">IF(O28="","",LOOKUP(O28,Impostazioni!$E$4:$E$9,Impostazioni!$F$4:$F$9))</f>
        <v/>
      </c>
      <c r="Q28" s="52"/>
      <c r="R28" s="13" t="str">
        <f aca="false">IF($B28="","",IFERROR(SUMPRODUCT((Dati!$C$4:$AP$4="B")*(INDEX(Dati!$CE$1:$DR$1000,MATCH($A28,Dati!$A$1:$A$1000,0),0)&gt;0)),0))</f>
        <v/>
      </c>
      <c r="S28" s="13" t="str">
        <f aca="false">IF($B28="","",IFERROR(ROUND(SUMPRODUCT((Dati!$C$4:$AP$4="B")*INDEX(Dati!$C$1:$AP$1000,MATCH($A28,Dati!$A$1:$A$1000,0),0)*INDEX(Dati!$CE$1:$DR$1000,MATCH($A28,Dati!$A$1:$A$1000,0),0))/SUMPRODUCT((Dati!$C$4:$AP$4="B")*INDEX(Dati!$CE$1:$DR$1000,MATCH($A28,Dati!$A$1:$A$1000,0),0)),2),""))</f>
        <v/>
      </c>
      <c r="T28" s="13" t="str">
        <f aca="false">IF(S28="","",IF(ISNUMBER(AC28),ROUND(Impostazioni!$B$12*S28+Impostazioni!$B$13*AC28,2),S28))</f>
        <v/>
      </c>
      <c r="U28" s="51" t="str">
        <f aca="false">IF(T28="","",LOOKUP(T28,Impostazioni!$E$4:$E$9,Impostazioni!$F$4:$F$9))</f>
        <v/>
      </c>
      <c r="V28" s="52"/>
      <c r="W28" s="13" t="str">
        <f aca="false">IF($B28="","",IFERROR(ROUND(SUMPRODUCT((Dati!$C$4:$AP$4="TEC")*INDEX(Dati!$C$1:$AP$1000,MATCH($A28,Dati!$A$1:$A$1000,0),0)*INDEX(Dati!$CE$1:$DR$1000,MATCH($A28,Dati!$A$1:$A$1000,0),0))/SUMPRODUCT((Dati!$C$4:$AP$4="TEC")*INDEX(Dati!$CE$1:$DR$1000,MATCH($A28,Dati!$A$1:$A$1000,0),0)),2),""))</f>
        <v/>
      </c>
      <c r="X28" s="51" t="str">
        <f aca="false">IF(W28="","",LOOKUP(W28,Impostazioni!$E$4:$E$9,Impostazioni!$F$4:$F$9))</f>
        <v/>
      </c>
      <c r="Y28" s="52"/>
      <c r="Z28" s="13" t="str">
        <f aca="false">IF($B28="","",IFERROR(ROUND(SUMPRODUCT((Dati!$C$4:$AP$4="CIV")*INDEX(Dati!$C$1:$AP$1000,MATCH($A28,Dati!$A$1:$A$1000,0),0)*INDEX(Dati!$CE$1:$DR$1000,MATCH($A28,Dati!$A$1:$A$1000,0),0))/SUMPRODUCT((Dati!$C$4:$AP$4="CIV")*INDEX(Dati!$CE$1:$DR$1000,MATCH($A28,Dati!$A$1:$A$1000,0),0)),2),""))</f>
        <v/>
      </c>
      <c r="AA28" s="51" t="str">
        <f aca="false">IF(Z28="","",LOOKUP(Z28,Impostazioni!$E$4:$E$9,Impostazioni!$F$4:$F$9))</f>
        <v/>
      </c>
      <c r="AB28" s="52"/>
      <c r="AC28" s="52"/>
      <c r="AD28" s="13" t="str">
        <f aca="false">IF($B28="","",IFERROR(SUM(INDEX(Dati!$FG$1:$FP$1000,MATCH($A28,Dati!$A$1:$A$1000,0),0)),0))</f>
        <v/>
      </c>
      <c r="AE28" s="16" t="str">
        <f aca="false">IF($B28="","",IF($C28="ES","Esonerato: concordare con referente e dirigente",IF($C28="Ritirato","Ritirato",TRIM(IF(OR(N(M28)&lt;Impostazioni!$B$14,N(R28)&lt;Impostazioni!$B$14),"Pochi voti: valutazione alternativa (scritta/orale). ","")&amp;IF(N(AD28)&gt;0,"Da recuperare: "&amp;AD28&amp;". ","")&amp;IF($D28="OP","Riferito agli obiettivi personalizzati.","")))))</f>
        <v/>
      </c>
      <c r="AF28" s="31" t="str">
        <f aca="false">IF($B28="","",IF($C28="ES","ES",IF(Q28&lt;&gt;"",Q28,P28)))</f>
        <v/>
      </c>
      <c r="AG28" s="31" t="str">
        <f aca="false">IF($B28="","",IF($C28="ES","ES",IF(V28&lt;&gt;"",V28,U28)))</f>
        <v/>
      </c>
      <c r="AH28" s="31" t="str">
        <f aca="false">IF($B28="","",IF($C28="ES","ES",IF(Y28&lt;&gt;"",Y28,X28)))</f>
        <v/>
      </c>
      <c r="AI28" s="31" t="str">
        <f aca="false">IF($B28="","",IF($C28="ES","ES",IF(AB28&lt;&gt;"",AB28,AA28)))</f>
        <v/>
      </c>
      <c r="AJ28" s="13" t="str">
        <f aca="false">IF($B28="","",IFERROR(ROUND(SUMPRODUCT((Dati!$AQ$3:$CD$3="1.1")*INDEX(Dati!$AQ$1:$CD$1000,MATCH($A28,Dati!$A$1:$A$1000,0),0)*INDEX(Dati!$DS$1:$FF$1000,MATCH($A28,Dati!$A$1:$A$1000,0),0))/SUMPRODUCT((Dati!$AQ$3:$CD$3="1.1")*INDEX(Dati!$DS$1:$FF$1000,MATCH($A28,Dati!$A$1:$A$1000,0),0)),2),""))</f>
        <v/>
      </c>
      <c r="AK28" s="13" t="str">
        <f aca="false">IF($B28="","",IFERROR(ROUND(SUMPRODUCT((Dati!$AQ$3:$CD$3="2.1")*INDEX(Dati!$AQ$1:$CD$1000,MATCH($A28,Dati!$A$1:$A$1000,0),0)*INDEX(Dati!$DS$1:$FF$1000,MATCH($A28,Dati!$A$1:$A$1000,0),0))/SUMPRODUCT((Dati!$AQ$3:$CD$3="2.1")*INDEX(Dati!$DS$1:$FF$1000,MATCH($A28,Dati!$A$1:$A$1000,0),0)),2),""))</f>
        <v/>
      </c>
      <c r="AL28" s="13" t="str">
        <f aca="false">IF($B28="","",IFERROR(ROUND(SUMPRODUCT((Dati!$AQ$3:$CD$3="3.1")*INDEX(Dati!$AQ$1:$CD$1000,MATCH($A28,Dati!$A$1:$A$1000,0),0)*INDEX(Dati!$DS$1:$FF$1000,MATCH($A28,Dati!$A$1:$A$1000,0),0))/SUMPRODUCT((Dati!$AQ$3:$CD$3="3.1")*INDEX(Dati!$DS$1:$FF$1000,MATCH($A28,Dati!$A$1:$A$1000,0),0)),2),""))</f>
        <v/>
      </c>
      <c r="AM28" s="13" t="str">
        <f aca="false">IF($B28="","",IFERROR(ROUND(SUMPRODUCT((Dati!$AQ$3:$CD$3="3.2")*INDEX(Dati!$AQ$1:$CD$1000,MATCH($A28,Dati!$A$1:$A$1000,0),0)*INDEX(Dati!$DS$1:$FF$1000,MATCH($A28,Dati!$A$1:$A$1000,0),0))/SUMPRODUCT((Dati!$AQ$3:$CD$3="3.2")*INDEX(Dati!$DS$1:$FF$1000,MATCH($A28,Dati!$A$1:$A$1000,0),0)),2),""))</f>
        <v/>
      </c>
      <c r="AN28" s="13" t="str">
        <f aca="false">IF($B28="","",IFERROR(ROUND(SUMPRODUCT((Dati!$AQ$3:$CD$3="3.3")*INDEX(Dati!$AQ$1:$CD$1000,MATCH($A28,Dati!$A$1:$A$1000,0),0)*INDEX(Dati!$DS$1:$FF$1000,MATCH($A28,Dati!$A$1:$A$1000,0),0))/SUMPRODUCT((Dati!$AQ$3:$CD$3="3.3")*INDEX(Dati!$DS$1:$FF$1000,MATCH($A28,Dati!$A$1:$A$1000,0),0)),2),""))</f>
        <v/>
      </c>
      <c r="AO28" s="13" t="str">
        <f aca="false">IF($B28="","",IFERROR(ROUND(SUMPRODUCT((Dati!$AQ$3:$CD$3="4.1")*INDEX(Dati!$AQ$1:$CD$1000,MATCH($A28,Dati!$A$1:$A$1000,0),0)*INDEX(Dati!$DS$1:$FF$1000,MATCH($A28,Dati!$A$1:$A$1000,0),0))/SUMPRODUCT((Dati!$AQ$3:$CD$3="4.1")*INDEX(Dati!$DS$1:$FF$1000,MATCH($A28,Dati!$A$1:$A$1000,0),0)),2),""))</f>
        <v/>
      </c>
      <c r="AP28" s="13" t="str">
        <f aca="false">IF($B28="","",IFERROR(ROUND(SUMPRODUCT((Dati!$AQ$3:$CD$3="4.2")*INDEX(Dati!$AQ$1:$CD$1000,MATCH($A28,Dati!$A$1:$A$1000,0),0)*INDEX(Dati!$DS$1:$FF$1000,MATCH($A28,Dati!$A$1:$A$1000,0),0))/SUMPRODUCT((Dati!$AQ$3:$CD$3="4.2")*INDEX(Dati!$DS$1:$FF$1000,MATCH($A28,Dati!$A$1:$A$1000,0),0)),2),""))</f>
        <v/>
      </c>
      <c r="AQ28" s="13" t="str">
        <f aca="false">IF($B28="","",IFERROR(ROUND(SUMPRODUCT((Dati!$AQ$3:$CD$3="4.3")*INDEX(Dati!$AQ$1:$CD$1000,MATCH($A28,Dati!$A$1:$A$1000,0),0)*INDEX(Dati!$DS$1:$FF$1000,MATCH($A28,Dati!$A$1:$A$1000,0),0))/SUMPRODUCT((Dati!$AQ$3:$CD$3="4.3")*INDEX(Dati!$DS$1:$FF$1000,MATCH($A28,Dati!$A$1:$A$1000,0),0)),2),""))</f>
        <v/>
      </c>
      <c r="AR28" s="13" t="str">
        <f aca="false">IF($B28="","",IFERROR(SUMPRODUCT((Dati!$AQ$4:$CD$4="A")*(INDEX(Dati!$DS$1:$FF$1000,MATCH($A28,Dati!$A$1:$A$1000,0),0)&gt;0)),0))</f>
        <v/>
      </c>
      <c r="AS28" s="13" t="str">
        <f aca="false">IF($B28="","",IFERROR(ROUND(SUMPRODUCT((Dati!$AQ$4:$CD$4="A")*INDEX(Dati!$AQ$1:$CD$1000,MATCH($A28,Dati!$A$1:$A$1000,0),0)*INDEX(Dati!$DS$1:$FF$1000,MATCH($A28,Dati!$A$1:$A$1000,0),0))/SUMPRODUCT((Dati!$AQ$4:$CD$4="A")*INDEX(Dati!$DS$1:$FF$1000,MATCH($A28,Dati!$A$1:$A$1000,0),0)),2),""))</f>
        <v/>
      </c>
      <c r="AT28" s="13" t="str">
        <f aca="false">IF(AS28="","",IF(ISNUMBER(BH28),ROUND(Impostazioni!$B$12*AS28+Impostazioni!$B$13*BH28,2),AS28))</f>
        <v/>
      </c>
      <c r="AU28" s="51" t="str">
        <f aca="false">IF(AT28="","",LOOKUP(AT28,Impostazioni!$E$4:$E$9,Impostazioni!$F$4:$F$9))</f>
        <v/>
      </c>
      <c r="AV28" s="52"/>
      <c r="AW28" s="13" t="str">
        <f aca="false">IF($B28="","",IFERROR(SUMPRODUCT((Dati!$AQ$4:$CD$4="B")*(INDEX(Dati!$DS$1:$FF$1000,MATCH($A28,Dati!$A$1:$A$1000,0),0)&gt;0)),0))</f>
        <v/>
      </c>
      <c r="AX28" s="13" t="str">
        <f aca="false">IF($B28="","",IFERROR(ROUND(SUMPRODUCT((Dati!$AQ$4:$CD$4="B")*INDEX(Dati!$AQ$1:$CD$1000,MATCH($A28,Dati!$A$1:$A$1000,0),0)*INDEX(Dati!$DS$1:$FF$1000,MATCH($A28,Dati!$A$1:$A$1000,0),0))/SUMPRODUCT((Dati!$AQ$4:$CD$4="B")*INDEX(Dati!$DS$1:$FF$1000,MATCH($A28,Dati!$A$1:$A$1000,0),0)),2),""))</f>
        <v/>
      </c>
      <c r="AY28" s="13" t="str">
        <f aca="false">IF(AX28="","",IF(ISNUMBER(BH28),ROUND(Impostazioni!$B$12*AX28+Impostazioni!$B$13*BH28,2),AX28))</f>
        <v/>
      </c>
      <c r="AZ28" s="51" t="str">
        <f aca="false">IF(AY28="","",LOOKUP(AY28,Impostazioni!$E$4:$E$9,Impostazioni!$F$4:$F$9))</f>
        <v/>
      </c>
      <c r="BA28" s="52"/>
      <c r="BB28" s="13" t="str">
        <f aca="false">IF($B28="","",IFERROR(ROUND(SUMPRODUCT((Dati!$AQ$4:$CD$4="TEC")*INDEX(Dati!$AQ$1:$CD$1000,MATCH($A28,Dati!$A$1:$A$1000,0),0)*INDEX(Dati!$DS$1:$FF$1000,MATCH($A28,Dati!$A$1:$A$1000,0),0))/SUMPRODUCT((Dati!$AQ$4:$CD$4="TEC")*INDEX(Dati!$DS$1:$FF$1000,MATCH($A28,Dati!$A$1:$A$1000,0),0)),2),""))</f>
        <v/>
      </c>
      <c r="BC28" s="51" t="str">
        <f aca="false">IF(BB28="","",LOOKUP(BB28,Impostazioni!$E$4:$E$9,Impostazioni!$F$4:$F$9))</f>
        <v/>
      </c>
      <c r="BD28" s="52"/>
      <c r="BE28" s="13" t="str">
        <f aca="false">IF($B28="","",IFERROR(ROUND(SUMPRODUCT((Dati!$AQ$4:$CD$4="CIV")*INDEX(Dati!$AQ$1:$CD$1000,MATCH($A28,Dati!$A$1:$A$1000,0),0)*INDEX(Dati!$DS$1:$FF$1000,MATCH($A28,Dati!$A$1:$A$1000,0),0))/SUMPRODUCT((Dati!$AQ$4:$CD$4="CIV")*INDEX(Dati!$DS$1:$FF$1000,MATCH($A28,Dati!$A$1:$A$1000,0),0)),2),""))</f>
        <v/>
      </c>
      <c r="BF28" s="51" t="str">
        <f aca="false">IF(BE28="","",LOOKUP(BE28,Impostazioni!$E$4:$E$9,Impostazioni!$F$4:$F$9))</f>
        <v/>
      </c>
      <c r="BG28" s="52"/>
      <c r="BH28" s="52"/>
      <c r="BI28" s="13" t="str">
        <f aca="false">IF($B28="","",IFERROR(SUM(INDEX(Dati!$FQ$1:$FZ$1000,MATCH($A28,Dati!$A$1:$A$1000,0),0)),0))</f>
        <v/>
      </c>
      <c r="BJ28" s="16" t="str">
        <f aca="false">IF($B28="","",IF($C28="ES","Esonerato: concordare con referente e dirigente",IF($C28="Ritirato","Ritirato",TRIM(IF(OR(N(AR28)&lt;Impostazioni!$B$14,N(AW28)&lt;Impostazioni!$B$14),"Pochi voti: valutazione alternativa (scritta/orale). ","")&amp;IF(N(BI28)&gt;0,"Da recuperare: "&amp;BI28&amp;". ","")&amp;IF($D28="OP","Riferito agli obiettivi personalizzati.","")))))</f>
        <v/>
      </c>
      <c r="BK28" s="31" t="str">
        <f aca="false">IF($B28="","",IF($C28="ES","ES",IF(AV28&lt;&gt;"",AV28,AU28)))</f>
        <v/>
      </c>
      <c r="BL28" s="31" t="str">
        <f aca="false">IF($B28="","",IF($C28="ES","ES",IF(BA28&lt;&gt;"",BA28,AZ28)))</f>
        <v/>
      </c>
      <c r="BM28" s="31" t="str">
        <f aca="false">IF($B28="","",IF($C28="ES","ES",IF(BD28&lt;&gt;"",BD28,BC28)))</f>
        <v/>
      </c>
      <c r="BN28" s="31" t="str">
        <f aca="false">IF($B28="","",IF($C28="ES","ES",IF(BG28&lt;&gt;"",BG28,BF28)))</f>
        <v/>
      </c>
      <c r="BO28" s="14"/>
    </row>
    <row r="29" customFormat="false" ht="21" hidden="false" customHeight="true" outlineLevel="0" collapsed="false">
      <c r="A29" s="10" t="n">
        <v>22</v>
      </c>
      <c r="B29" s="16" t="str">
        <f aca="false">IFERROR(INDEX(Alunni!$C$1:$C$1000,MATCH($A29,Alunni!$A$1:$A$1000,0))&amp;"","")</f>
        <v/>
      </c>
      <c r="C29" s="13" t="str">
        <f aca="false">IFERROR(INDEX(Alunni!$D$1:$D$1000,MATCH($A29,Alunni!$A$1:$A$1000,0))&amp;"","")</f>
        <v/>
      </c>
      <c r="D29" s="13" t="str">
        <f aca="false">IFERROR(INDEX(Alunni!$E$1:$E$1000,MATCH($A29,Alunni!$A$1:$A$1000,0))&amp;"","")</f>
        <v/>
      </c>
      <c r="E29" s="13" t="str">
        <f aca="false">IF($B29="","",IFERROR(ROUND(SUMPRODUCT((Dati!$C$3:$AP$3="1.1")*INDEX(Dati!$C$1:$AP$1000,MATCH($A29,Dati!$A$1:$A$1000,0),0)*INDEX(Dati!$CE$1:$DR$1000,MATCH($A29,Dati!$A$1:$A$1000,0),0))/SUMPRODUCT((Dati!$C$3:$AP$3="1.1")*INDEX(Dati!$CE$1:$DR$1000,MATCH($A29,Dati!$A$1:$A$1000,0),0)),2),""))</f>
        <v/>
      </c>
      <c r="F29" s="13" t="str">
        <f aca="false">IF($B29="","",IFERROR(ROUND(SUMPRODUCT((Dati!$C$3:$AP$3="2.1")*INDEX(Dati!$C$1:$AP$1000,MATCH($A29,Dati!$A$1:$A$1000,0),0)*INDEX(Dati!$CE$1:$DR$1000,MATCH($A29,Dati!$A$1:$A$1000,0),0))/SUMPRODUCT((Dati!$C$3:$AP$3="2.1")*INDEX(Dati!$CE$1:$DR$1000,MATCH($A29,Dati!$A$1:$A$1000,0),0)),2),""))</f>
        <v/>
      </c>
      <c r="G29" s="13" t="str">
        <f aca="false">IF($B29="","",IFERROR(ROUND(SUMPRODUCT((Dati!$C$3:$AP$3="3.1")*INDEX(Dati!$C$1:$AP$1000,MATCH($A29,Dati!$A$1:$A$1000,0),0)*INDEX(Dati!$CE$1:$DR$1000,MATCH($A29,Dati!$A$1:$A$1000,0),0))/SUMPRODUCT((Dati!$C$3:$AP$3="3.1")*INDEX(Dati!$CE$1:$DR$1000,MATCH($A29,Dati!$A$1:$A$1000,0),0)),2),""))</f>
        <v/>
      </c>
      <c r="H29" s="13" t="str">
        <f aca="false">IF($B29="","",IFERROR(ROUND(SUMPRODUCT((Dati!$C$3:$AP$3="3.2")*INDEX(Dati!$C$1:$AP$1000,MATCH($A29,Dati!$A$1:$A$1000,0),0)*INDEX(Dati!$CE$1:$DR$1000,MATCH($A29,Dati!$A$1:$A$1000,0),0))/SUMPRODUCT((Dati!$C$3:$AP$3="3.2")*INDEX(Dati!$CE$1:$DR$1000,MATCH($A29,Dati!$A$1:$A$1000,0),0)),2),""))</f>
        <v/>
      </c>
      <c r="I29" s="13" t="str">
        <f aca="false">IF($B29="","",IFERROR(ROUND(SUMPRODUCT((Dati!$C$3:$AP$3="3.3")*INDEX(Dati!$C$1:$AP$1000,MATCH($A29,Dati!$A$1:$A$1000,0),0)*INDEX(Dati!$CE$1:$DR$1000,MATCH($A29,Dati!$A$1:$A$1000,0),0))/SUMPRODUCT((Dati!$C$3:$AP$3="3.3")*INDEX(Dati!$CE$1:$DR$1000,MATCH($A29,Dati!$A$1:$A$1000,0),0)),2),""))</f>
        <v/>
      </c>
      <c r="J29" s="13" t="str">
        <f aca="false">IF($B29="","",IFERROR(ROUND(SUMPRODUCT((Dati!$C$3:$AP$3="4.1")*INDEX(Dati!$C$1:$AP$1000,MATCH($A29,Dati!$A$1:$A$1000,0),0)*INDEX(Dati!$CE$1:$DR$1000,MATCH($A29,Dati!$A$1:$A$1000,0),0))/SUMPRODUCT((Dati!$C$3:$AP$3="4.1")*INDEX(Dati!$CE$1:$DR$1000,MATCH($A29,Dati!$A$1:$A$1000,0),0)),2),""))</f>
        <v/>
      </c>
      <c r="K29" s="13" t="str">
        <f aca="false">IF($B29="","",IFERROR(ROUND(SUMPRODUCT((Dati!$C$3:$AP$3="4.2")*INDEX(Dati!$C$1:$AP$1000,MATCH($A29,Dati!$A$1:$A$1000,0),0)*INDEX(Dati!$CE$1:$DR$1000,MATCH($A29,Dati!$A$1:$A$1000,0),0))/SUMPRODUCT((Dati!$C$3:$AP$3="4.2")*INDEX(Dati!$CE$1:$DR$1000,MATCH($A29,Dati!$A$1:$A$1000,0),0)),2),""))</f>
        <v/>
      </c>
      <c r="L29" s="13" t="str">
        <f aca="false">IF($B29="","",IFERROR(ROUND(SUMPRODUCT((Dati!$C$3:$AP$3="4.3")*INDEX(Dati!$C$1:$AP$1000,MATCH($A29,Dati!$A$1:$A$1000,0),0)*INDEX(Dati!$CE$1:$DR$1000,MATCH($A29,Dati!$A$1:$A$1000,0),0))/SUMPRODUCT((Dati!$C$3:$AP$3="4.3")*INDEX(Dati!$CE$1:$DR$1000,MATCH($A29,Dati!$A$1:$A$1000,0),0)),2),""))</f>
        <v/>
      </c>
      <c r="M29" s="13" t="str">
        <f aca="false">IF($B29="","",IFERROR(SUMPRODUCT((Dati!$C$4:$AP$4="A")*(INDEX(Dati!$CE$1:$DR$1000,MATCH($A29,Dati!$A$1:$A$1000,0),0)&gt;0)),0))</f>
        <v/>
      </c>
      <c r="N29" s="13" t="str">
        <f aca="false">IF($B29="","",IFERROR(ROUND(SUMPRODUCT((Dati!$C$4:$AP$4="A")*INDEX(Dati!$C$1:$AP$1000,MATCH($A29,Dati!$A$1:$A$1000,0),0)*INDEX(Dati!$CE$1:$DR$1000,MATCH($A29,Dati!$A$1:$A$1000,0),0))/SUMPRODUCT((Dati!$C$4:$AP$4="A")*INDEX(Dati!$CE$1:$DR$1000,MATCH($A29,Dati!$A$1:$A$1000,0),0)),2),""))</f>
        <v/>
      </c>
      <c r="O29" s="13" t="str">
        <f aca="false">IF(N29="","",IF(ISNUMBER(AC29),ROUND(Impostazioni!$B$12*N29+Impostazioni!$B$13*AC29,2),N29))</f>
        <v/>
      </c>
      <c r="P29" s="51" t="str">
        <f aca="false">IF(O29="","",LOOKUP(O29,Impostazioni!$E$4:$E$9,Impostazioni!$F$4:$F$9))</f>
        <v/>
      </c>
      <c r="Q29" s="52"/>
      <c r="R29" s="13" t="str">
        <f aca="false">IF($B29="","",IFERROR(SUMPRODUCT((Dati!$C$4:$AP$4="B")*(INDEX(Dati!$CE$1:$DR$1000,MATCH($A29,Dati!$A$1:$A$1000,0),0)&gt;0)),0))</f>
        <v/>
      </c>
      <c r="S29" s="13" t="str">
        <f aca="false">IF($B29="","",IFERROR(ROUND(SUMPRODUCT((Dati!$C$4:$AP$4="B")*INDEX(Dati!$C$1:$AP$1000,MATCH($A29,Dati!$A$1:$A$1000,0),0)*INDEX(Dati!$CE$1:$DR$1000,MATCH($A29,Dati!$A$1:$A$1000,0),0))/SUMPRODUCT((Dati!$C$4:$AP$4="B")*INDEX(Dati!$CE$1:$DR$1000,MATCH($A29,Dati!$A$1:$A$1000,0),0)),2),""))</f>
        <v/>
      </c>
      <c r="T29" s="13" t="str">
        <f aca="false">IF(S29="","",IF(ISNUMBER(AC29),ROUND(Impostazioni!$B$12*S29+Impostazioni!$B$13*AC29,2),S29))</f>
        <v/>
      </c>
      <c r="U29" s="51" t="str">
        <f aca="false">IF(T29="","",LOOKUP(T29,Impostazioni!$E$4:$E$9,Impostazioni!$F$4:$F$9))</f>
        <v/>
      </c>
      <c r="V29" s="52"/>
      <c r="W29" s="13" t="str">
        <f aca="false">IF($B29="","",IFERROR(ROUND(SUMPRODUCT((Dati!$C$4:$AP$4="TEC")*INDEX(Dati!$C$1:$AP$1000,MATCH($A29,Dati!$A$1:$A$1000,0),0)*INDEX(Dati!$CE$1:$DR$1000,MATCH($A29,Dati!$A$1:$A$1000,0),0))/SUMPRODUCT((Dati!$C$4:$AP$4="TEC")*INDEX(Dati!$CE$1:$DR$1000,MATCH($A29,Dati!$A$1:$A$1000,0),0)),2),""))</f>
        <v/>
      </c>
      <c r="X29" s="51" t="str">
        <f aca="false">IF(W29="","",LOOKUP(W29,Impostazioni!$E$4:$E$9,Impostazioni!$F$4:$F$9))</f>
        <v/>
      </c>
      <c r="Y29" s="52"/>
      <c r="Z29" s="13" t="str">
        <f aca="false">IF($B29="","",IFERROR(ROUND(SUMPRODUCT((Dati!$C$4:$AP$4="CIV")*INDEX(Dati!$C$1:$AP$1000,MATCH($A29,Dati!$A$1:$A$1000,0),0)*INDEX(Dati!$CE$1:$DR$1000,MATCH($A29,Dati!$A$1:$A$1000,0),0))/SUMPRODUCT((Dati!$C$4:$AP$4="CIV")*INDEX(Dati!$CE$1:$DR$1000,MATCH($A29,Dati!$A$1:$A$1000,0),0)),2),""))</f>
        <v/>
      </c>
      <c r="AA29" s="51" t="str">
        <f aca="false">IF(Z29="","",LOOKUP(Z29,Impostazioni!$E$4:$E$9,Impostazioni!$F$4:$F$9))</f>
        <v/>
      </c>
      <c r="AB29" s="52"/>
      <c r="AC29" s="52"/>
      <c r="AD29" s="13" t="str">
        <f aca="false">IF($B29="","",IFERROR(SUM(INDEX(Dati!$FG$1:$FP$1000,MATCH($A29,Dati!$A$1:$A$1000,0),0)),0))</f>
        <v/>
      </c>
      <c r="AE29" s="16" t="str">
        <f aca="false">IF($B29="","",IF($C29="ES","Esonerato: concordare con referente e dirigente",IF($C29="Ritirato","Ritirato",TRIM(IF(OR(N(M29)&lt;Impostazioni!$B$14,N(R29)&lt;Impostazioni!$B$14),"Pochi voti: valutazione alternativa (scritta/orale). ","")&amp;IF(N(AD29)&gt;0,"Da recuperare: "&amp;AD29&amp;". ","")&amp;IF($D29="OP","Riferito agli obiettivi personalizzati.","")))))</f>
        <v/>
      </c>
      <c r="AF29" s="31" t="str">
        <f aca="false">IF($B29="","",IF($C29="ES","ES",IF(Q29&lt;&gt;"",Q29,P29)))</f>
        <v/>
      </c>
      <c r="AG29" s="31" t="str">
        <f aca="false">IF($B29="","",IF($C29="ES","ES",IF(V29&lt;&gt;"",V29,U29)))</f>
        <v/>
      </c>
      <c r="AH29" s="31" t="str">
        <f aca="false">IF($B29="","",IF($C29="ES","ES",IF(Y29&lt;&gt;"",Y29,X29)))</f>
        <v/>
      </c>
      <c r="AI29" s="31" t="str">
        <f aca="false">IF($B29="","",IF($C29="ES","ES",IF(AB29&lt;&gt;"",AB29,AA29)))</f>
        <v/>
      </c>
      <c r="AJ29" s="13" t="str">
        <f aca="false">IF($B29="","",IFERROR(ROUND(SUMPRODUCT((Dati!$AQ$3:$CD$3="1.1")*INDEX(Dati!$AQ$1:$CD$1000,MATCH($A29,Dati!$A$1:$A$1000,0),0)*INDEX(Dati!$DS$1:$FF$1000,MATCH($A29,Dati!$A$1:$A$1000,0),0))/SUMPRODUCT((Dati!$AQ$3:$CD$3="1.1")*INDEX(Dati!$DS$1:$FF$1000,MATCH($A29,Dati!$A$1:$A$1000,0),0)),2),""))</f>
        <v/>
      </c>
      <c r="AK29" s="13" t="str">
        <f aca="false">IF($B29="","",IFERROR(ROUND(SUMPRODUCT((Dati!$AQ$3:$CD$3="2.1")*INDEX(Dati!$AQ$1:$CD$1000,MATCH($A29,Dati!$A$1:$A$1000,0),0)*INDEX(Dati!$DS$1:$FF$1000,MATCH($A29,Dati!$A$1:$A$1000,0),0))/SUMPRODUCT((Dati!$AQ$3:$CD$3="2.1")*INDEX(Dati!$DS$1:$FF$1000,MATCH($A29,Dati!$A$1:$A$1000,0),0)),2),""))</f>
        <v/>
      </c>
      <c r="AL29" s="13" t="str">
        <f aca="false">IF($B29="","",IFERROR(ROUND(SUMPRODUCT((Dati!$AQ$3:$CD$3="3.1")*INDEX(Dati!$AQ$1:$CD$1000,MATCH($A29,Dati!$A$1:$A$1000,0),0)*INDEX(Dati!$DS$1:$FF$1000,MATCH($A29,Dati!$A$1:$A$1000,0),0))/SUMPRODUCT((Dati!$AQ$3:$CD$3="3.1")*INDEX(Dati!$DS$1:$FF$1000,MATCH($A29,Dati!$A$1:$A$1000,0),0)),2),""))</f>
        <v/>
      </c>
      <c r="AM29" s="13" t="str">
        <f aca="false">IF($B29="","",IFERROR(ROUND(SUMPRODUCT((Dati!$AQ$3:$CD$3="3.2")*INDEX(Dati!$AQ$1:$CD$1000,MATCH($A29,Dati!$A$1:$A$1000,0),0)*INDEX(Dati!$DS$1:$FF$1000,MATCH($A29,Dati!$A$1:$A$1000,0),0))/SUMPRODUCT((Dati!$AQ$3:$CD$3="3.2")*INDEX(Dati!$DS$1:$FF$1000,MATCH($A29,Dati!$A$1:$A$1000,0),0)),2),""))</f>
        <v/>
      </c>
      <c r="AN29" s="13" t="str">
        <f aca="false">IF($B29="","",IFERROR(ROUND(SUMPRODUCT((Dati!$AQ$3:$CD$3="3.3")*INDEX(Dati!$AQ$1:$CD$1000,MATCH($A29,Dati!$A$1:$A$1000,0),0)*INDEX(Dati!$DS$1:$FF$1000,MATCH($A29,Dati!$A$1:$A$1000,0),0))/SUMPRODUCT((Dati!$AQ$3:$CD$3="3.3")*INDEX(Dati!$DS$1:$FF$1000,MATCH($A29,Dati!$A$1:$A$1000,0),0)),2),""))</f>
        <v/>
      </c>
      <c r="AO29" s="13" t="str">
        <f aca="false">IF($B29="","",IFERROR(ROUND(SUMPRODUCT((Dati!$AQ$3:$CD$3="4.1")*INDEX(Dati!$AQ$1:$CD$1000,MATCH($A29,Dati!$A$1:$A$1000,0),0)*INDEX(Dati!$DS$1:$FF$1000,MATCH($A29,Dati!$A$1:$A$1000,0),0))/SUMPRODUCT((Dati!$AQ$3:$CD$3="4.1")*INDEX(Dati!$DS$1:$FF$1000,MATCH($A29,Dati!$A$1:$A$1000,0),0)),2),""))</f>
        <v/>
      </c>
      <c r="AP29" s="13" t="str">
        <f aca="false">IF($B29="","",IFERROR(ROUND(SUMPRODUCT((Dati!$AQ$3:$CD$3="4.2")*INDEX(Dati!$AQ$1:$CD$1000,MATCH($A29,Dati!$A$1:$A$1000,0),0)*INDEX(Dati!$DS$1:$FF$1000,MATCH($A29,Dati!$A$1:$A$1000,0),0))/SUMPRODUCT((Dati!$AQ$3:$CD$3="4.2")*INDEX(Dati!$DS$1:$FF$1000,MATCH($A29,Dati!$A$1:$A$1000,0),0)),2),""))</f>
        <v/>
      </c>
      <c r="AQ29" s="13" t="str">
        <f aca="false">IF($B29="","",IFERROR(ROUND(SUMPRODUCT((Dati!$AQ$3:$CD$3="4.3")*INDEX(Dati!$AQ$1:$CD$1000,MATCH($A29,Dati!$A$1:$A$1000,0),0)*INDEX(Dati!$DS$1:$FF$1000,MATCH($A29,Dati!$A$1:$A$1000,0),0))/SUMPRODUCT((Dati!$AQ$3:$CD$3="4.3")*INDEX(Dati!$DS$1:$FF$1000,MATCH($A29,Dati!$A$1:$A$1000,0),0)),2),""))</f>
        <v/>
      </c>
      <c r="AR29" s="13" t="str">
        <f aca="false">IF($B29="","",IFERROR(SUMPRODUCT((Dati!$AQ$4:$CD$4="A")*(INDEX(Dati!$DS$1:$FF$1000,MATCH($A29,Dati!$A$1:$A$1000,0),0)&gt;0)),0))</f>
        <v/>
      </c>
      <c r="AS29" s="13" t="str">
        <f aca="false">IF($B29="","",IFERROR(ROUND(SUMPRODUCT((Dati!$AQ$4:$CD$4="A")*INDEX(Dati!$AQ$1:$CD$1000,MATCH($A29,Dati!$A$1:$A$1000,0),0)*INDEX(Dati!$DS$1:$FF$1000,MATCH($A29,Dati!$A$1:$A$1000,0),0))/SUMPRODUCT((Dati!$AQ$4:$CD$4="A")*INDEX(Dati!$DS$1:$FF$1000,MATCH($A29,Dati!$A$1:$A$1000,0),0)),2),""))</f>
        <v/>
      </c>
      <c r="AT29" s="13" t="str">
        <f aca="false">IF(AS29="","",IF(ISNUMBER(BH29),ROUND(Impostazioni!$B$12*AS29+Impostazioni!$B$13*BH29,2),AS29))</f>
        <v/>
      </c>
      <c r="AU29" s="51" t="str">
        <f aca="false">IF(AT29="","",LOOKUP(AT29,Impostazioni!$E$4:$E$9,Impostazioni!$F$4:$F$9))</f>
        <v/>
      </c>
      <c r="AV29" s="52"/>
      <c r="AW29" s="13" t="str">
        <f aca="false">IF($B29="","",IFERROR(SUMPRODUCT((Dati!$AQ$4:$CD$4="B")*(INDEX(Dati!$DS$1:$FF$1000,MATCH($A29,Dati!$A$1:$A$1000,0),0)&gt;0)),0))</f>
        <v/>
      </c>
      <c r="AX29" s="13" t="str">
        <f aca="false">IF($B29="","",IFERROR(ROUND(SUMPRODUCT((Dati!$AQ$4:$CD$4="B")*INDEX(Dati!$AQ$1:$CD$1000,MATCH($A29,Dati!$A$1:$A$1000,0),0)*INDEX(Dati!$DS$1:$FF$1000,MATCH($A29,Dati!$A$1:$A$1000,0),0))/SUMPRODUCT((Dati!$AQ$4:$CD$4="B")*INDEX(Dati!$DS$1:$FF$1000,MATCH($A29,Dati!$A$1:$A$1000,0),0)),2),""))</f>
        <v/>
      </c>
      <c r="AY29" s="13" t="str">
        <f aca="false">IF(AX29="","",IF(ISNUMBER(BH29),ROUND(Impostazioni!$B$12*AX29+Impostazioni!$B$13*BH29,2),AX29))</f>
        <v/>
      </c>
      <c r="AZ29" s="51" t="str">
        <f aca="false">IF(AY29="","",LOOKUP(AY29,Impostazioni!$E$4:$E$9,Impostazioni!$F$4:$F$9))</f>
        <v/>
      </c>
      <c r="BA29" s="52"/>
      <c r="BB29" s="13" t="str">
        <f aca="false">IF($B29="","",IFERROR(ROUND(SUMPRODUCT((Dati!$AQ$4:$CD$4="TEC")*INDEX(Dati!$AQ$1:$CD$1000,MATCH($A29,Dati!$A$1:$A$1000,0),0)*INDEX(Dati!$DS$1:$FF$1000,MATCH($A29,Dati!$A$1:$A$1000,0),0))/SUMPRODUCT((Dati!$AQ$4:$CD$4="TEC")*INDEX(Dati!$DS$1:$FF$1000,MATCH($A29,Dati!$A$1:$A$1000,0),0)),2),""))</f>
        <v/>
      </c>
      <c r="BC29" s="51" t="str">
        <f aca="false">IF(BB29="","",LOOKUP(BB29,Impostazioni!$E$4:$E$9,Impostazioni!$F$4:$F$9))</f>
        <v/>
      </c>
      <c r="BD29" s="52"/>
      <c r="BE29" s="13" t="str">
        <f aca="false">IF($B29="","",IFERROR(ROUND(SUMPRODUCT((Dati!$AQ$4:$CD$4="CIV")*INDEX(Dati!$AQ$1:$CD$1000,MATCH($A29,Dati!$A$1:$A$1000,0),0)*INDEX(Dati!$DS$1:$FF$1000,MATCH($A29,Dati!$A$1:$A$1000,0),0))/SUMPRODUCT((Dati!$AQ$4:$CD$4="CIV")*INDEX(Dati!$DS$1:$FF$1000,MATCH($A29,Dati!$A$1:$A$1000,0),0)),2),""))</f>
        <v/>
      </c>
      <c r="BF29" s="51" t="str">
        <f aca="false">IF(BE29="","",LOOKUP(BE29,Impostazioni!$E$4:$E$9,Impostazioni!$F$4:$F$9))</f>
        <v/>
      </c>
      <c r="BG29" s="52"/>
      <c r="BH29" s="52"/>
      <c r="BI29" s="13" t="str">
        <f aca="false">IF($B29="","",IFERROR(SUM(INDEX(Dati!$FQ$1:$FZ$1000,MATCH($A29,Dati!$A$1:$A$1000,0),0)),0))</f>
        <v/>
      </c>
      <c r="BJ29" s="16" t="str">
        <f aca="false">IF($B29="","",IF($C29="ES","Esonerato: concordare con referente e dirigente",IF($C29="Ritirato","Ritirato",TRIM(IF(OR(N(AR29)&lt;Impostazioni!$B$14,N(AW29)&lt;Impostazioni!$B$14),"Pochi voti: valutazione alternativa (scritta/orale). ","")&amp;IF(N(BI29)&gt;0,"Da recuperare: "&amp;BI29&amp;". ","")&amp;IF($D29="OP","Riferito agli obiettivi personalizzati.","")))))</f>
        <v/>
      </c>
      <c r="BK29" s="31" t="str">
        <f aca="false">IF($B29="","",IF($C29="ES","ES",IF(AV29&lt;&gt;"",AV29,AU29)))</f>
        <v/>
      </c>
      <c r="BL29" s="31" t="str">
        <f aca="false">IF($B29="","",IF($C29="ES","ES",IF(BA29&lt;&gt;"",BA29,AZ29)))</f>
        <v/>
      </c>
      <c r="BM29" s="31" t="str">
        <f aca="false">IF($B29="","",IF($C29="ES","ES",IF(BD29&lt;&gt;"",BD29,BC29)))</f>
        <v/>
      </c>
      <c r="BN29" s="31" t="str">
        <f aca="false">IF($B29="","",IF($C29="ES","ES",IF(BG29&lt;&gt;"",BG29,BF29)))</f>
        <v/>
      </c>
      <c r="BO29" s="14"/>
    </row>
    <row r="30" customFormat="false" ht="21" hidden="false" customHeight="true" outlineLevel="0" collapsed="false">
      <c r="A30" s="10" t="n">
        <v>23</v>
      </c>
      <c r="B30" s="16" t="str">
        <f aca="false">IFERROR(INDEX(Alunni!$C$1:$C$1000,MATCH($A30,Alunni!$A$1:$A$1000,0))&amp;"","")</f>
        <v/>
      </c>
      <c r="C30" s="13" t="str">
        <f aca="false">IFERROR(INDEX(Alunni!$D$1:$D$1000,MATCH($A30,Alunni!$A$1:$A$1000,0))&amp;"","")</f>
        <v/>
      </c>
      <c r="D30" s="13" t="str">
        <f aca="false">IFERROR(INDEX(Alunni!$E$1:$E$1000,MATCH($A30,Alunni!$A$1:$A$1000,0))&amp;"","")</f>
        <v/>
      </c>
      <c r="E30" s="13" t="str">
        <f aca="false">IF($B30="","",IFERROR(ROUND(SUMPRODUCT((Dati!$C$3:$AP$3="1.1")*INDEX(Dati!$C$1:$AP$1000,MATCH($A30,Dati!$A$1:$A$1000,0),0)*INDEX(Dati!$CE$1:$DR$1000,MATCH($A30,Dati!$A$1:$A$1000,0),0))/SUMPRODUCT((Dati!$C$3:$AP$3="1.1")*INDEX(Dati!$CE$1:$DR$1000,MATCH($A30,Dati!$A$1:$A$1000,0),0)),2),""))</f>
        <v/>
      </c>
      <c r="F30" s="13" t="str">
        <f aca="false">IF($B30="","",IFERROR(ROUND(SUMPRODUCT((Dati!$C$3:$AP$3="2.1")*INDEX(Dati!$C$1:$AP$1000,MATCH($A30,Dati!$A$1:$A$1000,0),0)*INDEX(Dati!$CE$1:$DR$1000,MATCH($A30,Dati!$A$1:$A$1000,0),0))/SUMPRODUCT((Dati!$C$3:$AP$3="2.1")*INDEX(Dati!$CE$1:$DR$1000,MATCH($A30,Dati!$A$1:$A$1000,0),0)),2),""))</f>
        <v/>
      </c>
      <c r="G30" s="13" t="str">
        <f aca="false">IF($B30="","",IFERROR(ROUND(SUMPRODUCT((Dati!$C$3:$AP$3="3.1")*INDEX(Dati!$C$1:$AP$1000,MATCH($A30,Dati!$A$1:$A$1000,0),0)*INDEX(Dati!$CE$1:$DR$1000,MATCH($A30,Dati!$A$1:$A$1000,0),0))/SUMPRODUCT((Dati!$C$3:$AP$3="3.1")*INDEX(Dati!$CE$1:$DR$1000,MATCH($A30,Dati!$A$1:$A$1000,0),0)),2),""))</f>
        <v/>
      </c>
      <c r="H30" s="13" t="str">
        <f aca="false">IF($B30="","",IFERROR(ROUND(SUMPRODUCT((Dati!$C$3:$AP$3="3.2")*INDEX(Dati!$C$1:$AP$1000,MATCH($A30,Dati!$A$1:$A$1000,0),0)*INDEX(Dati!$CE$1:$DR$1000,MATCH($A30,Dati!$A$1:$A$1000,0),0))/SUMPRODUCT((Dati!$C$3:$AP$3="3.2")*INDEX(Dati!$CE$1:$DR$1000,MATCH($A30,Dati!$A$1:$A$1000,0),0)),2),""))</f>
        <v/>
      </c>
      <c r="I30" s="13" t="str">
        <f aca="false">IF($B30="","",IFERROR(ROUND(SUMPRODUCT((Dati!$C$3:$AP$3="3.3")*INDEX(Dati!$C$1:$AP$1000,MATCH($A30,Dati!$A$1:$A$1000,0),0)*INDEX(Dati!$CE$1:$DR$1000,MATCH($A30,Dati!$A$1:$A$1000,0),0))/SUMPRODUCT((Dati!$C$3:$AP$3="3.3")*INDEX(Dati!$CE$1:$DR$1000,MATCH($A30,Dati!$A$1:$A$1000,0),0)),2),""))</f>
        <v/>
      </c>
      <c r="J30" s="13" t="str">
        <f aca="false">IF($B30="","",IFERROR(ROUND(SUMPRODUCT((Dati!$C$3:$AP$3="4.1")*INDEX(Dati!$C$1:$AP$1000,MATCH($A30,Dati!$A$1:$A$1000,0),0)*INDEX(Dati!$CE$1:$DR$1000,MATCH($A30,Dati!$A$1:$A$1000,0),0))/SUMPRODUCT((Dati!$C$3:$AP$3="4.1")*INDEX(Dati!$CE$1:$DR$1000,MATCH($A30,Dati!$A$1:$A$1000,0),0)),2),""))</f>
        <v/>
      </c>
      <c r="K30" s="13" t="str">
        <f aca="false">IF($B30="","",IFERROR(ROUND(SUMPRODUCT((Dati!$C$3:$AP$3="4.2")*INDEX(Dati!$C$1:$AP$1000,MATCH($A30,Dati!$A$1:$A$1000,0),0)*INDEX(Dati!$CE$1:$DR$1000,MATCH($A30,Dati!$A$1:$A$1000,0),0))/SUMPRODUCT((Dati!$C$3:$AP$3="4.2")*INDEX(Dati!$CE$1:$DR$1000,MATCH($A30,Dati!$A$1:$A$1000,0),0)),2),""))</f>
        <v/>
      </c>
      <c r="L30" s="13" t="str">
        <f aca="false">IF($B30="","",IFERROR(ROUND(SUMPRODUCT((Dati!$C$3:$AP$3="4.3")*INDEX(Dati!$C$1:$AP$1000,MATCH($A30,Dati!$A$1:$A$1000,0),0)*INDEX(Dati!$CE$1:$DR$1000,MATCH($A30,Dati!$A$1:$A$1000,0),0))/SUMPRODUCT((Dati!$C$3:$AP$3="4.3")*INDEX(Dati!$CE$1:$DR$1000,MATCH($A30,Dati!$A$1:$A$1000,0),0)),2),""))</f>
        <v/>
      </c>
      <c r="M30" s="13" t="str">
        <f aca="false">IF($B30="","",IFERROR(SUMPRODUCT((Dati!$C$4:$AP$4="A")*(INDEX(Dati!$CE$1:$DR$1000,MATCH($A30,Dati!$A$1:$A$1000,0),0)&gt;0)),0))</f>
        <v/>
      </c>
      <c r="N30" s="13" t="str">
        <f aca="false">IF($B30="","",IFERROR(ROUND(SUMPRODUCT((Dati!$C$4:$AP$4="A")*INDEX(Dati!$C$1:$AP$1000,MATCH($A30,Dati!$A$1:$A$1000,0),0)*INDEX(Dati!$CE$1:$DR$1000,MATCH($A30,Dati!$A$1:$A$1000,0),0))/SUMPRODUCT((Dati!$C$4:$AP$4="A")*INDEX(Dati!$CE$1:$DR$1000,MATCH($A30,Dati!$A$1:$A$1000,0),0)),2),""))</f>
        <v/>
      </c>
      <c r="O30" s="13" t="str">
        <f aca="false">IF(N30="","",IF(ISNUMBER(AC30),ROUND(Impostazioni!$B$12*N30+Impostazioni!$B$13*AC30,2),N30))</f>
        <v/>
      </c>
      <c r="P30" s="51" t="str">
        <f aca="false">IF(O30="","",LOOKUP(O30,Impostazioni!$E$4:$E$9,Impostazioni!$F$4:$F$9))</f>
        <v/>
      </c>
      <c r="Q30" s="52"/>
      <c r="R30" s="13" t="str">
        <f aca="false">IF($B30="","",IFERROR(SUMPRODUCT((Dati!$C$4:$AP$4="B")*(INDEX(Dati!$CE$1:$DR$1000,MATCH($A30,Dati!$A$1:$A$1000,0),0)&gt;0)),0))</f>
        <v/>
      </c>
      <c r="S30" s="13" t="str">
        <f aca="false">IF($B30="","",IFERROR(ROUND(SUMPRODUCT((Dati!$C$4:$AP$4="B")*INDEX(Dati!$C$1:$AP$1000,MATCH($A30,Dati!$A$1:$A$1000,0),0)*INDEX(Dati!$CE$1:$DR$1000,MATCH($A30,Dati!$A$1:$A$1000,0),0))/SUMPRODUCT((Dati!$C$4:$AP$4="B")*INDEX(Dati!$CE$1:$DR$1000,MATCH($A30,Dati!$A$1:$A$1000,0),0)),2),""))</f>
        <v/>
      </c>
      <c r="T30" s="13" t="str">
        <f aca="false">IF(S30="","",IF(ISNUMBER(AC30),ROUND(Impostazioni!$B$12*S30+Impostazioni!$B$13*AC30,2),S30))</f>
        <v/>
      </c>
      <c r="U30" s="51" t="str">
        <f aca="false">IF(T30="","",LOOKUP(T30,Impostazioni!$E$4:$E$9,Impostazioni!$F$4:$F$9))</f>
        <v/>
      </c>
      <c r="V30" s="52"/>
      <c r="W30" s="13" t="str">
        <f aca="false">IF($B30="","",IFERROR(ROUND(SUMPRODUCT((Dati!$C$4:$AP$4="TEC")*INDEX(Dati!$C$1:$AP$1000,MATCH($A30,Dati!$A$1:$A$1000,0),0)*INDEX(Dati!$CE$1:$DR$1000,MATCH($A30,Dati!$A$1:$A$1000,0),0))/SUMPRODUCT((Dati!$C$4:$AP$4="TEC")*INDEX(Dati!$CE$1:$DR$1000,MATCH($A30,Dati!$A$1:$A$1000,0),0)),2),""))</f>
        <v/>
      </c>
      <c r="X30" s="51" t="str">
        <f aca="false">IF(W30="","",LOOKUP(W30,Impostazioni!$E$4:$E$9,Impostazioni!$F$4:$F$9))</f>
        <v/>
      </c>
      <c r="Y30" s="52"/>
      <c r="Z30" s="13" t="str">
        <f aca="false">IF($B30="","",IFERROR(ROUND(SUMPRODUCT((Dati!$C$4:$AP$4="CIV")*INDEX(Dati!$C$1:$AP$1000,MATCH($A30,Dati!$A$1:$A$1000,0),0)*INDEX(Dati!$CE$1:$DR$1000,MATCH($A30,Dati!$A$1:$A$1000,0),0))/SUMPRODUCT((Dati!$C$4:$AP$4="CIV")*INDEX(Dati!$CE$1:$DR$1000,MATCH($A30,Dati!$A$1:$A$1000,0),0)),2),""))</f>
        <v/>
      </c>
      <c r="AA30" s="51" t="str">
        <f aca="false">IF(Z30="","",LOOKUP(Z30,Impostazioni!$E$4:$E$9,Impostazioni!$F$4:$F$9))</f>
        <v/>
      </c>
      <c r="AB30" s="52"/>
      <c r="AC30" s="52"/>
      <c r="AD30" s="13" t="str">
        <f aca="false">IF($B30="","",IFERROR(SUM(INDEX(Dati!$FG$1:$FP$1000,MATCH($A30,Dati!$A$1:$A$1000,0),0)),0))</f>
        <v/>
      </c>
      <c r="AE30" s="16" t="str">
        <f aca="false">IF($B30="","",IF($C30="ES","Esonerato: concordare con referente e dirigente",IF($C30="Ritirato","Ritirato",TRIM(IF(OR(N(M30)&lt;Impostazioni!$B$14,N(R30)&lt;Impostazioni!$B$14),"Pochi voti: valutazione alternativa (scritta/orale). ","")&amp;IF(N(AD30)&gt;0,"Da recuperare: "&amp;AD30&amp;". ","")&amp;IF($D30="OP","Riferito agli obiettivi personalizzati.","")))))</f>
        <v/>
      </c>
      <c r="AF30" s="31" t="str">
        <f aca="false">IF($B30="","",IF($C30="ES","ES",IF(Q30&lt;&gt;"",Q30,P30)))</f>
        <v/>
      </c>
      <c r="AG30" s="31" t="str">
        <f aca="false">IF($B30="","",IF($C30="ES","ES",IF(V30&lt;&gt;"",V30,U30)))</f>
        <v/>
      </c>
      <c r="AH30" s="31" t="str">
        <f aca="false">IF($B30="","",IF($C30="ES","ES",IF(Y30&lt;&gt;"",Y30,X30)))</f>
        <v/>
      </c>
      <c r="AI30" s="31" t="str">
        <f aca="false">IF($B30="","",IF($C30="ES","ES",IF(AB30&lt;&gt;"",AB30,AA30)))</f>
        <v/>
      </c>
      <c r="AJ30" s="13" t="str">
        <f aca="false">IF($B30="","",IFERROR(ROUND(SUMPRODUCT((Dati!$AQ$3:$CD$3="1.1")*INDEX(Dati!$AQ$1:$CD$1000,MATCH($A30,Dati!$A$1:$A$1000,0),0)*INDEX(Dati!$DS$1:$FF$1000,MATCH($A30,Dati!$A$1:$A$1000,0),0))/SUMPRODUCT((Dati!$AQ$3:$CD$3="1.1")*INDEX(Dati!$DS$1:$FF$1000,MATCH($A30,Dati!$A$1:$A$1000,0),0)),2),""))</f>
        <v/>
      </c>
      <c r="AK30" s="13" t="str">
        <f aca="false">IF($B30="","",IFERROR(ROUND(SUMPRODUCT((Dati!$AQ$3:$CD$3="2.1")*INDEX(Dati!$AQ$1:$CD$1000,MATCH($A30,Dati!$A$1:$A$1000,0),0)*INDEX(Dati!$DS$1:$FF$1000,MATCH($A30,Dati!$A$1:$A$1000,0),0))/SUMPRODUCT((Dati!$AQ$3:$CD$3="2.1")*INDEX(Dati!$DS$1:$FF$1000,MATCH($A30,Dati!$A$1:$A$1000,0),0)),2),""))</f>
        <v/>
      </c>
      <c r="AL30" s="13" t="str">
        <f aca="false">IF($B30="","",IFERROR(ROUND(SUMPRODUCT((Dati!$AQ$3:$CD$3="3.1")*INDEX(Dati!$AQ$1:$CD$1000,MATCH($A30,Dati!$A$1:$A$1000,0),0)*INDEX(Dati!$DS$1:$FF$1000,MATCH($A30,Dati!$A$1:$A$1000,0),0))/SUMPRODUCT((Dati!$AQ$3:$CD$3="3.1")*INDEX(Dati!$DS$1:$FF$1000,MATCH($A30,Dati!$A$1:$A$1000,0),0)),2),""))</f>
        <v/>
      </c>
      <c r="AM30" s="13" t="str">
        <f aca="false">IF($B30="","",IFERROR(ROUND(SUMPRODUCT((Dati!$AQ$3:$CD$3="3.2")*INDEX(Dati!$AQ$1:$CD$1000,MATCH($A30,Dati!$A$1:$A$1000,0),0)*INDEX(Dati!$DS$1:$FF$1000,MATCH($A30,Dati!$A$1:$A$1000,0),0))/SUMPRODUCT((Dati!$AQ$3:$CD$3="3.2")*INDEX(Dati!$DS$1:$FF$1000,MATCH($A30,Dati!$A$1:$A$1000,0),0)),2),""))</f>
        <v/>
      </c>
      <c r="AN30" s="13" t="str">
        <f aca="false">IF($B30="","",IFERROR(ROUND(SUMPRODUCT((Dati!$AQ$3:$CD$3="3.3")*INDEX(Dati!$AQ$1:$CD$1000,MATCH($A30,Dati!$A$1:$A$1000,0),0)*INDEX(Dati!$DS$1:$FF$1000,MATCH($A30,Dati!$A$1:$A$1000,0),0))/SUMPRODUCT((Dati!$AQ$3:$CD$3="3.3")*INDEX(Dati!$DS$1:$FF$1000,MATCH($A30,Dati!$A$1:$A$1000,0),0)),2),""))</f>
        <v/>
      </c>
      <c r="AO30" s="13" t="str">
        <f aca="false">IF($B30="","",IFERROR(ROUND(SUMPRODUCT((Dati!$AQ$3:$CD$3="4.1")*INDEX(Dati!$AQ$1:$CD$1000,MATCH($A30,Dati!$A$1:$A$1000,0),0)*INDEX(Dati!$DS$1:$FF$1000,MATCH($A30,Dati!$A$1:$A$1000,0),0))/SUMPRODUCT((Dati!$AQ$3:$CD$3="4.1")*INDEX(Dati!$DS$1:$FF$1000,MATCH($A30,Dati!$A$1:$A$1000,0),0)),2),""))</f>
        <v/>
      </c>
      <c r="AP30" s="13" t="str">
        <f aca="false">IF($B30="","",IFERROR(ROUND(SUMPRODUCT((Dati!$AQ$3:$CD$3="4.2")*INDEX(Dati!$AQ$1:$CD$1000,MATCH($A30,Dati!$A$1:$A$1000,0),0)*INDEX(Dati!$DS$1:$FF$1000,MATCH($A30,Dati!$A$1:$A$1000,0),0))/SUMPRODUCT((Dati!$AQ$3:$CD$3="4.2")*INDEX(Dati!$DS$1:$FF$1000,MATCH($A30,Dati!$A$1:$A$1000,0),0)),2),""))</f>
        <v/>
      </c>
      <c r="AQ30" s="13" t="str">
        <f aca="false">IF($B30="","",IFERROR(ROUND(SUMPRODUCT((Dati!$AQ$3:$CD$3="4.3")*INDEX(Dati!$AQ$1:$CD$1000,MATCH($A30,Dati!$A$1:$A$1000,0),0)*INDEX(Dati!$DS$1:$FF$1000,MATCH($A30,Dati!$A$1:$A$1000,0),0))/SUMPRODUCT((Dati!$AQ$3:$CD$3="4.3")*INDEX(Dati!$DS$1:$FF$1000,MATCH($A30,Dati!$A$1:$A$1000,0),0)),2),""))</f>
        <v/>
      </c>
      <c r="AR30" s="13" t="str">
        <f aca="false">IF($B30="","",IFERROR(SUMPRODUCT((Dati!$AQ$4:$CD$4="A")*(INDEX(Dati!$DS$1:$FF$1000,MATCH($A30,Dati!$A$1:$A$1000,0),0)&gt;0)),0))</f>
        <v/>
      </c>
      <c r="AS30" s="13" t="str">
        <f aca="false">IF($B30="","",IFERROR(ROUND(SUMPRODUCT((Dati!$AQ$4:$CD$4="A")*INDEX(Dati!$AQ$1:$CD$1000,MATCH($A30,Dati!$A$1:$A$1000,0),0)*INDEX(Dati!$DS$1:$FF$1000,MATCH($A30,Dati!$A$1:$A$1000,0),0))/SUMPRODUCT((Dati!$AQ$4:$CD$4="A")*INDEX(Dati!$DS$1:$FF$1000,MATCH($A30,Dati!$A$1:$A$1000,0),0)),2),""))</f>
        <v/>
      </c>
      <c r="AT30" s="13" t="str">
        <f aca="false">IF(AS30="","",IF(ISNUMBER(BH30),ROUND(Impostazioni!$B$12*AS30+Impostazioni!$B$13*BH30,2),AS30))</f>
        <v/>
      </c>
      <c r="AU30" s="51" t="str">
        <f aca="false">IF(AT30="","",LOOKUP(AT30,Impostazioni!$E$4:$E$9,Impostazioni!$F$4:$F$9))</f>
        <v/>
      </c>
      <c r="AV30" s="52"/>
      <c r="AW30" s="13" t="str">
        <f aca="false">IF($B30="","",IFERROR(SUMPRODUCT((Dati!$AQ$4:$CD$4="B")*(INDEX(Dati!$DS$1:$FF$1000,MATCH($A30,Dati!$A$1:$A$1000,0),0)&gt;0)),0))</f>
        <v/>
      </c>
      <c r="AX30" s="13" t="str">
        <f aca="false">IF($B30="","",IFERROR(ROUND(SUMPRODUCT((Dati!$AQ$4:$CD$4="B")*INDEX(Dati!$AQ$1:$CD$1000,MATCH($A30,Dati!$A$1:$A$1000,0),0)*INDEX(Dati!$DS$1:$FF$1000,MATCH($A30,Dati!$A$1:$A$1000,0),0))/SUMPRODUCT((Dati!$AQ$4:$CD$4="B")*INDEX(Dati!$DS$1:$FF$1000,MATCH($A30,Dati!$A$1:$A$1000,0),0)),2),""))</f>
        <v/>
      </c>
      <c r="AY30" s="13" t="str">
        <f aca="false">IF(AX30="","",IF(ISNUMBER(BH30),ROUND(Impostazioni!$B$12*AX30+Impostazioni!$B$13*BH30,2),AX30))</f>
        <v/>
      </c>
      <c r="AZ30" s="51" t="str">
        <f aca="false">IF(AY30="","",LOOKUP(AY30,Impostazioni!$E$4:$E$9,Impostazioni!$F$4:$F$9))</f>
        <v/>
      </c>
      <c r="BA30" s="52"/>
      <c r="BB30" s="13" t="str">
        <f aca="false">IF($B30="","",IFERROR(ROUND(SUMPRODUCT((Dati!$AQ$4:$CD$4="TEC")*INDEX(Dati!$AQ$1:$CD$1000,MATCH($A30,Dati!$A$1:$A$1000,0),0)*INDEX(Dati!$DS$1:$FF$1000,MATCH($A30,Dati!$A$1:$A$1000,0),0))/SUMPRODUCT((Dati!$AQ$4:$CD$4="TEC")*INDEX(Dati!$DS$1:$FF$1000,MATCH($A30,Dati!$A$1:$A$1000,0),0)),2),""))</f>
        <v/>
      </c>
      <c r="BC30" s="51" t="str">
        <f aca="false">IF(BB30="","",LOOKUP(BB30,Impostazioni!$E$4:$E$9,Impostazioni!$F$4:$F$9))</f>
        <v/>
      </c>
      <c r="BD30" s="52"/>
      <c r="BE30" s="13" t="str">
        <f aca="false">IF($B30="","",IFERROR(ROUND(SUMPRODUCT((Dati!$AQ$4:$CD$4="CIV")*INDEX(Dati!$AQ$1:$CD$1000,MATCH($A30,Dati!$A$1:$A$1000,0),0)*INDEX(Dati!$DS$1:$FF$1000,MATCH($A30,Dati!$A$1:$A$1000,0),0))/SUMPRODUCT((Dati!$AQ$4:$CD$4="CIV")*INDEX(Dati!$DS$1:$FF$1000,MATCH($A30,Dati!$A$1:$A$1000,0),0)),2),""))</f>
        <v/>
      </c>
      <c r="BF30" s="51" t="str">
        <f aca="false">IF(BE30="","",LOOKUP(BE30,Impostazioni!$E$4:$E$9,Impostazioni!$F$4:$F$9))</f>
        <v/>
      </c>
      <c r="BG30" s="52"/>
      <c r="BH30" s="52"/>
      <c r="BI30" s="13" t="str">
        <f aca="false">IF($B30="","",IFERROR(SUM(INDEX(Dati!$FQ$1:$FZ$1000,MATCH($A30,Dati!$A$1:$A$1000,0),0)),0))</f>
        <v/>
      </c>
      <c r="BJ30" s="16" t="str">
        <f aca="false">IF($B30="","",IF($C30="ES","Esonerato: concordare con referente e dirigente",IF($C30="Ritirato","Ritirato",TRIM(IF(OR(N(AR30)&lt;Impostazioni!$B$14,N(AW30)&lt;Impostazioni!$B$14),"Pochi voti: valutazione alternativa (scritta/orale). ","")&amp;IF(N(BI30)&gt;0,"Da recuperare: "&amp;BI30&amp;". ","")&amp;IF($D30="OP","Riferito agli obiettivi personalizzati.","")))))</f>
        <v/>
      </c>
      <c r="BK30" s="31" t="str">
        <f aca="false">IF($B30="","",IF($C30="ES","ES",IF(AV30&lt;&gt;"",AV30,AU30)))</f>
        <v/>
      </c>
      <c r="BL30" s="31" t="str">
        <f aca="false">IF($B30="","",IF($C30="ES","ES",IF(BA30&lt;&gt;"",BA30,AZ30)))</f>
        <v/>
      </c>
      <c r="BM30" s="31" t="str">
        <f aca="false">IF($B30="","",IF($C30="ES","ES",IF(BD30&lt;&gt;"",BD30,BC30)))</f>
        <v/>
      </c>
      <c r="BN30" s="31" t="str">
        <f aca="false">IF($B30="","",IF($C30="ES","ES",IF(BG30&lt;&gt;"",BG30,BF30)))</f>
        <v/>
      </c>
      <c r="BO30" s="14"/>
    </row>
    <row r="31" customFormat="false" ht="21" hidden="false" customHeight="true" outlineLevel="0" collapsed="false">
      <c r="A31" s="10" t="n">
        <v>24</v>
      </c>
      <c r="B31" s="16" t="str">
        <f aca="false">IFERROR(INDEX(Alunni!$C$1:$C$1000,MATCH($A31,Alunni!$A$1:$A$1000,0))&amp;"","")</f>
        <v/>
      </c>
      <c r="C31" s="13" t="str">
        <f aca="false">IFERROR(INDEX(Alunni!$D$1:$D$1000,MATCH($A31,Alunni!$A$1:$A$1000,0))&amp;"","")</f>
        <v/>
      </c>
      <c r="D31" s="13" t="str">
        <f aca="false">IFERROR(INDEX(Alunni!$E$1:$E$1000,MATCH($A31,Alunni!$A$1:$A$1000,0))&amp;"","")</f>
        <v/>
      </c>
      <c r="E31" s="13" t="str">
        <f aca="false">IF($B31="","",IFERROR(ROUND(SUMPRODUCT((Dati!$C$3:$AP$3="1.1")*INDEX(Dati!$C$1:$AP$1000,MATCH($A31,Dati!$A$1:$A$1000,0),0)*INDEX(Dati!$CE$1:$DR$1000,MATCH($A31,Dati!$A$1:$A$1000,0),0))/SUMPRODUCT((Dati!$C$3:$AP$3="1.1")*INDEX(Dati!$CE$1:$DR$1000,MATCH($A31,Dati!$A$1:$A$1000,0),0)),2),""))</f>
        <v/>
      </c>
      <c r="F31" s="13" t="str">
        <f aca="false">IF($B31="","",IFERROR(ROUND(SUMPRODUCT((Dati!$C$3:$AP$3="2.1")*INDEX(Dati!$C$1:$AP$1000,MATCH($A31,Dati!$A$1:$A$1000,0),0)*INDEX(Dati!$CE$1:$DR$1000,MATCH($A31,Dati!$A$1:$A$1000,0),0))/SUMPRODUCT((Dati!$C$3:$AP$3="2.1")*INDEX(Dati!$CE$1:$DR$1000,MATCH($A31,Dati!$A$1:$A$1000,0),0)),2),""))</f>
        <v/>
      </c>
      <c r="G31" s="13" t="str">
        <f aca="false">IF($B31="","",IFERROR(ROUND(SUMPRODUCT((Dati!$C$3:$AP$3="3.1")*INDEX(Dati!$C$1:$AP$1000,MATCH($A31,Dati!$A$1:$A$1000,0),0)*INDEX(Dati!$CE$1:$DR$1000,MATCH($A31,Dati!$A$1:$A$1000,0),0))/SUMPRODUCT((Dati!$C$3:$AP$3="3.1")*INDEX(Dati!$CE$1:$DR$1000,MATCH($A31,Dati!$A$1:$A$1000,0),0)),2),""))</f>
        <v/>
      </c>
      <c r="H31" s="13" t="str">
        <f aca="false">IF($B31="","",IFERROR(ROUND(SUMPRODUCT((Dati!$C$3:$AP$3="3.2")*INDEX(Dati!$C$1:$AP$1000,MATCH($A31,Dati!$A$1:$A$1000,0),0)*INDEX(Dati!$CE$1:$DR$1000,MATCH($A31,Dati!$A$1:$A$1000,0),0))/SUMPRODUCT((Dati!$C$3:$AP$3="3.2")*INDEX(Dati!$CE$1:$DR$1000,MATCH($A31,Dati!$A$1:$A$1000,0),0)),2),""))</f>
        <v/>
      </c>
      <c r="I31" s="13" t="str">
        <f aca="false">IF($B31="","",IFERROR(ROUND(SUMPRODUCT((Dati!$C$3:$AP$3="3.3")*INDEX(Dati!$C$1:$AP$1000,MATCH($A31,Dati!$A$1:$A$1000,0),0)*INDEX(Dati!$CE$1:$DR$1000,MATCH($A31,Dati!$A$1:$A$1000,0),0))/SUMPRODUCT((Dati!$C$3:$AP$3="3.3")*INDEX(Dati!$CE$1:$DR$1000,MATCH($A31,Dati!$A$1:$A$1000,0),0)),2),""))</f>
        <v/>
      </c>
      <c r="J31" s="13" t="str">
        <f aca="false">IF($B31="","",IFERROR(ROUND(SUMPRODUCT((Dati!$C$3:$AP$3="4.1")*INDEX(Dati!$C$1:$AP$1000,MATCH($A31,Dati!$A$1:$A$1000,0),0)*INDEX(Dati!$CE$1:$DR$1000,MATCH($A31,Dati!$A$1:$A$1000,0),0))/SUMPRODUCT((Dati!$C$3:$AP$3="4.1")*INDEX(Dati!$CE$1:$DR$1000,MATCH($A31,Dati!$A$1:$A$1000,0),0)),2),""))</f>
        <v/>
      </c>
      <c r="K31" s="13" t="str">
        <f aca="false">IF($B31="","",IFERROR(ROUND(SUMPRODUCT((Dati!$C$3:$AP$3="4.2")*INDEX(Dati!$C$1:$AP$1000,MATCH($A31,Dati!$A$1:$A$1000,0),0)*INDEX(Dati!$CE$1:$DR$1000,MATCH($A31,Dati!$A$1:$A$1000,0),0))/SUMPRODUCT((Dati!$C$3:$AP$3="4.2")*INDEX(Dati!$CE$1:$DR$1000,MATCH($A31,Dati!$A$1:$A$1000,0),0)),2),""))</f>
        <v/>
      </c>
      <c r="L31" s="13" t="str">
        <f aca="false">IF($B31="","",IFERROR(ROUND(SUMPRODUCT((Dati!$C$3:$AP$3="4.3")*INDEX(Dati!$C$1:$AP$1000,MATCH($A31,Dati!$A$1:$A$1000,0),0)*INDEX(Dati!$CE$1:$DR$1000,MATCH($A31,Dati!$A$1:$A$1000,0),0))/SUMPRODUCT((Dati!$C$3:$AP$3="4.3")*INDEX(Dati!$CE$1:$DR$1000,MATCH($A31,Dati!$A$1:$A$1000,0),0)),2),""))</f>
        <v/>
      </c>
      <c r="M31" s="13" t="str">
        <f aca="false">IF($B31="","",IFERROR(SUMPRODUCT((Dati!$C$4:$AP$4="A")*(INDEX(Dati!$CE$1:$DR$1000,MATCH($A31,Dati!$A$1:$A$1000,0),0)&gt;0)),0))</f>
        <v/>
      </c>
      <c r="N31" s="13" t="str">
        <f aca="false">IF($B31="","",IFERROR(ROUND(SUMPRODUCT((Dati!$C$4:$AP$4="A")*INDEX(Dati!$C$1:$AP$1000,MATCH($A31,Dati!$A$1:$A$1000,0),0)*INDEX(Dati!$CE$1:$DR$1000,MATCH($A31,Dati!$A$1:$A$1000,0),0))/SUMPRODUCT((Dati!$C$4:$AP$4="A")*INDEX(Dati!$CE$1:$DR$1000,MATCH($A31,Dati!$A$1:$A$1000,0),0)),2),""))</f>
        <v/>
      </c>
      <c r="O31" s="13" t="str">
        <f aca="false">IF(N31="","",IF(ISNUMBER(AC31),ROUND(Impostazioni!$B$12*N31+Impostazioni!$B$13*AC31,2),N31))</f>
        <v/>
      </c>
      <c r="P31" s="51" t="str">
        <f aca="false">IF(O31="","",LOOKUP(O31,Impostazioni!$E$4:$E$9,Impostazioni!$F$4:$F$9))</f>
        <v/>
      </c>
      <c r="Q31" s="52"/>
      <c r="R31" s="13" t="str">
        <f aca="false">IF($B31="","",IFERROR(SUMPRODUCT((Dati!$C$4:$AP$4="B")*(INDEX(Dati!$CE$1:$DR$1000,MATCH($A31,Dati!$A$1:$A$1000,0),0)&gt;0)),0))</f>
        <v/>
      </c>
      <c r="S31" s="13" t="str">
        <f aca="false">IF($B31="","",IFERROR(ROUND(SUMPRODUCT((Dati!$C$4:$AP$4="B")*INDEX(Dati!$C$1:$AP$1000,MATCH($A31,Dati!$A$1:$A$1000,0),0)*INDEX(Dati!$CE$1:$DR$1000,MATCH($A31,Dati!$A$1:$A$1000,0),0))/SUMPRODUCT((Dati!$C$4:$AP$4="B")*INDEX(Dati!$CE$1:$DR$1000,MATCH($A31,Dati!$A$1:$A$1000,0),0)),2),""))</f>
        <v/>
      </c>
      <c r="T31" s="13" t="str">
        <f aca="false">IF(S31="","",IF(ISNUMBER(AC31),ROUND(Impostazioni!$B$12*S31+Impostazioni!$B$13*AC31,2),S31))</f>
        <v/>
      </c>
      <c r="U31" s="51" t="str">
        <f aca="false">IF(T31="","",LOOKUP(T31,Impostazioni!$E$4:$E$9,Impostazioni!$F$4:$F$9))</f>
        <v/>
      </c>
      <c r="V31" s="52"/>
      <c r="W31" s="13" t="str">
        <f aca="false">IF($B31="","",IFERROR(ROUND(SUMPRODUCT((Dati!$C$4:$AP$4="TEC")*INDEX(Dati!$C$1:$AP$1000,MATCH($A31,Dati!$A$1:$A$1000,0),0)*INDEX(Dati!$CE$1:$DR$1000,MATCH($A31,Dati!$A$1:$A$1000,0),0))/SUMPRODUCT((Dati!$C$4:$AP$4="TEC")*INDEX(Dati!$CE$1:$DR$1000,MATCH($A31,Dati!$A$1:$A$1000,0),0)),2),""))</f>
        <v/>
      </c>
      <c r="X31" s="51" t="str">
        <f aca="false">IF(W31="","",LOOKUP(W31,Impostazioni!$E$4:$E$9,Impostazioni!$F$4:$F$9))</f>
        <v/>
      </c>
      <c r="Y31" s="52"/>
      <c r="Z31" s="13" t="str">
        <f aca="false">IF($B31="","",IFERROR(ROUND(SUMPRODUCT((Dati!$C$4:$AP$4="CIV")*INDEX(Dati!$C$1:$AP$1000,MATCH($A31,Dati!$A$1:$A$1000,0),0)*INDEX(Dati!$CE$1:$DR$1000,MATCH($A31,Dati!$A$1:$A$1000,0),0))/SUMPRODUCT((Dati!$C$4:$AP$4="CIV")*INDEX(Dati!$CE$1:$DR$1000,MATCH($A31,Dati!$A$1:$A$1000,0),0)),2),""))</f>
        <v/>
      </c>
      <c r="AA31" s="51" t="str">
        <f aca="false">IF(Z31="","",LOOKUP(Z31,Impostazioni!$E$4:$E$9,Impostazioni!$F$4:$F$9))</f>
        <v/>
      </c>
      <c r="AB31" s="52"/>
      <c r="AC31" s="52"/>
      <c r="AD31" s="13" t="str">
        <f aca="false">IF($B31="","",IFERROR(SUM(INDEX(Dati!$FG$1:$FP$1000,MATCH($A31,Dati!$A$1:$A$1000,0),0)),0))</f>
        <v/>
      </c>
      <c r="AE31" s="16" t="str">
        <f aca="false">IF($B31="","",IF($C31="ES","Esonerato: concordare con referente e dirigente",IF($C31="Ritirato","Ritirato",TRIM(IF(OR(N(M31)&lt;Impostazioni!$B$14,N(R31)&lt;Impostazioni!$B$14),"Pochi voti: valutazione alternativa (scritta/orale). ","")&amp;IF(N(AD31)&gt;0,"Da recuperare: "&amp;AD31&amp;". ","")&amp;IF($D31="OP","Riferito agli obiettivi personalizzati.","")))))</f>
        <v/>
      </c>
      <c r="AF31" s="31" t="str">
        <f aca="false">IF($B31="","",IF($C31="ES","ES",IF(Q31&lt;&gt;"",Q31,P31)))</f>
        <v/>
      </c>
      <c r="AG31" s="31" t="str">
        <f aca="false">IF($B31="","",IF($C31="ES","ES",IF(V31&lt;&gt;"",V31,U31)))</f>
        <v/>
      </c>
      <c r="AH31" s="31" t="str">
        <f aca="false">IF($B31="","",IF($C31="ES","ES",IF(Y31&lt;&gt;"",Y31,X31)))</f>
        <v/>
      </c>
      <c r="AI31" s="31" t="str">
        <f aca="false">IF($B31="","",IF($C31="ES","ES",IF(AB31&lt;&gt;"",AB31,AA31)))</f>
        <v/>
      </c>
      <c r="AJ31" s="13" t="str">
        <f aca="false">IF($B31="","",IFERROR(ROUND(SUMPRODUCT((Dati!$AQ$3:$CD$3="1.1")*INDEX(Dati!$AQ$1:$CD$1000,MATCH($A31,Dati!$A$1:$A$1000,0),0)*INDEX(Dati!$DS$1:$FF$1000,MATCH($A31,Dati!$A$1:$A$1000,0),0))/SUMPRODUCT((Dati!$AQ$3:$CD$3="1.1")*INDEX(Dati!$DS$1:$FF$1000,MATCH($A31,Dati!$A$1:$A$1000,0),0)),2),""))</f>
        <v/>
      </c>
      <c r="AK31" s="13" t="str">
        <f aca="false">IF($B31="","",IFERROR(ROUND(SUMPRODUCT((Dati!$AQ$3:$CD$3="2.1")*INDEX(Dati!$AQ$1:$CD$1000,MATCH($A31,Dati!$A$1:$A$1000,0),0)*INDEX(Dati!$DS$1:$FF$1000,MATCH($A31,Dati!$A$1:$A$1000,0),0))/SUMPRODUCT((Dati!$AQ$3:$CD$3="2.1")*INDEX(Dati!$DS$1:$FF$1000,MATCH($A31,Dati!$A$1:$A$1000,0),0)),2),""))</f>
        <v/>
      </c>
      <c r="AL31" s="13" t="str">
        <f aca="false">IF($B31="","",IFERROR(ROUND(SUMPRODUCT((Dati!$AQ$3:$CD$3="3.1")*INDEX(Dati!$AQ$1:$CD$1000,MATCH($A31,Dati!$A$1:$A$1000,0),0)*INDEX(Dati!$DS$1:$FF$1000,MATCH($A31,Dati!$A$1:$A$1000,0),0))/SUMPRODUCT((Dati!$AQ$3:$CD$3="3.1")*INDEX(Dati!$DS$1:$FF$1000,MATCH($A31,Dati!$A$1:$A$1000,0),0)),2),""))</f>
        <v/>
      </c>
      <c r="AM31" s="13" t="str">
        <f aca="false">IF($B31="","",IFERROR(ROUND(SUMPRODUCT((Dati!$AQ$3:$CD$3="3.2")*INDEX(Dati!$AQ$1:$CD$1000,MATCH($A31,Dati!$A$1:$A$1000,0),0)*INDEX(Dati!$DS$1:$FF$1000,MATCH($A31,Dati!$A$1:$A$1000,0),0))/SUMPRODUCT((Dati!$AQ$3:$CD$3="3.2")*INDEX(Dati!$DS$1:$FF$1000,MATCH($A31,Dati!$A$1:$A$1000,0),0)),2),""))</f>
        <v/>
      </c>
      <c r="AN31" s="13" t="str">
        <f aca="false">IF($B31="","",IFERROR(ROUND(SUMPRODUCT((Dati!$AQ$3:$CD$3="3.3")*INDEX(Dati!$AQ$1:$CD$1000,MATCH($A31,Dati!$A$1:$A$1000,0),0)*INDEX(Dati!$DS$1:$FF$1000,MATCH($A31,Dati!$A$1:$A$1000,0),0))/SUMPRODUCT((Dati!$AQ$3:$CD$3="3.3")*INDEX(Dati!$DS$1:$FF$1000,MATCH($A31,Dati!$A$1:$A$1000,0),0)),2),""))</f>
        <v/>
      </c>
      <c r="AO31" s="13" t="str">
        <f aca="false">IF($B31="","",IFERROR(ROUND(SUMPRODUCT((Dati!$AQ$3:$CD$3="4.1")*INDEX(Dati!$AQ$1:$CD$1000,MATCH($A31,Dati!$A$1:$A$1000,0),0)*INDEX(Dati!$DS$1:$FF$1000,MATCH($A31,Dati!$A$1:$A$1000,0),0))/SUMPRODUCT((Dati!$AQ$3:$CD$3="4.1")*INDEX(Dati!$DS$1:$FF$1000,MATCH($A31,Dati!$A$1:$A$1000,0),0)),2),""))</f>
        <v/>
      </c>
      <c r="AP31" s="13" t="str">
        <f aca="false">IF($B31="","",IFERROR(ROUND(SUMPRODUCT((Dati!$AQ$3:$CD$3="4.2")*INDEX(Dati!$AQ$1:$CD$1000,MATCH($A31,Dati!$A$1:$A$1000,0),0)*INDEX(Dati!$DS$1:$FF$1000,MATCH($A31,Dati!$A$1:$A$1000,0),0))/SUMPRODUCT((Dati!$AQ$3:$CD$3="4.2")*INDEX(Dati!$DS$1:$FF$1000,MATCH($A31,Dati!$A$1:$A$1000,0),0)),2),""))</f>
        <v/>
      </c>
      <c r="AQ31" s="13" t="str">
        <f aca="false">IF($B31="","",IFERROR(ROUND(SUMPRODUCT((Dati!$AQ$3:$CD$3="4.3")*INDEX(Dati!$AQ$1:$CD$1000,MATCH($A31,Dati!$A$1:$A$1000,0),0)*INDEX(Dati!$DS$1:$FF$1000,MATCH($A31,Dati!$A$1:$A$1000,0),0))/SUMPRODUCT((Dati!$AQ$3:$CD$3="4.3")*INDEX(Dati!$DS$1:$FF$1000,MATCH($A31,Dati!$A$1:$A$1000,0),0)),2),""))</f>
        <v/>
      </c>
      <c r="AR31" s="13" t="str">
        <f aca="false">IF($B31="","",IFERROR(SUMPRODUCT((Dati!$AQ$4:$CD$4="A")*(INDEX(Dati!$DS$1:$FF$1000,MATCH($A31,Dati!$A$1:$A$1000,0),0)&gt;0)),0))</f>
        <v/>
      </c>
      <c r="AS31" s="13" t="str">
        <f aca="false">IF($B31="","",IFERROR(ROUND(SUMPRODUCT((Dati!$AQ$4:$CD$4="A")*INDEX(Dati!$AQ$1:$CD$1000,MATCH($A31,Dati!$A$1:$A$1000,0),0)*INDEX(Dati!$DS$1:$FF$1000,MATCH($A31,Dati!$A$1:$A$1000,0),0))/SUMPRODUCT((Dati!$AQ$4:$CD$4="A")*INDEX(Dati!$DS$1:$FF$1000,MATCH($A31,Dati!$A$1:$A$1000,0),0)),2),""))</f>
        <v/>
      </c>
      <c r="AT31" s="13" t="str">
        <f aca="false">IF(AS31="","",IF(ISNUMBER(BH31),ROUND(Impostazioni!$B$12*AS31+Impostazioni!$B$13*BH31,2),AS31))</f>
        <v/>
      </c>
      <c r="AU31" s="51" t="str">
        <f aca="false">IF(AT31="","",LOOKUP(AT31,Impostazioni!$E$4:$E$9,Impostazioni!$F$4:$F$9))</f>
        <v/>
      </c>
      <c r="AV31" s="52"/>
      <c r="AW31" s="13" t="str">
        <f aca="false">IF($B31="","",IFERROR(SUMPRODUCT((Dati!$AQ$4:$CD$4="B")*(INDEX(Dati!$DS$1:$FF$1000,MATCH($A31,Dati!$A$1:$A$1000,0),0)&gt;0)),0))</f>
        <v/>
      </c>
      <c r="AX31" s="13" t="str">
        <f aca="false">IF($B31="","",IFERROR(ROUND(SUMPRODUCT((Dati!$AQ$4:$CD$4="B")*INDEX(Dati!$AQ$1:$CD$1000,MATCH($A31,Dati!$A$1:$A$1000,0),0)*INDEX(Dati!$DS$1:$FF$1000,MATCH($A31,Dati!$A$1:$A$1000,0),0))/SUMPRODUCT((Dati!$AQ$4:$CD$4="B")*INDEX(Dati!$DS$1:$FF$1000,MATCH($A31,Dati!$A$1:$A$1000,0),0)),2),""))</f>
        <v/>
      </c>
      <c r="AY31" s="13" t="str">
        <f aca="false">IF(AX31="","",IF(ISNUMBER(BH31),ROUND(Impostazioni!$B$12*AX31+Impostazioni!$B$13*BH31,2),AX31))</f>
        <v/>
      </c>
      <c r="AZ31" s="51" t="str">
        <f aca="false">IF(AY31="","",LOOKUP(AY31,Impostazioni!$E$4:$E$9,Impostazioni!$F$4:$F$9))</f>
        <v/>
      </c>
      <c r="BA31" s="52"/>
      <c r="BB31" s="13" t="str">
        <f aca="false">IF($B31="","",IFERROR(ROUND(SUMPRODUCT((Dati!$AQ$4:$CD$4="TEC")*INDEX(Dati!$AQ$1:$CD$1000,MATCH($A31,Dati!$A$1:$A$1000,0),0)*INDEX(Dati!$DS$1:$FF$1000,MATCH($A31,Dati!$A$1:$A$1000,0),0))/SUMPRODUCT((Dati!$AQ$4:$CD$4="TEC")*INDEX(Dati!$DS$1:$FF$1000,MATCH($A31,Dati!$A$1:$A$1000,0),0)),2),""))</f>
        <v/>
      </c>
      <c r="BC31" s="51" t="str">
        <f aca="false">IF(BB31="","",LOOKUP(BB31,Impostazioni!$E$4:$E$9,Impostazioni!$F$4:$F$9))</f>
        <v/>
      </c>
      <c r="BD31" s="52"/>
      <c r="BE31" s="13" t="str">
        <f aca="false">IF($B31="","",IFERROR(ROUND(SUMPRODUCT((Dati!$AQ$4:$CD$4="CIV")*INDEX(Dati!$AQ$1:$CD$1000,MATCH($A31,Dati!$A$1:$A$1000,0),0)*INDEX(Dati!$DS$1:$FF$1000,MATCH($A31,Dati!$A$1:$A$1000,0),0))/SUMPRODUCT((Dati!$AQ$4:$CD$4="CIV")*INDEX(Dati!$DS$1:$FF$1000,MATCH($A31,Dati!$A$1:$A$1000,0),0)),2),""))</f>
        <v/>
      </c>
      <c r="BF31" s="51" t="str">
        <f aca="false">IF(BE31="","",LOOKUP(BE31,Impostazioni!$E$4:$E$9,Impostazioni!$F$4:$F$9))</f>
        <v/>
      </c>
      <c r="BG31" s="52"/>
      <c r="BH31" s="52"/>
      <c r="BI31" s="13" t="str">
        <f aca="false">IF($B31="","",IFERROR(SUM(INDEX(Dati!$FQ$1:$FZ$1000,MATCH($A31,Dati!$A$1:$A$1000,0),0)),0))</f>
        <v/>
      </c>
      <c r="BJ31" s="16" t="str">
        <f aca="false">IF($B31="","",IF($C31="ES","Esonerato: concordare con referente e dirigente",IF($C31="Ritirato","Ritirato",TRIM(IF(OR(N(AR31)&lt;Impostazioni!$B$14,N(AW31)&lt;Impostazioni!$B$14),"Pochi voti: valutazione alternativa (scritta/orale). ","")&amp;IF(N(BI31)&gt;0,"Da recuperare: "&amp;BI31&amp;". ","")&amp;IF($D31="OP","Riferito agli obiettivi personalizzati.","")))))</f>
        <v/>
      </c>
      <c r="BK31" s="31" t="str">
        <f aca="false">IF($B31="","",IF($C31="ES","ES",IF(AV31&lt;&gt;"",AV31,AU31)))</f>
        <v/>
      </c>
      <c r="BL31" s="31" t="str">
        <f aca="false">IF($B31="","",IF($C31="ES","ES",IF(BA31&lt;&gt;"",BA31,AZ31)))</f>
        <v/>
      </c>
      <c r="BM31" s="31" t="str">
        <f aca="false">IF($B31="","",IF($C31="ES","ES",IF(BD31&lt;&gt;"",BD31,BC31)))</f>
        <v/>
      </c>
      <c r="BN31" s="31" t="str">
        <f aca="false">IF($B31="","",IF($C31="ES","ES",IF(BG31&lt;&gt;"",BG31,BF31)))</f>
        <v/>
      </c>
      <c r="BO31" s="14"/>
    </row>
    <row r="32" customFormat="false" ht="21" hidden="false" customHeight="true" outlineLevel="0" collapsed="false">
      <c r="A32" s="10" t="n">
        <v>25</v>
      </c>
      <c r="B32" s="16" t="str">
        <f aca="false">IFERROR(INDEX(Alunni!$C$1:$C$1000,MATCH($A32,Alunni!$A$1:$A$1000,0))&amp;"","")</f>
        <v/>
      </c>
      <c r="C32" s="13" t="str">
        <f aca="false">IFERROR(INDEX(Alunni!$D$1:$D$1000,MATCH($A32,Alunni!$A$1:$A$1000,0))&amp;"","")</f>
        <v/>
      </c>
      <c r="D32" s="13" t="str">
        <f aca="false">IFERROR(INDEX(Alunni!$E$1:$E$1000,MATCH($A32,Alunni!$A$1:$A$1000,0))&amp;"","")</f>
        <v/>
      </c>
      <c r="E32" s="13" t="str">
        <f aca="false">IF($B32="","",IFERROR(ROUND(SUMPRODUCT((Dati!$C$3:$AP$3="1.1")*INDEX(Dati!$C$1:$AP$1000,MATCH($A32,Dati!$A$1:$A$1000,0),0)*INDEX(Dati!$CE$1:$DR$1000,MATCH($A32,Dati!$A$1:$A$1000,0),0))/SUMPRODUCT((Dati!$C$3:$AP$3="1.1")*INDEX(Dati!$CE$1:$DR$1000,MATCH($A32,Dati!$A$1:$A$1000,0),0)),2),""))</f>
        <v/>
      </c>
      <c r="F32" s="13" t="str">
        <f aca="false">IF($B32="","",IFERROR(ROUND(SUMPRODUCT((Dati!$C$3:$AP$3="2.1")*INDEX(Dati!$C$1:$AP$1000,MATCH($A32,Dati!$A$1:$A$1000,0),0)*INDEX(Dati!$CE$1:$DR$1000,MATCH($A32,Dati!$A$1:$A$1000,0),0))/SUMPRODUCT((Dati!$C$3:$AP$3="2.1")*INDEX(Dati!$CE$1:$DR$1000,MATCH($A32,Dati!$A$1:$A$1000,0),0)),2),""))</f>
        <v/>
      </c>
      <c r="G32" s="13" t="str">
        <f aca="false">IF($B32="","",IFERROR(ROUND(SUMPRODUCT((Dati!$C$3:$AP$3="3.1")*INDEX(Dati!$C$1:$AP$1000,MATCH($A32,Dati!$A$1:$A$1000,0),0)*INDEX(Dati!$CE$1:$DR$1000,MATCH($A32,Dati!$A$1:$A$1000,0),0))/SUMPRODUCT((Dati!$C$3:$AP$3="3.1")*INDEX(Dati!$CE$1:$DR$1000,MATCH($A32,Dati!$A$1:$A$1000,0),0)),2),""))</f>
        <v/>
      </c>
      <c r="H32" s="13" t="str">
        <f aca="false">IF($B32="","",IFERROR(ROUND(SUMPRODUCT((Dati!$C$3:$AP$3="3.2")*INDEX(Dati!$C$1:$AP$1000,MATCH($A32,Dati!$A$1:$A$1000,0),0)*INDEX(Dati!$CE$1:$DR$1000,MATCH($A32,Dati!$A$1:$A$1000,0),0))/SUMPRODUCT((Dati!$C$3:$AP$3="3.2")*INDEX(Dati!$CE$1:$DR$1000,MATCH($A32,Dati!$A$1:$A$1000,0),0)),2),""))</f>
        <v/>
      </c>
      <c r="I32" s="13" t="str">
        <f aca="false">IF($B32="","",IFERROR(ROUND(SUMPRODUCT((Dati!$C$3:$AP$3="3.3")*INDEX(Dati!$C$1:$AP$1000,MATCH($A32,Dati!$A$1:$A$1000,0),0)*INDEX(Dati!$CE$1:$DR$1000,MATCH($A32,Dati!$A$1:$A$1000,0),0))/SUMPRODUCT((Dati!$C$3:$AP$3="3.3")*INDEX(Dati!$CE$1:$DR$1000,MATCH($A32,Dati!$A$1:$A$1000,0),0)),2),""))</f>
        <v/>
      </c>
      <c r="J32" s="13" t="str">
        <f aca="false">IF($B32="","",IFERROR(ROUND(SUMPRODUCT((Dati!$C$3:$AP$3="4.1")*INDEX(Dati!$C$1:$AP$1000,MATCH($A32,Dati!$A$1:$A$1000,0),0)*INDEX(Dati!$CE$1:$DR$1000,MATCH($A32,Dati!$A$1:$A$1000,0),0))/SUMPRODUCT((Dati!$C$3:$AP$3="4.1")*INDEX(Dati!$CE$1:$DR$1000,MATCH($A32,Dati!$A$1:$A$1000,0),0)),2),""))</f>
        <v/>
      </c>
      <c r="K32" s="13" t="str">
        <f aca="false">IF($B32="","",IFERROR(ROUND(SUMPRODUCT((Dati!$C$3:$AP$3="4.2")*INDEX(Dati!$C$1:$AP$1000,MATCH($A32,Dati!$A$1:$A$1000,0),0)*INDEX(Dati!$CE$1:$DR$1000,MATCH($A32,Dati!$A$1:$A$1000,0),0))/SUMPRODUCT((Dati!$C$3:$AP$3="4.2")*INDEX(Dati!$CE$1:$DR$1000,MATCH($A32,Dati!$A$1:$A$1000,0),0)),2),""))</f>
        <v/>
      </c>
      <c r="L32" s="13" t="str">
        <f aca="false">IF($B32="","",IFERROR(ROUND(SUMPRODUCT((Dati!$C$3:$AP$3="4.3")*INDEX(Dati!$C$1:$AP$1000,MATCH($A32,Dati!$A$1:$A$1000,0),0)*INDEX(Dati!$CE$1:$DR$1000,MATCH($A32,Dati!$A$1:$A$1000,0),0))/SUMPRODUCT((Dati!$C$3:$AP$3="4.3")*INDEX(Dati!$CE$1:$DR$1000,MATCH($A32,Dati!$A$1:$A$1000,0),0)),2),""))</f>
        <v/>
      </c>
      <c r="M32" s="13" t="str">
        <f aca="false">IF($B32="","",IFERROR(SUMPRODUCT((Dati!$C$4:$AP$4="A")*(INDEX(Dati!$CE$1:$DR$1000,MATCH($A32,Dati!$A$1:$A$1000,0),0)&gt;0)),0))</f>
        <v/>
      </c>
      <c r="N32" s="13" t="str">
        <f aca="false">IF($B32="","",IFERROR(ROUND(SUMPRODUCT((Dati!$C$4:$AP$4="A")*INDEX(Dati!$C$1:$AP$1000,MATCH($A32,Dati!$A$1:$A$1000,0),0)*INDEX(Dati!$CE$1:$DR$1000,MATCH($A32,Dati!$A$1:$A$1000,0),0))/SUMPRODUCT((Dati!$C$4:$AP$4="A")*INDEX(Dati!$CE$1:$DR$1000,MATCH($A32,Dati!$A$1:$A$1000,0),0)),2),""))</f>
        <v/>
      </c>
      <c r="O32" s="13" t="str">
        <f aca="false">IF(N32="","",IF(ISNUMBER(AC32),ROUND(Impostazioni!$B$12*N32+Impostazioni!$B$13*AC32,2),N32))</f>
        <v/>
      </c>
      <c r="P32" s="51" t="str">
        <f aca="false">IF(O32="","",LOOKUP(O32,Impostazioni!$E$4:$E$9,Impostazioni!$F$4:$F$9))</f>
        <v/>
      </c>
      <c r="Q32" s="52"/>
      <c r="R32" s="13" t="str">
        <f aca="false">IF($B32="","",IFERROR(SUMPRODUCT((Dati!$C$4:$AP$4="B")*(INDEX(Dati!$CE$1:$DR$1000,MATCH($A32,Dati!$A$1:$A$1000,0),0)&gt;0)),0))</f>
        <v/>
      </c>
      <c r="S32" s="13" t="str">
        <f aca="false">IF($B32="","",IFERROR(ROUND(SUMPRODUCT((Dati!$C$4:$AP$4="B")*INDEX(Dati!$C$1:$AP$1000,MATCH($A32,Dati!$A$1:$A$1000,0),0)*INDEX(Dati!$CE$1:$DR$1000,MATCH($A32,Dati!$A$1:$A$1000,0),0))/SUMPRODUCT((Dati!$C$4:$AP$4="B")*INDEX(Dati!$CE$1:$DR$1000,MATCH($A32,Dati!$A$1:$A$1000,0),0)),2),""))</f>
        <v/>
      </c>
      <c r="T32" s="13" t="str">
        <f aca="false">IF(S32="","",IF(ISNUMBER(AC32),ROUND(Impostazioni!$B$12*S32+Impostazioni!$B$13*AC32,2),S32))</f>
        <v/>
      </c>
      <c r="U32" s="51" t="str">
        <f aca="false">IF(T32="","",LOOKUP(T32,Impostazioni!$E$4:$E$9,Impostazioni!$F$4:$F$9))</f>
        <v/>
      </c>
      <c r="V32" s="52"/>
      <c r="W32" s="13" t="str">
        <f aca="false">IF($B32="","",IFERROR(ROUND(SUMPRODUCT((Dati!$C$4:$AP$4="TEC")*INDEX(Dati!$C$1:$AP$1000,MATCH($A32,Dati!$A$1:$A$1000,0),0)*INDEX(Dati!$CE$1:$DR$1000,MATCH($A32,Dati!$A$1:$A$1000,0),0))/SUMPRODUCT((Dati!$C$4:$AP$4="TEC")*INDEX(Dati!$CE$1:$DR$1000,MATCH($A32,Dati!$A$1:$A$1000,0),0)),2),""))</f>
        <v/>
      </c>
      <c r="X32" s="51" t="str">
        <f aca="false">IF(W32="","",LOOKUP(W32,Impostazioni!$E$4:$E$9,Impostazioni!$F$4:$F$9))</f>
        <v/>
      </c>
      <c r="Y32" s="52"/>
      <c r="Z32" s="13" t="str">
        <f aca="false">IF($B32="","",IFERROR(ROUND(SUMPRODUCT((Dati!$C$4:$AP$4="CIV")*INDEX(Dati!$C$1:$AP$1000,MATCH($A32,Dati!$A$1:$A$1000,0),0)*INDEX(Dati!$CE$1:$DR$1000,MATCH($A32,Dati!$A$1:$A$1000,0),0))/SUMPRODUCT((Dati!$C$4:$AP$4="CIV")*INDEX(Dati!$CE$1:$DR$1000,MATCH($A32,Dati!$A$1:$A$1000,0),0)),2),""))</f>
        <v/>
      </c>
      <c r="AA32" s="51" t="str">
        <f aca="false">IF(Z32="","",LOOKUP(Z32,Impostazioni!$E$4:$E$9,Impostazioni!$F$4:$F$9))</f>
        <v/>
      </c>
      <c r="AB32" s="52"/>
      <c r="AC32" s="52"/>
      <c r="AD32" s="13" t="str">
        <f aca="false">IF($B32="","",IFERROR(SUM(INDEX(Dati!$FG$1:$FP$1000,MATCH($A32,Dati!$A$1:$A$1000,0),0)),0))</f>
        <v/>
      </c>
      <c r="AE32" s="16" t="str">
        <f aca="false">IF($B32="","",IF($C32="ES","Esonerato: concordare con referente e dirigente",IF($C32="Ritirato","Ritirato",TRIM(IF(OR(N(M32)&lt;Impostazioni!$B$14,N(R32)&lt;Impostazioni!$B$14),"Pochi voti: valutazione alternativa (scritta/orale). ","")&amp;IF(N(AD32)&gt;0,"Da recuperare: "&amp;AD32&amp;". ","")&amp;IF($D32="OP","Riferito agli obiettivi personalizzati.","")))))</f>
        <v/>
      </c>
      <c r="AF32" s="31" t="str">
        <f aca="false">IF($B32="","",IF($C32="ES","ES",IF(Q32&lt;&gt;"",Q32,P32)))</f>
        <v/>
      </c>
      <c r="AG32" s="31" t="str">
        <f aca="false">IF($B32="","",IF($C32="ES","ES",IF(V32&lt;&gt;"",V32,U32)))</f>
        <v/>
      </c>
      <c r="AH32" s="31" t="str">
        <f aca="false">IF($B32="","",IF($C32="ES","ES",IF(Y32&lt;&gt;"",Y32,X32)))</f>
        <v/>
      </c>
      <c r="AI32" s="31" t="str">
        <f aca="false">IF($B32="","",IF($C32="ES","ES",IF(AB32&lt;&gt;"",AB32,AA32)))</f>
        <v/>
      </c>
      <c r="AJ32" s="13" t="str">
        <f aca="false">IF($B32="","",IFERROR(ROUND(SUMPRODUCT((Dati!$AQ$3:$CD$3="1.1")*INDEX(Dati!$AQ$1:$CD$1000,MATCH($A32,Dati!$A$1:$A$1000,0),0)*INDEX(Dati!$DS$1:$FF$1000,MATCH($A32,Dati!$A$1:$A$1000,0),0))/SUMPRODUCT((Dati!$AQ$3:$CD$3="1.1")*INDEX(Dati!$DS$1:$FF$1000,MATCH($A32,Dati!$A$1:$A$1000,0),0)),2),""))</f>
        <v/>
      </c>
      <c r="AK32" s="13" t="str">
        <f aca="false">IF($B32="","",IFERROR(ROUND(SUMPRODUCT((Dati!$AQ$3:$CD$3="2.1")*INDEX(Dati!$AQ$1:$CD$1000,MATCH($A32,Dati!$A$1:$A$1000,0),0)*INDEX(Dati!$DS$1:$FF$1000,MATCH($A32,Dati!$A$1:$A$1000,0),0))/SUMPRODUCT((Dati!$AQ$3:$CD$3="2.1")*INDEX(Dati!$DS$1:$FF$1000,MATCH($A32,Dati!$A$1:$A$1000,0),0)),2),""))</f>
        <v/>
      </c>
      <c r="AL32" s="13" t="str">
        <f aca="false">IF($B32="","",IFERROR(ROUND(SUMPRODUCT((Dati!$AQ$3:$CD$3="3.1")*INDEX(Dati!$AQ$1:$CD$1000,MATCH($A32,Dati!$A$1:$A$1000,0),0)*INDEX(Dati!$DS$1:$FF$1000,MATCH($A32,Dati!$A$1:$A$1000,0),0))/SUMPRODUCT((Dati!$AQ$3:$CD$3="3.1")*INDEX(Dati!$DS$1:$FF$1000,MATCH($A32,Dati!$A$1:$A$1000,0),0)),2),""))</f>
        <v/>
      </c>
      <c r="AM32" s="13" t="str">
        <f aca="false">IF($B32="","",IFERROR(ROUND(SUMPRODUCT((Dati!$AQ$3:$CD$3="3.2")*INDEX(Dati!$AQ$1:$CD$1000,MATCH($A32,Dati!$A$1:$A$1000,0),0)*INDEX(Dati!$DS$1:$FF$1000,MATCH($A32,Dati!$A$1:$A$1000,0),0))/SUMPRODUCT((Dati!$AQ$3:$CD$3="3.2")*INDEX(Dati!$DS$1:$FF$1000,MATCH($A32,Dati!$A$1:$A$1000,0),0)),2),""))</f>
        <v/>
      </c>
      <c r="AN32" s="13" t="str">
        <f aca="false">IF($B32="","",IFERROR(ROUND(SUMPRODUCT((Dati!$AQ$3:$CD$3="3.3")*INDEX(Dati!$AQ$1:$CD$1000,MATCH($A32,Dati!$A$1:$A$1000,0),0)*INDEX(Dati!$DS$1:$FF$1000,MATCH($A32,Dati!$A$1:$A$1000,0),0))/SUMPRODUCT((Dati!$AQ$3:$CD$3="3.3")*INDEX(Dati!$DS$1:$FF$1000,MATCH($A32,Dati!$A$1:$A$1000,0),0)),2),""))</f>
        <v/>
      </c>
      <c r="AO32" s="13" t="str">
        <f aca="false">IF($B32="","",IFERROR(ROUND(SUMPRODUCT((Dati!$AQ$3:$CD$3="4.1")*INDEX(Dati!$AQ$1:$CD$1000,MATCH($A32,Dati!$A$1:$A$1000,0),0)*INDEX(Dati!$DS$1:$FF$1000,MATCH($A32,Dati!$A$1:$A$1000,0),0))/SUMPRODUCT((Dati!$AQ$3:$CD$3="4.1")*INDEX(Dati!$DS$1:$FF$1000,MATCH($A32,Dati!$A$1:$A$1000,0),0)),2),""))</f>
        <v/>
      </c>
      <c r="AP32" s="13" t="str">
        <f aca="false">IF($B32="","",IFERROR(ROUND(SUMPRODUCT((Dati!$AQ$3:$CD$3="4.2")*INDEX(Dati!$AQ$1:$CD$1000,MATCH($A32,Dati!$A$1:$A$1000,0),0)*INDEX(Dati!$DS$1:$FF$1000,MATCH($A32,Dati!$A$1:$A$1000,0),0))/SUMPRODUCT((Dati!$AQ$3:$CD$3="4.2")*INDEX(Dati!$DS$1:$FF$1000,MATCH($A32,Dati!$A$1:$A$1000,0),0)),2),""))</f>
        <v/>
      </c>
      <c r="AQ32" s="13" t="str">
        <f aca="false">IF($B32="","",IFERROR(ROUND(SUMPRODUCT((Dati!$AQ$3:$CD$3="4.3")*INDEX(Dati!$AQ$1:$CD$1000,MATCH($A32,Dati!$A$1:$A$1000,0),0)*INDEX(Dati!$DS$1:$FF$1000,MATCH($A32,Dati!$A$1:$A$1000,0),0))/SUMPRODUCT((Dati!$AQ$3:$CD$3="4.3")*INDEX(Dati!$DS$1:$FF$1000,MATCH($A32,Dati!$A$1:$A$1000,0),0)),2),""))</f>
        <v/>
      </c>
      <c r="AR32" s="13" t="str">
        <f aca="false">IF($B32="","",IFERROR(SUMPRODUCT((Dati!$AQ$4:$CD$4="A")*(INDEX(Dati!$DS$1:$FF$1000,MATCH($A32,Dati!$A$1:$A$1000,0),0)&gt;0)),0))</f>
        <v/>
      </c>
      <c r="AS32" s="13" t="str">
        <f aca="false">IF($B32="","",IFERROR(ROUND(SUMPRODUCT((Dati!$AQ$4:$CD$4="A")*INDEX(Dati!$AQ$1:$CD$1000,MATCH($A32,Dati!$A$1:$A$1000,0),0)*INDEX(Dati!$DS$1:$FF$1000,MATCH($A32,Dati!$A$1:$A$1000,0),0))/SUMPRODUCT((Dati!$AQ$4:$CD$4="A")*INDEX(Dati!$DS$1:$FF$1000,MATCH($A32,Dati!$A$1:$A$1000,0),0)),2),""))</f>
        <v/>
      </c>
      <c r="AT32" s="13" t="str">
        <f aca="false">IF(AS32="","",IF(ISNUMBER(BH32),ROUND(Impostazioni!$B$12*AS32+Impostazioni!$B$13*BH32,2),AS32))</f>
        <v/>
      </c>
      <c r="AU32" s="51" t="str">
        <f aca="false">IF(AT32="","",LOOKUP(AT32,Impostazioni!$E$4:$E$9,Impostazioni!$F$4:$F$9))</f>
        <v/>
      </c>
      <c r="AV32" s="52"/>
      <c r="AW32" s="13" t="str">
        <f aca="false">IF($B32="","",IFERROR(SUMPRODUCT((Dati!$AQ$4:$CD$4="B")*(INDEX(Dati!$DS$1:$FF$1000,MATCH($A32,Dati!$A$1:$A$1000,0),0)&gt;0)),0))</f>
        <v/>
      </c>
      <c r="AX32" s="13" t="str">
        <f aca="false">IF($B32="","",IFERROR(ROUND(SUMPRODUCT((Dati!$AQ$4:$CD$4="B")*INDEX(Dati!$AQ$1:$CD$1000,MATCH($A32,Dati!$A$1:$A$1000,0),0)*INDEX(Dati!$DS$1:$FF$1000,MATCH($A32,Dati!$A$1:$A$1000,0),0))/SUMPRODUCT((Dati!$AQ$4:$CD$4="B")*INDEX(Dati!$DS$1:$FF$1000,MATCH($A32,Dati!$A$1:$A$1000,0),0)),2),""))</f>
        <v/>
      </c>
      <c r="AY32" s="13" t="str">
        <f aca="false">IF(AX32="","",IF(ISNUMBER(BH32),ROUND(Impostazioni!$B$12*AX32+Impostazioni!$B$13*BH32,2),AX32))</f>
        <v/>
      </c>
      <c r="AZ32" s="51" t="str">
        <f aca="false">IF(AY32="","",LOOKUP(AY32,Impostazioni!$E$4:$E$9,Impostazioni!$F$4:$F$9))</f>
        <v/>
      </c>
      <c r="BA32" s="52"/>
      <c r="BB32" s="13" t="str">
        <f aca="false">IF($B32="","",IFERROR(ROUND(SUMPRODUCT((Dati!$AQ$4:$CD$4="TEC")*INDEX(Dati!$AQ$1:$CD$1000,MATCH($A32,Dati!$A$1:$A$1000,0),0)*INDEX(Dati!$DS$1:$FF$1000,MATCH($A32,Dati!$A$1:$A$1000,0),0))/SUMPRODUCT((Dati!$AQ$4:$CD$4="TEC")*INDEX(Dati!$DS$1:$FF$1000,MATCH($A32,Dati!$A$1:$A$1000,0),0)),2),""))</f>
        <v/>
      </c>
      <c r="BC32" s="51" t="str">
        <f aca="false">IF(BB32="","",LOOKUP(BB32,Impostazioni!$E$4:$E$9,Impostazioni!$F$4:$F$9))</f>
        <v/>
      </c>
      <c r="BD32" s="52"/>
      <c r="BE32" s="13" t="str">
        <f aca="false">IF($B32="","",IFERROR(ROUND(SUMPRODUCT((Dati!$AQ$4:$CD$4="CIV")*INDEX(Dati!$AQ$1:$CD$1000,MATCH($A32,Dati!$A$1:$A$1000,0),0)*INDEX(Dati!$DS$1:$FF$1000,MATCH($A32,Dati!$A$1:$A$1000,0),0))/SUMPRODUCT((Dati!$AQ$4:$CD$4="CIV")*INDEX(Dati!$DS$1:$FF$1000,MATCH($A32,Dati!$A$1:$A$1000,0),0)),2),""))</f>
        <v/>
      </c>
      <c r="BF32" s="51" t="str">
        <f aca="false">IF(BE32="","",LOOKUP(BE32,Impostazioni!$E$4:$E$9,Impostazioni!$F$4:$F$9))</f>
        <v/>
      </c>
      <c r="BG32" s="52"/>
      <c r="BH32" s="52"/>
      <c r="BI32" s="13" t="str">
        <f aca="false">IF($B32="","",IFERROR(SUM(INDEX(Dati!$FQ$1:$FZ$1000,MATCH($A32,Dati!$A$1:$A$1000,0),0)),0))</f>
        <v/>
      </c>
      <c r="BJ32" s="16" t="str">
        <f aca="false">IF($B32="","",IF($C32="ES","Esonerato: concordare con referente e dirigente",IF($C32="Ritirato","Ritirato",TRIM(IF(OR(N(AR32)&lt;Impostazioni!$B$14,N(AW32)&lt;Impostazioni!$B$14),"Pochi voti: valutazione alternativa (scritta/orale). ","")&amp;IF(N(BI32)&gt;0,"Da recuperare: "&amp;BI32&amp;". ","")&amp;IF($D32="OP","Riferito agli obiettivi personalizzati.","")))))</f>
        <v/>
      </c>
      <c r="BK32" s="31" t="str">
        <f aca="false">IF($B32="","",IF($C32="ES","ES",IF(AV32&lt;&gt;"",AV32,AU32)))</f>
        <v/>
      </c>
      <c r="BL32" s="31" t="str">
        <f aca="false">IF($B32="","",IF($C32="ES","ES",IF(BA32&lt;&gt;"",BA32,AZ32)))</f>
        <v/>
      </c>
      <c r="BM32" s="31" t="str">
        <f aca="false">IF($B32="","",IF($C32="ES","ES",IF(BD32&lt;&gt;"",BD32,BC32)))</f>
        <v/>
      </c>
      <c r="BN32" s="31" t="str">
        <f aca="false">IF($B32="","",IF($C32="ES","ES",IF(BG32&lt;&gt;"",BG32,BF32)))</f>
        <v/>
      </c>
      <c r="BO32" s="14"/>
    </row>
    <row r="33" customFormat="false" ht="21" hidden="false" customHeight="true" outlineLevel="0" collapsed="false">
      <c r="A33" s="10" t="n">
        <v>26</v>
      </c>
      <c r="B33" s="16" t="str">
        <f aca="false">IFERROR(INDEX(Alunni!$C$1:$C$1000,MATCH($A33,Alunni!$A$1:$A$1000,0))&amp;"","")</f>
        <v/>
      </c>
      <c r="C33" s="13" t="str">
        <f aca="false">IFERROR(INDEX(Alunni!$D$1:$D$1000,MATCH($A33,Alunni!$A$1:$A$1000,0))&amp;"","")</f>
        <v/>
      </c>
      <c r="D33" s="13" t="str">
        <f aca="false">IFERROR(INDEX(Alunni!$E$1:$E$1000,MATCH($A33,Alunni!$A$1:$A$1000,0))&amp;"","")</f>
        <v/>
      </c>
      <c r="E33" s="13" t="str">
        <f aca="false">IF($B33="","",IFERROR(ROUND(SUMPRODUCT((Dati!$C$3:$AP$3="1.1")*INDEX(Dati!$C$1:$AP$1000,MATCH($A33,Dati!$A$1:$A$1000,0),0)*INDEX(Dati!$CE$1:$DR$1000,MATCH($A33,Dati!$A$1:$A$1000,0),0))/SUMPRODUCT((Dati!$C$3:$AP$3="1.1")*INDEX(Dati!$CE$1:$DR$1000,MATCH($A33,Dati!$A$1:$A$1000,0),0)),2),""))</f>
        <v/>
      </c>
      <c r="F33" s="13" t="str">
        <f aca="false">IF($B33="","",IFERROR(ROUND(SUMPRODUCT((Dati!$C$3:$AP$3="2.1")*INDEX(Dati!$C$1:$AP$1000,MATCH($A33,Dati!$A$1:$A$1000,0),0)*INDEX(Dati!$CE$1:$DR$1000,MATCH($A33,Dati!$A$1:$A$1000,0),0))/SUMPRODUCT((Dati!$C$3:$AP$3="2.1")*INDEX(Dati!$CE$1:$DR$1000,MATCH($A33,Dati!$A$1:$A$1000,0),0)),2),""))</f>
        <v/>
      </c>
      <c r="G33" s="13" t="str">
        <f aca="false">IF($B33="","",IFERROR(ROUND(SUMPRODUCT((Dati!$C$3:$AP$3="3.1")*INDEX(Dati!$C$1:$AP$1000,MATCH($A33,Dati!$A$1:$A$1000,0),0)*INDEX(Dati!$CE$1:$DR$1000,MATCH($A33,Dati!$A$1:$A$1000,0),0))/SUMPRODUCT((Dati!$C$3:$AP$3="3.1")*INDEX(Dati!$CE$1:$DR$1000,MATCH($A33,Dati!$A$1:$A$1000,0),0)),2),""))</f>
        <v/>
      </c>
      <c r="H33" s="13" t="str">
        <f aca="false">IF($B33="","",IFERROR(ROUND(SUMPRODUCT((Dati!$C$3:$AP$3="3.2")*INDEX(Dati!$C$1:$AP$1000,MATCH($A33,Dati!$A$1:$A$1000,0),0)*INDEX(Dati!$CE$1:$DR$1000,MATCH($A33,Dati!$A$1:$A$1000,0),0))/SUMPRODUCT((Dati!$C$3:$AP$3="3.2")*INDEX(Dati!$CE$1:$DR$1000,MATCH($A33,Dati!$A$1:$A$1000,0),0)),2),""))</f>
        <v/>
      </c>
      <c r="I33" s="13" t="str">
        <f aca="false">IF($B33="","",IFERROR(ROUND(SUMPRODUCT((Dati!$C$3:$AP$3="3.3")*INDEX(Dati!$C$1:$AP$1000,MATCH($A33,Dati!$A$1:$A$1000,0),0)*INDEX(Dati!$CE$1:$DR$1000,MATCH($A33,Dati!$A$1:$A$1000,0),0))/SUMPRODUCT((Dati!$C$3:$AP$3="3.3")*INDEX(Dati!$CE$1:$DR$1000,MATCH($A33,Dati!$A$1:$A$1000,0),0)),2),""))</f>
        <v/>
      </c>
      <c r="J33" s="13" t="str">
        <f aca="false">IF($B33="","",IFERROR(ROUND(SUMPRODUCT((Dati!$C$3:$AP$3="4.1")*INDEX(Dati!$C$1:$AP$1000,MATCH($A33,Dati!$A$1:$A$1000,0),0)*INDEX(Dati!$CE$1:$DR$1000,MATCH($A33,Dati!$A$1:$A$1000,0),0))/SUMPRODUCT((Dati!$C$3:$AP$3="4.1")*INDEX(Dati!$CE$1:$DR$1000,MATCH($A33,Dati!$A$1:$A$1000,0),0)),2),""))</f>
        <v/>
      </c>
      <c r="K33" s="13" t="str">
        <f aca="false">IF($B33="","",IFERROR(ROUND(SUMPRODUCT((Dati!$C$3:$AP$3="4.2")*INDEX(Dati!$C$1:$AP$1000,MATCH($A33,Dati!$A$1:$A$1000,0),0)*INDEX(Dati!$CE$1:$DR$1000,MATCH($A33,Dati!$A$1:$A$1000,0),0))/SUMPRODUCT((Dati!$C$3:$AP$3="4.2")*INDEX(Dati!$CE$1:$DR$1000,MATCH($A33,Dati!$A$1:$A$1000,0),0)),2),""))</f>
        <v/>
      </c>
      <c r="L33" s="13" t="str">
        <f aca="false">IF($B33="","",IFERROR(ROUND(SUMPRODUCT((Dati!$C$3:$AP$3="4.3")*INDEX(Dati!$C$1:$AP$1000,MATCH($A33,Dati!$A$1:$A$1000,0),0)*INDEX(Dati!$CE$1:$DR$1000,MATCH($A33,Dati!$A$1:$A$1000,0),0))/SUMPRODUCT((Dati!$C$3:$AP$3="4.3")*INDEX(Dati!$CE$1:$DR$1000,MATCH($A33,Dati!$A$1:$A$1000,0),0)),2),""))</f>
        <v/>
      </c>
      <c r="M33" s="13" t="str">
        <f aca="false">IF($B33="","",IFERROR(SUMPRODUCT((Dati!$C$4:$AP$4="A")*(INDEX(Dati!$CE$1:$DR$1000,MATCH($A33,Dati!$A$1:$A$1000,0),0)&gt;0)),0))</f>
        <v/>
      </c>
      <c r="N33" s="13" t="str">
        <f aca="false">IF($B33="","",IFERROR(ROUND(SUMPRODUCT((Dati!$C$4:$AP$4="A")*INDEX(Dati!$C$1:$AP$1000,MATCH($A33,Dati!$A$1:$A$1000,0),0)*INDEX(Dati!$CE$1:$DR$1000,MATCH($A33,Dati!$A$1:$A$1000,0),0))/SUMPRODUCT((Dati!$C$4:$AP$4="A")*INDEX(Dati!$CE$1:$DR$1000,MATCH($A33,Dati!$A$1:$A$1000,0),0)),2),""))</f>
        <v/>
      </c>
      <c r="O33" s="13" t="str">
        <f aca="false">IF(N33="","",IF(ISNUMBER(AC33),ROUND(Impostazioni!$B$12*N33+Impostazioni!$B$13*AC33,2),N33))</f>
        <v/>
      </c>
      <c r="P33" s="51" t="str">
        <f aca="false">IF(O33="","",LOOKUP(O33,Impostazioni!$E$4:$E$9,Impostazioni!$F$4:$F$9))</f>
        <v/>
      </c>
      <c r="Q33" s="52"/>
      <c r="R33" s="13" t="str">
        <f aca="false">IF($B33="","",IFERROR(SUMPRODUCT((Dati!$C$4:$AP$4="B")*(INDEX(Dati!$CE$1:$DR$1000,MATCH($A33,Dati!$A$1:$A$1000,0),0)&gt;0)),0))</f>
        <v/>
      </c>
      <c r="S33" s="13" t="str">
        <f aca="false">IF($B33="","",IFERROR(ROUND(SUMPRODUCT((Dati!$C$4:$AP$4="B")*INDEX(Dati!$C$1:$AP$1000,MATCH($A33,Dati!$A$1:$A$1000,0),0)*INDEX(Dati!$CE$1:$DR$1000,MATCH($A33,Dati!$A$1:$A$1000,0),0))/SUMPRODUCT((Dati!$C$4:$AP$4="B")*INDEX(Dati!$CE$1:$DR$1000,MATCH($A33,Dati!$A$1:$A$1000,0),0)),2),""))</f>
        <v/>
      </c>
      <c r="T33" s="13" t="str">
        <f aca="false">IF(S33="","",IF(ISNUMBER(AC33),ROUND(Impostazioni!$B$12*S33+Impostazioni!$B$13*AC33,2),S33))</f>
        <v/>
      </c>
      <c r="U33" s="51" t="str">
        <f aca="false">IF(T33="","",LOOKUP(T33,Impostazioni!$E$4:$E$9,Impostazioni!$F$4:$F$9))</f>
        <v/>
      </c>
      <c r="V33" s="52"/>
      <c r="W33" s="13" t="str">
        <f aca="false">IF($B33="","",IFERROR(ROUND(SUMPRODUCT((Dati!$C$4:$AP$4="TEC")*INDEX(Dati!$C$1:$AP$1000,MATCH($A33,Dati!$A$1:$A$1000,0),0)*INDEX(Dati!$CE$1:$DR$1000,MATCH($A33,Dati!$A$1:$A$1000,0),0))/SUMPRODUCT((Dati!$C$4:$AP$4="TEC")*INDEX(Dati!$CE$1:$DR$1000,MATCH($A33,Dati!$A$1:$A$1000,0),0)),2),""))</f>
        <v/>
      </c>
      <c r="X33" s="51" t="str">
        <f aca="false">IF(W33="","",LOOKUP(W33,Impostazioni!$E$4:$E$9,Impostazioni!$F$4:$F$9))</f>
        <v/>
      </c>
      <c r="Y33" s="52"/>
      <c r="Z33" s="13" t="str">
        <f aca="false">IF($B33="","",IFERROR(ROUND(SUMPRODUCT((Dati!$C$4:$AP$4="CIV")*INDEX(Dati!$C$1:$AP$1000,MATCH($A33,Dati!$A$1:$A$1000,0),0)*INDEX(Dati!$CE$1:$DR$1000,MATCH($A33,Dati!$A$1:$A$1000,0),0))/SUMPRODUCT((Dati!$C$4:$AP$4="CIV")*INDEX(Dati!$CE$1:$DR$1000,MATCH($A33,Dati!$A$1:$A$1000,0),0)),2),""))</f>
        <v/>
      </c>
      <c r="AA33" s="51" t="str">
        <f aca="false">IF(Z33="","",LOOKUP(Z33,Impostazioni!$E$4:$E$9,Impostazioni!$F$4:$F$9))</f>
        <v/>
      </c>
      <c r="AB33" s="52"/>
      <c r="AC33" s="52"/>
      <c r="AD33" s="13" t="str">
        <f aca="false">IF($B33="","",IFERROR(SUM(INDEX(Dati!$FG$1:$FP$1000,MATCH($A33,Dati!$A$1:$A$1000,0),0)),0))</f>
        <v/>
      </c>
      <c r="AE33" s="16" t="str">
        <f aca="false">IF($B33="","",IF($C33="ES","Esonerato: concordare con referente e dirigente",IF($C33="Ritirato","Ritirato",TRIM(IF(OR(N(M33)&lt;Impostazioni!$B$14,N(R33)&lt;Impostazioni!$B$14),"Pochi voti: valutazione alternativa (scritta/orale). ","")&amp;IF(N(AD33)&gt;0,"Da recuperare: "&amp;AD33&amp;". ","")&amp;IF($D33="OP","Riferito agli obiettivi personalizzati.","")))))</f>
        <v/>
      </c>
      <c r="AF33" s="31" t="str">
        <f aca="false">IF($B33="","",IF($C33="ES","ES",IF(Q33&lt;&gt;"",Q33,P33)))</f>
        <v/>
      </c>
      <c r="AG33" s="31" t="str">
        <f aca="false">IF($B33="","",IF($C33="ES","ES",IF(V33&lt;&gt;"",V33,U33)))</f>
        <v/>
      </c>
      <c r="AH33" s="31" t="str">
        <f aca="false">IF($B33="","",IF($C33="ES","ES",IF(Y33&lt;&gt;"",Y33,X33)))</f>
        <v/>
      </c>
      <c r="AI33" s="31" t="str">
        <f aca="false">IF($B33="","",IF($C33="ES","ES",IF(AB33&lt;&gt;"",AB33,AA33)))</f>
        <v/>
      </c>
      <c r="AJ33" s="13" t="str">
        <f aca="false">IF($B33="","",IFERROR(ROUND(SUMPRODUCT((Dati!$AQ$3:$CD$3="1.1")*INDEX(Dati!$AQ$1:$CD$1000,MATCH($A33,Dati!$A$1:$A$1000,0),0)*INDEX(Dati!$DS$1:$FF$1000,MATCH($A33,Dati!$A$1:$A$1000,0),0))/SUMPRODUCT((Dati!$AQ$3:$CD$3="1.1")*INDEX(Dati!$DS$1:$FF$1000,MATCH($A33,Dati!$A$1:$A$1000,0),0)),2),""))</f>
        <v/>
      </c>
      <c r="AK33" s="13" t="str">
        <f aca="false">IF($B33="","",IFERROR(ROUND(SUMPRODUCT((Dati!$AQ$3:$CD$3="2.1")*INDEX(Dati!$AQ$1:$CD$1000,MATCH($A33,Dati!$A$1:$A$1000,0),0)*INDEX(Dati!$DS$1:$FF$1000,MATCH($A33,Dati!$A$1:$A$1000,0),0))/SUMPRODUCT((Dati!$AQ$3:$CD$3="2.1")*INDEX(Dati!$DS$1:$FF$1000,MATCH($A33,Dati!$A$1:$A$1000,0),0)),2),""))</f>
        <v/>
      </c>
      <c r="AL33" s="13" t="str">
        <f aca="false">IF($B33="","",IFERROR(ROUND(SUMPRODUCT((Dati!$AQ$3:$CD$3="3.1")*INDEX(Dati!$AQ$1:$CD$1000,MATCH($A33,Dati!$A$1:$A$1000,0),0)*INDEX(Dati!$DS$1:$FF$1000,MATCH($A33,Dati!$A$1:$A$1000,0),0))/SUMPRODUCT((Dati!$AQ$3:$CD$3="3.1")*INDEX(Dati!$DS$1:$FF$1000,MATCH($A33,Dati!$A$1:$A$1000,0),0)),2),""))</f>
        <v/>
      </c>
      <c r="AM33" s="13" t="str">
        <f aca="false">IF($B33="","",IFERROR(ROUND(SUMPRODUCT((Dati!$AQ$3:$CD$3="3.2")*INDEX(Dati!$AQ$1:$CD$1000,MATCH($A33,Dati!$A$1:$A$1000,0),0)*INDEX(Dati!$DS$1:$FF$1000,MATCH($A33,Dati!$A$1:$A$1000,0),0))/SUMPRODUCT((Dati!$AQ$3:$CD$3="3.2")*INDEX(Dati!$DS$1:$FF$1000,MATCH($A33,Dati!$A$1:$A$1000,0),0)),2),""))</f>
        <v/>
      </c>
      <c r="AN33" s="13" t="str">
        <f aca="false">IF($B33="","",IFERROR(ROUND(SUMPRODUCT((Dati!$AQ$3:$CD$3="3.3")*INDEX(Dati!$AQ$1:$CD$1000,MATCH($A33,Dati!$A$1:$A$1000,0),0)*INDEX(Dati!$DS$1:$FF$1000,MATCH($A33,Dati!$A$1:$A$1000,0),0))/SUMPRODUCT((Dati!$AQ$3:$CD$3="3.3")*INDEX(Dati!$DS$1:$FF$1000,MATCH($A33,Dati!$A$1:$A$1000,0),0)),2),""))</f>
        <v/>
      </c>
      <c r="AO33" s="13" t="str">
        <f aca="false">IF($B33="","",IFERROR(ROUND(SUMPRODUCT((Dati!$AQ$3:$CD$3="4.1")*INDEX(Dati!$AQ$1:$CD$1000,MATCH($A33,Dati!$A$1:$A$1000,0),0)*INDEX(Dati!$DS$1:$FF$1000,MATCH($A33,Dati!$A$1:$A$1000,0),0))/SUMPRODUCT((Dati!$AQ$3:$CD$3="4.1")*INDEX(Dati!$DS$1:$FF$1000,MATCH($A33,Dati!$A$1:$A$1000,0),0)),2),""))</f>
        <v/>
      </c>
      <c r="AP33" s="13" t="str">
        <f aca="false">IF($B33="","",IFERROR(ROUND(SUMPRODUCT((Dati!$AQ$3:$CD$3="4.2")*INDEX(Dati!$AQ$1:$CD$1000,MATCH($A33,Dati!$A$1:$A$1000,0),0)*INDEX(Dati!$DS$1:$FF$1000,MATCH($A33,Dati!$A$1:$A$1000,0),0))/SUMPRODUCT((Dati!$AQ$3:$CD$3="4.2")*INDEX(Dati!$DS$1:$FF$1000,MATCH($A33,Dati!$A$1:$A$1000,0),0)),2),""))</f>
        <v/>
      </c>
      <c r="AQ33" s="13" t="str">
        <f aca="false">IF($B33="","",IFERROR(ROUND(SUMPRODUCT((Dati!$AQ$3:$CD$3="4.3")*INDEX(Dati!$AQ$1:$CD$1000,MATCH($A33,Dati!$A$1:$A$1000,0),0)*INDEX(Dati!$DS$1:$FF$1000,MATCH($A33,Dati!$A$1:$A$1000,0),0))/SUMPRODUCT((Dati!$AQ$3:$CD$3="4.3")*INDEX(Dati!$DS$1:$FF$1000,MATCH($A33,Dati!$A$1:$A$1000,0),0)),2),""))</f>
        <v/>
      </c>
      <c r="AR33" s="13" t="str">
        <f aca="false">IF($B33="","",IFERROR(SUMPRODUCT((Dati!$AQ$4:$CD$4="A")*(INDEX(Dati!$DS$1:$FF$1000,MATCH($A33,Dati!$A$1:$A$1000,0),0)&gt;0)),0))</f>
        <v/>
      </c>
      <c r="AS33" s="13" t="str">
        <f aca="false">IF($B33="","",IFERROR(ROUND(SUMPRODUCT((Dati!$AQ$4:$CD$4="A")*INDEX(Dati!$AQ$1:$CD$1000,MATCH($A33,Dati!$A$1:$A$1000,0),0)*INDEX(Dati!$DS$1:$FF$1000,MATCH($A33,Dati!$A$1:$A$1000,0),0))/SUMPRODUCT((Dati!$AQ$4:$CD$4="A")*INDEX(Dati!$DS$1:$FF$1000,MATCH($A33,Dati!$A$1:$A$1000,0),0)),2),""))</f>
        <v/>
      </c>
      <c r="AT33" s="13" t="str">
        <f aca="false">IF(AS33="","",IF(ISNUMBER(BH33),ROUND(Impostazioni!$B$12*AS33+Impostazioni!$B$13*BH33,2),AS33))</f>
        <v/>
      </c>
      <c r="AU33" s="51" t="str">
        <f aca="false">IF(AT33="","",LOOKUP(AT33,Impostazioni!$E$4:$E$9,Impostazioni!$F$4:$F$9))</f>
        <v/>
      </c>
      <c r="AV33" s="52"/>
      <c r="AW33" s="13" t="str">
        <f aca="false">IF($B33="","",IFERROR(SUMPRODUCT((Dati!$AQ$4:$CD$4="B")*(INDEX(Dati!$DS$1:$FF$1000,MATCH($A33,Dati!$A$1:$A$1000,0),0)&gt;0)),0))</f>
        <v/>
      </c>
      <c r="AX33" s="13" t="str">
        <f aca="false">IF($B33="","",IFERROR(ROUND(SUMPRODUCT((Dati!$AQ$4:$CD$4="B")*INDEX(Dati!$AQ$1:$CD$1000,MATCH($A33,Dati!$A$1:$A$1000,0),0)*INDEX(Dati!$DS$1:$FF$1000,MATCH($A33,Dati!$A$1:$A$1000,0),0))/SUMPRODUCT((Dati!$AQ$4:$CD$4="B")*INDEX(Dati!$DS$1:$FF$1000,MATCH($A33,Dati!$A$1:$A$1000,0),0)),2),""))</f>
        <v/>
      </c>
      <c r="AY33" s="13" t="str">
        <f aca="false">IF(AX33="","",IF(ISNUMBER(BH33),ROUND(Impostazioni!$B$12*AX33+Impostazioni!$B$13*BH33,2),AX33))</f>
        <v/>
      </c>
      <c r="AZ33" s="51" t="str">
        <f aca="false">IF(AY33="","",LOOKUP(AY33,Impostazioni!$E$4:$E$9,Impostazioni!$F$4:$F$9))</f>
        <v/>
      </c>
      <c r="BA33" s="52"/>
      <c r="BB33" s="13" t="str">
        <f aca="false">IF($B33="","",IFERROR(ROUND(SUMPRODUCT((Dati!$AQ$4:$CD$4="TEC")*INDEX(Dati!$AQ$1:$CD$1000,MATCH($A33,Dati!$A$1:$A$1000,0),0)*INDEX(Dati!$DS$1:$FF$1000,MATCH($A33,Dati!$A$1:$A$1000,0),0))/SUMPRODUCT((Dati!$AQ$4:$CD$4="TEC")*INDEX(Dati!$DS$1:$FF$1000,MATCH($A33,Dati!$A$1:$A$1000,0),0)),2),""))</f>
        <v/>
      </c>
      <c r="BC33" s="51" t="str">
        <f aca="false">IF(BB33="","",LOOKUP(BB33,Impostazioni!$E$4:$E$9,Impostazioni!$F$4:$F$9))</f>
        <v/>
      </c>
      <c r="BD33" s="52"/>
      <c r="BE33" s="13" t="str">
        <f aca="false">IF($B33="","",IFERROR(ROUND(SUMPRODUCT((Dati!$AQ$4:$CD$4="CIV")*INDEX(Dati!$AQ$1:$CD$1000,MATCH($A33,Dati!$A$1:$A$1000,0),0)*INDEX(Dati!$DS$1:$FF$1000,MATCH($A33,Dati!$A$1:$A$1000,0),0))/SUMPRODUCT((Dati!$AQ$4:$CD$4="CIV")*INDEX(Dati!$DS$1:$FF$1000,MATCH($A33,Dati!$A$1:$A$1000,0),0)),2),""))</f>
        <v/>
      </c>
      <c r="BF33" s="51" t="str">
        <f aca="false">IF(BE33="","",LOOKUP(BE33,Impostazioni!$E$4:$E$9,Impostazioni!$F$4:$F$9))</f>
        <v/>
      </c>
      <c r="BG33" s="52"/>
      <c r="BH33" s="52"/>
      <c r="BI33" s="13" t="str">
        <f aca="false">IF($B33="","",IFERROR(SUM(INDEX(Dati!$FQ$1:$FZ$1000,MATCH($A33,Dati!$A$1:$A$1000,0),0)),0))</f>
        <v/>
      </c>
      <c r="BJ33" s="16" t="str">
        <f aca="false">IF($B33="","",IF($C33="ES","Esonerato: concordare con referente e dirigente",IF($C33="Ritirato","Ritirato",TRIM(IF(OR(N(AR33)&lt;Impostazioni!$B$14,N(AW33)&lt;Impostazioni!$B$14),"Pochi voti: valutazione alternativa (scritta/orale). ","")&amp;IF(N(BI33)&gt;0,"Da recuperare: "&amp;BI33&amp;". ","")&amp;IF($D33="OP","Riferito agli obiettivi personalizzati.","")))))</f>
        <v/>
      </c>
      <c r="BK33" s="31" t="str">
        <f aca="false">IF($B33="","",IF($C33="ES","ES",IF(AV33&lt;&gt;"",AV33,AU33)))</f>
        <v/>
      </c>
      <c r="BL33" s="31" t="str">
        <f aca="false">IF($B33="","",IF($C33="ES","ES",IF(BA33&lt;&gt;"",BA33,AZ33)))</f>
        <v/>
      </c>
      <c r="BM33" s="31" t="str">
        <f aca="false">IF($B33="","",IF($C33="ES","ES",IF(BD33&lt;&gt;"",BD33,BC33)))</f>
        <v/>
      </c>
      <c r="BN33" s="31" t="str">
        <f aca="false">IF($B33="","",IF($C33="ES","ES",IF(BG33&lt;&gt;"",BG33,BF33)))</f>
        <v/>
      </c>
      <c r="BO33" s="14"/>
    </row>
    <row r="34" customFormat="false" ht="21" hidden="false" customHeight="true" outlineLevel="0" collapsed="false">
      <c r="A34" s="10" t="n">
        <v>27</v>
      </c>
      <c r="B34" s="16" t="str">
        <f aca="false">IFERROR(INDEX(Alunni!$C$1:$C$1000,MATCH($A34,Alunni!$A$1:$A$1000,0))&amp;"","")</f>
        <v/>
      </c>
      <c r="C34" s="13" t="str">
        <f aca="false">IFERROR(INDEX(Alunni!$D$1:$D$1000,MATCH($A34,Alunni!$A$1:$A$1000,0))&amp;"","")</f>
        <v/>
      </c>
      <c r="D34" s="13" t="str">
        <f aca="false">IFERROR(INDEX(Alunni!$E$1:$E$1000,MATCH($A34,Alunni!$A$1:$A$1000,0))&amp;"","")</f>
        <v/>
      </c>
      <c r="E34" s="13" t="str">
        <f aca="false">IF($B34="","",IFERROR(ROUND(SUMPRODUCT((Dati!$C$3:$AP$3="1.1")*INDEX(Dati!$C$1:$AP$1000,MATCH($A34,Dati!$A$1:$A$1000,0),0)*INDEX(Dati!$CE$1:$DR$1000,MATCH($A34,Dati!$A$1:$A$1000,0),0))/SUMPRODUCT((Dati!$C$3:$AP$3="1.1")*INDEX(Dati!$CE$1:$DR$1000,MATCH($A34,Dati!$A$1:$A$1000,0),0)),2),""))</f>
        <v/>
      </c>
      <c r="F34" s="13" t="str">
        <f aca="false">IF($B34="","",IFERROR(ROUND(SUMPRODUCT((Dati!$C$3:$AP$3="2.1")*INDEX(Dati!$C$1:$AP$1000,MATCH($A34,Dati!$A$1:$A$1000,0),0)*INDEX(Dati!$CE$1:$DR$1000,MATCH($A34,Dati!$A$1:$A$1000,0),0))/SUMPRODUCT((Dati!$C$3:$AP$3="2.1")*INDEX(Dati!$CE$1:$DR$1000,MATCH($A34,Dati!$A$1:$A$1000,0),0)),2),""))</f>
        <v/>
      </c>
      <c r="G34" s="13" t="str">
        <f aca="false">IF($B34="","",IFERROR(ROUND(SUMPRODUCT((Dati!$C$3:$AP$3="3.1")*INDEX(Dati!$C$1:$AP$1000,MATCH($A34,Dati!$A$1:$A$1000,0),0)*INDEX(Dati!$CE$1:$DR$1000,MATCH($A34,Dati!$A$1:$A$1000,0),0))/SUMPRODUCT((Dati!$C$3:$AP$3="3.1")*INDEX(Dati!$CE$1:$DR$1000,MATCH($A34,Dati!$A$1:$A$1000,0),0)),2),""))</f>
        <v/>
      </c>
      <c r="H34" s="13" t="str">
        <f aca="false">IF($B34="","",IFERROR(ROUND(SUMPRODUCT((Dati!$C$3:$AP$3="3.2")*INDEX(Dati!$C$1:$AP$1000,MATCH($A34,Dati!$A$1:$A$1000,0),0)*INDEX(Dati!$CE$1:$DR$1000,MATCH($A34,Dati!$A$1:$A$1000,0),0))/SUMPRODUCT((Dati!$C$3:$AP$3="3.2")*INDEX(Dati!$CE$1:$DR$1000,MATCH($A34,Dati!$A$1:$A$1000,0),0)),2),""))</f>
        <v/>
      </c>
      <c r="I34" s="13" t="str">
        <f aca="false">IF($B34="","",IFERROR(ROUND(SUMPRODUCT((Dati!$C$3:$AP$3="3.3")*INDEX(Dati!$C$1:$AP$1000,MATCH($A34,Dati!$A$1:$A$1000,0),0)*INDEX(Dati!$CE$1:$DR$1000,MATCH($A34,Dati!$A$1:$A$1000,0),0))/SUMPRODUCT((Dati!$C$3:$AP$3="3.3")*INDEX(Dati!$CE$1:$DR$1000,MATCH($A34,Dati!$A$1:$A$1000,0),0)),2),""))</f>
        <v/>
      </c>
      <c r="J34" s="13" t="str">
        <f aca="false">IF($B34="","",IFERROR(ROUND(SUMPRODUCT((Dati!$C$3:$AP$3="4.1")*INDEX(Dati!$C$1:$AP$1000,MATCH($A34,Dati!$A$1:$A$1000,0),0)*INDEX(Dati!$CE$1:$DR$1000,MATCH($A34,Dati!$A$1:$A$1000,0),0))/SUMPRODUCT((Dati!$C$3:$AP$3="4.1")*INDEX(Dati!$CE$1:$DR$1000,MATCH($A34,Dati!$A$1:$A$1000,0),0)),2),""))</f>
        <v/>
      </c>
      <c r="K34" s="13" t="str">
        <f aca="false">IF($B34="","",IFERROR(ROUND(SUMPRODUCT((Dati!$C$3:$AP$3="4.2")*INDEX(Dati!$C$1:$AP$1000,MATCH($A34,Dati!$A$1:$A$1000,0),0)*INDEX(Dati!$CE$1:$DR$1000,MATCH($A34,Dati!$A$1:$A$1000,0),0))/SUMPRODUCT((Dati!$C$3:$AP$3="4.2")*INDEX(Dati!$CE$1:$DR$1000,MATCH($A34,Dati!$A$1:$A$1000,0),0)),2),""))</f>
        <v/>
      </c>
      <c r="L34" s="13" t="str">
        <f aca="false">IF($B34="","",IFERROR(ROUND(SUMPRODUCT((Dati!$C$3:$AP$3="4.3")*INDEX(Dati!$C$1:$AP$1000,MATCH($A34,Dati!$A$1:$A$1000,0),0)*INDEX(Dati!$CE$1:$DR$1000,MATCH($A34,Dati!$A$1:$A$1000,0),0))/SUMPRODUCT((Dati!$C$3:$AP$3="4.3")*INDEX(Dati!$CE$1:$DR$1000,MATCH($A34,Dati!$A$1:$A$1000,0),0)),2),""))</f>
        <v/>
      </c>
      <c r="M34" s="13" t="str">
        <f aca="false">IF($B34="","",IFERROR(SUMPRODUCT((Dati!$C$4:$AP$4="A")*(INDEX(Dati!$CE$1:$DR$1000,MATCH($A34,Dati!$A$1:$A$1000,0),0)&gt;0)),0))</f>
        <v/>
      </c>
      <c r="N34" s="13" t="str">
        <f aca="false">IF($B34="","",IFERROR(ROUND(SUMPRODUCT((Dati!$C$4:$AP$4="A")*INDEX(Dati!$C$1:$AP$1000,MATCH($A34,Dati!$A$1:$A$1000,0),0)*INDEX(Dati!$CE$1:$DR$1000,MATCH($A34,Dati!$A$1:$A$1000,0),0))/SUMPRODUCT((Dati!$C$4:$AP$4="A")*INDEX(Dati!$CE$1:$DR$1000,MATCH($A34,Dati!$A$1:$A$1000,0),0)),2),""))</f>
        <v/>
      </c>
      <c r="O34" s="13" t="str">
        <f aca="false">IF(N34="","",IF(ISNUMBER(AC34),ROUND(Impostazioni!$B$12*N34+Impostazioni!$B$13*AC34,2),N34))</f>
        <v/>
      </c>
      <c r="P34" s="51" t="str">
        <f aca="false">IF(O34="","",LOOKUP(O34,Impostazioni!$E$4:$E$9,Impostazioni!$F$4:$F$9))</f>
        <v/>
      </c>
      <c r="Q34" s="52"/>
      <c r="R34" s="13" t="str">
        <f aca="false">IF($B34="","",IFERROR(SUMPRODUCT((Dati!$C$4:$AP$4="B")*(INDEX(Dati!$CE$1:$DR$1000,MATCH($A34,Dati!$A$1:$A$1000,0),0)&gt;0)),0))</f>
        <v/>
      </c>
      <c r="S34" s="13" t="str">
        <f aca="false">IF($B34="","",IFERROR(ROUND(SUMPRODUCT((Dati!$C$4:$AP$4="B")*INDEX(Dati!$C$1:$AP$1000,MATCH($A34,Dati!$A$1:$A$1000,0),0)*INDEX(Dati!$CE$1:$DR$1000,MATCH($A34,Dati!$A$1:$A$1000,0),0))/SUMPRODUCT((Dati!$C$4:$AP$4="B")*INDEX(Dati!$CE$1:$DR$1000,MATCH($A34,Dati!$A$1:$A$1000,0),0)),2),""))</f>
        <v/>
      </c>
      <c r="T34" s="13" t="str">
        <f aca="false">IF(S34="","",IF(ISNUMBER(AC34),ROUND(Impostazioni!$B$12*S34+Impostazioni!$B$13*AC34,2),S34))</f>
        <v/>
      </c>
      <c r="U34" s="51" t="str">
        <f aca="false">IF(T34="","",LOOKUP(T34,Impostazioni!$E$4:$E$9,Impostazioni!$F$4:$F$9))</f>
        <v/>
      </c>
      <c r="V34" s="52"/>
      <c r="W34" s="13" t="str">
        <f aca="false">IF($B34="","",IFERROR(ROUND(SUMPRODUCT((Dati!$C$4:$AP$4="TEC")*INDEX(Dati!$C$1:$AP$1000,MATCH($A34,Dati!$A$1:$A$1000,0),0)*INDEX(Dati!$CE$1:$DR$1000,MATCH($A34,Dati!$A$1:$A$1000,0),0))/SUMPRODUCT((Dati!$C$4:$AP$4="TEC")*INDEX(Dati!$CE$1:$DR$1000,MATCH($A34,Dati!$A$1:$A$1000,0),0)),2),""))</f>
        <v/>
      </c>
      <c r="X34" s="51" t="str">
        <f aca="false">IF(W34="","",LOOKUP(W34,Impostazioni!$E$4:$E$9,Impostazioni!$F$4:$F$9))</f>
        <v/>
      </c>
      <c r="Y34" s="52"/>
      <c r="Z34" s="13" t="str">
        <f aca="false">IF($B34="","",IFERROR(ROUND(SUMPRODUCT((Dati!$C$4:$AP$4="CIV")*INDEX(Dati!$C$1:$AP$1000,MATCH($A34,Dati!$A$1:$A$1000,0),0)*INDEX(Dati!$CE$1:$DR$1000,MATCH($A34,Dati!$A$1:$A$1000,0),0))/SUMPRODUCT((Dati!$C$4:$AP$4="CIV")*INDEX(Dati!$CE$1:$DR$1000,MATCH($A34,Dati!$A$1:$A$1000,0),0)),2),""))</f>
        <v/>
      </c>
      <c r="AA34" s="51" t="str">
        <f aca="false">IF(Z34="","",LOOKUP(Z34,Impostazioni!$E$4:$E$9,Impostazioni!$F$4:$F$9))</f>
        <v/>
      </c>
      <c r="AB34" s="52"/>
      <c r="AC34" s="52"/>
      <c r="AD34" s="13" t="str">
        <f aca="false">IF($B34="","",IFERROR(SUM(INDEX(Dati!$FG$1:$FP$1000,MATCH($A34,Dati!$A$1:$A$1000,0),0)),0))</f>
        <v/>
      </c>
      <c r="AE34" s="16" t="str">
        <f aca="false">IF($B34="","",IF($C34="ES","Esonerato: concordare con referente e dirigente",IF($C34="Ritirato","Ritirato",TRIM(IF(OR(N(M34)&lt;Impostazioni!$B$14,N(R34)&lt;Impostazioni!$B$14),"Pochi voti: valutazione alternativa (scritta/orale). ","")&amp;IF(N(AD34)&gt;0,"Da recuperare: "&amp;AD34&amp;". ","")&amp;IF($D34="OP","Riferito agli obiettivi personalizzati.","")))))</f>
        <v/>
      </c>
      <c r="AF34" s="31" t="str">
        <f aca="false">IF($B34="","",IF($C34="ES","ES",IF(Q34&lt;&gt;"",Q34,P34)))</f>
        <v/>
      </c>
      <c r="AG34" s="31" t="str">
        <f aca="false">IF($B34="","",IF($C34="ES","ES",IF(V34&lt;&gt;"",V34,U34)))</f>
        <v/>
      </c>
      <c r="AH34" s="31" t="str">
        <f aca="false">IF($B34="","",IF($C34="ES","ES",IF(Y34&lt;&gt;"",Y34,X34)))</f>
        <v/>
      </c>
      <c r="AI34" s="31" t="str">
        <f aca="false">IF($B34="","",IF($C34="ES","ES",IF(AB34&lt;&gt;"",AB34,AA34)))</f>
        <v/>
      </c>
      <c r="AJ34" s="13" t="str">
        <f aca="false">IF($B34="","",IFERROR(ROUND(SUMPRODUCT((Dati!$AQ$3:$CD$3="1.1")*INDEX(Dati!$AQ$1:$CD$1000,MATCH($A34,Dati!$A$1:$A$1000,0),0)*INDEX(Dati!$DS$1:$FF$1000,MATCH($A34,Dati!$A$1:$A$1000,0),0))/SUMPRODUCT((Dati!$AQ$3:$CD$3="1.1")*INDEX(Dati!$DS$1:$FF$1000,MATCH($A34,Dati!$A$1:$A$1000,0),0)),2),""))</f>
        <v/>
      </c>
      <c r="AK34" s="13" t="str">
        <f aca="false">IF($B34="","",IFERROR(ROUND(SUMPRODUCT((Dati!$AQ$3:$CD$3="2.1")*INDEX(Dati!$AQ$1:$CD$1000,MATCH($A34,Dati!$A$1:$A$1000,0),0)*INDEX(Dati!$DS$1:$FF$1000,MATCH($A34,Dati!$A$1:$A$1000,0),0))/SUMPRODUCT((Dati!$AQ$3:$CD$3="2.1")*INDEX(Dati!$DS$1:$FF$1000,MATCH($A34,Dati!$A$1:$A$1000,0),0)),2),""))</f>
        <v/>
      </c>
      <c r="AL34" s="13" t="str">
        <f aca="false">IF($B34="","",IFERROR(ROUND(SUMPRODUCT((Dati!$AQ$3:$CD$3="3.1")*INDEX(Dati!$AQ$1:$CD$1000,MATCH($A34,Dati!$A$1:$A$1000,0),0)*INDEX(Dati!$DS$1:$FF$1000,MATCH($A34,Dati!$A$1:$A$1000,0),0))/SUMPRODUCT((Dati!$AQ$3:$CD$3="3.1")*INDEX(Dati!$DS$1:$FF$1000,MATCH($A34,Dati!$A$1:$A$1000,0),0)),2),""))</f>
        <v/>
      </c>
      <c r="AM34" s="13" t="str">
        <f aca="false">IF($B34="","",IFERROR(ROUND(SUMPRODUCT((Dati!$AQ$3:$CD$3="3.2")*INDEX(Dati!$AQ$1:$CD$1000,MATCH($A34,Dati!$A$1:$A$1000,0),0)*INDEX(Dati!$DS$1:$FF$1000,MATCH($A34,Dati!$A$1:$A$1000,0),0))/SUMPRODUCT((Dati!$AQ$3:$CD$3="3.2")*INDEX(Dati!$DS$1:$FF$1000,MATCH($A34,Dati!$A$1:$A$1000,0),0)),2),""))</f>
        <v/>
      </c>
      <c r="AN34" s="13" t="str">
        <f aca="false">IF($B34="","",IFERROR(ROUND(SUMPRODUCT((Dati!$AQ$3:$CD$3="3.3")*INDEX(Dati!$AQ$1:$CD$1000,MATCH($A34,Dati!$A$1:$A$1000,0),0)*INDEX(Dati!$DS$1:$FF$1000,MATCH($A34,Dati!$A$1:$A$1000,0),0))/SUMPRODUCT((Dati!$AQ$3:$CD$3="3.3")*INDEX(Dati!$DS$1:$FF$1000,MATCH($A34,Dati!$A$1:$A$1000,0),0)),2),""))</f>
        <v/>
      </c>
      <c r="AO34" s="13" t="str">
        <f aca="false">IF($B34="","",IFERROR(ROUND(SUMPRODUCT((Dati!$AQ$3:$CD$3="4.1")*INDEX(Dati!$AQ$1:$CD$1000,MATCH($A34,Dati!$A$1:$A$1000,0),0)*INDEX(Dati!$DS$1:$FF$1000,MATCH($A34,Dati!$A$1:$A$1000,0),0))/SUMPRODUCT((Dati!$AQ$3:$CD$3="4.1")*INDEX(Dati!$DS$1:$FF$1000,MATCH($A34,Dati!$A$1:$A$1000,0),0)),2),""))</f>
        <v/>
      </c>
      <c r="AP34" s="13" t="str">
        <f aca="false">IF($B34="","",IFERROR(ROUND(SUMPRODUCT((Dati!$AQ$3:$CD$3="4.2")*INDEX(Dati!$AQ$1:$CD$1000,MATCH($A34,Dati!$A$1:$A$1000,0),0)*INDEX(Dati!$DS$1:$FF$1000,MATCH($A34,Dati!$A$1:$A$1000,0),0))/SUMPRODUCT((Dati!$AQ$3:$CD$3="4.2")*INDEX(Dati!$DS$1:$FF$1000,MATCH($A34,Dati!$A$1:$A$1000,0),0)),2),""))</f>
        <v/>
      </c>
      <c r="AQ34" s="13" t="str">
        <f aca="false">IF($B34="","",IFERROR(ROUND(SUMPRODUCT((Dati!$AQ$3:$CD$3="4.3")*INDEX(Dati!$AQ$1:$CD$1000,MATCH($A34,Dati!$A$1:$A$1000,0),0)*INDEX(Dati!$DS$1:$FF$1000,MATCH($A34,Dati!$A$1:$A$1000,0),0))/SUMPRODUCT((Dati!$AQ$3:$CD$3="4.3")*INDEX(Dati!$DS$1:$FF$1000,MATCH($A34,Dati!$A$1:$A$1000,0),0)),2),""))</f>
        <v/>
      </c>
      <c r="AR34" s="13" t="str">
        <f aca="false">IF($B34="","",IFERROR(SUMPRODUCT((Dati!$AQ$4:$CD$4="A")*(INDEX(Dati!$DS$1:$FF$1000,MATCH($A34,Dati!$A$1:$A$1000,0),0)&gt;0)),0))</f>
        <v/>
      </c>
      <c r="AS34" s="13" t="str">
        <f aca="false">IF($B34="","",IFERROR(ROUND(SUMPRODUCT((Dati!$AQ$4:$CD$4="A")*INDEX(Dati!$AQ$1:$CD$1000,MATCH($A34,Dati!$A$1:$A$1000,0),0)*INDEX(Dati!$DS$1:$FF$1000,MATCH($A34,Dati!$A$1:$A$1000,0),0))/SUMPRODUCT((Dati!$AQ$4:$CD$4="A")*INDEX(Dati!$DS$1:$FF$1000,MATCH($A34,Dati!$A$1:$A$1000,0),0)),2),""))</f>
        <v/>
      </c>
      <c r="AT34" s="13" t="str">
        <f aca="false">IF(AS34="","",IF(ISNUMBER(BH34),ROUND(Impostazioni!$B$12*AS34+Impostazioni!$B$13*BH34,2),AS34))</f>
        <v/>
      </c>
      <c r="AU34" s="51" t="str">
        <f aca="false">IF(AT34="","",LOOKUP(AT34,Impostazioni!$E$4:$E$9,Impostazioni!$F$4:$F$9))</f>
        <v/>
      </c>
      <c r="AV34" s="52"/>
      <c r="AW34" s="13" t="str">
        <f aca="false">IF($B34="","",IFERROR(SUMPRODUCT((Dati!$AQ$4:$CD$4="B")*(INDEX(Dati!$DS$1:$FF$1000,MATCH($A34,Dati!$A$1:$A$1000,0),0)&gt;0)),0))</f>
        <v/>
      </c>
      <c r="AX34" s="13" t="str">
        <f aca="false">IF($B34="","",IFERROR(ROUND(SUMPRODUCT((Dati!$AQ$4:$CD$4="B")*INDEX(Dati!$AQ$1:$CD$1000,MATCH($A34,Dati!$A$1:$A$1000,0),0)*INDEX(Dati!$DS$1:$FF$1000,MATCH($A34,Dati!$A$1:$A$1000,0),0))/SUMPRODUCT((Dati!$AQ$4:$CD$4="B")*INDEX(Dati!$DS$1:$FF$1000,MATCH($A34,Dati!$A$1:$A$1000,0),0)),2),""))</f>
        <v/>
      </c>
      <c r="AY34" s="13" t="str">
        <f aca="false">IF(AX34="","",IF(ISNUMBER(BH34),ROUND(Impostazioni!$B$12*AX34+Impostazioni!$B$13*BH34,2),AX34))</f>
        <v/>
      </c>
      <c r="AZ34" s="51" t="str">
        <f aca="false">IF(AY34="","",LOOKUP(AY34,Impostazioni!$E$4:$E$9,Impostazioni!$F$4:$F$9))</f>
        <v/>
      </c>
      <c r="BA34" s="52"/>
      <c r="BB34" s="13" t="str">
        <f aca="false">IF($B34="","",IFERROR(ROUND(SUMPRODUCT((Dati!$AQ$4:$CD$4="TEC")*INDEX(Dati!$AQ$1:$CD$1000,MATCH($A34,Dati!$A$1:$A$1000,0),0)*INDEX(Dati!$DS$1:$FF$1000,MATCH($A34,Dati!$A$1:$A$1000,0),0))/SUMPRODUCT((Dati!$AQ$4:$CD$4="TEC")*INDEX(Dati!$DS$1:$FF$1000,MATCH($A34,Dati!$A$1:$A$1000,0),0)),2),""))</f>
        <v/>
      </c>
      <c r="BC34" s="51" t="str">
        <f aca="false">IF(BB34="","",LOOKUP(BB34,Impostazioni!$E$4:$E$9,Impostazioni!$F$4:$F$9))</f>
        <v/>
      </c>
      <c r="BD34" s="52"/>
      <c r="BE34" s="13" t="str">
        <f aca="false">IF($B34="","",IFERROR(ROUND(SUMPRODUCT((Dati!$AQ$4:$CD$4="CIV")*INDEX(Dati!$AQ$1:$CD$1000,MATCH($A34,Dati!$A$1:$A$1000,0),0)*INDEX(Dati!$DS$1:$FF$1000,MATCH($A34,Dati!$A$1:$A$1000,0),0))/SUMPRODUCT((Dati!$AQ$4:$CD$4="CIV")*INDEX(Dati!$DS$1:$FF$1000,MATCH($A34,Dati!$A$1:$A$1000,0),0)),2),""))</f>
        <v/>
      </c>
      <c r="BF34" s="51" t="str">
        <f aca="false">IF(BE34="","",LOOKUP(BE34,Impostazioni!$E$4:$E$9,Impostazioni!$F$4:$F$9))</f>
        <v/>
      </c>
      <c r="BG34" s="52"/>
      <c r="BH34" s="52"/>
      <c r="BI34" s="13" t="str">
        <f aca="false">IF($B34="","",IFERROR(SUM(INDEX(Dati!$FQ$1:$FZ$1000,MATCH($A34,Dati!$A$1:$A$1000,0),0)),0))</f>
        <v/>
      </c>
      <c r="BJ34" s="16" t="str">
        <f aca="false">IF($B34="","",IF($C34="ES","Esonerato: concordare con referente e dirigente",IF($C34="Ritirato","Ritirato",TRIM(IF(OR(N(AR34)&lt;Impostazioni!$B$14,N(AW34)&lt;Impostazioni!$B$14),"Pochi voti: valutazione alternativa (scritta/orale). ","")&amp;IF(N(BI34)&gt;0,"Da recuperare: "&amp;BI34&amp;". ","")&amp;IF($D34="OP","Riferito agli obiettivi personalizzati.","")))))</f>
        <v/>
      </c>
      <c r="BK34" s="31" t="str">
        <f aca="false">IF($B34="","",IF($C34="ES","ES",IF(AV34&lt;&gt;"",AV34,AU34)))</f>
        <v/>
      </c>
      <c r="BL34" s="31" t="str">
        <f aca="false">IF($B34="","",IF($C34="ES","ES",IF(BA34&lt;&gt;"",BA34,AZ34)))</f>
        <v/>
      </c>
      <c r="BM34" s="31" t="str">
        <f aca="false">IF($B34="","",IF($C34="ES","ES",IF(BD34&lt;&gt;"",BD34,BC34)))</f>
        <v/>
      </c>
      <c r="BN34" s="31" t="str">
        <f aca="false">IF($B34="","",IF($C34="ES","ES",IF(BG34&lt;&gt;"",BG34,BF34)))</f>
        <v/>
      </c>
      <c r="BO34" s="14"/>
    </row>
    <row r="35" customFormat="false" ht="21" hidden="false" customHeight="true" outlineLevel="0" collapsed="false">
      <c r="A35" s="10" t="n">
        <v>28</v>
      </c>
      <c r="B35" s="16" t="str">
        <f aca="false">IFERROR(INDEX(Alunni!$C$1:$C$1000,MATCH($A35,Alunni!$A$1:$A$1000,0))&amp;"","")</f>
        <v/>
      </c>
      <c r="C35" s="13" t="str">
        <f aca="false">IFERROR(INDEX(Alunni!$D$1:$D$1000,MATCH($A35,Alunni!$A$1:$A$1000,0))&amp;"","")</f>
        <v/>
      </c>
      <c r="D35" s="13" t="str">
        <f aca="false">IFERROR(INDEX(Alunni!$E$1:$E$1000,MATCH($A35,Alunni!$A$1:$A$1000,0))&amp;"","")</f>
        <v/>
      </c>
      <c r="E35" s="13" t="str">
        <f aca="false">IF($B35="","",IFERROR(ROUND(SUMPRODUCT((Dati!$C$3:$AP$3="1.1")*INDEX(Dati!$C$1:$AP$1000,MATCH($A35,Dati!$A$1:$A$1000,0),0)*INDEX(Dati!$CE$1:$DR$1000,MATCH($A35,Dati!$A$1:$A$1000,0),0))/SUMPRODUCT((Dati!$C$3:$AP$3="1.1")*INDEX(Dati!$CE$1:$DR$1000,MATCH($A35,Dati!$A$1:$A$1000,0),0)),2),""))</f>
        <v/>
      </c>
      <c r="F35" s="13" t="str">
        <f aca="false">IF($B35="","",IFERROR(ROUND(SUMPRODUCT((Dati!$C$3:$AP$3="2.1")*INDEX(Dati!$C$1:$AP$1000,MATCH($A35,Dati!$A$1:$A$1000,0),0)*INDEX(Dati!$CE$1:$DR$1000,MATCH($A35,Dati!$A$1:$A$1000,0),0))/SUMPRODUCT((Dati!$C$3:$AP$3="2.1")*INDEX(Dati!$CE$1:$DR$1000,MATCH($A35,Dati!$A$1:$A$1000,0),0)),2),""))</f>
        <v/>
      </c>
      <c r="G35" s="13" t="str">
        <f aca="false">IF($B35="","",IFERROR(ROUND(SUMPRODUCT((Dati!$C$3:$AP$3="3.1")*INDEX(Dati!$C$1:$AP$1000,MATCH($A35,Dati!$A$1:$A$1000,0),0)*INDEX(Dati!$CE$1:$DR$1000,MATCH($A35,Dati!$A$1:$A$1000,0),0))/SUMPRODUCT((Dati!$C$3:$AP$3="3.1")*INDEX(Dati!$CE$1:$DR$1000,MATCH($A35,Dati!$A$1:$A$1000,0),0)),2),""))</f>
        <v/>
      </c>
      <c r="H35" s="13" t="str">
        <f aca="false">IF($B35="","",IFERROR(ROUND(SUMPRODUCT((Dati!$C$3:$AP$3="3.2")*INDEX(Dati!$C$1:$AP$1000,MATCH($A35,Dati!$A$1:$A$1000,0),0)*INDEX(Dati!$CE$1:$DR$1000,MATCH($A35,Dati!$A$1:$A$1000,0),0))/SUMPRODUCT((Dati!$C$3:$AP$3="3.2")*INDEX(Dati!$CE$1:$DR$1000,MATCH($A35,Dati!$A$1:$A$1000,0),0)),2),""))</f>
        <v/>
      </c>
      <c r="I35" s="13" t="str">
        <f aca="false">IF($B35="","",IFERROR(ROUND(SUMPRODUCT((Dati!$C$3:$AP$3="3.3")*INDEX(Dati!$C$1:$AP$1000,MATCH($A35,Dati!$A$1:$A$1000,0),0)*INDEX(Dati!$CE$1:$DR$1000,MATCH($A35,Dati!$A$1:$A$1000,0),0))/SUMPRODUCT((Dati!$C$3:$AP$3="3.3")*INDEX(Dati!$CE$1:$DR$1000,MATCH($A35,Dati!$A$1:$A$1000,0),0)),2),""))</f>
        <v/>
      </c>
      <c r="J35" s="13" t="str">
        <f aca="false">IF($B35="","",IFERROR(ROUND(SUMPRODUCT((Dati!$C$3:$AP$3="4.1")*INDEX(Dati!$C$1:$AP$1000,MATCH($A35,Dati!$A$1:$A$1000,0),0)*INDEX(Dati!$CE$1:$DR$1000,MATCH($A35,Dati!$A$1:$A$1000,0),0))/SUMPRODUCT((Dati!$C$3:$AP$3="4.1")*INDEX(Dati!$CE$1:$DR$1000,MATCH($A35,Dati!$A$1:$A$1000,0),0)),2),""))</f>
        <v/>
      </c>
      <c r="K35" s="13" t="str">
        <f aca="false">IF($B35="","",IFERROR(ROUND(SUMPRODUCT((Dati!$C$3:$AP$3="4.2")*INDEX(Dati!$C$1:$AP$1000,MATCH($A35,Dati!$A$1:$A$1000,0),0)*INDEX(Dati!$CE$1:$DR$1000,MATCH($A35,Dati!$A$1:$A$1000,0),0))/SUMPRODUCT((Dati!$C$3:$AP$3="4.2")*INDEX(Dati!$CE$1:$DR$1000,MATCH($A35,Dati!$A$1:$A$1000,0),0)),2),""))</f>
        <v/>
      </c>
      <c r="L35" s="13" t="str">
        <f aca="false">IF($B35="","",IFERROR(ROUND(SUMPRODUCT((Dati!$C$3:$AP$3="4.3")*INDEX(Dati!$C$1:$AP$1000,MATCH($A35,Dati!$A$1:$A$1000,0),0)*INDEX(Dati!$CE$1:$DR$1000,MATCH($A35,Dati!$A$1:$A$1000,0),0))/SUMPRODUCT((Dati!$C$3:$AP$3="4.3")*INDEX(Dati!$CE$1:$DR$1000,MATCH($A35,Dati!$A$1:$A$1000,0),0)),2),""))</f>
        <v/>
      </c>
      <c r="M35" s="13" t="str">
        <f aca="false">IF($B35="","",IFERROR(SUMPRODUCT((Dati!$C$4:$AP$4="A")*(INDEX(Dati!$CE$1:$DR$1000,MATCH($A35,Dati!$A$1:$A$1000,0),0)&gt;0)),0))</f>
        <v/>
      </c>
      <c r="N35" s="13" t="str">
        <f aca="false">IF($B35="","",IFERROR(ROUND(SUMPRODUCT((Dati!$C$4:$AP$4="A")*INDEX(Dati!$C$1:$AP$1000,MATCH($A35,Dati!$A$1:$A$1000,0),0)*INDEX(Dati!$CE$1:$DR$1000,MATCH($A35,Dati!$A$1:$A$1000,0),0))/SUMPRODUCT((Dati!$C$4:$AP$4="A")*INDEX(Dati!$CE$1:$DR$1000,MATCH($A35,Dati!$A$1:$A$1000,0),0)),2),""))</f>
        <v/>
      </c>
      <c r="O35" s="13" t="str">
        <f aca="false">IF(N35="","",IF(ISNUMBER(AC35),ROUND(Impostazioni!$B$12*N35+Impostazioni!$B$13*AC35,2),N35))</f>
        <v/>
      </c>
      <c r="P35" s="51" t="str">
        <f aca="false">IF(O35="","",LOOKUP(O35,Impostazioni!$E$4:$E$9,Impostazioni!$F$4:$F$9))</f>
        <v/>
      </c>
      <c r="Q35" s="52"/>
      <c r="R35" s="13" t="str">
        <f aca="false">IF($B35="","",IFERROR(SUMPRODUCT((Dati!$C$4:$AP$4="B")*(INDEX(Dati!$CE$1:$DR$1000,MATCH($A35,Dati!$A$1:$A$1000,0),0)&gt;0)),0))</f>
        <v/>
      </c>
      <c r="S35" s="13" t="str">
        <f aca="false">IF($B35="","",IFERROR(ROUND(SUMPRODUCT((Dati!$C$4:$AP$4="B")*INDEX(Dati!$C$1:$AP$1000,MATCH($A35,Dati!$A$1:$A$1000,0),0)*INDEX(Dati!$CE$1:$DR$1000,MATCH($A35,Dati!$A$1:$A$1000,0),0))/SUMPRODUCT((Dati!$C$4:$AP$4="B")*INDEX(Dati!$CE$1:$DR$1000,MATCH($A35,Dati!$A$1:$A$1000,0),0)),2),""))</f>
        <v/>
      </c>
      <c r="T35" s="13" t="str">
        <f aca="false">IF(S35="","",IF(ISNUMBER(AC35),ROUND(Impostazioni!$B$12*S35+Impostazioni!$B$13*AC35,2),S35))</f>
        <v/>
      </c>
      <c r="U35" s="51" t="str">
        <f aca="false">IF(T35="","",LOOKUP(T35,Impostazioni!$E$4:$E$9,Impostazioni!$F$4:$F$9))</f>
        <v/>
      </c>
      <c r="V35" s="52"/>
      <c r="W35" s="13" t="str">
        <f aca="false">IF($B35="","",IFERROR(ROUND(SUMPRODUCT((Dati!$C$4:$AP$4="TEC")*INDEX(Dati!$C$1:$AP$1000,MATCH($A35,Dati!$A$1:$A$1000,0),0)*INDEX(Dati!$CE$1:$DR$1000,MATCH($A35,Dati!$A$1:$A$1000,0),0))/SUMPRODUCT((Dati!$C$4:$AP$4="TEC")*INDEX(Dati!$CE$1:$DR$1000,MATCH($A35,Dati!$A$1:$A$1000,0),0)),2),""))</f>
        <v/>
      </c>
      <c r="X35" s="51" t="str">
        <f aca="false">IF(W35="","",LOOKUP(W35,Impostazioni!$E$4:$E$9,Impostazioni!$F$4:$F$9))</f>
        <v/>
      </c>
      <c r="Y35" s="52"/>
      <c r="Z35" s="13" t="str">
        <f aca="false">IF($B35="","",IFERROR(ROUND(SUMPRODUCT((Dati!$C$4:$AP$4="CIV")*INDEX(Dati!$C$1:$AP$1000,MATCH($A35,Dati!$A$1:$A$1000,0),0)*INDEX(Dati!$CE$1:$DR$1000,MATCH($A35,Dati!$A$1:$A$1000,0),0))/SUMPRODUCT((Dati!$C$4:$AP$4="CIV")*INDEX(Dati!$CE$1:$DR$1000,MATCH($A35,Dati!$A$1:$A$1000,0),0)),2),""))</f>
        <v/>
      </c>
      <c r="AA35" s="51" t="str">
        <f aca="false">IF(Z35="","",LOOKUP(Z35,Impostazioni!$E$4:$E$9,Impostazioni!$F$4:$F$9))</f>
        <v/>
      </c>
      <c r="AB35" s="52"/>
      <c r="AC35" s="52"/>
      <c r="AD35" s="13" t="str">
        <f aca="false">IF($B35="","",IFERROR(SUM(INDEX(Dati!$FG$1:$FP$1000,MATCH($A35,Dati!$A$1:$A$1000,0),0)),0))</f>
        <v/>
      </c>
      <c r="AE35" s="16" t="str">
        <f aca="false">IF($B35="","",IF($C35="ES","Esonerato: concordare con referente e dirigente",IF($C35="Ritirato","Ritirato",TRIM(IF(OR(N(M35)&lt;Impostazioni!$B$14,N(R35)&lt;Impostazioni!$B$14),"Pochi voti: valutazione alternativa (scritta/orale). ","")&amp;IF(N(AD35)&gt;0,"Da recuperare: "&amp;AD35&amp;". ","")&amp;IF($D35="OP","Riferito agli obiettivi personalizzati.","")))))</f>
        <v/>
      </c>
      <c r="AF35" s="31" t="str">
        <f aca="false">IF($B35="","",IF($C35="ES","ES",IF(Q35&lt;&gt;"",Q35,P35)))</f>
        <v/>
      </c>
      <c r="AG35" s="31" t="str">
        <f aca="false">IF($B35="","",IF($C35="ES","ES",IF(V35&lt;&gt;"",V35,U35)))</f>
        <v/>
      </c>
      <c r="AH35" s="31" t="str">
        <f aca="false">IF($B35="","",IF($C35="ES","ES",IF(Y35&lt;&gt;"",Y35,X35)))</f>
        <v/>
      </c>
      <c r="AI35" s="31" t="str">
        <f aca="false">IF($B35="","",IF($C35="ES","ES",IF(AB35&lt;&gt;"",AB35,AA35)))</f>
        <v/>
      </c>
      <c r="AJ35" s="13" t="str">
        <f aca="false">IF($B35="","",IFERROR(ROUND(SUMPRODUCT((Dati!$AQ$3:$CD$3="1.1")*INDEX(Dati!$AQ$1:$CD$1000,MATCH($A35,Dati!$A$1:$A$1000,0),0)*INDEX(Dati!$DS$1:$FF$1000,MATCH($A35,Dati!$A$1:$A$1000,0),0))/SUMPRODUCT((Dati!$AQ$3:$CD$3="1.1")*INDEX(Dati!$DS$1:$FF$1000,MATCH($A35,Dati!$A$1:$A$1000,0),0)),2),""))</f>
        <v/>
      </c>
      <c r="AK35" s="13" t="str">
        <f aca="false">IF($B35="","",IFERROR(ROUND(SUMPRODUCT((Dati!$AQ$3:$CD$3="2.1")*INDEX(Dati!$AQ$1:$CD$1000,MATCH($A35,Dati!$A$1:$A$1000,0),0)*INDEX(Dati!$DS$1:$FF$1000,MATCH($A35,Dati!$A$1:$A$1000,0),0))/SUMPRODUCT((Dati!$AQ$3:$CD$3="2.1")*INDEX(Dati!$DS$1:$FF$1000,MATCH($A35,Dati!$A$1:$A$1000,0),0)),2),""))</f>
        <v/>
      </c>
      <c r="AL35" s="13" t="str">
        <f aca="false">IF($B35="","",IFERROR(ROUND(SUMPRODUCT((Dati!$AQ$3:$CD$3="3.1")*INDEX(Dati!$AQ$1:$CD$1000,MATCH($A35,Dati!$A$1:$A$1000,0),0)*INDEX(Dati!$DS$1:$FF$1000,MATCH($A35,Dati!$A$1:$A$1000,0),0))/SUMPRODUCT((Dati!$AQ$3:$CD$3="3.1")*INDEX(Dati!$DS$1:$FF$1000,MATCH($A35,Dati!$A$1:$A$1000,0),0)),2),""))</f>
        <v/>
      </c>
      <c r="AM35" s="13" t="str">
        <f aca="false">IF($B35="","",IFERROR(ROUND(SUMPRODUCT((Dati!$AQ$3:$CD$3="3.2")*INDEX(Dati!$AQ$1:$CD$1000,MATCH($A35,Dati!$A$1:$A$1000,0),0)*INDEX(Dati!$DS$1:$FF$1000,MATCH($A35,Dati!$A$1:$A$1000,0),0))/SUMPRODUCT((Dati!$AQ$3:$CD$3="3.2")*INDEX(Dati!$DS$1:$FF$1000,MATCH($A35,Dati!$A$1:$A$1000,0),0)),2),""))</f>
        <v/>
      </c>
      <c r="AN35" s="13" t="str">
        <f aca="false">IF($B35="","",IFERROR(ROUND(SUMPRODUCT((Dati!$AQ$3:$CD$3="3.3")*INDEX(Dati!$AQ$1:$CD$1000,MATCH($A35,Dati!$A$1:$A$1000,0),0)*INDEX(Dati!$DS$1:$FF$1000,MATCH($A35,Dati!$A$1:$A$1000,0),0))/SUMPRODUCT((Dati!$AQ$3:$CD$3="3.3")*INDEX(Dati!$DS$1:$FF$1000,MATCH($A35,Dati!$A$1:$A$1000,0),0)),2),""))</f>
        <v/>
      </c>
      <c r="AO35" s="13" t="str">
        <f aca="false">IF($B35="","",IFERROR(ROUND(SUMPRODUCT((Dati!$AQ$3:$CD$3="4.1")*INDEX(Dati!$AQ$1:$CD$1000,MATCH($A35,Dati!$A$1:$A$1000,0),0)*INDEX(Dati!$DS$1:$FF$1000,MATCH($A35,Dati!$A$1:$A$1000,0),0))/SUMPRODUCT((Dati!$AQ$3:$CD$3="4.1")*INDEX(Dati!$DS$1:$FF$1000,MATCH($A35,Dati!$A$1:$A$1000,0),0)),2),""))</f>
        <v/>
      </c>
      <c r="AP35" s="13" t="str">
        <f aca="false">IF($B35="","",IFERROR(ROUND(SUMPRODUCT((Dati!$AQ$3:$CD$3="4.2")*INDEX(Dati!$AQ$1:$CD$1000,MATCH($A35,Dati!$A$1:$A$1000,0),0)*INDEX(Dati!$DS$1:$FF$1000,MATCH($A35,Dati!$A$1:$A$1000,0),0))/SUMPRODUCT((Dati!$AQ$3:$CD$3="4.2")*INDEX(Dati!$DS$1:$FF$1000,MATCH($A35,Dati!$A$1:$A$1000,0),0)),2),""))</f>
        <v/>
      </c>
      <c r="AQ35" s="13" t="str">
        <f aca="false">IF($B35="","",IFERROR(ROUND(SUMPRODUCT((Dati!$AQ$3:$CD$3="4.3")*INDEX(Dati!$AQ$1:$CD$1000,MATCH($A35,Dati!$A$1:$A$1000,0),0)*INDEX(Dati!$DS$1:$FF$1000,MATCH($A35,Dati!$A$1:$A$1000,0),0))/SUMPRODUCT((Dati!$AQ$3:$CD$3="4.3")*INDEX(Dati!$DS$1:$FF$1000,MATCH($A35,Dati!$A$1:$A$1000,0),0)),2),""))</f>
        <v/>
      </c>
      <c r="AR35" s="13" t="str">
        <f aca="false">IF($B35="","",IFERROR(SUMPRODUCT((Dati!$AQ$4:$CD$4="A")*(INDEX(Dati!$DS$1:$FF$1000,MATCH($A35,Dati!$A$1:$A$1000,0),0)&gt;0)),0))</f>
        <v/>
      </c>
      <c r="AS35" s="13" t="str">
        <f aca="false">IF($B35="","",IFERROR(ROUND(SUMPRODUCT((Dati!$AQ$4:$CD$4="A")*INDEX(Dati!$AQ$1:$CD$1000,MATCH($A35,Dati!$A$1:$A$1000,0),0)*INDEX(Dati!$DS$1:$FF$1000,MATCH($A35,Dati!$A$1:$A$1000,0),0))/SUMPRODUCT((Dati!$AQ$4:$CD$4="A")*INDEX(Dati!$DS$1:$FF$1000,MATCH($A35,Dati!$A$1:$A$1000,0),0)),2),""))</f>
        <v/>
      </c>
      <c r="AT35" s="13" t="str">
        <f aca="false">IF(AS35="","",IF(ISNUMBER(BH35),ROUND(Impostazioni!$B$12*AS35+Impostazioni!$B$13*BH35,2),AS35))</f>
        <v/>
      </c>
      <c r="AU35" s="51" t="str">
        <f aca="false">IF(AT35="","",LOOKUP(AT35,Impostazioni!$E$4:$E$9,Impostazioni!$F$4:$F$9))</f>
        <v/>
      </c>
      <c r="AV35" s="52"/>
      <c r="AW35" s="13" t="str">
        <f aca="false">IF($B35="","",IFERROR(SUMPRODUCT((Dati!$AQ$4:$CD$4="B")*(INDEX(Dati!$DS$1:$FF$1000,MATCH($A35,Dati!$A$1:$A$1000,0),0)&gt;0)),0))</f>
        <v/>
      </c>
      <c r="AX35" s="13" t="str">
        <f aca="false">IF($B35="","",IFERROR(ROUND(SUMPRODUCT((Dati!$AQ$4:$CD$4="B")*INDEX(Dati!$AQ$1:$CD$1000,MATCH($A35,Dati!$A$1:$A$1000,0),0)*INDEX(Dati!$DS$1:$FF$1000,MATCH($A35,Dati!$A$1:$A$1000,0),0))/SUMPRODUCT((Dati!$AQ$4:$CD$4="B")*INDEX(Dati!$DS$1:$FF$1000,MATCH($A35,Dati!$A$1:$A$1000,0),0)),2),""))</f>
        <v/>
      </c>
      <c r="AY35" s="13" t="str">
        <f aca="false">IF(AX35="","",IF(ISNUMBER(BH35),ROUND(Impostazioni!$B$12*AX35+Impostazioni!$B$13*BH35,2),AX35))</f>
        <v/>
      </c>
      <c r="AZ35" s="51" t="str">
        <f aca="false">IF(AY35="","",LOOKUP(AY35,Impostazioni!$E$4:$E$9,Impostazioni!$F$4:$F$9))</f>
        <v/>
      </c>
      <c r="BA35" s="52"/>
      <c r="BB35" s="13" t="str">
        <f aca="false">IF($B35="","",IFERROR(ROUND(SUMPRODUCT((Dati!$AQ$4:$CD$4="TEC")*INDEX(Dati!$AQ$1:$CD$1000,MATCH($A35,Dati!$A$1:$A$1000,0),0)*INDEX(Dati!$DS$1:$FF$1000,MATCH($A35,Dati!$A$1:$A$1000,0),0))/SUMPRODUCT((Dati!$AQ$4:$CD$4="TEC")*INDEX(Dati!$DS$1:$FF$1000,MATCH($A35,Dati!$A$1:$A$1000,0),0)),2),""))</f>
        <v/>
      </c>
      <c r="BC35" s="51" t="str">
        <f aca="false">IF(BB35="","",LOOKUP(BB35,Impostazioni!$E$4:$E$9,Impostazioni!$F$4:$F$9))</f>
        <v/>
      </c>
      <c r="BD35" s="52"/>
      <c r="BE35" s="13" t="str">
        <f aca="false">IF($B35="","",IFERROR(ROUND(SUMPRODUCT((Dati!$AQ$4:$CD$4="CIV")*INDEX(Dati!$AQ$1:$CD$1000,MATCH($A35,Dati!$A$1:$A$1000,0),0)*INDEX(Dati!$DS$1:$FF$1000,MATCH($A35,Dati!$A$1:$A$1000,0),0))/SUMPRODUCT((Dati!$AQ$4:$CD$4="CIV")*INDEX(Dati!$DS$1:$FF$1000,MATCH($A35,Dati!$A$1:$A$1000,0),0)),2),""))</f>
        <v/>
      </c>
      <c r="BF35" s="51" t="str">
        <f aca="false">IF(BE35="","",LOOKUP(BE35,Impostazioni!$E$4:$E$9,Impostazioni!$F$4:$F$9))</f>
        <v/>
      </c>
      <c r="BG35" s="52"/>
      <c r="BH35" s="52"/>
      <c r="BI35" s="13" t="str">
        <f aca="false">IF($B35="","",IFERROR(SUM(INDEX(Dati!$FQ$1:$FZ$1000,MATCH($A35,Dati!$A$1:$A$1000,0),0)),0))</f>
        <v/>
      </c>
      <c r="BJ35" s="16" t="str">
        <f aca="false">IF($B35="","",IF($C35="ES","Esonerato: concordare con referente e dirigente",IF($C35="Ritirato","Ritirato",TRIM(IF(OR(N(AR35)&lt;Impostazioni!$B$14,N(AW35)&lt;Impostazioni!$B$14),"Pochi voti: valutazione alternativa (scritta/orale). ","")&amp;IF(N(BI35)&gt;0,"Da recuperare: "&amp;BI35&amp;". ","")&amp;IF($D35="OP","Riferito agli obiettivi personalizzati.","")))))</f>
        <v/>
      </c>
      <c r="BK35" s="31" t="str">
        <f aca="false">IF($B35="","",IF($C35="ES","ES",IF(AV35&lt;&gt;"",AV35,AU35)))</f>
        <v/>
      </c>
      <c r="BL35" s="31" t="str">
        <f aca="false">IF($B35="","",IF($C35="ES","ES",IF(BA35&lt;&gt;"",BA35,AZ35)))</f>
        <v/>
      </c>
      <c r="BM35" s="31" t="str">
        <f aca="false">IF($B35="","",IF($C35="ES","ES",IF(BD35&lt;&gt;"",BD35,BC35)))</f>
        <v/>
      </c>
      <c r="BN35" s="31" t="str">
        <f aca="false">IF($B35="","",IF($C35="ES","ES",IF(BG35&lt;&gt;"",BG35,BF35)))</f>
        <v/>
      </c>
      <c r="BO35" s="14"/>
    </row>
    <row r="36" customFormat="false" ht="21" hidden="false" customHeight="true" outlineLevel="0" collapsed="false">
      <c r="A36" s="10" t="n">
        <v>29</v>
      </c>
      <c r="B36" s="16" t="str">
        <f aca="false">IFERROR(INDEX(Alunni!$C$1:$C$1000,MATCH($A36,Alunni!$A$1:$A$1000,0))&amp;"","")</f>
        <v/>
      </c>
      <c r="C36" s="13" t="str">
        <f aca="false">IFERROR(INDEX(Alunni!$D$1:$D$1000,MATCH($A36,Alunni!$A$1:$A$1000,0))&amp;"","")</f>
        <v/>
      </c>
      <c r="D36" s="13" t="str">
        <f aca="false">IFERROR(INDEX(Alunni!$E$1:$E$1000,MATCH($A36,Alunni!$A$1:$A$1000,0))&amp;"","")</f>
        <v/>
      </c>
      <c r="E36" s="13" t="str">
        <f aca="false">IF($B36="","",IFERROR(ROUND(SUMPRODUCT((Dati!$C$3:$AP$3="1.1")*INDEX(Dati!$C$1:$AP$1000,MATCH($A36,Dati!$A$1:$A$1000,0),0)*INDEX(Dati!$CE$1:$DR$1000,MATCH($A36,Dati!$A$1:$A$1000,0),0))/SUMPRODUCT((Dati!$C$3:$AP$3="1.1")*INDEX(Dati!$CE$1:$DR$1000,MATCH($A36,Dati!$A$1:$A$1000,0),0)),2),""))</f>
        <v/>
      </c>
      <c r="F36" s="13" t="str">
        <f aca="false">IF($B36="","",IFERROR(ROUND(SUMPRODUCT((Dati!$C$3:$AP$3="2.1")*INDEX(Dati!$C$1:$AP$1000,MATCH($A36,Dati!$A$1:$A$1000,0),0)*INDEX(Dati!$CE$1:$DR$1000,MATCH($A36,Dati!$A$1:$A$1000,0),0))/SUMPRODUCT((Dati!$C$3:$AP$3="2.1")*INDEX(Dati!$CE$1:$DR$1000,MATCH($A36,Dati!$A$1:$A$1000,0),0)),2),""))</f>
        <v/>
      </c>
      <c r="G36" s="13" t="str">
        <f aca="false">IF($B36="","",IFERROR(ROUND(SUMPRODUCT((Dati!$C$3:$AP$3="3.1")*INDEX(Dati!$C$1:$AP$1000,MATCH($A36,Dati!$A$1:$A$1000,0),0)*INDEX(Dati!$CE$1:$DR$1000,MATCH($A36,Dati!$A$1:$A$1000,0),0))/SUMPRODUCT((Dati!$C$3:$AP$3="3.1")*INDEX(Dati!$CE$1:$DR$1000,MATCH($A36,Dati!$A$1:$A$1000,0),0)),2),""))</f>
        <v/>
      </c>
      <c r="H36" s="13" t="str">
        <f aca="false">IF($B36="","",IFERROR(ROUND(SUMPRODUCT((Dati!$C$3:$AP$3="3.2")*INDEX(Dati!$C$1:$AP$1000,MATCH($A36,Dati!$A$1:$A$1000,0),0)*INDEX(Dati!$CE$1:$DR$1000,MATCH($A36,Dati!$A$1:$A$1000,0),0))/SUMPRODUCT((Dati!$C$3:$AP$3="3.2")*INDEX(Dati!$CE$1:$DR$1000,MATCH($A36,Dati!$A$1:$A$1000,0),0)),2),""))</f>
        <v/>
      </c>
      <c r="I36" s="13" t="str">
        <f aca="false">IF($B36="","",IFERROR(ROUND(SUMPRODUCT((Dati!$C$3:$AP$3="3.3")*INDEX(Dati!$C$1:$AP$1000,MATCH($A36,Dati!$A$1:$A$1000,0),0)*INDEX(Dati!$CE$1:$DR$1000,MATCH($A36,Dati!$A$1:$A$1000,0),0))/SUMPRODUCT((Dati!$C$3:$AP$3="3.3")*INDEX(Dati!$CE$1:$DR$1000,MATCH($A36,Dati!$A$1:$A$1000,0),0)),2),""))</f>
        <v/>
      </c>
      <c r="J36" s="13" t="str">
        <f aca="false">IF($B36="","",IFERROR(ROUND(SUMPRODUCT((Dati!$C$3:$AP$3="4.1")*INDEX(Dati!$C$1:$AP$1000,MATCH($A36,Dati!$A$1:$A$1000,0),0)*INDEX(Dati!$CE$1:$DR$1000,MATCH($A36,Dati!$A$1:$A$1000,0),0))/SUMPRODUCT((Dati!$C$3:$AP$3="4.1")*INDEX(Dati!$CE$1:$DR$1000,MATCH($A36,Dati!$A$1:$A$1000,0),0)),2),""))</f>
        <v/>
      </c>
      <c r="K36" s="13" t="str">
        <f aca="false">IF($B36="","",IFERROR(ROUND(SUMPRODUCT((Dati!$C$3:$AP$3="4.2")*INDEX(Dati!$C$1:$AP$1000,MATCH($A36,Dati!$A$1:$A$1000,0),0)*INDEX(Dati!$CE$1:$DR$1000,MATCH($A36,Dati!$A$1:$A$1000,0),0))/SUMPRODUCT((Dati!$C$3:$AP$3="4.2")*INDEX(Dati!$CE$1:$DR$1000,MATCH($A36,Dati!$A$1:$A$1000,0),0)),2),""))</f>
        <v/>
      </c>
      <c r="L36" s="13" t="str">
        <f aca="false">IF($B36="","",IFERROR(ROUND(SUMPRODUCT((Dati!$C$3:$AP$3="4.3")*INDEX(Dati!$C$1:$AP$1000,MATCH($A36,Dati!$A$1:$A$1000,0),0)*INDEX(Dati!$CE$1:$DR$1000,MATCH($A36,Dati!$A$1:$A$1000,0),0))/SUMPRODUCT((Dati!$C$3:$AP$3="4.3")*INDEX(Dati!$CE$1:$DR$1000,MATCH($A36,Dati!$A$1:$A$1000,0),0)),2),""))</f>
        <v/>
      </c>
      <c r="M36" s="13" t="str">
        <f aca="false">IF($B36="","",IFERROR(SUMPRODUCT((Dati!$C$4:$AP$4="A")*(INDEX(Dati!$CE$1:$DR$1000,MATCH($A36,Dati!$A$1:$A$1000,0),0)&gt;0)),0))</f>
        <v/>
      </c>
      <c r="N36" s="13" t="str">
        <f aca="false">IF($B36="","",IFERROR(ROUND(SUMPRODUCT((Dati!$C$4:$AP$4="A")*INDEX(Dati!$C$1:$AP$1000,MATCH($A36,Dati!$A$1:$A$1000,0),0)*INDEX(Dati!$CE$1:$DR$1000,MATCH($A36,Dati!$A$1:$A$1000,0),0))/SUMPRODUCT((Dati!$C$4:$AP$4="A")*INDEX(Dati!$CE$1:$DR$1000,MATCH($A36,Dati!$A$1:$A$1000,0),0)),2),""))</f>
        <v/>
      </c>
      <c r="O36" s="13" t="str">
        <f aca="false">IF(N36="","",IF(ISNUMBER(AC36),ROUND(Impostazioni!$B$12*N36+Impostazioni!$B$13*AC36,2),N36))</f>
        <v/>
      </c>
      <c r="P36" s="51" t="str">
        <f aca="false">IF(O36="","",LOOKUP(O36,Impostazioni!$E$4:$E$9,Impostazioni!$F$4:$F$9))</f>
        <v/>
      </c>
      <c r="Q36" s="52"/>
      <c r="R36" s="13" t="str">
        <f aca="false">IF($B36="","",IFERROR(SUMPRODUCT((Dati!$C$4:$AP$4="B")*(INDEX(Dati!$CE$1:$DR$1000,MATCH($A36,Dati!$A$1:$A$1000,0),0)&gt;0)),0))</f>
        <v/>
      </c>
      <c r="S36" s="13" t="str">
        <f aca="false">IF($B36="","",IFERROR(ROUND(SUMPRODUCT((Dati!$C$4:$AP$4="B")*INDEX(Dati!$C$1:$AP$1000,MATCH($A36,Dati!$A$1:$A$1000,0),0)*INDEX(Dati!$CE$1:$DR$1000,MATCH($A36,Dati!$A$1:$A$1000,0),0))/SUMPRODUCT((Dati!$C$4:$AP$4="B")*INDEX(Dati!$CE$1:$DR$1000,MATCH($A36,Dati!$A$1:$A$1000,0),0)),2),""))</f>
        <v/>
      </c>
      <c r="T36" s="13" t="str">
        <f aca="false">IF(S36="","",IF(ISNUMBER(AC36),ROUND(Impostazioni!$B$12*S36+Impostazioni!$B$13*AC36,2),S36))</f>
        <v/>
      </c>
      <c r="U36" s="51" t="str">
        <f aca="false">IF(T36="","",LOOKUP(T36,Impostazioni!$E$4:$E$9,Impostazioni!$F$4:$F$9))</f>
        <v/>
      </c>
      <c r="V36" s="52"/>
      <c r="W36" s="13" t="str">
        <f aca="false">IF($B36="","",IFERROR(ROUND(SUMPRODUCT((Dati!$C$4:$AP$4="TEC")*INDEX(Dati!$C$1:$AP$1000,MATCH($A36,Dati!$A$1:$A$1000,0),0)*INDEX(Dati!$CE$1:$DR$1000,MATCH($A36,Dati!$A$1:$A$1000,0),0))/SUMPRODUCT((Dati!$C$4:$AP$4="TEC")*INDEX(Dati!$CE$1:$DR$1000,MATCH($A36,Dati!$A$1:$A$1000,0),0)),2),""))</f>
        <v/>
      </c>
      <c r="X36" s="51" t="str">
        <f aca="false">IF(W36="","",LOOKUP(W36,Impostazioni!$E$4:$E$9,Impostazioni!$F$4:$F$9))</f>
        <v/>
      </c>
      <c r="Y36" s="52"/>
      <c r="Z36" s="13" t="str">
        <f aca="false">IF($B36="","",IFERROR(ROUND(SUMPRODUCT((Dati!$C$4:$AP$4="CIV")*INDEX(Dati!$C$1:$AP$1000,MATCH($A36,Dati!$A$1:$A$1000,0),0)*INDEX(Dati!$CE$1:$DR$1000,MATCH($A36,Dati!$A$1:$A$1000,0),0))/SUMPRODUCT((Dati!$C$4:$AP$4="CIV")*INDEX(Dati!$CE$1:$DR$1000,MATCH($A36,Dati!$A$1:$A$1000,0),0)),2),""))</f>
        <v/>
      </c>
      <c r="AA36" s="51" t="str">
        <f aca="false">IF(Z36="","",LOOKUP(Z36,Impostazioni!$E$4:$E$9,Impostazioni!$F$4:$F$9))</f>
        <v/>
      </c>
      <c r="AB36" s="52"/>
      <c r="AC36" s="52"/>
      <c r="AD36" s="13" t="str">
        <f aca="false">IF($B36="","",IFERROR(SUM(INDEX(Dati!$FG$1:$FP$1000,MATCH($A36,Dati!$A$1:$A$1000,0),0)),0))</f>
        <v/>
      </c>
      <c r="AE36" s="16" t="str">
        <f aca="false">IF($B36="","",IF($C36="ES","Esonerato: concordare con referente e dirigente",IF($C36="Ritirato","Ritirato",TRIM(IF(OR(N(M36)&lt;Impostazioni!$B$14,N(R36)&lt;Impostazioni!$B$14),"Pochi voti: valutazione alternativa (scritta/orale). ","")&amp;IF(N(AD36)&gt;0,"Da recuperare: "&amp;AD36&amp;". ","")&amp;IF($D36="OP","Riferito agli obiettivi personalizzati.","")))))</f>
        <v/>
      </c>
      <c r="AF36" s="31" t="str">
        <f aca="false">IF($B36="","",IF($C36="ES","ES",IF(Q36&lt;&gt;"",Q36,P36)))</f>
        <v/>
      </c>
      <c r="AG36" s="31" t="str">
        <f aca="false">IF($B36="","",IF($C36="ES","ES",IF(V36&lt;&gt;"",V36,U36)))</f>
        <v/>
      </c>
      <c r="AH36" s="31" t="str">
        <f aca="false">IF($B36="","",IF($C36="ES","ES",IF(Y36&lt;&gt;"",Y36,X36)))</f>
        <v/>
      </c>
      <c r="AI36" s="31" t="str">
        <f aca="false">IF($B36="","",IF($C36="ES","ES",IF(AB36&lt;&gt;"",AB36,AA36)))</f>
        <v/>
      </c>
      <c r="AJ36" s="13" t="str">
        <f aca="false">IF($B36="","",IFERROR(ROUND(SUMPRODUCT((Dati!$AQ$3:$CD$3="1.1")*INDEX(Dati!$AQ$1:$CD$1000,MATCH($A36,Dati!$A$1:$A$1000,0),0)*INDEX(Dati!$DS$1:$FF$1000,MATCH($A36,Dati!$A$1:$A$1000,0),0))/SUMPRODUCT((Dati!$AQ$3:$CD$3="1.1")*INDEX(Dati!$DS$1:$FF$1000,MATCH($A36,Dati!$A$1:$A$1000,0),0)),2),""))</f>
        <v/>
      </c>
      <c r="AK36" s="13" t="str">
        <f aca="false">IF($B36="","",IFERROR(ROUND(SUMPRODUCT((Dati!$AQ$3:$CD$3="2.1")*INDEX(Dati!$AQ$1:$CD$1000,MATCH($A36,Dati!$A$1:$A$1000,0),0)*INDEX(Dati!$DS$1:$FF$1000,MATCH($A36,Dati!$A$1:$A$1000,0),0))/SUMPRODUCT((Dati!$AQ$3:$CD$3="2.1")*INDEX(Dati!$DS$1:$FF$1000,MATCH($A36,Dati!$A$1:$A$1000,0),0)),2),""))</f>
        <v/>
      </c>
      <c r="AL36" s="13" t="str">
        <f aca="false">IF($B36="","",IFERROR(ROUND(SUMPRODUCT((Dati!$AQ$3:$CD$3="3.1")*INDEX(Dati!$AQ$1:$CD$1000,MATCH($A36,Dati!$A$1:$A$1000,0),0)*INDEX(Dati!$DS$1:$FF$1000,MATCH($A36,Dati!$A$1:$A$1000,0),0))/SUMPRODUCT((Dati!$AQ$3:$CD$3="3.1")*INDEX(Dati!$DS$1:$FF$1000,MATCH($A36,Dati!$A$1:$A$1000,0),0)),2),""))</f>
        <v/>
      </c>
      <c r="AM36" s="13" t="str">
        <f aca="false">IF($B36="","",IFERROR(ROUND(SUMPRODUCT((Dati!$AQ$3:$CD$3="3.2")*INDEX(Dati!$AQ$1:$CD$1000,MATCH($A36,Dati!$A$1:$A$1000,0),0)*INDEX(Dati!$DS$1:$FF$1000,MATCH($A36,Dati!$A$1:$A$1000,0),0))/SUMPRODUCT((Dati!$AQ$3:$CD$3="3.2")*INDEX(Dati!$DS$1:$FF$1000,MATCH($A36,Dati!$A$1:$A$1000,0),0)),2),""))</f>
        <v/>
      </c>
      <c r="AN36" s="13" t="str">
        <f aca="false">IF($B36="","",IFERROR(ROUND(SUMPRODUCT((Dati!$AQ$3:$CD$3="3.3")*INDEX(Dati!$AQ$1:$CD$1000,MATCH($A36,Dati!$A$1:$A$1000,0),0)*INDEX(Dati!$DS$1:$FF$1000,MATCH($A36,Dati!$A$1:$A$1000,0),0))/SUMPRODUCT((Dati!$AQ$3:$CD$3="3.3")*INDEX(Dati!$DS$1:$FF$1000,MATCH($A36,Dati!$A$1:$A$1000,0),0)),2),""))</f>
        <v/>
      </c>
      <c r="AO36" s="13" t="str">
        <f aca="false">IF($B36="","",IFERROR(ROUND(SUMPRODUCT((Dati!$AQ$3:$CD$3="4.1")*INDEX(Dati!$AQ$1:$CD$1000,MATCH($A36,Dati!$A$1:$A$1000,0),0)*INDEX(Dati!$DS$1:$FF$1000,MATCH($A36,Dati!$A$1:$A$1000,0),0))/SUMPRODUCT((Dati!$AQ$3:$CD$3="4.1")*INDEX(Dati!$DS$1:$FF$1000,MATCH($A36,Dati!$A$1:$A$1000,0),0)),2),""))</f>
        <v/>
      </c>
      <c r="AP36" s="13" t="str">
        <f aca="false">IF($B36="","",IFERROR(ROUND(SUMPRODUCT((Dati!$AQ$3:$CD$3="4.2")*INDEX(Dati!$AQ$1:$CD$1000,MATCH($A36,Dati!$A$1:$A$1000,0),0)*INDEX(Dati!$DS$1:$FF$1000,MATCH($A36,Dati!$A$1:$A$1000,0),0))/SUMPRODUCT((Dati!$AQ$3:$CD$3="4.2")*INDEX(Dati!$DS$1:$FF$1000,MATCH($A36,Dati!$A$1:$A$1000,0),0)),2),""))</f>
        <v/>
      </c>
      <c r="AQ36" s="13" t="str">
        <f aca="false">IF($B36="","",IFERROR(ROUND(SUMPRODUCT((Dati!$AQ$3:$CD$3="4.3")*INDEX(Dati!$AQ$1:$CD$1000,MATCH($A36,Dati!$A$1:$A$1000,0),0)*INDEX(Dati!$DS$1:$FF$1000,MATCH($A36,Dati!$A$1:$A$1000,0),0))/SUMPRODUCT((Dati!$AQ$3:$CD$3="4.3")*INDEX(Dati!$DS$1:$FF$1000,MATCH($A36,Dati!$A$1:$A$1000,0),0)),2),""))</f>
        <v/>
      </c>
      <c r="AR36" s="13" t="str">
        <f aca="false">IF($B36="","",IFERROR(SUMPRODUCT((Dati!$AQ$4:$CD$4="A")*(INDEX(Dati!$DS$1:$FF$1000,MATCH($A36,Dati!$A$1:$A$1000,0),0)&gt;0)),0))</f>
        <v/>
      </c>
      <c r="AS36" s="13" t="str">
        <f aca="false">IF($B36="","",IFERROR(ROUND(SUMPRODUCT((Dati!$AQ$4:$CD$4="A")*INDEX(Dati!$AQ$1:$CD$1000,MATCH($A36,Dati!$A$1:$A$1000,0),0)*INDEX(Dati!$DS$1:$FF$1000,MATCH($A36,Dati!$A$1:$A$1000,0),0))/SUMPRODUCT((Dati!$AQ$4:$CD$4="A")*INDEX(Dati!$DS$1:$FF$1000,MATCH($A36,Dati!$A$1:$A$1000,0),0)),2),""))</f>
        <v/>
      </c>
      <c r="AT36" s="13" t="str">
        <f aca="false">IF(AS36="","",IF(ISNUMBER(BH36),ROUND(Impostazioni!$B$12*AS36+Impostazioni!$B$13*BH36,2),AS36))</f>
        <v/>
      </c>
      <c r="AU36" s="51" t="str">
        <f aca="false">IF(AT36="","",LOOKUP(AT36,Impostazioni!$E$4:$E$9,Impostazioni!$F$4:$F$9))</f>
        <v/>
      </c>
      <c r="AV36" s="52"/>
      <c r="AW36" s="13" t="str">
        <f aca="false">IF($B36="","",IFERROR(SUMPRODUCT((Dati!$AQ$4:$CD$4="B")*(INDEX(Dati!$DS$1:$FF$1000,MATCH($A36,Dati!$A$1:$A$1000,0),0)&gt;0)),0))</f>
        <v/>
      </c>
      <c r="AX36" s="13" t="str">
        <f aca="false">IF($B36="","",IFERROR(ROUND(SUMPRODUCT((Dati!$AQ$4:$CD$4="B")*INDEX(Dati!$AQ$1:$CD$1000,MATCH($A36,Dati!$A$1:$A$1000,0),0)*INDEX(Dati!$DS$1:$FF$1000,MATCH($A36,Dati!$A$1:$A$1000,0),0))/SUMPRODUCT((Dati!$AQ$4:$CD$4="B")*INDEX(Dati!$DS$1:$FF$1000,MATCH($A36,Dati!$A$1:$A$1000,0),0)),2),""))</f>
        <v/>
      </c>
      <c r="AY36" s="13" t="str">
        <f aca="false">IF(AX36="","",IF(ISNUMBER(BH36),ROUND(Impostazioni!$B$12*AX36+Impostazioni!$B$13*BH36,2),AX36))</f>
        <v/>
      </c>
      <c r="AZ36" s="51" t="str">
        <f aca="false">IF(AY36="","",LOOKUP(AY36,Impostazioni!$E$4:$E$9,Impostazioni!$F$4:$F$9))</f>
        <v/>
      </c>
      <c r="BA36" s="52"/>
      <c r="BB36" s="13" t="str">
        <f aca="false">IF($B36="","",IFERROR(ROUND(SUMPRODUCT((Dati!$AQ$4:$CD$4="TEC")*INDEX(Dati!$AQ$1:$CD$1000,MATCH($A36,Dati!$A$1:$A$1000,0),0)*INDEX(Dati!$DS$1:$FF$1000,MATCH($A36,Dati!$A$1:$A$1000,0),0))/SUMPRODUCT((Dati!$AQ$4:$CD$4="TEC")*INDEX(Dati!$DS$1:$FF$1000,MATCH($A36,Dati!$A$1:$A$1000,0),0)),2),""))</f>
        <v/>
      </c>
      <c r="BC36" s="51" t="str">
        <f aca="false">IF(BB36="","",LOOKUP(BB36,Impostazioni!$E$4:$E$9,Impostazioni!$F$4:$F$9))</f>
        <v/>
      </c>
      <c r="BD36" s="52"/>
      <c r="BE36" s="13" t="str">
        <f aca="false">IF($B36="","",IFERROR(ROUND(SUMPRODUCT((Dati!$AQ$4:$CD$4="CIV")*INDEX(Dati!$AQ$1:$CD$1000,MATCH($A36,Dati!$A$1:$A$1000,0),0)*INDEX(Dati!$DS$1:$FF$1000,MATCH($A36,Dati!$A$1:$A$1000,0),0))/SUMPRODUCT((Dati!$AQ$4:$CD$4="CIV")*INDEX(Dati!$DS$1:$FF$1000,MATCH($A36,Dati!$A$1:$A$1000,0),0)),2),""))</f>
        <v/>
      </c>
      <c r="BF36" s="51" t="str">
        <f aca="false">IF(BE36="","",LOOKUP(BE36,Impostazioni!$E$4:$E$9,Impostazioni!$F$4:$F$9))</f>
        <v/>
      </c>
      <c r="BG36" s="52"/>
      <c r="BH36" s="52"/>
      <c r="BI36" s="13" t="str">
        <f aca="false">IF($B36="","",IFERROR(SUM(INDEX(Dati!$FQ$1:$FZ$1000,MATCH($A36,Dati!$A$1:$A$1000,0),0)),0))</f>
        <v/>
      </c>
      <c r="BJ36" s="16" t="str">
        <f aca="false">IF($B36="","",IF($C36="ES","Esonerato: concordare con referente e dirigente",IF($C36="Ritirato","Ritirato",TRIM(IF(OR(N(AR36)&lt;Impostazioni!$B$14,N(AW36)&lt;Impostazioni!$B$14),"Pochi voti: valutazione alternativa (scritta/orale). ","")&amp;IF(N(BI36)&gt;0,"Da recuperare: "&amp;BI36&amp;". ","")&amp;IF($D36="OP","Riferito agli obiettivi personalizzati.","")))))</f>
        <v/>
      </c>
      <c r="BK36" s="31" t="str">
        <f aca="false">IF($B36="","",IF($C36="ES","ES",IF(AV36&lt;&gt;"",AV36,AU36)))</f>
        <v/>
      </c>
      <c r="BL36" s="31" t="str">
        <f aca="false">IF($B36="","",IF($C36="ES","ES",IF(BA36&lt;&gt;"",BA36,AZ36)))</f>
        <v/>
      </c>
      <c r="BM36" s="31" t="str">
        <f aca="false">IF($B36="","",IF($C36="ES","ES",IF(BD36&lt;&gt;"",BD36,BC36)))</f>
        <v/>
      </c>
      <c r="BN36" s="31" t="str">
        <f aca="false">IF($B36="","",IF($C36="ES","ES",IF(BG36&lt;&gt;"",BG36,BF36)))</f>
        <v/>
      </c>
      <c r="BO36" s="14"/>
    </row>
    <row r="37" customFormat="false" ht="21" hidden="false" customHeight="true" outlineLevel="0" collapsed="false">
      <c r="A37" s="10" t="n">
        <v>30</v>
      </c>
      <c r="B37" s="16" t="str">
        <f aca="false">IFERROR(INDEX(Alunni!$C$1:$C$1000,MATCH($A37,Alunni!$A$1:$A$1000,0))&amp;"","")</f>
        <v/>
      </c>
      <c r="C37" s="13" t="str">
        <f aca="false">IFERROR(INDEX(Alunni!$D$1:$D$1000,MATCH($A37,Alunni!$A$1:$A$1000,0))&amp;"","")</f>
        <v/>
      </c>
      <c r="D37" s="13" t="str">
        <f aca="false">IFERROR(INDEX(Alunni!$E$1:$E$1000,MATCH($A37,Alunni!$A$1:$A$1000,0))&amp;"","")</f>
        <v/>
      </c>
      <c r="E37" s="13" t="str">
        <f aca="false">IF($B37="","",IFERROR(ROUND(SUMPRODUCT((Dati!$C$3:$AP$3="1.1")*INDEX(Dati!$C$1:$AP$1000,MATCH($A37,Dati!$A$1:$A$1000,0),0)*INDEX(Dati!$CE$1:$DR$1000,MATCH($A37,Dati!$A$1:$A$1000,0),0))/SUMPRODUCT((Dati!$C$3:$AP$3="1.1")*INDEX(Dati!$CE$1:$DR$1000,MATCH($A37,Dati!$A$1:$A$1000,0),0)),2),""))</f>
        <v/>
      </c>
      <c r="F37" s="13" t="str">
        <f aca="false">IF($B37="","",IFERROR(ROUND(SUMPRODUCT((Dati!$C$3:$AP$3="2.1")*INDEX(Dati!$C$1:$AP$1000,MATCH($A37,Dati!$A$1:$A$1000,0),0)*INDEX(Dati!$CE$1:$DR$1000,MATCH($A37,Dati!$A$1:$A$1000,0),0))/SUMPRODUCT((Dati!$C$3:$AP$3="2.1")*INDEX(Dati!$CE$1:$DR$1000,MATCH($A37,Dati!$A$1:$A$1000,0),0)),2),""))</f>
        <v/>
      </c>
      <c r="G37" s="13" t="str">
        <f aca="false">IF($B37="","",IFERROR(ROUND(SUMPRODUCT((Dati!$C$3:$AP$3="3.1")*INDEX(Dati!$C$1:$AP$1000,MATCH($A37,Dati!$A$1:$A$1000,0),0)*INDEX(Dati!$CE$1:$DR$1000,MATCH($A37,Dati!$A$1:$A$1000,0),0))/SUMPRODUCT((Dati!$C$3:$AP$3="3.1")*INDEX(Dati!$CE$1:$DR$1000,MATCH($A37,Dati!$A$1:$A$1000,0),0)),2),""))</f>
        <v/>
      </c>
      <c r="H37" s="13" t="str">
        <f aca="false">IF($B37="","",IFERROR(ROUND(SUMPRODUCT((Dati!$C$3:$AP$3="3.2")*INDEX(Dati!$C$1:$AP$1000,MATCH($A37,Dati!$A$1:$A$1000,0),0)*INDEX(Dati!$CE$1:$DR$1000,MATCH($A37,Dati!$A$1:$A$1000,0),0))/SUMPRODUCT((Dati!$C$3:$AP$3="3.2")*INDEX(Dati!$CE$1:$DR$1000,MATCH($A37,Dati!$A$1:$A$1000,0),0)),2),""))</f>
        <v/>
      </c>
      <c r="I37" s="13" t="str">
        <f aca="false">IF($B37="","",IFERROR(ROUND(SUMPRODUCT((Dati!$C$3:$AP$3="3.3")*INDEX(Dati!$C$1:$AP$1000,MATCH($A37,Dati!$A$1:$A$1000,0),0)*INDEX(Dati!$CE$1:$DR$1000,MATCH($A37,Dati!$A$1:$A$1000,0),0))/SUMPRODUCT((Dati!$C$3:$AP$3="3.3")*INDEX(Dati!$CE$1:$DR$1000,MATCH($A37,Dati!$A$1:$A$1000,0),0)),2),""))</f>
        <v/>
      </c>
      <c r="J37" s="13" t="str">
        <f aca="false">IF($B37="","",IFERROR(ROUND(SUMPRODUCT((Dati!$C$3:$AP$3="4.1")*INDEX(Dati!$C$1:$AP$1000,MATCH($A37,Dati!$A$1:$A$1000,0),0)*INDEX(Dati!$CE$1:$DR$1000,MATCH($A37,Dati!$A$1:$A$1000,0),0))/SUMPRODUCT((Dati!$C$3:$AP$3="4.1")*INDEX(Dati!$CE$1:$DR$1000,MATCH($A37,Dati!$A$1:$A$1000,0),0)),2),""))</f>
        <v/>
      </c>
      <c r="K37" s="13" t="str">
        <f aca="false">IF($B37="","",IFERROR(ROUND(SUMPRODUCT((Dati!$C$3:$AP$3="4.2")*INDEX(Dati!$C$1:$AP$1000,MATCH($A37,Dati!$A$1:$A$1000,0),0)*INDEX(Dati!$CE$1:$DR$1000,MATCH($A37,Dati!$A$1:$A$1000,0),0))/SUMPRODUCT((Dati!$C$3:$AP$3="4.2")*INDEX(Dati!$CE$1:$DR$1000,MATCH($A37,Dati!$A$1:$A$1000,0),0)),2),""))</f>
        <v/>
      </c>
      <c r="L37" s="13" t="str">
        <f aca="false">IF($B37="","",IFERROR(ROUND(SUMPRODUCT((Dati!$C$3:$AP$3="4.3")*INDEX(Dati!$C$1:$AP$1000,MATCH($A37,Dati!$A$1:$A$1000,0),0)*INDEX(Dati!$CE$1:$DR$1000,MATCH($A37,Dati!$A$1:$A$1000,0),0))/SUMPRODUCT((Dati!$C$3:$AP$3="4.3")*INDEX(Dati!$CE$1:$DR$1000,MATCH($A37,Dati!$A$1:$A$1000,0),0)),2),""))</f>
        <v/>
      </c>
      <c r="M37" s="13" t="str">
        <f aca="false">IF($B37="","",IFERROR(SUMPRODUCT((Dati!$C$4:$AP$4="A")*(INDEX(Dati!$CE$1:$DR$1000,MATCH($A37,Dati!$A$1:$A$1000,0),0)&gt;0)),0))</f>
        <v/>
      </c>
      <c r="N37" s="13" t="str">
        <f aca="false">IF($B37="","",IFERROR(ROUND(SUMPRODUCT((Dati!$C$4:$AP$4="A")*INDEX(Dati!$C$1:$AP$1000,MATCH($A37,Dati!$A$1:$A$1000,0),0)*INDEX(Dati!$CE$1:$DR$1000,MATCH($A37,Dati!$A$1:$A$1000,0),0))/SUMPRODUCT((Dati!$C$4:$AP$4="A")*INDEX(Dati!$CE$1:$DR$1000,MATCH($A37,Dati!$A$1:$A$1000,0),0)),2),""))</f>
        <v/>
      </c>
      <c r="O37" s="13" t="str">
        <f aca="false">IF(N37="","",IF(ISNUMBER(AC37),ROUND(Impostazioni!$B$12*N37+Impostazioni!$B$13*AC37,2),N37))</f>
        <v/>
      </c>
      <c r="P37" s="51" t="str">
        <f aca="false">IF(O37="","",LOOKUP(O37,Impostazioni!$E$4:$E$9,Impostazioni!$F$4:$F$9))</f>
        <v/>
      </c>
      <c r="Q37" s="52"/>
      <c r="R37" s="13" t="str">
        <f aca="false">IF($B37="","",IFERROR(SUMPRODUCT((Dati!$C$4:$AP$4="B")*(INDEX(Dati!$CE$1:$DR$1000,MATCH($A37,Dati!$A$1:$A$1000,0),0)&gt;0)),0))</f>
        <v/>
      </c>
      <c r="S37" s="13" t="str">
        <f aca="false">IF($B37="","",IFERROR(ROUND(SUMPRODUCT((Dati!$C$4:$AP$4="B")*INDEX(Dati!$C$1:$AP$1000,MATCH($A37,Dati!$A$1:$A$1000,0),0)*INDEX(Dati!$CE$1:$DR$1000,MATCH($A37,Dati!$A$1:$A$1000,0),0))/SUMPRODUCT((Dati!$C$4:$AP$4="B")*INDEX(Dati!$CE$1:$DR$1000,MATCH($A37,Dati!$A$1:$A$1000,0),0)),2),""))</f>
        <v/>
      </c>
      <c r="T37" s="13" t="str">
        <f aca="false">IF(S37="","",IF(ISNUMBER(AC37),ROUND(Impostazioni!$B$12*S37+Impostazioni!$B$13*AC37,2),S37))</f>
        <v/>
      </c>
      <c r="U37" s="51" t="str">
        <f aca="false">IF(T37="","",LOOKUP(T37,Impostazioni!$E$4:$E$9,Impostazioni!$F$4:$F$9))</f>
        <v/>
      </c>
      <c r="V37" s="52"/>
      <c r="W37" s="13" t="str">
        <f aca="false">IF($B37="","",IFERROR(ROUND(SUMPRODUCT((Dati!$C$4:$AP$4="TEC")*INDEX(Dati!$C$1:$AP$1000,MATCH($A37,Dati!$A$1:$A$1000,0),0)*INDEX(Dati!$CE$1:$DR$1000,MATCH($A37,Dati!$A$1:$A$1000,0),0))/SUMPRODUCT((Dati!$C$4:$AP$4="TEC")*INDEX(Dati!$CE$1:$DR$1000,MATCH($A37,Dati!$A$1:$A$1000,0),0)),2),""))</f>
        <v/>
      </c>
      <c r="X37" s="51" t="str">
        <f aca="false">IF(W37="","",LOOKUP(W37,Impostazioni!$E$4:$E$9,Impostazioni!$F$4:$F$9))</f>
        <v/>
      </c>
      <c r="Y37" s="52"/>
      <c r="Z37" s="13" t="str">
        <f aca="false">IF($B37="","",IFERROR(ROUND(SUMPRODUCT((Dati!$C$4:$AP$4="CIV")*INDEX(Dati!$C$1:$AP$1000,MATCH($A37,Dati!$A$1:$A$1000,0),0)*INDEX(Dati!$CE$1:$DR$1000,MATCH($A37,Dati!$A$1:$A$1000,0),0))/SUMPRODUCT((Dati!$C$4:$AP$4="CIV")*INDEX(Dati!$CE$1:$DR$1000,MATCH($A37,Dati!$A$1:$A$1000,0),0)),2),""))</f>
        <v/>
      </c>
      <c r="AA37" s="51" t="str">
        <f aca="false">IF(Z37="","",LOOKUP(Z37,Impostazioni!$E$4:$E$9,Impostazioni!$F$4:$F$9))</f>
        <v/>
      </c>
      <c r="AB37" s="52"/>
      <c r="AC37" s="52"/>
      <c r="AD37" s="13" t="str">
        <f aca="false">IF($B37="","",IFERROR(SUM(INDEX(Dati!$FG$1:$FP$1000,MATCH($A37,Dati!$A$1:$A$1000,0),0)),0))</f>
        <v/>
      </c>
      <c r="AE37" s="16" t="str">
        <f aca="false">IF($B37="","",IF($C37="ES","Esonerato: concordare con referente e dirigente",IF($C37="Ritirato","Ritirato",TRIM(IF(OR(N(M37)&lt;Impostazioni!$B$14,N(R37)&lt;Impostazioni!$B$14),"Pochi voti: valutazione alternativa (scritta/orale). ","")&amp;IF(N(AD37)&gt;0,"Da recuperare: "&amp;AD37&amp;". ","")&amp;IF($D37="OP","Riferito agli obiettivi personalizzati.","")))))</f>
        <v/>
      </c>
      <c r="AF37" s="31" t="str">
        <f aca="false">IF($B37="","",IF($C37="ES","ES",IF(Q37&lt;&gt;"",Q37,P37)))</f>
        <v/>
      </c>
      <c r="AG37" s="31" t="str">
        <f aca="false">IF($B37="","",IF($C37="ES","ES",IF(V37&lt;&gt;"",V37,U37)))</f>
        <v/>
      </c>
      <c r="AH37" s="31" t="str">
        <f aca="false">IF($B37="","",IF($C37="ES","ES",IF(Y37&lt;&gt;"",Y37,X37)))</f>
        <v/>
      </c>
      <c r="AI37" s="31" t="str">
        <f aca="false">IF($B37="","",IF($C37="ES","ES",IF(AB37&lt;&gt;"",AB37,AA37)))</f>
        <v/>
      </c>
      <c r="AJ37" s="13" t="str">
        <f aca="false">IF($B37="","",IFERROR(ROUND(SUMPRODUCT((Dati!$AQ$3:$CD$3="1.1")*INDEX(Dati!$AQ$1:$CD$1000,MATCH($A37,Dati!$A$1:$A$1000,0),0)*INDEX(Dati!$DS$1:$FF$1000,MATCH($A37,Dati!$A$1:$A$1000,0),0))/SUMPRODUCT((Dati!$AQ$3:$CD$3="1.1")*INDEX(Dati!$DS$1:$FF$1000,MATCH($A37,Dati!$A$1:$A$1000,0),0)),2),""))</f>
        <v/>
      </c>
      <c r="AK37" s="13" t="str">
        <f aca="false">IF($B37="","",IFERROR(ROUND(SUMPRODUCT((Dati!$AQ$3:$CD$3="2.1")*INDEX(Dati!$AQ$1:$CD$1000,MATCH($A37,Dati!$A$1:$A$1000,0),0)*INDEX(Dati!$DS$1:$FF$1000,MATCH($A37,Dati!$A$1:$A$1000,0),0))/SUMPRODUCT((Dati!$AQ$3:$CD$3="2.1")*INDEX(Dati!$DS$1:$FF$1000,MATCH($A37,Dati!$A$1:$A$1000,0),0)),2),""))</f>
        <v/>
      </c>
      <c r="AL37" s="13" t="str">
        <f aca="false">IF($B37="","",IFERROR(ROUND(SUMPRODUCT((Dati!$AQ$3:$CD$3="3.1")*INDEX(Dati!$AQ$1:$CD$1000,MATCH($A37,Dati!$A$1:$A$1000,0),0)*INDEX(Dati!$DS$1:$FF$1000,MATCH($A37,Dati!$A$1:$A$1000,0),0))/SUMPRODUCT((Dati!$AQ$3:$CD$3="3.1")*INDEX(Dati!$DS$1:$FF$1000,MATCH($A37,Dati!$A$1:$A$1000,0),0)),2),""))</f>
        <v/>
      </c>
      <c r="AM37" s="13" t="str">
        <f aca="false">IF($B37="","",IFERROR(ROUND(SUMPRODUCT((Dati!$AQ$3:$CD$3="3.2")*INDEX(Dati!$AQ$1:$CD$1000,MATCH($A37,Dati!$A$1:$A$1000,0),0)*INDEX(Dati!$DS$1:$FF$1000,MATCH($A37,Dati!$A$1:$A$1000,0),0))/SUMPRODUCT((Dati!$AQ$3:$CD$3="3.2")*INDEX(Dati!$DS$1:$FF$1000,MATCH($A37,Dati!$A$1:$A$1000,0),0)),2),""))</f>
        <v/>
      </c>
      <c r="AN37" s="13" t="str">
        <f aca="false">IF($B37="","",IFERROR(ROUND(SUMPRODUCT((Dati!$AQ$3:$CD$3="3.3")*INDEX(Dati!$AQ$1:$CD$1000,MATCH($A37,Dati!$A$1:$A$1000,0),0)*INDEX(Dati!$DS$1:$FF$1000,MATCH($A37,Dati!$A$1:$A$1000,0),0))/SUMPRODUCT((Dati!$AQ$3:$CD$3="3.3")*INDEX(Dati!$DS$1:$FF$1000,MATCH($A37,Dati!$A$1:$A$1000,0),0)),2),""))</f>
        <v/>
      </c>
      <c r="AO37" s="13" t="str">
        <f aca="false">IF($B37="","",IFERROR(ROUND(SUMPRODUCT((Dati!$AQ$3:$CD$3="4.1")*INDEX(Dati!$AQ$1:$CD$1000,MATCH($A37,Dati!$A$1:$A$1000,0),0)*INDEX(Dati!$DS$1:$FF$1000,MATCH($A37,Dati!$A$1:$A$1000,0),0))/SUMPRODUCT((Dati!$AQ$3:$CD$3="4.1")*INDEX(Dati!$DS$1:$FF$1000,MATCH($A37,Dati!$A$1:$A$1000,0),0)),2),""))</f>
        <v/>
      </c>
      <c r="AP37" s="13" t="str">
        <f aca="false">IF($B37="","",IFERROR(ROUND(SUMPRODUCT((Dati!$AQ$3:$CD$3="4.2")*INDEX(Dati!$AQ$1:$CD$1000,MATCH($A37,Dati!$A$1:$A$1000,0),0)*INDEX(Dati!$DS$1:$FF$1000,MATCH($A37,Dati!$A$1:$A$1000,0),0))/SUMPRODUCT((Dati!$AQ$3:$CD$3="4.2")*INDEX(Dati!$DS$1:$FF$1000,MATCH($A37,Dati!$A$1:$A$1000,0),0)),2),""))</f>
        <v/>
      </c>
      <c r="AQ37" s="13" t="str">
        <f aca="false">IF($B37="","",IFERROR(ROUND(SUMPRODUCT((Dati!$AQ$3:$CD$3="4.3")*INDEX(Dati!$AQ$1:$CD$1000,MATCH($A37,Dati!$A$1:$A$1000,0),0)*INDEX(Dati!$DS$1:$FF$1000,MATCH($A37,Dati!$A$1:$A$1000,0),0))/SUMPRODUCT((Dati!$AQ$3:$CD$3="4.3")*INDEX(Dati!$DS$1:$FF$1000,MATCH($A37,Dati!$A$1:$A$1000,0),0)),2),""))</f>
        <v/>
      </c>
      <c r="AR37" s="13" t="str">
        <f aca="false">IF($B37="","",IFERROR(SUMPRODUCT((Dati!$AQ$4:$CD$4="A")*(INDEX(Dati!$DS$1:$FF$1000,MATCH($A37,Dati!$A$1:$A$1000,0),0)&gt;0)),0))</f>
        <v/>
      </c>
      <c r="AS37" s="13" t="str">
        <f aca="false">IF($B37="","",IFERROR(ROUND(SUMPRODUCT((Dati!$AQ$4:$CD$4="A")*INDEX(Dati!$AQ$1:$CD$1000,MATCH($A37,Dati!$A$1:$A$1000,0),0)*INDEX(Dati!$DS$1:$FF$1000,MATCH($A37,Dati!$A$1:$A$1000,0),0))/SUMPRODUCT((Dati!$AQ$4:$CD$4="A")*INDEX(Dati!$DS$1:$FF$1000,MATCH($A37,Dati!$A$1:$A$1000,0),0)),2),""))</f>
        <v/>
      </c>
      <c r="AT37" s="13" t="str">
        <f aca="false">IF(AS37="","",IF(ISNUMBER(BH37),ROUND(Impostazioni!$B$12*AS37+Impostazioni!$B$13*BH37,2),AS37))</f>
        <v/>
      </c>
      <c r="AU37" s="51" t="str">
        <f aca="false">IF(AT37="","",LOOKUP(AT37,Impostazioni!$E$4:$E$9,Impostazioni!$F$4:$F$9))</f>
        <v/>
      </c>
      <c r="AV37" s="52"/>
      <c r="AW37" s="13" t="str">
        <f aca="false">IF($B37="","",IFERROR(SUMPRODUCT((Dati!$AQ$4:$CD$4="B")*(INDEX(Dati!$DS$1:$FF$1000,MATCH($A37,Dati!$A$1:$A$1000,0),0)&gt;0)),0))</f>
        <v/>
      </c>
      <c r="AX37" s="13" t="str">
        <f aca="false">IF($B37="","",IFERROR(ROUND(SUMPRODUCT((Dati!$AQ$4:$CD$4="B")*INDEX(Dati!$AQ$1:$CD$1000,MATCH($A37,Dati!$A$1:$A$1000,0),0)*INDEX(Dati!$DS$1:$FF$1000,MATCH($A37,Dati!$A$1:$A$1000,0),0))/SUMPRODUCT((Dati!$AQ$4:$CD$4="B")*INDEX(Dati!$DS$1:$FF$1000,MATCH($A37,Dati!$A$1:$A$1000,0),0)),2),""))</f>
        <v/>
      </c>
      <c r="AY37" s="13" t="str">
        <f aca="false">IF(AX37="","",IF(ISNUMBER(BH37),ROUND(Impostazioni!$B$12*AX37+Impostazioni!$B$13*BH37,2),AX37))</f>
        <v/>
      </c>
      <c r="AZ37" s="51" t="str">
        <f aca="false">IF(AY37="","",LOOKUP(AY37,Impostazioni!$E$4:$E$9,Impostazioni!$F$4:$F$9))</f>
        <v/>
      </c>
      <c r="BA37" s="52"/>
      <c r="BB37" s="13" t="str">
        <f aca="false">IF($B37="","",IFERROR(ROUND(SUMPRODUCT((Dati!$AQ$4:$CD$4="TEC")*INDEX(Dati!$AQ$1:$CD$1000,MATCH($A37,Dati!$A$1:$A$1000,0),0)*INDEX(Dati!$DS$1:$FF$1000,MATCH($A37,Dati!$A$1:$A$1000,0),0))/SUMPRODUCT((Dati!$AQ$4:$CD$4="TEC")*INDEX(Dati!$DS$1:$FF$1000,MATCH($A37,Dati!$A$1:$A$1000,0),0)),2),""))</f>
        <v/>
      </c>
      <c r="BC37" s="51" t="str">
        <f aca="false">IF(BB37="","",LOOKUP(BB37,Impostazioni!$E$4:$E$9,Impostazioni!$F$4:$F$9))</f>
        <v/>
      </c>
      <c r="BD37" s="52"/>
      <c r="BE37" s="13" t="str">
        <f aca="false">IF($B37="","",IFERROR(ROUND(SUMPRODUCT((Dati!$AQ$4:$CD$4="CIV")*INDEX(Dati!$AQ$1:$CD$1000,MATCH($A37,Dati!$A$1:$A$1000,0),0)*INDEX(Dati!$DS$1:$FF$1000,MATCH($A37,Dati!$A$1:$A$1000,0),0))/SUMPRODUCT((Dati!$AQ$4:$CD$4="CIV")*INDEX(Dati!$DS$1:$FF$1000,MATCH($A37,Dati!$A$1:$A$1000,0),0)),2),""))</f>
        <v/>
      </c>
      <c r="BF37" s="51" t="str">
        <f aca="false">IF(BE37="","",LOOKUP(BE37,Impostazioni!$E$4:$E$9,Impostazioni!$F$4:$F$9))</f>
        <v/>
      </c>
      <c r="BG37" s="52"/>
      <c r="BH37" s="52"/>
      <c r="BI37" s="13" t="str">
        <f aca="false">IF($B37="","",IFERROR(SUM(INDEX(Dati!$FQ$1:$FZ$1000,MATCH($A37,Dati!$A$1:$A$1000,0),0)),0))</f>
        <v/>
      </c>
      <c r="BJ37" s="16" t="str">
        <f aca="false">IF($B37="","",IF($C37="ES","Esonerato: concordare con referente e dirigente",IF($C37="Ritirato","Ritirato",TRIM(IF(OR(N(AR37)&lt;Impostazioni!$B$14,N(AW37)&lt;Impostazioni!$B$14),"Pochi voti: valutazione alternativa (scritta/orale). ","")&amp;IF(N(BI37)&gt;0,"Da recuperare: "&amp;BI37&amp;". ","")&amp;IF($D37="OP","Riferito agli obiettivi personalizzati.","")))))</f>
        <v/>
      </c>
      <c r="BK37" s="31" t="str">
        <f aca="false">IF($B37="","",IF($C37="ES","ES",IF(AV37&lt;&gt;"",AV37,AU37)))</f>
        <v/>
      </c>
      <c r="BL37" s="31" t="str">
        <f aca="false">IF($B37="","",IF($C37="ES","ES",IF(BA37&lt;&gt;"",BA37,AZ37)))</f>
        <v/>
      </c>
      <c r="BM37" s="31" t="str">
        <f aca="false">IF($B37="","",IF($C37="ES","ES",IF(BD37&lt;&gt;"",BD37,BC37)))</f>
        <v/>
      </c>
      <c r="BN37" s="31" t="str">
        <f aca="false">IF($B37="","",IF($C37="ES","ES",IF(BG37&lt;&gt;"",BG37,BF37)))</f>
        <v/>
      </c>
      <c r="BO37" s="14"/>
    </row>
  </sheetData>
  <mergeCells count="18">
    <mergeCell ref="A1:BO1"/>
    <mergeCell ref="A2:D3"/>
    <mergeCell ref="E4:AI4"/>
    <mergeCell ref="AJ4:BN4"/>
    <mergeCell ref="E5:L6"/>
    <mergeCell ref="M5:Q6"/>
    <mergeCell ref="R5:V6"/>
    <mergeCell ref="W5:Y6"/>
    <mergeCell ref="Z5:AB6"/>
    <mergeCell ref="AC5:AE6"/>
    <mergeCell ref="AF5:AI6"/>
    <mergeCell ref="AJ5:AQ6"/>
    <mergeCell ref="AR5:AV6"/>
    <mergeCell ref="AW5:BA6"/>
    <mergeCell ref="BB5:BD6"/>
    <mergeCell ref="BE5:BG6"/>
    <mergeCell ref="BH5:BJ6"/>
    <mergeCell ref="BK5:BN6"/>
  </mergeCells>
  <conditionalFormatting sqref="AE8:AE37">
    <cfRule type="expression" priority="2" aboveAverage="0" equalAverage="0" bottom="0" percent="0" rank="0" text="" dxfId="9">
      <formula>LEN(AE8)&gt;0</formula>
    </cfRule>
  </conditionalFormatting>
  <conditionalFormatting sqref="BJ8:BJ37">
    <cfRule type="expression" priority="3" aboveAverage="0" equalAverage="0" bottom="0" percent="0" rank="0" text="" dxfId="9">
      <formula>LEN(BJ8)&gt;0</formula>
    </cfRule>
  </conditionalFormatting>
  <dataValidations count="4">
    <dataValidation allowBlank="true" errorStyle="stop" operator="between" showDropDown="false" showErrorMessage="false" showInputMessage="false" sqref="Q8:Q37 V8:V37 Y8:Y37 AB8:AB37" type="list">
      <formula1>"Ottimo,Distinto,Buono,Discreto,Sufficiente,Non sufficiente"</formula1>
      <formula2>0</formula2>
    </dataValidation>
    <dataValidation allowBlank="true" errorStyle="stop" operator="between" showDropDown="false" showErrorMessage="false" showInputMessage="false" sqref="AC8:AC37" type="list">
      <formula1>"10,9,8,7,6,5"</formula1>
      <formula2>0</formula2>
    </dataValidation>
    <dataValidation allowBlank="true" errorStyle="stop" operator="between" showDropDown="false" showErrorMessage="false" showInputMessage="false" sqref="AV8:AV37 BA8:BA37 BD8:BD37 BG8:BG37" type="list">
      <formula1>"Ottimo,Distinto,Buono,Discreto,Sufficiente,Non sufficiente"</formula1>
      <formula2>0</formula2>
    </dataValidation>
    <dataValidation allowBlank="true" errorStyle="stop" operator="between" showDropDown="false" showErrorMessage="false" showInputMessage="false" sqref="BH8:BH37" type="list">
      <formula1>"10,9,8,7,6,5"</formula1>
      <formula2>0</formula2>
    </dataValidation>
  </dataValidations>
  <printOptions headings="false" gridLines="false" gridLinesSet="true" horizontalCentered="false" verticalCentered="false"/>
  <pageMargins left="0.35" right="0.35" top="0.45" bottom="0.4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true"/>
  </sheetPr>
  <dimension ref="A1:V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22" min="3" style="0" width="19"/>
  </cols>
  <sheetData>
    <row r="1" customFormat="false" ht="24" hidden="false" customHeight="true" outlineLevel="0" collapsed="false">
      <c r="A1" s="4" t="s">
        <v>123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3" customFormat="false" ht="19.5" hidden="false" customHeight="true" outlineLevel="0" collapsed="false">
      <c r="C3" s="53" t="s">
        <v>94</v>
      </c>
      <c r="D3" s="53"/>
      <c r="E3" s="53"/>
      <c r="F3" s="53"/>
      <c r="G3" s="53"/>
      <c r="H3" s="53"/>
      <c r="I3" s="53"/>
      <c r="J3" s="53"/>
      <c r="K3" s="53"/>
      <c r="L3" s="53"/>
      <c r="M3" s="54" t="s">
        <v>95</v>
      </c>
      <c r="N3" s="54"/>
      <c r="O3" s="54"/>
      <c r="P3" s="54"/>
      <c r="Q3" s="54"/>
      <c r="R3" s="54"/>
      <c r="S3" s="54"/>
      <c r="T3" s="54"/>
      <c r="U3" s="54"/>
      <c r="V3" s="54"/>
    </row>
    <row r="4" customFormat="false" ht="30" hidden="false" customHeight="true" outlineLevel="0" collapsed="false">
      <c r="A4" s="18" t="s">
        <v>65</v>
      </c>
      <c r="B4" s="18" t="s">
        <v>83</v>
      </c>
      <c r="C4" s="8" t="str">
        <f aca="false">Calendario!B7&amp;CHAR(10)&amp;IF(Calendario!E7="","—",TEXT(DAY(Calendario!E7),"00")&amp;"/"&amp;TEXT(MONTH(Calendario!E7),"00"))</f>
        <v>Q1-G01
28/09</v>
      </c>
      <c r="D4" s="8" t="str">
        <f aca="false">Calendario!B8&amp;CHAR(10)&amp;IF(Calendario!E8="","—",TEXT(DAY(Calendario!E8),"00")&amp;"/"&amp;TEXT(MONTH(Calendario!E8),"00"))</f>
        <v>Q1-G02
26/10</v>
      </c>
      <c r="E4" s="8" t="str">
        <f aca="false">Calendario!B9&amp;CHAR(10)&amp;IF(Calendario!E9="","—",TEXT(DAY(Calendario!E9),"00")&amp;"/"&amp;TEXT(MONTH(Calendario!E9),"00"))</f>
        <v>Q1-G03
02/11</v>
      </c>
      <c r="F4" s="8" t="str">
        <f aca="false">Calendario!B10&amp;CHAR(10)&amp;IF(Calendario!E10="","—",TEXT(DAY(Calendario!E10),"00")&amp;"/"&amp;TEXT(MONTH(Calendario!E10),"00"))</f>
        <v>Q1-G04
—</v>
      </c>
      <c r="G4" s="8" t="str">
        <f aca="false">Calendario!B11&amp;CHAR(10)&amp;IF(Calendario!E11="","—",TEXT(DAY(Calendario!E11),"00")&amp;"/"&amp;TEXT(MONTH(Calendario!E11),"00"))</f>
        <v>Q1-G05
—</v>
      </c>
      <c r="H4" s="8" t="str">
        <f aca="false">Calendario!B12&amp;CHAR(10)&amp;IF(Calendario!E12="","—",TEXT(DAY(Calendario!E12),"00")&amp;"/"&amp;TEXT(MONTH(Calendario!E12),"00"))</f>
        <v>Q1-G06
—</v>
      </c>
      <c r="I4" s="8" t="str">
        <f aca="false">Calendario!B13&amp;CHAR(10)&amp;IF(Calendario!E13="","—",TEXT(DAY(Calendario!E13),"00")&amp;"/"&amp;TEXT(MONTH(Calendario!E13),"00"))</f>
        <v>Q1-G07
—</v>
      </c>
      <c r="J4" s="8" t="str">
        <f aca="false">Calendario!B14&amp;CHAR(10)&amp;IF(Calendario!E14="","—",TEXT(DAY(Calendario!E14),"00")&amp;"/"&amp;TEXT(MONTH(Calendario!E14),"00"))</f>
        <v>Q1-G08
—</v>
      </c>
      <c r="K4" s="8" t="str">
        <f aca="false">Calendario!B15&amp;CHAR(10)&amp;IF(Calendario!E15="","—",TEXT(DAY(Calendario!E15),"00")&amp;"/"&amp;TEXT(MONTH(Calendario!E15),"00"))</f>
        <v>Q1-G09
—</v>
      </c>
      <c r="L4" s="8" t="str">
        <f aca="false">Calendario!B16&amp;CHAR(10)&amp;IF(Calendario!E16="","—",TEXT(DAY(Calendario!E16),"00")&amp;"/"&amp;TEXT(MONTH(Calendario!E16),"00"))</f>
        <v>Q1-G10
—</v>
      </c>
      <c r="M4" s="8" t="str">
        <f aca="false">Calendario!B17&amp;CHAR(10)&amp;IF(Calendario!E17="","—",TEXT(DAY(Calendario!E17),"00")&amp;"/"&amp;TEXT(MONTH(Calendario!E17),"00"))</f>
        <v>Q2-G01
—</v>
      </c>
      <c r="N4" s="8" t="str">
        <f aca="false">Calendario!B18&amp;CHAR(10)&amp;IF(Calendario!E18="","—",TEXT(DAY(Calendario!E18),"00")&amp;"/"&amp;TEXT(MONTH(Calendario!E18),"00"))</f>
        <v>Q2-G02
—</v>
      </c>
      <c r="O4" s="8" t="str">
        <f aca="false">Calendario!B19&amp;CHAR(10)&amp;IF(Calendario!E19="","—",TEXT(DAY(Calendario!E19),"00")&amp;"/"&amp;TEXT(MONTH(Calendario!E19),"00"))</f>
        <v>Q2-G03
—</v>
      </c>
      <c r="P4" s="8" t="str">
        <f aca="false">Calendario!B20&amp;CHAR(10)&amp;IF(Calendario!E20="","—",TEXT(DAY(Calendario!E20),"00")&amp;"/"&amp;TEXT(MONTH(Calendario!E20),"00"))</f>
        <v>Q2-G04
—</v>
      </c>
      <c r="Q4" s="8" t="str">
        <f aca="false">Calendario!B21&amp;CHAR(10)&amp;IF(Calendario!E21="","—",TEXT(DAY(Calendario!E21),"00")&amp;"/"&amp;TEXT(MONTH(Calendario!E21),"00"))</f>
        <v>Q2-G05
—</v>
      </c>
      <c r="R4" s="8" t="str">
        <f aca="false">Calendario!B22&amp;CHAR(10)&amp;IF(Calendario!E22="","—",TEXT(DAY(Calendario!E22),"00")&amp;"/"&amp;TEXT(MONTH(Calendario!E22),"00"))</f>
        <v>Q2-G06
—</v>
      </c>
      <c r="S4" s="8" t="str">
        <f aca="false">Calendario!B23&amp;CHAR(10)&amp;IF(Calendario!E23="","—",TEXT(DAY(Calendario!E23),"00")&amp;"/"&amp;TEXT(MONTH(Calendario!E23),"00"))</f>
        <v>Q2-G07
—</v>
      </c>
      <c r="T4" s="8" t="str">
        <f aca="false">Calendario!B24&amp;CHAR(10)&amp;IF(Calendario!E24="","—",TEXT(DAY(Calendario!E24),"00")&amp;"/"&amp;TEXT(MONTH(Calendario!E24),"00"))</f>
        <v>Q2-G08
—</v>
      </c>
      <c r="U4" s="8" t="str">
        <f aca="false">Calendario!B25&amp;CHAR(10)&amp;IF(Calendario!E25="","—",TEXT(DAY(Calendario!E25),"00")&amp;"/"&amp;TEXT(MONTH(Calendario!E25),"00"))</f>
        <v>Q2-G09
—</v>
      </c>
      <c r="V4" s="8" t="str">
        <f aca="false">Calendario!B26&amp;CHAR(10)&amp;IF(Calendario!E26="","—",TEXT(DAY(Calendario!E26),"00")&amp;"/"&amp;TEXT(MONTH(Calendario!E26),"00"))</f>
        <v>Q2-G10
—</v>
      </c>
    </row>
    <row r="5" customFormat="false" ht="19.5" hidden="false" customHeight="true" outlineLevel="0" collapsed="false">
      <c r="A5" s="10" t="n">
        <v>1</v>
      </c>
      <c r="B5" s="16" t="str">
        <f aca="false">IFERROR(INDEX(Alunni!$C$1:$C$1000,MATCH($A5,Alunni!$A$1:$A$1000,0))&amp;"","")</f>
        <v>Rossi Mario (esempio)</v>
      </c>
      <c r="C5" s="55" t="str">
        <f aca="false">IF($B5="","",IFERROR(IF((IF(INDEX(Dati!$CE$1:$CE$1000,MATCH($A5,Dati!$A$1:$A$1000,0))&gt;0,Dati!$C$3&amp;": "&amp;INDEX(Dati!$C$1:$C$1000,MATCH($A5,Dati!$A$1:$A$1000,0))&amp;" · ","")&amp;IF(INDEX(Dati!$CF$1:$CF$1000,MATCH($A5,Dati!$A$1:$A$1000,0))&gt;0,Dati!$D$3&amp;": "&amp;INDEX(Dati!$D$1:$D$1000,MATCH($A5,Dati!$A$1:$A$1000,0))&amp;" · ","")&amp;IF(INDEX(Dati!$CG$1:$CG$1000,MATCH($A5,Dati!$A$1:$A$1000,0))&gt;0,Dati!$E$3&amp;": "&amp;INDEX(Dati!$E$1:$E$1000,MATCH($A5,Dati!$A$1:$A$1000,0))&amp;" · ","")&amp;IF(INDEX(Dati!$CH$1:$CH$1000,MATCH($A5,Dati!$A$1:$A$1000,0))&gt;0,Dati!$F$3&amp;": "&amp;INDEX(Dati!$F$1:$F$1000,MATCH($A5,Dati!$A$1:$A$1000,0))&amp;" · ",""))="",IF(INDEX(Dati!$FG$1:$FG$1000,MATCH($A5,Dati!$A$1:$A$1000,0))=1,"AS da recuperare",""),LEFT(IF(INDEX(Dati!$CE$1:$CE$1000,MATCH($A5,Dati!$A$1:$A$1000,0))&gt;0,Dati!$C$3&amp;": "&amp;INDEX(Dati!$C$1:$C$1000,MATCH($A5,Dati!$A$1:$A$1000,0))&amp;" · ","")&amp;IF(INDEX(Dati!$CF$1:$CF$1000,MATCH($A5,Dati!$A$1:$A$1000,0))&gt;0,Dati!$D$3&amp;": "&amp;INDEX(Dati!$D$1:$D$1000,MATCH($A5,Dati!$A$1:$A$1000,0))&amp;" · ","")&amp;IF(INDEX(Dati!$CG$1:$CG$1000,MATCH($A5,Dati!$A$1:$A$1000,0))&gt;0,Dati!$E$3&amp;": "&amp;INDEX(Dati!$E$1:$E$1000,MATCH($A5,Dati!$A$1:$A$1000,0))&amp;" · ","")&amp;IF(INDEX(Dati!$CH$1:$CH$1000,MATCH($A5,Dati!$A$1:$A$1000,0))&gt;0,Dati!$F$3&amp;": "&amp;INDEX(Dati!$F$1:$F$1000,MATCH($A5,Dati!$A$1:$A$1000,0))&amp;" · ",""),LEN(IF(INDEX(Dati!$CE$1:$CE$1000,MATCH($A5,Dati!$A$1:$A$1000,0))&gt;0,Dati!$C$3&amp;": "&amp;INDEX(Dati!$C$1:$C$1000,MATCH($A5,Dati!$A$1:$A$1000,0))&amp;" · ","")&amp;IF(INDEX(Dati!$CF$1:$CF$1000,MATCH($A5,Dati!$A$1:$A$1000,0))&gt;0,Dati!$D$3&amp;": "&amp;INDEX(Dati!$D$1:$D$1000,MATCH($A5,Dati!$A$1:$A$1000,0))&amp;" · ","")&amp;IF(INDEX(Dati!$CG$1:$CG$1000,MATCH($A5,Dati!$A$1:$A$1000,0))&gt;0,Dati!$E$3&amp;": "&amp;INDEX(Dati!$E$1:$E$1000,MATCH($A5,Dati!$A$1:$A$1000,0))&amp;" · ","")&amp;IF(INDEX(Dati!$CH$1:$CH$1000,MATCH($A5,Dati!$A$1:$A$1000,0))&gt;0,Dati!$F$3&amp;": "&amp;INDEX(Dati!$F$1:$F$1000,MATCH($A5,Dati!$A$1:$A$1000,0))&amp;" · ",""))-3)),""))</f>
        <v>1.1: 8</v>
      </c>
      <c r="D5" s="55" t="str">
        <f aca="false">IF($B5="","",IFERROR(IF((IF(INDEX(Dati!$CI$1:$CI$1000,MATCH($A5,Dati!$A$1:$A$1000,0))&gt;0,Dati!$G$3&amp;": "&amp;INDEX(Dati!$G$1:$G$1000,MATCH($A5,Dati!$A$1:$A$1000,0))&amp;" · ","")&amp;IF(INDEX(Dati!$CJ$1:$CJ$1000,MATCH($A5,Dati!$A$1:$A$1000,0))&gt;0,Dati!$H$3&amp;": "&amp;INDEX(Dati!$H$1:$H$1000,MATCH($A5,Dati!$A$1:$A$1000,0))&amp;" · ","")&amp;IF(INDEX(Dati!$CK$1:$CK$1000,MATCH($A5,Dati!$A$1:$A$1000,0))&gt;0,Dati!$I$3&amp;": "&amp;INDEX(Dati!$I$1:$I$1000,MATCH($A5,Dati!$A$1:$A$1000,0))&amp;" · ","")&amp;IF(INDEX(Dati!$CL$1:$CL$1000,MATCH($A5,Dati!$A$1:$A$1000,0))&gt;0,Dati!$J$3&amp;": "&amp;INDEX(Dati!$J$1:$J$1000,MATCH($A5,Dati!$A$1:$A$1000,0))&amp;" · ",""))="",IF(INDEX(Dati!$FH$1:$FH$1000,MATCH($A5,Dati!$A$1:$A$1000,0))=1,"AS da recuperare",""),LEFT(IF(INDEX(Dati!$CI$1:$CI$1000,MATCH($A5,Dati!$A$1:$A$1000,0))&gt;0,Dati!$G$3&amp;": "&amp;INDEX(Dati!$G$1:$G$1000,MATCH($A5,Dati!$A$1:$A$1000,0))&amp;" · ","")&amp;IF(INDEX(Dati!$CJ$1:$CJ$1000,MATCH($A5,Dati!$A$1:$A$1000,0))&gt;0,Dati!$H$3&amp;": "&amp;INDEX(Dati!$H$1:$H$1000,MATCH($A5,Dati!$A$1:$A$1000,0))&amp;" · ","")&amp;IF(INDEX(Dati!$CK$1:$CK$1000,MATCH($A5,Dati!$A$1:$A$1000,0))&gt;0,Dati!$I$3&amp;": "&amp;INDEX(Dati!$I$1:$I$1000,MATCH($A5,Dati!$A$1:$A$1000,0))&amp;" · ","")&amp;IF(INDEX(Dati!$CL$1:$CL$1000,MATCH($A5,Dati!$A$1:$A$1000,0))&gt;0,Dati!$J$3&amp;": "&amp;INDEX(Dati!$J$1:$J$1000,MATCH($A5,Dati!$A$1:$A$1000,0))&amp;" · ",""),LEN(IF(INDEX(Dati!$CI$1:$CI$1000,MATCH($A5,Dati!$A$1:$A$1000,0))&gt;0,Dati!$G$3&amp;": "&amp;INDEX(Dati!$G$1:$G$1000,MATCH($A5,Dati!$A$1:$A$1000,0))&amp;" · ","")&amp;IF(INDEX(Dati!$CJ$1:$CJ$1000,MATCH($A5,Dati!$A$1:$A$1000,0))&gt;0,Dati!$H$3&amp;": "&amp;INDEX(Dati!$H$1:$H$1000,MATCH($A5,Dati!$A$1:$A$1000,0))&amp;" · ","")&amp;IF(INDEX(Dati!$CK$1:$CK$1000,MATCH($A5,Dati!$A$1:$A$1000,0))&gt;0,Dati!$I$3&amp;": "&amp;INDEX(Dati!$I$1:$I$1000,MATCH($A5,Dati!$A$1:$A$1000,0))&amp;" · ","")&amp;IF(INDEX(Dati!$CL$1:$CL$1000,MATCH($A5,Dati!$A$1:$A$1000,0))&gt;0,Dati!$J$3&amp;": "&amp;INDEX(Dati!$J$1:$J$1000,MATCH($A5,Dati!$A$1:$A$1000,0))&amp;" · ",""))-3)),""))</f>
        <v>3.1: 8 · 3.3: 8</v>
      </c>
      <c r="E5" s="55" t="str">
        <f aca="false">IF($B5="","",IFERROR(IF((IF(INDEX(Dati!$CM$1:$CM$1000,MATCH($A5,Dati!$A$1:$A$1000,0))&gt;0,Dati!$K$3&amp;": "&amp;INDEX(Dati!$K$1:$K$1000,MATCH($A5,Dati!$A$1:$A$1000,0))&amp;" · ","")&amp;IF(INDEX(Dati!$CN$1:$CN$1000,MATCH($A5,Dati!$A$1:$A$1000,0))&gt;0,Dati!$L$3&amp;": "&amp;INDEX(Dati!$L$1:$L$1000,MATCH($A5,Dati!$A$1:$A$1000,0))&amp;" · ","")&amp;IF(INDEX(Dati!$CO$1:$CO$1000,MATCH($A5,Dati!$A$1:$A$1000,0))&gt;0,Dati!$M$3&amp;": "&amp;INDEX(Dati!$M$1:$M$1000,MATCH($A5,Dati!$A$1:$A$1000,0))&amp;" · ","")&amp;IF(INDEX(Dati!$CP$1:$CP$1000,MATCH($A5,Dati!$A$1:$A$1000,0))&gt;0,Dati!$N$3&amp;": "&amp;INDEX(Dati!$N$1:$N$1000,MATCH($A5,Dati!$A$1:$A$1000,0))&amp;" · ",""))="",IF(INDEX(Dati!$FI$1:$FI$1000,MATCH($A5,Dati!$A$1:$A$1000,0))=1,"AS da recuperare",""),LEFT(IF(INDEX(Dati!$CM$1:$CM$1000,MATCH($A5,Dati!$A$1:$A$1000,0))&gt;0,Dati!$K$3&amp;": "&amp;INDEX(Dati!$K$1:$K$1000,MATCH($A5,Dati!$A$1:$A$1000,0))&amp;" · ","")&amp;IF(INDEX(Dati!$CN$1:$CN$1000,MATCH($A5,Dati!$A$1:$A$1000,0))&gt;0,Dati!$L$3&amp;": "&amp;INDEX(Dati!$L$1:$L$1000,MATCH($A5,Dati!$A$1:$A$1000,0))&amp;" · ","")&amp;IF(INDEX(Dati!$CO$1:$CO$1000,MATCH($A5,Dati!$A$1:$A$1000,0))&gt;0,Dati!$M$3&amp;": "&amp;INDEX(Dati!$M$1:$M$1000,MATCH($A5,Dati!$A$1:$A$1000,0))&amp;" · ","")&amp;IF(INDEX(Dati!$CP$1:$CP$1000,MATCH($A5,Dati!$A$1:$A$1000,0))&gt;0,Dati!$N$3&amp;": "&amp;INDEX(Dati!$N$1:$N$1000,MATCH($A5,Dati!$A$1:$A$1000,0))&amp;" · ",""),LEN(IF(INDEX(Dati!$CM$1:$CM$1000,MATCH($A5,Dati!$A$1:$A$1000,0))&gt;0,Dati!$K$3&amp;": "&amp;INDEX(Dati!$K$1:$K$1000,MATCH($A5,Dati!$A$1:$A$1000,0))&amp;" · ","")&amp;IF(INDEX(Dati!$CN$1:$CN$1000,MATCH($A5,Dati!$A$1:$A$1000,0))&gt;0,Dati!$L$3&amp;": "&amp;INDEX(Dati!$L$1:$L$1000,MATCH($A5,Dati!$A$1:$A$1000,0))&amp;" · ","")&amp;IF(INDEX(Dati!$CO$1:$CO$1000,MATCH($A5,Dati!$A$1:$A$1000,0))&gt;0,Dati!$M$3&amp;": "&amp;INDEX(Dati!$M$1:$M$1000,MATCH($A5,Dati!$A$1:$A$1000,0))&amp;" · ","")&amp;IF(INDEX(Dati!$CP$1:$CP$1000,MATCH($A5,Dati!$A$1:$A$1000,0))&gt;0,Dati!$N$3&amp;": "&amp;INDEX(Dati!$N$1:$N$1000,MATCH($A5,Dati!$A$1:$A$1000,0))&amp;" · ",""))-3)),""))</f>
        <v>1.1: 8 · TEC.1: 7 · : 9</v>
      </c>
      <c r="F5" s="55" t="str">
        <f aca="false">IF($B5="","",IFERROR(IF((IF(INDEX(Dati!$CQ$1:$CQ$1000,MATCH($A5,Dati!$A$1:$A$1000,0))&gt;0,Dati!$O$3&amp;": "&amp;INDEX(Dati!$O$1:$O$1000,MATCH($A5,Dati!$A$1:$A$1000,0))&amp;" · ","")&amp;IF(INDEX(Dati!$CR$1:$CR$1000,MATCH($A5,Dati!$A$1:$A$1000,0))&gt;0,Dati!$P$3&amp;": "&amp;INDEX(Dati!$P$1:$P$1000,MATCH($A5,Dati!$A$1:$A$1000,0))&amp;" · ","")&amp;IF(INDEX(Dati!$CS$1:$CS$1000,MATCH($A5,Dati!$A$1:$A$1000,0))&gt;0,Dati!$Q$3&amp;": "&amp;INDEX(Dati!$Q$1:$Q$1000,MATCH($A5,Dati!$A$1:$A$1000,0))&amp;" · ","")&amp;IF(INDEX(Dati!$CT$1:$CT$1000,MATCH($A5,Dati!$A$1:$A$1000,0))&gt;0,Dati!$R$3&amp;": "&amp;INDEX(Dati!$R$1:$R$1000,MATCH($A5,Dati!$A$1:$A$1000,0))&amp;" · ",""))="",IF(INDEX(Dati!$FJ$1:$FJ$1000,MATCH($A5,Dati!$A$1:$A$1000,0))=1,"AS da recuperare",""),LEFT(IF(INDEX(Dati!$CQ$1:$CQ$1000,MATCH($A5,Dati!$A$1:$A$1000,0))&gt;0,Dati!$O$3&amp;": "&amp;INDEX(Dati!$O$1:$O$1000,MATCH($A5,Dati!$A$1:$A$1000,0))&amp;" · ","")&amp;IF(INDEX(Dati!$CR$1:$CR$1000,MATCH($A5,Dati!$A$1:$A$1000,0))&gt;0,Dati!$P$3&amp;": "&amp;INDEX(Dati!$P$1:$P$1000,MATCH($A5,Dati!$A$1:$A$1000,0))&amp;" · ","")&amp;IF(INDEX(Dati!$CS$1:$CS$1000,MATCH($A5,Dati!$A$1:$A$1000,0))&gt;0,Dati!$Q$3&amp;": "&amp;INDEX(Dati!$Q$1:$Q$1000,MATCH($A5,Dati!$A$1:$A$1000,0))&amp;" · ","")&amp;IF(INDEX(Dati!$CT$1:$CT$1000,MATCH($A5,Dati!$A$1:$A$1000,0))&gt;0,Dati!$R$3&amp;": "&amp;INDEX(Dati!$R$1:$R$1000,MATCH($A5,Dati!$A$1:$A$1000,0))&amp;" · ",""),LEN(IF(INDEX(Dati!$CQ$1:$CQ$1000,MATCH($A5,Dati!$A$1:$A$1000,0))&gt;0,Dati!$O$3&amp;": "&amp;INDEX(Dati!$O$1:$O$1000,MATCH($A5,Dati!$A$1:$A$1000,0))&amp;" · ","")&amp;IF(INDEX(Dati!$CR$1:$CR$1000,MATCH($A5,Dati!$A$1:$A$1000,0))&gt;0,Dati!$P$3&amp;": "&amp;INDEX(Dati!$P$1:$P$1000,MATCH($A5,Dati!$A$1:$A$1000,0))&amp;" · ","")&amp;IF(INDEX(Dati!$CS$1:$CS$1000,MATCH($A5,Dati!$A$1:$A$1000,0))&gt;0,Dati!$Q$3&amp;": "&amp;INDEX(Dati!$Q$1:$Q$1000,MATCH($A5,Dati!$A$1:$A$1000,0))&amp;" · ","")&amp;IF(INDEX(Dati!$CT$1:$CT$1000,MATCH($A5,Dati!$A$1:$A$1000,0))&gt;0,Dati!$R$3&amp;": "&amp;INDEX(Dati!$R$1:$R$1000,MATCH($A5,Dati!$A$1:$A$1000,0))&amp;" · ",""))-3)),""))</f>
        <v/>
      </c>
      <c r="G5" s="55" t="str">
        <f aca="false">IF($B5="","",IFERROR(IF((IF(INDEX(Dati!$CU$1:$CU$1000,MATCH($A5,Dati!$A$1:$A$1000,0))&gt;0,Dati!$S$3&amp;": "&amp;INDEX(Dati!$S$1:$S$1000,MATCH($A5,Dati!$A$1:$A$1000,0))&amp;" · ","")&amp;IF(INDEX(Dati!$CV$1:$CV$1000,MATCH($A5,Dati!$A$1:$A$1000,0))&gt;0,Dati!$T$3&amp;": "&amp;INDEX(Dati!$T$1:$T$1000,MATCH($A5,Dati!$A$1:$A$1000,0))&amp;" · ","")&amp;IF(INDEX(Dati!$CW$1:$CW$1000,MATCH($A5,Dati!$A$1:$A$1000,0))&gt;0,Dati!$U$3&amp;": "&amp;INDEX(Dati!$U$1:$U$1000,MATCH($A5,Dati!$A$1:$A$1000,0))&amp;" · ","")&amp;IF(INDEX(Dati!$CX$1:$CX$1000,MATCH($A5,Dati!$A$1:$A$1000,0))&gt;0,Dati!$V$3&amp;": "&amp;INDEX(Dati!$V$1:$V$1000,MATCH($A5,Dati!$A$1:$A$1000,0))&amp;" · ",""))="",IF(INDEX(Dati!$FK$1:$FK$1000,MATCH($A5,Dati!$A$1:$A$1000,0))=1,"AS da recuperare",""),LEFT(IF(INDEX(Dati!$CU$1:$CU$1000,MATCH($A5,Dati!$A$1:$A$1000,0))&gt;0,Dati!$S$3&amp;": "&amp;INDEX(Dati!$S$1:$S$1000,MATCH($A5,Dati!$A$1:$A$1000,0))&amp;" · ","")&amp;IF(INDEX(Dati!$CV$1:$CV$1000,MATCH($A5,Dati!$A$1:$A$1000,0))&gt;0,Dati!$T$3&amp;": "&amp;INDEX(Dati!$T$1:$T$1000,MATCH($A5,Dati!$A$1:$A$1000,0))&amp;" · ","")&amp;IF(INDEX(Dati!$CW$1:$CW$1000,MATCH($A5,Dati!$A$1:$A$1000,0))&gt;0,Dati!$U$3&amp;": "&amp;INDEX(Dati!$U$1:$U$1000,MATCH($A5,Dati!$A$1:$A$1000,0))&amp;" · ","")&amp;IF(INDEX(Dati!$CX$1:$CX$1000,MATCH($A5,Dati!$A$1:$A$1000,0))&gt;0,Dati!$V$3&amp;": "&amp;INDEX(Dati!$V$1:$V$1000,MATCH($A5,Dati!$A$1:$A$1000,0))&amp;" · ",""),LEN(IF(INDEX(Dati!$CU$1:$CU$1000,MATCH($A5,Dati!$A$1:$A$1000,0))&gt;0,Dati!$S$3&amp;": "&amp;INDEX(Dati!$S$1:$S$1000,MATCH($A5,Dati!$A$1:$A$1000,0))&amp;" · ","")&amp;IF(INDEX(Dati!$CV$1:$CV$1000,MATCH($A5,Dati!$A$1:$A$1000,0))&gt;0,Dati!$T$3&amp;": "&amp;INDEX(Dati!$T$1:$T$1000,MATCH($A5,Dati!$A$1:$A$1000,0))&amp;" · ","")&amp;IF(INDEX(Dati!$CW$1:$CW$1000,MATCH($A5,Dati!$A$1:$A$1000,0))&gt;0,Dati!$U$3&amp;": "&amp;INDEX(Dati!$U$1:$U$1000,MATCH($A5,Dati!$A$1:$A$1000,0))&amp;" · ","")&amp;IF(INDEX(Dati!$CX$1:$CX$1000,MATCH($A5,Dati!$A$1:$A$1000,0))&gt;0,Dati!$V$3&amp;": "&amp;INDEX(Dati!$V$1:$V$1000,MATCH($A5,Dati!$A$1:$A$1000,0))&amp;" · ",""))-3)),""))</f>
        <v/>
      </c>
      <c r="H5" s="55" t="str">
        <f aca="false">IF($B5="","",IFERROR(IF((IF(INDEX(Dati!$CY$1:$CY$1000,MATCH($A5,Dati!$A$1:$A$1000,0))&gt;0,Dati!$W$3&amp;": "&amp;INDEX(Dati!$W$1:$W$1000,MATCH($A5,Dati!$A$1:$A$1000,0))&amp;" · ","")&amp;IF(INDEX(Dati!$CZ$1:$CZ$1000,MATCH($A5,Dati!$A$1:$A$1000,0))&gt;0,Dati!$X$3&amp;": "&amp;INDEX(Dati!$X$1:$X$1000,MATCH($A5,Dati!$A$1:$A$1000,0))&amp;" · ","")&amp;IF(INDEX(Dati!$DA$1:$DA$1000,MATCH($A5,Dati!$A$1:$A$1000,0))&gt;0,Dati!$Y$3&amp;": "&amp;INDEX(Dati!$Y$1:$Y$1000,MATCH($A5,Dati!$A$1:$A$1000,0))&amp;" · ","")&amp;IF(INDEX(Dati!$DB$1:$DB$1000,MATCH($A5,Dati!$A$1:$A$1000,0))&gt;0,Dati!$Z$3&amp;": "&amp;INDEX(Dati!$Z$1:$Z$1000,MATCH($A5,Dati!$A$1:$A$1000,0))&amp;" · ",""))="",IF(INDEX(Dati!$FL$1:$FL$1000,MATCH($A5,Dati!$A$1:$A$1000,0))=1,"AS da recuperare",""),LEFT(IF(INDEX(Dati!$CY$1:$CY$1000,MATCH($A5,Dati!$A$1:$A$1000,0))&gt;0,Dati!$W$3&amp;": "&amp;INDEX(Dati!$W$1:$W$1000,MATCH($A5,Dati!$A$1:$A$1000,0))&amp;" · ","")&amp;IF(INDEX(Dati!$CZ$1:$CZ$1000,MATCH($A5,Dati!$A$1:$A$1000,0))&gt;0,Dati!$X$3&amp;": "&amp;INDEX(Dati!$X$1:$X$1000,MATCH($A5,Dati!$A$1:$A$1000,0))&amp;" · ","")&amp;IF(INDEX(Dati!$DA$1:$DA$1000,MATCH($A5,Dati!$A$1:$A$1000,0))&gt;0,Dati!$Y$3&amp;": "&amp;INDEX(Dati!$Y$1:$Y$1000,MATCH($A5,Dati!$A$1:$A$1000,0))&amp;" · ","")&amp;IF(INDEX(Dati!$DB$1:$DB$1000,MATCH($A5,Dati!$A$1:$A$1000,0))&gt;0,Dati!$Z$3&amp;": "&amp;INDEX(Dati!$Z$1:$Z$1000,MATCH($A5,Dati!$A$1:$A$1000,0))&amp;" · ",""),LEN(IF(INDEX(Dati!$CY$1:$CY$1000,MATCH($A5,Dati!$A$1:$A$1000,0))&gt;0,Dati!$W$3&amp;": "&amp;INDEX(Dati!$W$1:$W$1000,MATCH($A5,Dati!$A$1:$A$1000,0))&amp;" · ","")&amp;IF(INDEX(Dati!$CZ$1:$CZ$1000,MATCH($A5,Dati!$A$1:$A$1000,0))&gt;0,Dati!$X$3&amp;": "&amp;INDEX(Dati!$X$1:$X$1000,MATCH($A5,Dati!$A$1:$A$1000,0))&amp;" · ","")&amp;IF(INDEX(Dati!$DA$1:$DA$1000,MATCH($A5,Dati!$A$1:$A$1000,0))&gt;0,Dati!$Y$3&amp;": "&amp;INDEX(Dati!$Y$1:$Y$1000,MATCH($A5,Dati!$A$1:$A$1000,0))&amp;" · ","")&amp;IF(INDEX(Dati!$DB$1:$DB$1000,MATCH($A5,Dati!$A$1:$A$1000,0))&gt;0,Dati!$Z$3&amp;": "&amp;INDEX(Dati!$Z$1:$Z$1000,MATCH($A5,Dati!$A$1:$A$1000,0))&amp;" · ",""))-3)),""))</f>
        <v/>
      </c>
      <c r="I5" s="55" t="str">
        <f aca="false">IF($B5="","",IFERROR(IF((IF(INDEX(Dati!$DC$1:$DC$1000,MATCH($A5,Dati!$A$1:$A$1000,0))&gt;0,Dati!$AA$3&amp;": "&amp;INDEX(Dati!$AA$1:$AA$1000,MATCH($A5,Dati!$A$1:$A$1000,0))&amp;" · ","")&amp;IF(INDEX(Dati!$DD$1:$DD$1000,MATCH($A5,Dati!$A$1:$A$1000,0))&gt;0,Dati!$AB$3&amp;": "&amp;INDEX(Dati!$AB$1:$AB$1000,MATCH($A5,Dati!$A$1:$A$1000,0))&amp;" · ","")&amp;IF(INDEX(Dati!$DE$1:$DE$1000,MATCH($A5,Dati!$A$1:$A$1000,0))&gt;0,Dati!$AC$3&amp;": "&amp;INDEX(Dati!$AC$1:$AC$1000,MATCH($A5,Dati!$A$1:$A$1000,0))&amp;" · ","")&amp;IF(INDEX(Dati!$DF$1:$DF$1000,MATCH($A5,Dati!$A$1:$A$1000,0))&gt;0,Dati!$AD$3&amp;": "&amp;INDEX(Dati!$AD$1:$AD$1000,MATCH($A5,Dati!$A$1:$A$1000,0))&amp;" · ",""))="",IF(INDEX(Dati!$FM$1:$FM$1000,MATCH($A5,Dati!$A$1:$A$1000,0))=1,"AS da recuperare",""),LEFT(IF(INDEX(Dati!$DC$1:$DC$1000,MATCH($A5,Dati!$A$1:$A$1000,0))&gt;0,Dati!$AA$3&amp;": "&amp;INDEX(Dati!$AA$1:$AA$1000,MATCH($A5,Dati!$A$1:$A$1000,0))&amp;" · ","")&amp;IF(INDEX(Dati!$DD$1:$DD$1000,MATCH($A5,Dati!$A$1:$A$1000,0))&gt;0,Dati!$AB$3&amp;": "&amp;INDEX(Dati!$AB$1:$AB$1000,MATCH($A5,Dati!$A$1:$A$1000,0))&amp;" · ","")&amp;IF(INDEX(Dati!$DE$1:$DE$1000,MATCH($A5,Dati!$A$1:$A$1000,0))&gt;0,Dati!$AC$3&amp;": "&amp;INDEX(Dati!$AC$1:$AC$1000,MATCH($A5,Dati!$A$1:$A$1000,0))&amp;" · ","")&amp;IF(INDEX(Dati!$DF$1:$DF$1000,MATCH($A5,Dati!$A$1:$A$1000,0))&gt;0,Dati!$AD$3&amp;": "&amp;INDEX(Dati!$AD$1:$AD$1000,MATCH($A5,Dati!$A$1:$A$1000,0))&amp;" · ",""),LEN(IF(INDEX(Dati!$DC$1:$DC$1000,MATCH($A5,Dati!$A$1:$A$1000,0))&gt;0,Dati!$AA$3&amp;": "&amp;INDEX(Dati!$AA$1:$AA$1000,MATCH($A5,Dati!$A$1:$A$1000,0))&amp;" · ","")&amp;IF(INDEX(Dati!$DD$1:$DD$1000,MATCH($A5,Dati!$A$1:$A$1000,0))&gt;0,Dati!$AB$3&amp;": "&amp;INDEX(Dati!$AB$1:$AB$1000,MATCH($A5,Dati!$A$1:$A$1000,0))&amp;" · ","")&amp;IF(INDEX(Dati!$DE$1:$DE$1000,MATCH($A5,Dati!$A$1:$A$1000,0))&gt;0,Dati!$AC$3&amp;": "&amp;INDEX(Dati!$AC$1:$AC$1000,MATCH($A5,Dati!$A$1:$A$1000,0))&amp;" · ","")&amp;IF(INDEX(Dati!$DF$1:$DF$1000,MATCH($A5,Dati!$A$1:$A$1000,0))&gt;0,Dati!$AD$3&amp;": "&amp;INDEX(Dati!$AD$1:$AD$1000,MATCH($A5,Dati!$A$1:$A$1000,0))&amp;" · ",""))-3)),""))</f>
        <v/>
      </c>
      <c r="J5" s="55" t="str">
        <f aca="false">IF($B5="","",IFERROR(IF((IF(INDEX(Dati!$DG$1:$DG$1000,MATCH($A5,Dati!$A$1:$A$1000,0))&gt;0,Dati!$AE$3&amp;": "&amp;INDEX(Dati!$AE$1:$AE$1000,MATCH($A5,Dati!$A$1:$A$1000,0))&amp;" · ","")&amp;IF(INDEX(Dati!$DH$1:$DH$1000,MATCH($A5,Dati!$A$1:$A$1000,0))&gt;0,Dati!$AF$3&amp;": "&amp;INDEX(Dati!$AF$1:$AF$1000,MATCH($A5,Dati!$A$1:$A$1000,0))&amp;" · ","")&amp;IF(INDEX(Dati!$DI$1:$DI$1000,MATCH($A5,Dati!$A$1:$A$1000,0))&gt;0,Dati!$AG$3&amp;": "&amp;INDEX(Dati!$AG$1:$AG$1000,MATCH($A5,Dati!$A$1:$A$1000,0))&amp;" · ","")&amp;IF(INDEX(Dati!$DJ$1:$DJ$1000,MATCH($A5,Dati!$A$1:$A$1000,0))&gt;0,Dati!$AH$3&amp;": "&amp;INDEX(Dati!$AH$1:$AH$1000,MATCH($A5,Dati!$A$1:$A$1000,0))&amp;" · ",""))="",IF(INDEX(Dati!$FN$1:$FN$1000,MATCH($A5,Dati!$A$1:$A$1000,0))=1,"AS da recuperare",""),LEFT(IF(INDEX(Dati!$DG$1:$DG$1000,MATCH($A5,Dati!$A$1:$A$1000,0))&gt;0,Dati!$AE$3&amp;": "&amp;INDEX(Dati!$AE$1:$AE$1000,MATCH($A5,Dati!$A$1:$A$1000,0))&amp;" · ","")&amp;IF(INDEX(Dati!$DH$1:$DH$1000,MATCH($A5,Dati!$A$1:$A$1000,0))&gt;0,Dati!$AF$3&amp;": "&amp;INDEX(Dati!$AF$1:$AF$1000,MATCH($A5,Dati!$A$1:$A$1000,0))&amp;" · ","")&amp;IF(INDEX(Dati!$DI$1:$DI$1000,MATCH($A5,Dati!$A$1:$A$1000,0))&gt;0,Dati!$AG$3&amp;": "&amp;INDEX(Dati!$AG$1:$AG$1000,MATCH($A5,Dati!$A$1:$A$1000,0))&amp;" · ","")&amp;IF(INDEX(Dati!$DJ$1:$DJ$1000,MATCH($A5,Dati!$A$1:$A$1000,0))&gt;0,Dati!$AH$3&amp;": "&amp;INDEX(Dati!$AH$1:$AH$1000,MATCH($A5,Dati!$A$1:$A$1000,0))&amp;" · ",""),LEN(IF(INDEX(Dati!$DG$1:$DG$1000,MATCH($A5,Dati!$A$1:$A$1000,0))&gt;0,Dati!$AE$3&amp;": "&amp;INDEX(Dati!$AE$1:$AE$1000,MATCH($A5,Dati!$A$1:$A$1000,0))&amp;" · ","")&amp;IF(INDEX(Dati!$DH$1:$DH$1000,MATCH($A5,Dati!$A$1:$A$1000,0))&gt;0,Dati!$AF$3&amp;": "&amp;INDEX(Dati!$AF$1:$AF$1000,MATCH($A5,Dati!$A$1:$A$1000,0))&amp;" · ","")&amp;IF(INDEX(Dati!$DI$1:$DI$1000,MATCH($A5,Dati!$A$1:$A$1000,0))&gt;0,Dati!$AG$3&amp;": "&amp;INDEX(Dati!$AG$1:$AG$1000,MATCH($A5,Dati!$A$1:$A$1000,0))&amp;" · ","")&amp;IF(INDEX(Dati!$DJ$1:$DJ$1000,MATCH($A5,Dati!$A$1:$A$1000,0))&gt;0,Dati!$AH$3&amp;": "&amp;INDEX(Dati!$AH$1:$AH$1000,MATCH($A5,Dati!$A$1:$A$1000,0))&amp;" · ",""))-3)),""))</f>
        <v/>
      </c>
      <c r="K5" s="55" t="str">
        <f aca="false">IF($B5="","",IFERROR(IF((IF(INDEX(Dati!$DK$1:$DK$1000,MATCH($A5,Dati!$A$1:$A$1000,0))&gt;0,Dati!$AI$3&amp;": "&amp;INDEX(Dati!$AI$1:$AI$1000,MATCH($A5,Dati!$A$1:$A$1000,0))&amp;" · ","")&amp;IF(INDEX(Dati!$DL$1:$DL$1000,MATCH($A5,Dati!$A$1:$A$1000,0))&gt;0,Dati!$AJ$3&amp;": "&amp;INDEX(Dati!$AJ$1:$AJ$1000,MATCH($A5,Dati!$A$1:$A$1000,0))&amp;" · ","")&amp;IF(INDEX(Dati!$DM$1:$DM$1000,MATCH($A5,Dati!$A$1:$A$1000,0))&gt;0,Dati!$AK$3&amp;": "&amp;INDEX(Dati!$AK$1:$AK$1000,MATCH($A5,Dati!$A$1:$A$1000,0))&amp;" · ","")&amp;IF(INDEX(Dati!$DN$1:$DN$1000,MATCH($A5,Dati!$A$1:$A$1000,0))&gt;0,Dati!$AL$3&amp;": "&amp;INDEX(Dati!$AL$1:$AL$1000,MATCH($A5,Dati!$A$1:$A$1000,0))&amp;" · ",""))="",IF(INDEX(Dati!$FO$1:$FO$1000,MATCH($A5,Dati!$A$1:$A$1000,0))=1,"AS da recuperare",""),LEFT(IF(INDEX(Dati!$DK$1:$DK$1000,MATCH($A5,Dati!$A$1:$A$1000,0))&gt;0,Dati!$AI$3&amp;": "&amp;INDEX(Dati!$AI$1:$AI$1000,MATCH($A5,Dati!$A$1:$A$1000,0))&amp;" · ","")&amp;IF(INDEX(Dati!$DL$1:$DL$1000,MATCH($A5,Dati!$A$1:$A$1000,0))&gt;0,Dati!$AJ$3&amp;": "&amp;INDEX(Dati!$AJ$1:$AJ$1000,MATCH($A5,Dati!$A$1:$A$1000,0))&amp;" · ","")&amp;IF(INDEX(Dati!$DM$1:$DM$1000,MATCH($A5,Dati!$A$1:$A$1000,0))&gt;0,Dati!$AK$3&amp;": "&amp;INDEX(Dati!$AK$1:$AK$1000,MATCH($A5,Dati!$A$1:$A$1000,0))&amp;" · ","")&amp;IF(INDEX(Dati!$DN$1:$DN$1000,MATCH($A5,Dati!$A$1:$A$1000,0))&gt;0,Dati!$AL$3&amp;": "&amp;INDEX(Dati!$AL$1:$AL$1000,MATCH($A5,Dati!$A$1:$A$1000,0))&amp;" · ",""),LEN(IF(INDEX(Dati!$DK$1:$DK$1000,MATCH($A5,Dati!$A$1:$A$1000,0))&gt;0,Dati!$AI$3&amp;": "&amp;INDEX(Dati!$AI$1:$AI$1000,MATCH($A5,Dati!$A$1:$A$1000,0))&amp;" · ","")&amp;IF(INDEX(Dati!$DL$1:$DL$1000,MATCH($A5,Dati!$A$1:$A$1000,0))&gt;0,Dati!$AJ$3&amp;": "&amp;INDEX(Dati!$AJ$1:$AJ$1000,MATCH($A5,Dati!$A$1:$A$1000,0))&amp;" · ","")&amp;IF(INDEX(Dati!$DM$1:$DM$1000,MATCH($A5,Dati!$A$1:$A$1000,0))&gt;0,Dati!$AK$3&amp;": "&amp;INDEX(Dati!$AK$1:$AK$1000,MATCH($A5,Dati!$A$1:$A$1000,0))&amp;" · ","")&amp;IF(INDEX(Dati!$DN$1:$DN$1000,MATCH($A5,Dati!$A$1:$A$1000,0))&gt;0,Dati!$AL$3&amp;": "&amp;INDEX(Dati!$AL$1:$AL$1000,MATCH($A5,Dati!$A$1:$A$1000,0))&amp;" · ",""))-3)),""))</f>
        <v/>
      </c>
      <c r="L5" s="55" t="str">
        <f aca="false">IF($B5="","",IFERROR(IF((IF(INDEX(Dati!$DO$1:$DO$1000,MATCH($A5,Dati!$A$1:$A$1000,0))&gt;0,Dati!$AM$3&amp;": "&amp;INDEX(Dati!$AM$1:$AM$1000,MATCH($A5,Dati!$A$1:$A$1000,0))&amp;" · ","")&amp;IF(INDEX(Dati!$DP$1:$DP$1000,MATCH($A5,Dati!$A$1:$A$1000,0))&gt;0,Dati!$AN$3&amp;": "&amp;INDEX(Dati!$AN$1:$AN$1000,MATCH($A5,Dati!$A$1:$A$1000,0))&amp;" · ","")&amp;IF(INDEX(Dati!$DQ$1:$DQ$1000,MATCH($A5,Dati!$A$1:$A$1000,0))&gt;0,Dati!$AO$3&amp;": "&amp;INDEX(Dati!$AO$1:$AO$1000,MATCH($A5,Dati!$A$1:$A$1000,0))&amp;" · ","")&amp;IF(INDEX(Dati!$DR$1:$DR$1000,MATCH($A5,Dati!$A$1:$A$1000,0))&gt;0,Dati!$AP$3&amp;": "&amp;INDEX(Dati!$AP$1:$AP$1000,MATCH($A5,Dati!$A$1:$A$1000,0))&amp;" · ",""))="",IF(INDEX(Dati!$FP$1:$FP$1000,MATCH($A5,Dati!$A$1:$A$1000,0))=1,"AS da recuperare",""),LEFT(IF(INDEX(Dati!$DO$1:$DO$1000,MATCH($A5,Dati!$A$1:$A$1000,0))&gt;0,Dati!$AM$3&amp;": "&amp;INDEX(Dati!$AM$1:$AM$1000,MATCH($A5,Dati!$A$1:$A$1000,0))&amp;" · ","")&amp;IF(INDEX(Dati!$DP$1:$DP$1000,MATCH($A5,Dati!$A$1:$A$1000,0))&gt;0,Dati!$AN$3&amp;": "&amp;INDEX(Dati!$AN$1:$AN$1000,MATCH($A5,Dati!$A$1:$A$1000,0))&amp;" · ","")&amp;IF(INDEX(Dati!$DQ$1:$DQ$1000,MATCH($A5,Dati!$A$1:$A$1000,0))&gt;0,Dati!$AO$3&amp;": "&amp;INDEX(Dati!$AO$1:$AO$1000,MATCH($A5,Dati!$A$1:$A$1000,0))&amp;" · ","")&amp;IF(INDEX(Dati!$DR$1:$DR$1000,MATCH($A5,Dati!$A$1:$A$1000,0))&gt;0,Dati!$AP$3&amp;": "&amp;INDEX(Dati!$AP$1:$AP$1000,MATCH($A5,Dati!$A$1:$A$1000,0))&amp;" · ",""),LEN(IF(INDEX(Dati!$DO$1:$DO$1000,MATCH($A5,Dati!$A$1:$A$1000,0))&gt;0,Dati!$AM$3&amp;": "&amp;INDEX(Dati!$AM$1:$AM$1000,MATCH($A5,Dati!$A$1:$A$1000,0))&amp;" · ","")&amp;IF(INDEX(Dati!$DP$1:$DP$1000,MATCH($A5,Dati!$A$1:$A$1000,0))&gt;0,Dati!$AN$3&amp;": "&amp;INDEX(Dati!$AN$1:$AN$1000,MATCH($A5,Dati!$A$1:$A$1000,0))&amp;" · ","")&amp;IF(INDEX(Dati!$DQ$1:$DQ$1000,MATCH($A5,Dati!$A$1:$A$1000,0))&gt;0,Dati!$AO$3&amp;": "&amp;INDEX(Dati!$AO$1:$AO$1000,MATCH($A5,Dati!$A$1:$A$1000,0))&amp;" · ","")&amp;IF(INDEX(Dati!$DR$1:$DR$1000,MATCH($A5,Dati!$A$1:$A$1000,0))&gt;0,Dati!$AP$3&amp;": "&amp;INDEX(Dati!$AP$1:$AP$1000,MATCH($A5,Dati!$A$1:$A$1000,0))&amp;" · ",""))-3)),""))</f>
        <v/>
      </c>
      <c r="M5" s="55" t="str">
        <f aca="false">IF($B5="","",IFERROR(IF((IF(INDEX(Dati!$DS$1:$DS$1000,MATCH($A5,Dati!$A$1:$A$1000,0))&gt;0,Dati!$AQ$3&amp;": "&amp;INDEX(Dati!$AQ$1:$AQ$1000,MATCH($A5,Dati!$A$1:$A$1000,0))&amp;" · ","")&amp;IF(INDEX(Dati!$DT$1:$DT$1000,MATCH($A5,Dati!$A$1:$A$1000,0))&gt;0,Dati!$AR$3&amp;": "&amp;INDEX(Dati!$AR$1:$AR$1000,MATCH($A5,Dati!$A$1:$A$1000,0))&amp;" · ","")&amp;IF(INDEX(Dati!$DU$1:$DU$1000,MATCH($A5,Dati!$A$1:$A$1000,0))&gt;0,Dati!$AS$3&amp;": "&amp;INDEX(Dati!$AS$1:$AS$1000,MATCH($A5,Dati!$A$1:$A$1000,0))&amp;" · ","")&amp;IF(INDEX(Dati!$DV$1:$DV$1000,MATCH($A5,Dati!$A$1:$A$1000,0))&gt;0,Dati!$AT$3&amp;": "&amp;INDEX(Dati!$AT$1:$AT$1000,MATCH($A5,Dati!$A$1:$A$1000,0))&amp;" · ",""))="",IF(INDEX(Dati!$FQ$1:$FQ$1000,MATCH($A5,Dati!$A$1:$A$1000,0))=1,"AS da recuperare",""),LEFT(IF(INDEX(Dati!$DS$1:$DS$1000,MATCH($A5,Dati!$A$1:$A$1000,0))&gt;0,Dati!$AQ$3&amp;": "&amp;INDEX(Dati!$AQ$1:$AQ$1000,MATCH($A5,Dati!$A$1:$A$1000,0))&amp;" · ","")&amp;IF(INDEX(Dati!$DT$1:$DT$1000,MATCH($A5,Dati!$A$1:$A$1000,0))&gt;0,Dati!$AR$3&amp;": "&amp;INDEX(Dati!$AR$1:$AR$1000,MATCH($A5,Dati!$A$1:$A$1000,0))&amp;" · ","")&amp;IF(INDEX(Dati!$DU$1:$DU$1000,MATCH($A5,Dati!$A$1:$A$1000,0))&gt;0,Dati!$AS$3&amp;": "&amp;INDEX(Dati!$AS$1:$AS$1000,MATCH($A5,Dati!$A$1:$A$1000,0))&amp;" · ","")&amp;IF(INDEX(Dati!$DV$1:$DV$1000,MATCH($A5,Dati!$A$1:$A$1000,0))&gt;0,Dati!$AT$3&amp;": "&amp;INDEX(Dati!$AT$1:$AT$1000,MATCH($A5,Dati!$A$1:$A$1000,0))&amp;" · ",""),LEN(IF(INDEX(Dati!$DS$1:$DS$1000,MATCH($A5,Dati!$A$1:$A$1000,0))&gt;0,Dati!$AQ$3&amp;": "&amp;INDEX(Dati!$AQ$1:$AQ$1000,MATCH($A5,Dati!$A$1:$A$1000,0))&amp;" · ","")&amp;IF(INDEX(Dati!$DT$1:$DT$1000,MATCH($A5,Dati!$A$1:$A$1000,0))&gt;0,Dati!$AR$3&amp;": "&amp;INDEX(Dati!$AR$1:$AR$1000,MATCH($A5,Dati!$A$1:$A$1000,0))&amp;" · ","")&amp;IF(INDEX(Dati!$DU$1:$DU$1000,MATCH($A5,Dati!$A$1:$A$1000,0))&gt;0,Dati!$AS$3&amp;": "&amp;INDEX(Dati!$AS$1:$AS$1000,MATCH($A5,Dati!$A$1:$A$1000,0))&amp;" · ","")&amp;IF(INDEX(Dati!$DV$1:$DV$1000,MATCH($A5,Dati!$A$1:$A$1000,0))&gt;0,Dati!$AT$3&amp;": "&amp;INDEX(Dati!$AT$1:$AT$1000,MATCH($A5,Dati!$A$1:$A$1000,0))&amp;" · ",""))-3)),""))</f>
        <v/>
      </c>
      <c r="N5" s="55" t="str">
        <f aca="false">IF($B5="","",IFERROR(IF((IF(INDEX(Dati!$DW$1:$DW$1000,MATCH($A5,Dati!$A$1:$A$1000,0))&gt;0,Dati!$AU$3&amp;": "&amp;INDEX(Dati!$AU$1:$AU$1000,MATCH($A5,Dati!$A$1:$A$1000,0))&amp;" · ","")&amp;IF(INDEX(Dati!$DX$1:$DX$1000,MATCH($A5,Dati!$A$1:$A$1000,0))&gt;0,Dati!$AV$3&amp;": "&amp;INDEX(Dati!$AV$1:$AV$1000,MATCH($A5,Dati!$A$1:$A$1000,0))&amp;" · ","")&amp;IF(INDEX(Dati!$DY$1:$DY$1000,MATCH($A5,Dati!$A$1:$A$1000,0))&gt;0,Dati!$AW$3&amp;": "&amp;INDEX(Dati!$AW$1:$AW$1000,MATCH($A5,Dati!$A$1:$A$1000,0))&amp;" · ","")&amp;IF(INDEX(Dati!$DZ$1:$DZ$1000,MATCH($A5,Dati!$A$1:$A$1000,0))&gt;0,Dati!$AX$3&amp;": "&amp;INDEX(Dati!$AX$1:$AX$1000,MATCH($A5,Dati!$A$1:$A$1000,0))&amp;" · ",""))="",IF(INDEX(Dati!$FR$1:$FR$1000,MATCH($A5,Dati!$A$1:$A$1000,0))=1,"AS da recuperare",""),LEFT(IF(INDEX(Dati!$DW$1:$DW$1000,MATCH($A5,Dati!$A$1:$A$1000,0))&gt;0,Dati!$AU$3&amp;": "&amp;INDEX(Dati!$AU$1:$AU$1000,MATCH($A5,Dati!$A$1:$A$1000,0))&amp;" · ","")&amp;IF(INDEX(Dati!$DX$1:$DX$1000,MATCH($A5,Dati!$A$1:$A$1000,0))&gt;0,Dati!$AV$3&amp;": "&amp;INDEX(Dati!$AV$1:$AV$1000,MATCH($A5,Dati!$A$1:$A$1000,0))&amp;" · ","")&amp;IF(INDEX(Dati!$DY$1:$DY$1000,MATCH($A5,Dati!$A$1:$A$1000,0))&gt;0,Dati!$AW$3&amp;": "&amp;INDEX(Dati!$AW$1:$AW$1000,MATCH($A5,Dati!$A$1:$A$1000,0))&amp;" · ","")&amp;IF(INDEX(Dati!$DZ$1:$DZ$1000,MATCH($A5,Dati!$A$1:$A$1000,0))&gt;0,Dati!$AX$3&amp;": "&amp;INDEX(Dati!$AX$1:$AX$1000,MATCH($A5,Dati!$A$1:$A$1000,0))&amp;" · ",""),LEN(IF(INDEX(Dati!$DW$1:$DW$1000,MATCH($A5,Dati!$A$1:$A$1000,0))&gt;0,Dati!$AU$3&amp;": "&amp;INDEX(Dati!$AU$1:$AU$1000,MATCH($A5,Dati!$A$1:$A$1000,0))&amp;" · ","")&amp;IF(INDEX(Dati!$DX$1:$DX$1000,MATCH($A5,Dati!$A$1:$A$1000,0))&gt;0,Dati!$AV$3&amp;": "&amp;INDEX(Dati!$AV$1:$AV$1000,MATCH($A5,Dati!$A$1:$A$1000,0))&amp;" · ","")&amp;IF(INDEX(Dati!$DY$1:$DY$1000,MATCH($A5,Dati!$A$1:$A$1000,0))&gt;0,Dati!$AW$3&amp;": "&amp;INDEX(Dati!$AW$1:$AW$1000,MATCH($A5,Dati!$A$1:$A$1000,0))&amp;" · ","")&amp;IF(INDEX(Dati!$DZ$1:$DZ$1000,MATCH($A5,Dati!$A$1:$A$1000,0))&gt;0,Dati!$AX$3&amp;": "&amp;INDEX(Dati!$AX$1:$AX$1000,MATCH($A5,Dati!$A$1:$A$1000,0))&amp;" · ",""))-3)),""))</f>
        <v/>
      </c>
      <c r="O5" s="55" t="str">
        <f aca="false">IF($B5="","",IFERROR(IF((IF(INDEX(Dati!$EA$1:$EA$1000,MATCH($A5,Dati!$A$1:$A$1000,0))&gt;0,Dati!$AY$3&amp;": "&amp;INDEX(Dati!$AY$1:$AY$1000,MATCH($A5,Dati!$A$1:$A$1000,0))&amp;" · ","")&amp;IF(INDEX(Dati!$EB$1:$EB$1000,MATCH($A5,Dati!$A$1:$A$1000,0))&gt;0,Dati!$AZ$3&amp;": "&amp;INDEX(Dati!$AZ$1:$AZ$1000,MATCH($A5,Dati!$A$1:$A$1000,0))&amp;" · ","")&amp;IF(INDEX(Dati!$EC$1:$EC$1000,MATCH($A5,Dati!$A$1:$A$1000,0))&gt;0,Dati!$BA$3&amp;": "&amp;INDEX(Dati!$BA$1:$BA$1000,MATCH($A5,Dati!$A$1:$A$1000,0))&amp;" · ","")&amp;IF(INDEX(Dati!$ED$1:$ED$1000,MATCH($A5,Dati!$A$1:$A$1000,0))&gt;0,Dati!$BB$3&amp;": "&amp;INDEX(Dati!$BB$1:$BB$1000,MATCH($A5,Dati!$A$1:$A$1000,0))&amp;" · ",""))="",IF(INDEX(Dati!$FS$1:$FS$1000,MATCH($A5,Dati!$A$1:$A$1000,0))=1,"AS da recuperare",""),LEFT(IF(INDEX(Dati!$EA$1:$EA$1000,MATCH($A5,Dati!$A$1:$A$1000,0))&gt;0,Dati!$AY$3&amp;": "&amp;INDEX(Dati!$AY$1:$AY$1000,MATCH($A5,Dati!$A$1:$A$1000,0))&amp;" · ","")&amp;IF(INDEX(Dati!$EB$1:$EB$1000,MATCH($A5,Dati!$A$1:$A$1000,0))&gt;0,Dati!$AZ$3&amp;": "&amp;INDEX(Dati!$AZ$1:$AZ$1000,MATCH($A5,Dati!$A$1:$A$1000,0))&amp;" · ","")&amp;IF(INDEX(Dati!$EC$1:$EC$1000,MATCH($A5,Dati!$A$1:$A$1000,0))&gt;0,Dati!$BA$3&amp;": "&amp;INDEX(Dati!$BA$1:$BA$1000,MATCH($A5,Dati!$A$1:$A$1000,0))&amp;" · ","")&amp;IF(INDEX(Dati!$ED$1:$ED$1000,MATCH($A5,Dati!$A$1:$A$1000,0))&gt;0,Dati!$BB$3&amp;": "&amp;INDEX(Dati!$BB$1:$BB$1000,MATCH($A5,Dati!$A$1:$A$1000,0))&amp;" · ",""),LEN(IF(INDEX(Dati!$EA$1:$EA$1000,MATCH($A5,Dati!$A$1:$A$1000,0))&gt;0,Dati!$AY$3&amp;": "&amp;INDEX(Dati!$AY$1:$AY$1000,MATCH($A5,Dati!$A$1:$A$1000,0))&amp;" · ","")&amp;IF(INDEX(Dati!$EB$1:$EB$1000,MATCH($A5,Dati!$A$1:$A$1000,0))&gt;0,Dati!$AZ$3&amp;": "&amp;INDEX(Dati!$AZ$1:$AZ$1000,MATCH($A5,Dati!$A$1:$A$1000,0))&amp;" · ","")&amp;IF(INDEX(Dati!$EC$1:$EC$1000,MATCH($A5,Dati!$A$1:$A$1000,0))&gt;0,Dati!$BA$3&amp;": "&amp;INDEX(Dati!$BA$1:$BA$1000,MATCH($A5,Dati!$A$1:$A$1000,0))&amp;" · ","")&amp;IF(INDEX(Dati!$ED$1:$ED$1000,MATCH($A5,Dati!$A$1:$A$1000,0))&gt;0,Dati!$BB$3&amp;": "&amp;INDEX(Dati!$BB$1:$BB$1000,MATCH($A5,Dati!$A$1:$A$1000,0))&amp;" · ",""))-3)),""))</f>
        <v/>
      </c>
      <c r="P5" s="55" t="str">
        <f aca="false">IF($B5="","",IFERROR(IF((IF(INDEX(Dati!$EE$1:$EE$1000,MATCH($A5,Dati!$A$1:$A$1000,0))&gt;0,Dati!$BC$3&amp;": "&amp;INDEX(Dati!$BC$1:$BC$1000,MATCH($A5,Dati!$A$1:$A$1000,0))&amp;" · ","")&amp;IF(INDEX(Dati!$EF$1:$EF$1000,MATCH($A5,Dati!$A$1:$A$1000,0))&gt;0,Dati!$BD$3&amp;": "&amp;INDEX(Dati!$BD$1:$BD$1000,MATCH($A5,Dati!$A$1:$A$1000,0))&amp;" · ","")&amp;IF(INDEX(Dati!$EG$1:$EG$1000,MATCH($A5,Dati!$A$1:$A$1000,0))&gt;0,Dati!$BE$3&amp;": "&amp;INDEX(Dati!$BE$1:$BE$1000,MATCH($A5,Dati!$A$1:$A$1000,0))&amp;" · ","")&amp;IF(INDEX(Dati!$EH$1:$EH$1000,MATCH($A5,Dati!$A$1:$A$1000,0))&gt;0,Dati!$BF$3&amp;": "&amp;INDEX(Dati!$BF$1:$BF$1000,MATCH($A5,Dati!$A$1:$A$1000,0))&amp;" · ",""))="",IF(INDEX(Dati!$FT$1:$FT$1000,MATCH($A5,Dati!$A$1:$A$1000,0))=1,"AS da recuperare",""),LEFT(IF(INDEX(Dati!$EE$1:$EE$1000,MATCH($A5,Dati!$A$1:$A$1000,0))&gt;0,Dati!$BC$3&amp;": "&amp;INDEX(Dati!$BC$1:$BC$1000,MATCH($A5,Dati!$A$1:$A$1000,0))&amp;" · ","")&amp;IF(INDEX(Dati!$EF$1:$EF$1000,MATCH($A5,Dati!$A$1:$A$1000,0))&gt;0,Dati!$BD$3&amp;": "&amp;INDEX(Dati!$BD$1:$BD$1000,MATCH($A5,Dati!$A$1:$A$1000,0))&amp;" · ","")&amp;IF(INDEX(Dati!$EG$1:$EG$1000,MATCH($A5,Dati!$A$1:$A$1000,0))&gt;0,Dati!$BE$3&amp;": "&amp;INDEX(Dati!$BE$1:$BE$1000,MATCH($A5,Dati!$A$1:$A$1000,0))&amp;" · ","")&amp;IF(INDEX(Dati!$EH$1:$EH$1000,MATCH($A5,Dati!$A$1:$A$1000,0))&gt;0,Dati!$BF$3&amp;": "&amp;INDEX(Dati!$BF$1:$BF$1000,MATCH($A5,Dati!$A$1:$A$1000,0))&amp;" · ",""),LEN(IF(INDEX(Dati!$EE$1:$EE$1000,MATCH($A5,Dati!$A$1:$A$1000,0))&gt;0,Dati!$BC$3&amp;": "&amp;INDEX(Dati!$BC$1:$BC$1000,MATCH($A5,Dati!$A$1:$A$1000,0))&amp;" · ","")&amp;IF(INDEX(Dati!$EF$1:$EF$1000,MATCH($A5,Dati!$A$1:$A$1000,0))&gt;0,Dati!$BD$3&amp;": "&amp;INDEX(Dati!$BD$1:$BD$1000,MATCH($A5,Dati!$A$1:$A$1000,0))&amp;" · ","")&amp;IF(INDEX(Dati!$EG$1:$EG$1000,MATCH($A5,Dati!$A$1:$A$1000,0))&gt;0,Dati!$BE$3&amp;": "&amp;INDEX(Dati!$BE$1:$BE$1000,MATCH($A5,Dati!$A$1:$A$1000,0))&amp;" · ","")&amp;IF(INDEX(Dati!$EH$1:$EH$1000,MATCH($A5,Dati!$A$1:$A$1000,0))&gt;0,Dati!$BF$3&amp;": "&amp;INDEX(Dati!$BF$1:$BF$1000,MATCH($A5,Dati!$A$1:$A$1000,0))&amp;" · ",""))-3)),""))</f>
        <v/>
      </c>
      <c r="Q5" s="55" t="str">
        <f aca="false">IF($B5="","",IFERROR(IF((IF(INDEX(Dati!$EI$1:$EI$1000,MATCH($A5,Dati!$A$1:$A$1000,0))&gt;0,Dati!$BG$3&amp;": "&amp;INDEX(Dati!$BG$1:$BG$1000,MATCH($A5,Dati!$A$1:$A$1000,0))&amp;" · ","")&amp;IF(INDEX(Dati!$EJ$1:$EJ$1000,MATCH($A5,Dati!$A$1:$A$1000,0))&gt;0,Dati!$BH$3&amp;": "&amp;INDEX(Dati!$BH$1:$BH$1000,MATCH($A5,Dati!$A$1:$A$1000,0))&amp;" · ","")&amp;IF(INDEX(Dati!$EK$1:$EK$1000,MATCH($A5,Dati!$A$1:$A$1000,0))&gt;0,Dati!$BI$3&amp;": "&amp;INDEX(Dati!$BI$1:$BI$1000,MATCH($A5,Dati!$A$1:$A$1000,0))&amp;" · ","")&amp;IF(INDEX(Dati!$EL$1:$EL$1000,MATCH($A5,Dati!$A$1:$A$1000,0))&gt;0,Dati!$BJ$3&amp;": "&amp;INDEX(Dati!$BJ$1:$BJ$1000,MATCH($A5,Dati!$A$1:$A$1000,0))&amp;" · ",""))="",IF(INDEX(Dati!$FU$1:$FU$1000,MATCH($A5,Dati!$A$1:$A$1000,0))=1,"AS da recuperare",""),LEFT(IF(INDEX(Dati!$EI$1:$EI$1000,MATCH($A5,Dati!$A$1:$A$1000,0))&gt;0,Dati!$BG$3&amp;": "&amp;INDEX(Dati!$BG$1:$BG$1000,MATCH($A5,Dati!$A$1:$A$1000,0))&amp;" · ","")&amp;IF(INDEX(Dati!$EJ$1:$EJ$1000,MATCH($A5,Dati!$A$1:$A$1000,0))&gt;0,Dati!$BH$3&amp;": "&amp;INDEX(Dati!$BH$1:$BH$1000,MATCH($A5,Dati!$A$1:$A$1000,0))&amp;" · ","")&amp;IF(INDEX(Dati!$EK$1:$EK$1000,MATCH($A5,Dati!$A$1:$A$1000,0))&gt;0,Dati!$BI$3&amp;": "&amp;INDEX(Dati!$BI$1:$BI$1000,MATCH($A5,Dati!$A$1:$A$1000,0))&amp;" · ","")&amp;IF(INDEX(Dati!$EL$1:$EL$1000,MATCH($A5,Dati!$A$1:$A$1000,0))&gt;0,Dati!$BJ$3&amp;": "&amp;INDEX(Dati!$BJ$1:$BJ$1000,MATCH($A5,Dati!$A$1:$A$1000,0))&amp;" · ",""),LEN(IF(INDEX(Dati!$EI$1:$EI$1000,MATCH($A5,Dati!$A$1:$A$1000,0))&gt;0,Dati!$BG$3&amp;": "&amp;INDEX(Dati!$BG$1:$BG$1000,MATCH($A5,Dati!$A$1:$A$1000,0))&amp;" · ","")&amp;IF(INDEX(Dati!$EJ$1:$EJ$1000,MATCH($A5,Dati!$A$1:$A$1000,0))&gt;0,Dati!$BH$3&amp;": "&amp;INDEX(Dati!$BH$1:$BH$1000,MATCH($A5,Dati!$A$1:$A$1000,0))&amp;" · ","")&amp;IF(INDEX(Dati!$EK$1:$EK$1000,MATCH($A5,Dati!$A$1:$A$1000,0))&gt;0,Dati!$BI$3&amp;": "&amp;INDEX(Dati!$BI$1:$BI$1000,MATCH($A5,Dati!$A$1:$A$1000,0))&amp;" · ","")&amp;IF(INDEX(Dati!$EL$1:$EL$1000,MATCH($A5,Dati!$A$1:$A$1000,0))&gt;0,Dati!$BJ$3&amp;": "&amp;INDEX(Dati!$BJ$1:$BJ$1000,MATCH($A5,Dati!$A$1:$A$1000,0))&amp;" · ",""))-3)),""))</f>
        <v/>
      </c>
      <c r="R5" s="55" t="str">
        <f aca="false">IF($B5="","",IFERROR(IF((IF(INDEX(Dati!$EM$1:$EM$1000,MATCH($A5,Dati!$A$1:$A$1000,0))&gt;0,Dati!$BK$3&amp;": "&amp;INDEX(Dati!$BK$1:$BK$1000,MATCH($A5,Dati!$A$1:$A$1000,0))&amp;" · ","")&amp;IF(INDEX(Dati!$EN$1:$EN$1000,MATCH($A5,Dati!$A$1:$A$1000,0))&gt;0,Dati!$BL$3&amp;": "&amp;INDEX(Dati!$BL$1:$BL$1000,MATCH($A5,Dati!$A$1:$A$1000,0))&amp;" · ","")&amp;IF(INDEX(Dati!$EO$1:$EO$1000,MATCH($A5,Dati!$A$1:$A$1000,0))&gt;0,Dati!$BM$3&amp;": "&amp;INDEX(Dati!$BM$1:$BM$1000,MATCH($A5,Dati!$A$1:$A$1000,0))&amp;" · ","")&amp;IF(INDEX(Dati!$EP$1:$EP$1000,MATCH($A5,Dati!$A$1:$A$1000,0))&gt;0,Dati!$BN$3&amp;": "&amp;INDEX(Dati!$BN$1:$BN$1000,MATCH($A5,Dati!$A$1:$A$1000,0))&amp;" · ",""))="",IF(INDEX(Dati!$FV$1:$FV$1000,MATCH($A5,Dati!$A$1:$A$1000,0))=1,"AS da recuperare",""),LEFT(IF(INDEX(Dati!$EM$1:$EM$1000,MATCH($A5,Dati!$A$1:$A$1000,0))&gt;0,Dati!$BK$3&amp;": "&amp;INDEX(Dati!$BK$1:$BK$1000,MATCH($A5,Dati!$A$1:$A$1000,0))&amp;" · ","")&amp;IF(INDEX(Dati!$EN$1:$EN$1000,MATCH($A5,Dati!$A$1:$A$1000,0))&gt;0,Dati!$BL$3&amp;": "&amp;INDEX(Dati!$BL$1:$BL$1000,MATCH($A5,Dati!$A$1:$A$1000,0))&amp;" · ","")&amp;IF(INDEX(Dati!$EO$1:$EO$1000,MATCH($A5,Dati!$A$1:$A$1000,0))&gt;0,Dati!$BM$3&amp;": "&amp;INDEX(Dati!$BM$1:$BM$1000,MATCH($A5,Dati!$A$1:$A$1000,0))&amp;" · ","")&amp;IF(INDEX(Dati!$EP$1:$EP$1000,MATCH($A5,Dati!$A$1:$A$1000,0))&gt;0,Dati!$BN$3&amp;": "&amp;INDEX(Dati!$BN$1:$BN$1000,MATCH($A5,Dati!$A$1:$A$1000,0))&amp;" · ",""),LEN(IF(INDEX(Dati!$EM$1:$EM$1000,MATCH($A5,Dati!$A$1:$A$1000,0))&gt;0,Dati!$BK$3&amp;": "&amp;INDEX(Dati!$BK$1:$BK$1000,MATCH($A5,Dati!$A$1:$A$1000,0))&amp;" · ","")&amp;IF(INDEX(Dati!$EN$1:$EN$1000,MATCH($A5,Dati!$A$1:$A$1000,0))&gt;0,Dati!$BL$3&amp;": "&amp;INDEX(Dati!$BL$1:$BL$1000,MATCH($A5,Dati!$A$1:$A$1000,0))&amp;" · ","")&amp;IF(INDEX(Dati!$EO$1:$EO$1000,MATCH($A5,Dati!$A$1:$A$1000,0))&gt;0,Dati!$BM$3&amp;": "&amp;INDEX(Dati!$BM$1:$BM$1000,MATCH($A5,Dati!$A$1:$A$1000,0))&amp;" · ","")&amp;IF(INDEX(Dati!$EP$1:$EP$1000,MATCH($A5,Dati!$A$1:$A$1000,0))&gt;0,Dati!$BN$3&amp;": "&amp;INDEX(Dati!$BN$1:$BN$1000,MATCH($A5,Dati!$A$1:$A$1000,0))&amp;" · ",""))-3)),""))</f>
        <v/>
      </c>
      <c r="S5" s="55" t="str">
        <f aca="false">IF($B5="","",IFERROR(IF((IF(INDEX(Dati!$EQ$1:$EQ$1000,MATCH($A5,Dati!$A$1:$A$1000,0))&gt;0,Dati!$BO$3&amp;": "&amp;INDEX(Dati!$BO$1:$BO$1000,MATCH($A5,Dati!$A$1:$A$1000,0))&amp;" · ","")&amp;IF(INDEX(Dati!$ER$1:$ER$1000,MATCH($A5,Dati!$A$1:$A$1000,0))&gt;0,Dati!$BP$3&amp;": "&amp;INDEX(Dati!$BP$1:$BP$1000,MATCH($A5,Dati!$A$1:$A$1000,0))&amp;" · ","")&amp;IF(INDEX(Dati!$ES$1:$ES$1000,MATCH($A5,Dati!$A$1:$A$1000,0))&gt;0,Dati!$BQ$3&amp;": "&amp;INDEX(Dati!$BQ$1:$BQ$1000,MATCH($A5,Dati!$A$1:$A$1000,0))&amp;" · ","")&amp;IF(INDEX(Dati!$ET$1:$ET$1000,MATCH($A5,Dati!$A$1:$A$1000,0))&gt;0,Dati!$BR$3&amp;": "&amp;INDEX(Dati!$BR$1:$BR$1000,MATCH($A5,Dati!$A$1:$A$1000,0))&amp;" · ",""))="",IF(INDEX(Dati!$FW$1:$FW$1000,MATCH($A5,Dati!$A$1:$A$1000,0))=1,"AS da recuperare",""),LEFT(IF(INDEX(Dati!$EQ$1:$EQ$1000,MATCH($A5,Dati!$A$1:$A$1000,0))&gt;0,Dati!$BO$3&amp;": "&amp;INDEX(Dati!$BO$1:$BO$1000,MATCH($A5,Dati!$A$1:$A$1000,0))&amp;" · ","")&amp;IF(INDEX(Dati!$ER$1:$ER$1000,MATCH($A5,Dati!$A$1:$A$1000,0))&gt;0,Dati!$BP$3&amp;": "&amp;INDEX(Dati!$BP$1:$BP$1000,MATCH($A5,Dati!$A$1:$A$1000,0))&amp;" · ","")&amp;IF(INDEX(Dati!$ES$1:$ES$1000,MATCH($A5,Dati!$A$1:$A$1000,0))&gt;0,Dati!$BQ$3&amp;": "&amp;INDEX(Dati!$BQ$1:$BQ$1000,MATCH($A5,Dati!$A$1:$A$1000,0))&amp;" · ","")&amp;IF(INDEX(Dati!$ET$1:$ET$1000,MATCH($A5,Dati!$A$1:$A$1000,0))&gt;0,Dati!$BR$3&amp;": "&amp;INDEX(Dati!$BR$1:$BR$1000,MATCH($A5,Dati!$A$1:$A$1000,0))&amp;" · ",""),LEN(IF(INDEX(Dati!$EQ$1:$EQ$1000,MATCH($A5,Dati!$A$1:$A$1000,0))&gt;0,Dati!$BO$3&amp;": "&amp;INDEX(Dati!$BO$1:$BO$1000,MATCH($A5,Dati!$A$1:$A$1000,0))&amp;" · ","")&amp;IF(INDEX(Dati!$ER$1:$ER$1000,MATCH($A5,Dati!$A$1:$A$1000,0))&gt;0,Dati!$BP$3&amp;": "&amp;INDEX(Dati!$BP$1:$BP$1000,MATCH($A5,Dati!$A$1:$A$1000,0))&amp;" · ","")&amp;IF(INDEX(Dati!$ES$1:$ES$1000,MATCH($A5,Dati!$A$1:$A$1000,0))&gt;0,Dati!$BQ$3&amp;": "&amp;INDEX(Dati!$BQ$1:$BQ$1000,MATCH($A5,Dati!$A$1:$A$1000,0))&amp;" · ","")&amp;IF(INDEX(Dati!$ET$1:$ET$1000,MATCH($A5,Dati!$A$1:$A$1000,0))&gt;0,Dati!$BR$3&amp;": "&amp;INDEX(Dati!$BR$1:$BR$1000,MATCH($A5,Dati!$A$1:$A$1000,0))&amp;" · ",""))-3)),""))</f>
        <v/>
      </c>
      <c r="T5" s="55" t="str">
        <f aca="false">IF($B5="","",IFERROR(IF((IF(INDEX(Dati!$EU$1:$EU$1000,MATCH($A5,Dati!$A$1:$A$1000,0))&gt;0,Dati!$BS$3&amp;": "&amp;INDEX(Dati!$BS$1:$BS$1000,MATCH($A5,Dati!$A$1:$A$1000,0))&amp;" · ","")&amp;IF(INDEX(Dati!$EV$1:$EV$1000,MATCH($A5,Dati!$A$1:$A$1000,0))&gt;0,Dati!$BT$3&amp;": "&amp;INDEX(Dati!$BT$1:$BT$1000,MATCH($A5,Dati!$A$1:$A$1000,0))&amp;" · ","")&amp;IF(INDEX(Dati!$EW$1:$EW$1000,MATCH($A5,Dati!$A$1:$A$1000,0))&gt;0,Dati!$BU$3&amp;": "&amp;INDEX(Dati!$BU$1:$BU$1000,MATCH($A5,Dati!$A$1:$A$1000,0))&amp;" · ","")&amp;IF(INDEX(Dati!$EX$1:$EX$1000,MATCH($A5,Dati!$A$1:$A$1000,0))&gt;0,Dati!$BV$3&amp;": "&amp;INDEX(Dati!$BV$1:$BV$1000,MATCH($A5,Dati!$A$1:$A$1000,0))&amp;" · ",""))="",IF(INDEX(Dati!$FX$1:$FX$1000,MATCH($A5,Dati!$A$1:$A$1000,0))=1,"AS da recuperare",""),LEFT(IF(INDEX(Dati!$EU$1:$EU$1000,MATCH($A5,Dati!$A$1:$A$1000,0))&gt;0,Dati!$BS$3&amp;": "&amp;INDEX(Dati!$BS$1:$BS$1000,MATCH($A5,Dati!$A$1:$A$1000,0))&amp;" · ","")&amp;IF(INDEX(Dati!$EV$1:$EV$1000,MATCH($A5,Dati!$A$1:$A$1000,0))&gt;0,Dati!$BT$3&amp;": "&amp;INDEX(Dati!$BT$1:$BT$1000,MATCH($A5,Dati!$A$1:$A$1000,0))&amp;" · ","")&amp;IF(INDEX(Dati!$EW$1:$EW$1000,MATCH($A5,Dati!$A$1:$A$1000,0))&gt;0,Dati!$BU$3&amp;": "&amp;INDEX(Dati!$BU$1:$BU$1000,MATCH($A5,Dati!$A$1:$A$1000,0))&amp;" · ","")&amp;IF(INDEX(Dati!$EX$1:$EX$1000,MATCH($A5,Dati!$A$1:$A$1000,0))&gt;0,Dati!$BV$3&amp;": "&amp;INDEX(Dati!$BV$1:$BV$1000,MATCH($A5,Dati!$A$1:$A$1000,0))&amp;" · ",""),LEN(IF(INDEX(Dati!$EU$1:$EU$1000,MATCH($A5,Dati!$A$1:$A$1000,0))&gt;0,Dati!$BS$3&amp;": "&amp;INDEX(Dati!$BS$1:$BS$1000,MATCH($A5,Dati!$A$1:$A$1000,0))&amp;" · ","")&amp;IF(INDEX(Dati!$EV$1:$EV$1000,MATCH($A5,Dati!$A$1:$A$1000,0))&gt;0,Dati!$BT$3&amp;": "&amp;INDEX(Dati!$BT$1:$BT$1000,MATCH($A5,Dati!$A$1:$A$1000,0))&amp;" · ","")&amp;IF(INDEX(Dati!$EW$1:$EW$1000,MATCH($A5,Dati!$A$1:$A$1000,0))&gt;0,Dati!$BU$3&amp;": "&amp;INDEX(Dati!$BU$1:$BU$1000,MATCH($A5,Dati!$A$1:$A$1000,0))&amp;" · ","")&amp;IF(INDEX(Dati!$EX$1:$EX$1000,MATCH($A5,Dati!$A$1:$A$1000,0))&gt;0,Dati!$BV$3&amp;": "&amp;INDEX(Dati!$BV$1:$BV$1000,MATCH($A5,Dati!$A$1:$A$1000,0))&amp;" · ",""))-3)),""))</f>
        <v/>
      </c>
      <c r="U5" s="55" t="str">
        <f aca="false">IF($B5="","",IFERROR(IF((IF(INDEX(Dati!$EY$1:$EY$1000,MATCH($A5,Dati!$A$1:$A$1000,0))&gt;0,Dati!$BW$3&amp;": "&amp;INDEX(Dati!$BW$1:$BW$1000,MATCH($A5,Dati!$A$1:$A$1000,0))&amp;" · ","")&amp;IF(INDEX(Dati!$EZ$1:$EZ$1000,MATCH($A5,Dati!$A$1:$A$1000,0))&gt;0,Dati!$BX$3&amp;": "&amp;INDEX(Dati!$BX$1:$BX$1000,MATCH($A5,Dati!$A$1:$A$1000,0))&amp;" · ","")&amp;IF(INDEX(Dati!$FA$1:$FA$1000,MATCH($A5,Dati!$A$1:$A$1000,0))&gt;0,Dati!$BY$3&amp;": "&amp;INDEX(Dati!$BY$1:$BY$1000,MATCH($A5,Dati!$A$1:$A$1000,0))&amp;" · ","")&amp;IF(INDEX(Dati!$FB$1:$FB$1000,MATCH($A5,Dati!$A$1:$A$1000,0))&gt;0,Dati!$BZ$3&amp;": "&amp;INDEX(Dati!$BZ$1:$BZ$1000,MATCH($A5,Dati!$A$1:$A$1000,0))&amp;" · ",""))="",IF(INDEX(Dati!$FY$1:$FY$1000,MATCH($A5,Dati!$A$1:$A$1000,0))=1,"AS da recuperare",""),LEFT(IF(INDEX(Dati!$EY$1:$EY$1000,MATCH($A5,Dati!$A$1:$A$1000,0))&gt;0,Dati!$BW$3&amp;": "&amp;INDEX(Dati!$BW$1:$BW$1000,MATCH($A5,Dati!$A$1:$A$1000,0))&amp;" · ","")&amp;IF(INDEX(Dati!$EZ$1:$EZ$1000,MATCH($A5,Dati!$A$1:$A$1000,0))&gt;0,Dati!$BX$3&amp;": "&amp;INDEX(Dati!$BX$1:$BX$1000,MATCH($A5,Dati!$A$1:$A$1000,0))&amp;" · ","")&amp;IF(INDEX(Dati!$FA$1:$FA$1000,MATCH($A5,Dati!$A$1:$A$1000,0))&gt;0,Dati!$BY$3&amp;": "&amp;INDEX(Dati!$BY$1:$BY$1000,MATCH($A5,Dati!$A$1:$A$1000,0))&amp;" · ","")&amp;IF(INDEX(Dati!$FB$1:$FB$1000,MATCH($A5,Dati!$A$1:$A$1000,0))&gt;0,Dati!$BZ$3&amp;": "&amp;INDEX(Dati!$BZ$1:$BZ$1000,MATCH($A5,Dati!$A$1:$A$1000,0))&amp;" · ",""),LEN(IF(INDEX(Dati!$EY$1:$EY$1000,MATCH($A5,Dati!$A$1:$A$1000,0))&gt;0,Dati!$BW$3&amp;": "&amp;INDEX(Dati!$BW$1:$BW$1000,MATCH($A5,Dati!$A$1:$A$1000,0))&amp;" · ","")&amp;IF(INDEX(Dati!$EZ$1:$EZ$1000,MATCH($A5,Dati!$A$1:$A$1000,0))&gt;0,Dati!$BX$3&amp;": "&amp;INDEX(Dati!$BX$1:$BX$1000,MATCH($A5,Dati!$A$1:$A$1000,0))&amp;" · ","")&amp;IF(INDEX(Dati!$FA$1:$FA$1000,MATCH($A5,Dati!$A$1:$A$1000,0))&gt;0,Dati!$BY$3&amp;": "&amp;INDEX(Dati!$BY$1:$BY$1000,MATCH($A5,Dati!$A$1:$A$1000,0))&amp;" · ","")&amp;IF(INDEX(Dati!$FB$1:$FB$1000,MATCH($A5,Dati!$A$1:$A$1000,0))&gt;0,Dati!$BZ$3&amp;": "&amp;INDEX(Dati!$BZ$1:$BZ$1000,MATCH($A5,Dati!$A$1:$A$1000,0))&amp;" · ",""))-3)),""))</f>
        <v/>
      </c>
      <c r="V5" s="55" t="str">
        <f aca="false">IF($B5="","",IFERROR(IF((IF(INDEX(Dati!$FC$1:$FC$1000,MATCH($A5,Dati!$A$1:$A$1000,0))&gt;0,Dati!$CA$3&amp;": "&amp;INDEX(Dati!$CA$1:$CA$1000,MATCH($A5,Dati!$A$1:$A$1000,0))&amp;" · ","")&amp;IF(INDEX(Dati!$FD$1:$FD$1000,MATCH($A5,Dati!$A$1:$A$1000,0))&gt;0,Dati!$CB$3&amp;": "&amp;INDEX(Dati!$CB$1:$CB$1000,MATCH($A5,Dati!$A$1:$A$1000,0))&amp;" · ","")&amp;IF(INDEX(Dati!$FE$1:$FE$1000,MATCH($A5,Dati!$A$1:$A$1000,0))&gt;0,Dati!$CC$3&amp;": "&amp;INDEX(Dati!$CC$1:$CC$1000,MATCH($A5,Dati!$A$1:$A$1000,0))&amp;" · ","")&amp;IF(INDEX(Dati!$FF$1:$FF$1000,MATCH($A5,Dati!$A$1:$A$1000,0))&gt;0,Dati!$CD$3&amp;": "&amp;INDEX(Dati!$CD$1:$CD$1000,MATCH($A5,Dati!$A$1:$A$1000,0))&amp;" · ",""))="",IF(INDEX(Dati!$FZ$1:$FZ$1000,MATCH($A5,Dati!$A$1:$A$1000,0))=1,"AS da recuperare",""),LEFT(IF(INDEX(Dati!$FC$1:$FC$1000,MATCH($A5,Dati!$A$1:$A$1000,0))&gt;0,Dati!$CA$3&amp;": "&amp;INDEX(Dati!$CA$1:$CA$1000,MATCH($A5,Dati!$A$1:$A$1000,0))&amp;" · ","")&amp;IF(INDEX(Dati!$FD$1:$FD$1000,MATCH($A5,Dati!$A$1:$A$1000,0))&gt;0,Dati!$CB$3&amp;": "&amp;INDEX(Dati!$CB$1:$CB$1000,MATCH($A5,Dati!$A$1:$A$1000,0))&amp;" · ","")&amp;IF(INDEX(Dati!$FE$1:$FE$1000,MATCH($A5,Dati!$A$1:$A$1000,0))&gt;0,Dati!$CC$3&amp;": "&amp;INDEX(Dati!$CC$1:$CC$1000,MATCH($A5,Dati!$A$1:$A$1000,0))&amp;" · ","")&amp;IF(INDEX(Dati!$FF$1:$FF$1000,MATCH($A5,Dati!$A$1:$A$1000,0))&gt;0,Dati!$CD$3&amp;": "&amp;INDEX(Dati!$CD$1:$CD$1000,MATCH($A5,Dati!$A$1:$A$1000,0))&amp;" · ",""),LEN(IF(INDEX(Dati!$FC$1:$FC$1000,MATCH($A5,Dati!$A$1:$A$1000,0))&gt;0,Dati!$CA$3&amp;": "&amp;INDEX(Dati!$CA$1:$CA$1000,MATCH($A5,Dati!$A$1:$A$1000,0))&amp;" · ","")&amp;IF(INDEX(Dati!$FD$1:$FD$1000,MATCH($A5,Dati!$A$1:$A$1000,0))&gt;0,Dati!$CB$3&amp;": "&amp;INDEX(Dati!$CB$1:$CB$1000,MATCH($A5,Dati!$A$1:$A$1000,0))&amp;" · ","")&amp;IF(INDEX(Dati!$FE$1:$FE$1000,MATCH($A5,Dati!$A$1:$A$1000,0))&gt;0,Dati!$CC$3&amp;": "&amp;INDEX(Dati!$CC$1:$CC$1000,MATCH($A5,Dati!$A$1:$A$1000,0))&amp;" · ","")&amp;IF(INDEX(Dati!$FF$1:$FF$1000,MATCH($A5,Dati!$A$1:$A$1000,0))&gt;0,Dati!$CD$3&amp;": "&amp;INDEX(Dati!$CD$1:$CD$1000,MATCH($A5,Dati!$A$1:$A$1000,0))&amp;" · ",""))-3)),""))</f>
        <v/>
      </c>
    </row>
    <row r="6" customFormat="false" ht="19.5" hidden="false" customHeight="true" outlineLevel="0" collapsed="false">
      <c r="A6" s="10" t="n">
        <v>2</v>
      </c>
      <c r="B6" s="16" t="str">
        <f aca="false">IFERROR(INDEX(Alunni!$C$1:$C$1000,MATCH($A6,Alunni!$A$1:$A$1000,0))&amp;"","")</f>
        <v>Bianchi Anna (esempio)</v>
      </c>
      <c r="C6" s="55" t="str">
        <f aca="false">IF($B6="","",IFERROR(IF((IF(INDEX(Dati!$CE$1:$CE$1000,MATCH($A6,Dati!$A$1:$A$1000,0))&gt;0,Dati!$C$3&amp;": "&amp;INDEX(Dati!$C$1:$C$1000,MATCH($A6,Dati!$A$1:$A$1000,0))&amp;" · ","")&amp;IF(INDEX(Dati!$CF$1:$CF$1000,MATCH($A6,Dati!$A$1:$A$1000,0))&gt;0,Dati!$D$3&amp;": "&amp;INDEX(Dati!$D$1:$D$1000,MATCH($A6,Dati!$A$1:$A$1000,0))&amp;" · ","")&amp;IF(INDEX(Dati!$CG$1:$CG$1000,MATCH($A6,Dati!$A$1:$A$1000,0))&gt;0,Dati!$E$3&amp;": "&amp;INDEX(Dati!$E$1:$E$1000,MATCH($A6,Dati!$A$1:$A$1000,0))&amp;" · ","")&amp;IF(INDEX(Dati!$CH$1:$CH$1000,MATCH($A6,Dati!$A$1:$A$1000,0))&gt;0,Dati!$F$3&amp;": "&amp;INDEX(Dati!$F$1:$F$1000,MATCH($A6,Dati!$A$1:$A$1000,0))&amp;" · ",""))="",IF(INDEX(Dati!$FG$1:$FG$1000,MATCH($A6,Dati!$A$1:$A$1000,0))=1,"AS da recuperare",""),LEFT(IF(INDEX(Dati!$CE$1:$CE$1000,MATCH($A6,Dati!$A$1:$A$1000,0))&gt;0,Dati!$C$3&amp;": "&amp;INDEX(Dati!$C$1:$C$1000,MATCH($A6,Dati!$A$1:$A$1000,0))&amp;" · ","")&amp;IF(INDEX(Dati!$CF$1:$CF$1000,MATCH($A6,Dati!$A$1:$A$1000,0))&gt;0,Dati!$D$3&amp;": "&amp;INDEX(Dati!$D$1:$D$1000,MATCH($A6,Dati!$A$1:$A$1000,0))&amp;" · ","")&amp;IF(INDEX(Dati!$CG$1:$CG$1000,MATCH($A6,Dati!$A$1:$A$1000,0))&gt;0,Dati!$E$3&amp;": "&amp;INDEX(Dati!$E$1:$E$1000,MATCH($A6,Dati!$A$1:$A$1000,0))&amp;" · ","")&amp;IF(INDEX(Dati!$CH$1:$CH$1000,MATCH($A6,Dati!$A$1:$A$1000,0))&gt;0,Dati!$F$3&amp;": "&amp;INDEX(Dati!$F$1:$F$1000,MATCH($A6,Dati!$A$1:$A$1000,0))&amp;" · ",""),LEN(IF(INDEX(Dati!$CE$1:$CE$1000,MATCH($A6,Dati!$A$1:$A$1000,0))&gt;0,Dati!$C$3&amp;": "&amp;INDEX(Dati!$C$1:$C$1000,MATCH($A6,Dati!$A$1:$A$1000,0))&amp;" · ","")&amp;IF(INDEX(Dati!$CF$1:$CF$1000,MATCH($A6,Dati!$A$1:$A$1000,0))&gt;0,Dati!$D$3&amp;": "&amp;INDEX(Dati!$D$1:$D$1000,MATCH($A6,Dati!$A$1:$A$1000,0))&amp;" · ","")&amp;IF(INDEX(Dati!$CG$1:$CG$1000,MATCH($A6,Dati!$A$1:$A$1000,0))&gt;0,Dati!$E$3&amp;": "&amp;INDEX(Dati!$E$1:$E$1000,MATCH($A6,Dati!$A$1:$A$1000,0))&amp;" · ","")&amp;IF(INDEX(Dati!$CH$1:$CH$1000,MATCH($A6,Dati!$A$1:$A$1000,0))&gt;0,Dati!$F$3&amp;": "&amp;INDEX(Dati!$F$1:$F$1000,MATCH($A6,Dati!$A$1:$A$1000,0))&amp;" · ",""))-3)),""))</f>
        <v>1.1: 7</v>
      </c>
      <c r="D6" s="55" t="str">
        <f aca="false">IF($B6="","",IFERROR(IF((IF(INDEX(Dati!$CI$1:$CI$1000,MATCH($A6,Dati!$A$1:$A$1000,0))&gt;0,Dati!$G$3&amp;": "&amp;INDEX(Dati!$G$1:$G$1000,MATCH($A6,Dati!$A$1:$A$1000,0))&amp;" · ","")&amp;IF(INDEX(Dati!$CJ$1:$CJ$1000,MATCH($A6,Dati!$A$1:$A$1000,0))&gt;0,Dati!$H$3&amp;": "&amp;INDEX(Dati!$H$1:$H$1000,MATCH($A6,Dati!$A$1:$A$1000,0))&amp;" · ","")&amp;IF(INDEX(Dati!$CK$1:$CK$1000,MATCH($A6,Dati!$A$1:$A$1000,0))&gt;0,Dati!$I$3&amp;": "&amp;INDEX(Dati!$I$1:$I$1000,MATCH($A6,Dati!$A$1:$A$1000,0))&amp;" · ","")&amp;IF(INDEX(Dati!$CL$1:$CL$1000,MATCH($A6,Dati!$A$1:$A$1000,0))&gt;0,Dati!$J$3&amp;": "&amp;INDEX(Dati!$J$1:$J$1000,MATCH($A6,Dati!$A$1:$A$1000,0))&amp;" · ",""))="",IF(INDEX(Dati!$FH$1:$FH$1000,MATCH($A6,Dati!$A$1:$A$1000,0))=1,"AS da recuperare",""),LEFT(IF(INDEX(Dati!$CI$1:$CI$1000,MATCH($A6,Dati!$A$1:$A$1000,0))&gt;0,Dati!$G$3&amp;": "&amp;INDEX(Dati!$G$1:$G$1000,MATCH($A6,Dati!$A$1:$A$1000,0))&amp;" · ","")&amp;IF(INDEX(Dati!$CJ$1:$CJ$1000,MATCH($A6,Dati!$A$1:$A$1000,0))&gt;0,Dati!$H$3&amp;": "&amp;INDEX(Dati!$H$1:$H$1000,MATCH($A6,Dati!$A$1:$A$1000,0))&amp;" · ","")&amp;IF(INDEX(Dati!$CK$1:$CK$1000,MATCH($A6,Dati!$A$1:$A$1000,0))&gt;0,Dati!$I$3&amp;": "&amp;INDEX(Dati!$I$1:$I$1000,MATCH($A6,Dati!$A$1:$A$1000,0))&amp;" · ","")&amp;IF(INDEX(Dati!$CL$1:$CL$1000,MATCH($A6,Dati!$A$1:$A$1000,0))&gt;0,Dati!$J$3&amp;": "&amp;INDEX(Dati!$J$1:$J$1000,MATCH($A6,Dati!$A$1:$A$1000,0))&amp;" · ",""),LEN(IF(INDEX(Dati!$CI$1:$CI$1000,MATCH($A6,Dati!$A$1:$A$1000,0))&gt;0,Dati!$G$3&amp;": "&amp;INDEX(Dati!$G$1:$G$1000,MATCH($A6,Dati!$A$1:$A$1000,0))&amp;" · ","")&amp;IF(INDEX(Dati!$CJ$1:$CJ$1000,MATCH($A6,Dati!$A$1:$A$1000,0))&gt;0,Dati!$H$3&amp;": "&amp;INDEX(Dati!$H$1:$H$1000,MATCH($A6,Dati!$A$1:$A$1000,0))&amp;" · ","")&amp;IF(INDEX(Dati!$CK$1:$CK$1000,MATCH($A6,Dati!$A$1:$A$1000,0))&gt;0,Dati!$I$3&amp;": "&amp;INDEX(Dati!$I$1:$I$1000,MATCH($A6,Dati!$A$1:$A$1000,0))&amp;" · ","")&amp;IF(INDEX(Dati!$CL$1:$CL$1000,MATCH($A6,Dati!$A$1:$A$1000,0))&gt;0,Dati!$J$3&amp;": "&amp;INDEX(Dati!$J$1:$J$1000,MATCH($A6,Dati!$A$1:$A$1000,0))&amp;" · ",""))-3)),""))</f>
        <v>3.1: 9 · 3.3: 8</v>
      </c>
      <c r="E6" s="55" t="str">
        <f aca="false">IF($B6="","",IFERROR(IF((IF(INDEX(Dati!$CM$1:$CM$1000,MATCH($A6,Dati!$A$1:$A$1000,0))&gt;0,Dati!$K$3&amp;": "&amp;INDEX(Dati!$K$1:$K$1000,MATCH($A6,Dati!$A$1:$A$1000,0))&amp;" · ","")&amp;IF(INDEX(Dati!$CN$1:$CN$1000,MATCH($A6,Dati!$A$1:$A$1000,0))&gt;0,Dati!$L$3&amp;": "&amp;INDEX(Dati!$L$1:$L$1000,MATCH($A6,Dati!$A$1:$A$1000,0))&amp;" · ","")&amp;IF(INDEX(Dati!$CO$1:$CO$1000,MATCH($A6,Dati!$A$1:$A$1000,0))&gt;0,Dati!$M$3&amp;": "&amp;INDEX(Dati!$M$1:$M$1000,MATCH($A6,Dati!$A$1:$A$1000,0))&amp;" · ","")&amp;IF(INDEX(Dati!$CP$1:$CP$1000,MATCH($A6,Dati!$A$1:$A$1000,0))&gt;0,Dati!$N$3&amp;": "&amp;INDEX(Dati!$N$1:$N$1000,MATCH($A6,Dati!$A$1:$A$1000,0))&amp;" · ",""))="",IF(INDEX(Dati!$FI$1:$FI$1000,MATCH($A6,Dati!$A$1:$A$1000,0))=1,"AS da recuperare",""),LEFT(IF(INDEX(Dati!$CM$1:$CM$1000,MATCH($A6,Dati!$A$1:$A$1000,0))&gt;0,Dati!$K$3&amp;": "&amp;INDEX(Dati!$K$1:$K$1000,MATCH($A6,Dati!$A$1:$A$1000,0))&amp;" · ","")&amp;IF(INDEX(Dati!$CN$1:$CN$1000,MATCH($A6,Dati!$A$1:$A$1000,0))&gt;0,Dati!$L$3&amp;": "&amp;INDEX(Dati!$L$1:$L$1000,MATCH($A6,Dati!$A$1:$A$1000,0))&amp;" · ","")&amp;IF(INDEX(Dati!$CO$1:$CO$1000,MATCH($A6,Dati!$A$1:$A$1000,0))&gt;0,Dati!$M$3&amp;": "&amp;INDEX(Dati!$M$1:$M$1000,MATCH($A6,Dati!$A$1:$A$1000,0))&amp;" · ","")&amp;IF(INDEX(Dati!$CP$1:$CP$1000,MATCH($A6,Dati!$A$1:$A$1000,0))&gt;0,Dati!$N$3&amp;": "&amp;INDEX(Dati!$N$1:$N$1000,MATCH($A6,Dati!$A$1:$A$1000,0))&amp;" · ",""),LEN(IF(INDEX(Dati!$CM$1:$CM$1000,MATCH($A6,Dati!$A$1:$A$1000,0))&gt;0,Dati!$K$3&amp;": "&amp;INDEX(Dati!$K$1:$K$1000,MATCH($A6,Dati!$A$1:$A$1000,0))&amp;" · ","")&amp;IF(INDEX(Dati!$CN$1:$CN$1000,MATCH($A6,Dati!$A$1:$A$1000,0))&gt;0,Dati!$L$3&amp;": "&amp;INDEX(Dati!$L$1:$L$1000,MATCH($A6,Dati!$A$1:$A$1000,0))&amp;" · ","")&amp;IF(INDEX(Dati!$CO$1:$CO$1000,MATCH($A6,Dati!$A$1:$A$1000,0))&gt;0,Dati!$M$3&amp;": "&amp;INDEX(Dati!$M$1:$M$1000,MATCH($A6,Dati!$A$1:$A$1000,0))&amp;" · ","")&amp;IF(INDEX(Dati!$CP$1:$CP$1000,MATCH($A6,Dati!$A$1:$A$1000,0))&gt;0,Dati!$N$3&amp;": "&amp;INDEX(Dati!$N$1:$N$1000,MATCH($A6,Dati!$A$1:$A$1000,0))&amp;" · ",""))-3)),""))</f>
        <v>AS da recuperare</v>
      </c>
      <c r="F6" s="55" t="str">
        <f aca="false">IF($B6="","",IFERROR(IF((IF(INDEX(Dati!$CQ$1:$CQ$1000,MATCH($A6,Dati!$A$1:$A$1000,0))&gt;0,Dati!$O$3&amp;": "&amp;INDEX(Dati!$O$1:$O$1000,MATCH($A6,Dati!$A$1:$A$1000,0))&amp;" · ","")&amp;IF(INDEX(Dati!$CR$1:$CR$1000,MATCH($A6,Dati!$A$1:$A$1000,0))&gt;0,Dati!$P$3&amp;": "&amp;INDEX(Dati!$P$1:$P$1000,MATCH($A6,Dati!$A$1:$A$1000,0))&amp;" · ","")&amp;IF(INDEX(Dati!$CS$1:$CS$1000,MATCH($A6,Dati!$A$1:$A$1000,0))&gt;0,Dati!$Q$3&amp;": "&amp;INDEX(Dati!$Q$1:$Q$1000,MATCH($A6,Dati!$A$1:$A$1000,0))&amp;" · ","")&amp;IF(INDEX(Dati!$CT$1:$CT$1000,MATCH($A6,Dati!$A$1:$A$1000,0))&gt;0,Dati!$R$3&amp;": "&amp;INDEX(Dati!$R$1:$R$1000,MATCH($A6,Dati!$A$1:$A$1000,0))&amp;" · ",""))="",IF(INDEX(Dati!$FJ$1:$FJ$1000,MATCH($A6,Dati!$A$1:$A$1000,0))=1,"AS da recuperare",""),LEFT(IF(INDEX(Dati!$CQ$1:$CQ$1000,MATCH($A6,Dati!$A$1:$A$1000,0))&gt;0,Dati!$O$3&amp;": "&amp;INDEX(Dati!$O$1:$O$1000,MATCH($A6,Dati!$A$1:$A$1000,0))&amp;" · ","")&amp;IF(INDEX(Dati!$CR$1:$CR$1000,MATCH($A6,Dati!$A$1:$A$1000,0))&gt;0,Dati!$P$3&amp;": "&amp;INDEX(Dati!$P$1:$P$1000,MATCH($A6,Dati!$A$1:$A$1000,0))&amp;" · ","")&amp;IF(INDEX(Dati!$CS$1:$CS$1000,MATCH($A6,Dati!$A$1:$A$1000,0))&gt;0,Dati!$Q$3&amp;": "&amp;INDEX(Dati!$Q$1:$Q$1000,MATCH($A6,Dati!$A$1:$A$1000,0))&amp;" · ","")&amp;IF(INDEX(Dati!$CT$1:$CT$1000,MATCH($A6,Dati!$A$1:$A$1000,0))&gt;0,Dati!$R$3&amp;": "&amp;INDEX(Dati!$R$1:$R$1000,MATCH($A6,Dati!$A$1:$A$1000,0))&amp;" · ",""),LEN(IF(INDEX(Dati!$CQ$1:$CQ$1000,MATCH($A6,Dati!$A$1:$A$1000,0))&gt;0,Dati!$O$3&amp;": "&amp;INDEX(Dati!$O$1:$O$1000,MATCH($A6,Dati!$A$1:$A$1000,0))&amp;" · ","")&amp;IF(INDEX(Dati!$CR$1:$CR$1000,MATCH($A6,Dati!$A$1:$A$1000,0))&gt;0,Dati!$P$3&amp;": "&amp;INDEX(Dati!$P$1:$P$1000,MATCH($A6,Dati!$A$1:$A$1000,0))&amp;" · ","")&amp;IF(INDEX(Dati!$CS$1:$CS$1000,MATCH($A6,Dati!$A$1:$A$1000,0))&gt;0,Dati!$Q$3&amp;": "&amp;INDEX(Dati!$Q$1:$Q$1000,MATCH($A6,Dati!$A$1:$A$1000,0))&amp;" · ","")&amp;IF(INDEX(Dati!$CT$1:$CT$1000,MATCH($A6,Dati!$A$1:$A$1000,0))&gt;0,Dati!$R$3&amp;": "&amp;INDEX(Dati!$R$1:$R$1000,MATCH($A6,Dati!$A$1:$A$1000,0))&amp;" · ",""))-3)),""))</f>
        <v/>
      </c>
      <c r="G6" s="55" t="str">
        <f aca="false">IF($B6="","",IFERROR(IF((IF(INDEX(Dati!$CU$1:$CU$1000,MATCH($A6,Dati!$A$1:$A$1000,0))&gt;0,Dati!$S$3&amp;": "&amp;INDEX(Dati!$S$1:$S$1000,MATCH($A6,Dati!$A$1:$A$1000,0))&amp;" · ","")&amp;IF(INDEX(Dati!$CV$1:$CV$1000,MATCH($A6,Dati!$A$1:$A$1000,0))&gt;0,Dati!$T$3&amp;": "&amp;INDEX(Dati!$T$1:$T$1000,MATCH($A6,Dati!$A$1:$A$1000,0))&amp;" · ","")&amp;IF(INDEX(Dati!$CW$1:$CW$1000,MATCH($A6,Dati!$A$1:$A$1000,0))&gt;0,Dati!$U$3&amp;": "&amp;INDEX(Dati!$U$1:$U$1000,MATCH($A6,Dati!$A$1:$A$1000,0))&amp;" · ","")&amp;IF(INDEX(Dati!$CX$1:$CX$1000,MATCH($A6,Dati!$A$1:$A$1000,0))&gt;0,Dati!$V$3&amp;": "&amp;INDEX(Dati!$V$1:$V$1000,MATCH($A6,Dati!$A$1:$A$1000,0))&amp;" · ",""))="",IF(INDEX(Dati!$FK$1:$FK$1000,MATCH($A6,Dati!$A$1:$A$1000,0))=1,"AS da recuperare",""),LEFT(IF(INDEX(Dati!$CU$1:$CU$1000,MATCH($A6,Dati!$A$1:$A$1000,0))&gt;0,Dati!$S$3&amp;": "&amp;INDEX(Dati!$S$1:$S$1000,MATCH($A6,Dati!$A$1:$A$1000,0))&amp;" · ","")&amp;IF(INDEX(Dati!$CV$1:$CV$1000,MATCH($A6,Dati!$A$1:$A$1000,0))&gt;0,Dati!$T$3&amp;": "&amp;INDEX(Dati!$T$1:$T$1000,MATCH($A6,Dati!$A$1:$A$1000,0))&amp;" · ","")&amp;IF(INDEX(Dati!$CW$1:$CW$1000,MATCH($A6,Dati!$A$1:$A$1000,0))&gt;0,Dati!$U$3&amp;": "&amp;INDEX(Dati!$U$1:$U$1000,MATCH($A6,Dati!$A$1:$A$1000,0))&amp;" · ","")&amp;IF(INDEX(Dati!$CX$1:$CX$1000,MATCH($A6,Dati!$A$1:$A$1000,0))&gt;0,Dati!$V$3&amp;": "&amp;INDEX(Dati!$V$1:$V$1000,MATCH($A6,Dati!$A$1:$A$1000,0))&amp;" · ",""),LEN(IF(INDEX(Dati!$CU$1:$CU$1000,MATCH($A6,Dati!$A$1:$A$1000,0))&gt;0,Dati!$S$3&amp;": "&amp;INDEX(Dati!$S$1:$S$1000,MATCH($A6,Dati!$A$1:$A$1000,0))&amp;" · ","")&amp;IF(INDEX(Dati!$CV$1:$CV$1000,MATCH($A6,Dati!$A$1:$A$1000,0))&gt;0,Dati!$T$3&amp;": "&amp;INDEX(Dati!$T$1:$T$1000,MATCH($A6,Dati!$A$1:$A$1000,0))&amp;" · ","")&amp;IF(INDEX(Dati!$CW$1:$CW$1000,MATCH($A6,Dati!$A$1:$A$1000,0))&gt;0,Dati!$U$3&amp;": "&amp;INDEX(Dati!$U$1:$U$1000,MATCH($A6,Dati!$A$1:$A$1000,0))&amp;" · ","")&amp;IF(INDEX(Dati!$CX$1:$CX$1000,MATCH($A6,Dati!$A$1:$A$1000,0))&gt;0,Dati!$V$3&amp;": "&amp;INDEX(Dati!$V$1:$V$1000,MATCH($A6,Dati!$A$1:$A$1000,0))&amp;" · ",""))-3)),""))</f>
        <v/>
      </c>
      <c r="H6" s="55" t="str">
        <f aca="false">IF($B6="","",IFERROR(IF((IF(INDEX(Dati!$CY$1:$CY$1000,MATCH($A6,Dati!$A$1:$A$1000,0))&gt;0,Dati!$W$3&amp;": "&amp;INDEX(Dati!$W$1:$W$1000,MATCH($A6,Dati!$A$1:$A$1000,0))&amp;" · ","")&amp;IF(INDEX(Dati!$CZ$1:$CZ$1000,MATCH($A6,Dati!$A$1:$A$1000,0))&gt;0,Dati!$X$3&amp;": "&amp;INDEX(Dati!$X$1:$X$1000,MATCH($A6,Dati!$A$1:$A$1000,0))&amp;" · ","")&amp;IF(INDEX(Dati!$DA$1:$DA$1000,MATCH($A6,Dati!$A$1:$A$1000,0))&gt;0,Dati!$Y$3&amp;": "&amp;INDEX(Dati!$Y$1:$Y$1000,MATCH($A6,Dati!$A$1:$A$1000,0))&amp;" · ","")&amp;IF(INDEX(Dati!$DB$1:$DB$1000,MATCH($A6,Dati!$A$1:$A$1000,0))&gt;0,Dati!$Z$3&amp;": "&amp;INDEX(Dati!$Z$1:$Z$1000,MATCH($A6,Dati!$A$1:$A$1000,0))&amp;" · ",""))="",IF(INDEX(Dati!$FL$1:$FL$1000,MATCH($A6,Dati!$A$1:$A$1000,0))=1,"AS da recuperare",""),LEFT(IF(INDEX(Dati!$CY$1:$CY$1000,MATCH($A6,Dati!$A$1:$A$1000,0))&gt;0,Dati!$W$3&amp;": "&amp;INDEX(Dati!$W$1:$W$1000,MATCH($A6,Dati!$A$1:$A$1000,0))&amp;" · ","")&amp;IF(INDEX(Dati!$CZ$1:$CZ$1000,MATCH($A6,Dati!$A$1:$A$1000,0))&gt;0,Dati!$X$3&amp;": "&amp;INDEX(Dati!$X$1:$X$1000,MATCH($A6,Dati!$A$1:$A$1000,0))&amp;" · ","")&amp;IF(INDEX(Dati!$DA$1:$DA$1000,MATCH($A6,Dati!$A$1:$A$1000,0))&gt;0,Dati!$Y$3&amp;": "&amp;INDEX(Dati!$Y$1:$Y$1000,MATCH($A6,Dati!$A$1:$A$1000,0))&amp;" · ","")&amp;IF(INDEX(Dati!$DB$1:$DB$1000,MATCH($A6,Dati!$A$1:$A$1000,0))&gt;0,Dati!$Z$3&amp;": "&amp;INDEX(Dati!$Z$1:$Z$1000,MATCH($A6,Dati!$A$1:$A$1000,0))&amp;" · ",""),LEN(IF(INDEX(Dati!$CY$1:$CY$1000,MATCH($A6,Dati!$A$1:$A$1000,0))&gt;0,Dati!$W$3&amp;": "&amp;INDEX(Dati!$W$1:$W$1000,MATCH($A6,Dati!$A$1:$A$1000,0))&amp;" · ","")&amp;IF(INDEX(Dati!$CZ$1:$CZ$1000,MATCH($A6,Dati!$A$1:$A$1000,0))&gt;0,Dati!$X$3&amp;": "&amp;INDEX(Dati!$X$1:$X$1000,MATCH($A6,Dati!$A$1:$A$1000,0))&amp;" · ","")&amp;IF(INDEX(Dati!$DA$1:$DA$1000,MATCH($A6,Dati!$A$1:$A$1000,0))&gt;0,Dati!$Y$3&amp;": "&amp;INDEX(Dati!$Y$1:$Y$1000,MATCH($A6,Dati!$A$1:$A$1000,0))&amp;" · ","")&amp;IF(INDEX(Dati!$DB$1:$DB$1000,MATCH($A6,Dati!$A$1:$A$1000,0))&gt;0,Dati!$Z$3&amp;": "&amp;INDEX(Dati!$Z$1:$Z$1000,MATCH($A6,Dati!$A$1:$A$1000,0))&amp;" · ",""))-3)),""))</f>
        <v/>
      </c>
      <c r="I6" s="55" t="str">
        <f aca="false">IF($B6="","",IFERROR(IF((IF(INDEX(Dati!$DC$1:$DC$1000,MATCH($A6,Dati!$A$1:$A$1000,0))&gt;0,Dati!$AA$3&amp;": "&amp;INDEX(Dati!$AA$1:$AA$1000,MATCH($A6,Dati!$A$1:$A$1000,0))&amp;" · ","")&amp;IF(INDEX(Dati!$DD$1:$DD$1000,MATCH($A6,Dati!$A$1:$A$1000,0))&gt;0,Dati!$AB$3&amp;": "&amp;INDEX(Dati!$AB$1:$AB$1000,MATCH($A6,Dati!$A$1:$A$1000,0))&amp;" · ","")&amp;IF(INDEX(Dati!$DE$1:$DE$1000,MATCH($A6,Dati!$A$1:$A$1000,0))&gt;0,Dati!$AC$3&amp;": "&amp;INDEX(Dati!$AC$1:$AC$1000,MATCH($A6,Dati!$A$1:$A$1000,0))&amp;" · ","")&amp;IF(INDEX(Dati!$DF$1:$DF$1000,MATCH($A6,Dati!$A$1:$A$1000,0))&gt;0,Dati!$AD$3&amp;": "&amp;INDEX(Dati!$AD$1:$AD$1000,MATCH($A6,Dati!$A$1:$A$1000,0))&amp;" · ",""))="",IF(INDEX(Dati!$FM$1:$FM$1000,MATCH($A6,Dati!$A$1:$A$1000,0))=1,"AS da recuperare",""),LEFT(IF(INDEX(Dati!$DC$1:$DC$1000,MATCH($A6,Dati!$A$1:$A$1000,0))&gt;0,Dati!$AA$3&amp;": "&amp;INDEX(Dati!$AA$1:$AA$1000,MATCH($A6,Dati!$A$1:$A$1000,0))&amp;" · ","")&amp;IF(INDEX(Dati!$DD$1:$DD$1000,MATCH($A6,Dati!$A$1:$A$1000,0))&gt;0,Dati!$AB$3&amp;": "&amp;INDEX(Dati!$AB$1:$AB$1000,MATCH($A6,Dati!$A$1:$A$1000,0))&amp;" · ","")&amp;IF(INDEX(Dati!$DE$1:$DE$1000,MATCH($A6,Dati!$A$1:$A$1000,0))&gt;0,Dati!$AC$3&amp;": "&amp;INDEX(Dati!$AC$1:$AC$1000,MATCH($A6,Dati!$A$1:$A$1000,0))&amp;" · ","")&amp;IF(INDEX(Dati!$DF$1:$DF$1000,MATCH($A6,Dati!$A$1:$A$1000,0))&gt;0,Dati!$AD$3&amp;": "&amp;INDEX(Dati!$AD$1:$AD$1000,MATCH($A6,Dati!$A$1:$A$1000,0))&amp;" · ",""),LEN(IF(INDEX(Dati!$DC$1:$DC$1000,MATCH($A6,Dati!$A$1:$A$1000,0))&gt;0,Dati!$AA$3&amp;": "&amp;INDEX(Dati!$AA$1:$AA$1000,MATCH($A6,Dati!$A$1:$A$1000,0))&amp;" · ","")&amp;IF(INDEX(Dati!$DD$1:$DD$1000,MATCH($A6,Dati!$A$1:$A$1000,0))&gt;0,Dati!$AB$3&amp;": "&amp;INDEX(Dati!$AB$1:$AB$1000,MATCH($A6,Dati!$A$1:$A$1000,0))&amp;" · ","")&amp;IF(INDEX(Dati!$DE$1:$DE$1000,MATCH($A6,Dati!$A$1:$A$1000,0))&gt;0,Dati!$AC$3&amp;": "&amp;INDEX(Dati!$AC$1:$AC$1000,MATCH($A6,Dati!$A$1:$A$1000,0))&amp;" · ","")&amp;IF(INDEX(Dati!$DF$1:$DF$1000,MATCH($A6,Dati!$A$1:$A$1000,0))&gt;0,Dati!$AD$3&amp;": "&amp;INDEX(Dati!$AD$1:$AD$1000,MATCH($A6,Dati!$A$1:$A$1000,0))&amp;" · ",""))-3)),""))</f>
        <v/>
      </c>
      <c r="J6" s="55" t="str">
        <f aca="false">IF($B6="","",IFERROR(IF((IF(INDEX(Dati!$DG$1:$DG$1000,MATCH($A6,Dati!$A$1:$A$1000,0))&gt;0,Dati!$AE$3&amp;": "&amp;INDEX(Dati!$AE$1:$AE$1000,MATCH($A6,Dati!$A$1:$A$1000,0))&amp;" · ","")&amp;IF(INDEX(Dati!$DH$1:$DH$1000,MATCH($A6,Dati!$A$1:$A$1000,0))&gt;0,Dati!$AF$3&amp;": "&amp;INDEX(Dati!$AF$1:$AF$1000,MATCH($A6,Dati!$A$1:$A$1000,0))&amp;" · ","")&amp;IF(INDEX(Dati!$DI$1:$DI$1000,MATCH($A6,Dati!$A$1:$A$1000,0))&gt;0,Dati!$AG$3&amp;": "&amp;INDEX(Dati!$AG$1:$AG$1000,MATCH($A6,Dati!$A$1:$A$1000,0))&amp;" · ","")&amp;IF(INDEX(Dati!$DJ$1:$DJ$1000,MATCH($A6,Dati!$A$1:$A$1000,0))&gt;0,Dati!$AH$3&amp;": "&amp;INDEX(Dati!$AH$1:$AH$1000,MATCH($A6,Dati!$A$1:$A$1000,0))&amp;" · ",""))="",IF(INDEX(Dati!$FN$1:$FN$1000,MATCH($A6,Dati!$A$1:$A$1000,0))=1,"AS da recuperare",""),LEFT(IF(INDEX(Dati!$DG$1:$DG$1000,MATCH($A6,Dati!$A$1:$A$1000,0))&gt;0,Dati!$AE$3&amp;": "&amp;INDEX(Dati!$AE$1:$AE$1000,MATCH($A6,Dati!$A$1:$A$1000,0))&amp;" · ","")&amp;IF(INDEX(Dati!$DH$1:$DH$1000,MATCH($A6,Dati!$A$1:$A$1000,0))&gt;0,Dati!$AF$3&amp;": "&amp;INDEX(Dati!$AF$1:$AF$1000,MATCH($A6,Dati!$A$1:$A$1000,0))&amp;" · ","")&amp;IF(INDEX(Dati!$DI$1:$DI$1000,MATCH($A6,Dati!$A$1:$A$1000,0))&gt;0,Dati!$AG$3&amp;": "&amp;INDEX(Dati!$AG$1:$AG$1000,MATCH($A6,Dati!$A$1:$A$1000,0))&amp;" · ","")&amp;IF(INDEX(Dati!$DJ$1:$DJ$1000,MATCH($A6,Dati!$A$1:$A$1000,0))&gt;0,Dati!$AH$3&amp;": "&amp;INDEX(Dati!$AH$1:$AH$1000,MATCH($A6,Dati!$A$1:$A$1000,0))&amp;" · ",""),LEN(IF(INDEX(Dati!$DG$1:$DG$1000,MATCH($A6,Dati!$A$1:$A$1000,0))&gt;0,Dati!$AE$3&amp;": "&amp;INDEX(Dati!$AE$1:$AE$1000,MATCH($A6,Dati!$A$1:$A$1000,0))&amp;" · ","")&amp;IF(INDEX(Dati!$DH$1:$DH$1000,MATCH($A6,Dati!$A$1:$A$1000,0))&gt;0,Dati!$AF$3&amp;": "&amp;INDEX(Dati!$AF$1:$AF$1000,MATCH($A6,Dati!$A$1:$A$1000,0))&amp;" · ","")&amp;IF(INDEX(Dati!$DI$1:$DI$1000,MATCH($A6,Dati!$A$1:$A$1000,0))&gt;0,Dati!$AG$3&amp;": "&amp;INDEX(Dati!$AG$1:$AG$1000,MATCH($A6,Dati!$A$1:$A$1000,0))&amp;" · ","")&amp;IF(INDEX(Dati!$DJ$1:$DJ$1000,MATCH($A6,Dati!$A$1:$A$1000,0))&gt;0,Dati!$AH$3&amp;": "&amp;INDEX(Dati!$AH$1:$AH$1000,MATCH($A6,Dati!$A$1:$A$1000,0))&amp;" · ",""))-3)),""))</f>
        <v/>
      </c>
      <c r="K6" s="55" t="str">
        <f aca="false">IF($B6="","",IFERROR(IF((IF(INDEX(Dati!$DK$1:$DK$1000,MATCH($A6,Dati!$A$1:$A$1000,0))&gt;0,Dati!$AI$3&amp;": "&amp;INDEX(Dati!$AI$1:$AI$1000,MATCH($A6,Dati!$A$1:$A$1000,0))&amp;" · ","")&amp;IF(INDEX(Dati!$DL$1:$DL$1000,MATCH($A6,Dati!$A$1:$A$1000,0))&gt;0,Dati!$AJ$3&amp;": "&amp;INDEX(Dati!$AJ$1:$AJ$1000,MATCH($A6,Dati!$A$1:$A$1000,0))&amp;" · ","")&amp;IF(INDEX(Dati!$DM$1:$DM$1000,MATCH($A6,Dati!$A$1:$A$1000,0))&gt;0,Dati!$AK$3&amp;": "&amp;INDEX(Dati!$AK$1:$AK$1000,MATCH($A6,Dati!$A$1:$A$1000,0))&amp;" · ","")&amp;IF(INDEX(Dati!$DN$1:$DN$1000,MATCH($A6,Dati!$A$1:$A$1000,0))&gt;0,Dati!$AL$3&amp;": "&amp;INDEX(Dati!$AL$1:$AL$1000,MATCH($A6,Dati!$A$1:$A$1000,0))&amp;" · ",""))="",IF(INDEX(Dati!$FO$1:$FO$1000,MATCH($A6,Dati!$A$1:$A$1000,0))=1,"AS da recuperare",""),LEFT(IF(INDEX(Dati!$DK$1:$DK$1000,MATCH($A6,Dati!$A$1:$A$1000,0))&gt;0,Dati!$AI$3&amp;": "&amp;INDEX(Dati!$AI$1:$AI$1000,MATCH($A6,Dati!$A$1:$A$1000,0))&amp;" · ","")&amp;IF(INDEX(Dati!$DL$1:$DL$1000,MATCH($A6,Dati!$A$1:$A$1000,0))&gt;0,Dati!$AJ$3&amp;": "&amp;INDEX(Dati!$AJ$1:$AJ$1000,MATCH($A6,Dati!$A$1:$A$1000,0))&amp;" · ","")&amp;IF(INDEX(Dati!$DM$1:$DM$1000,MATCH($A6,Dati!$A$1:$A$1000,0))&gt;0,Dati!$AK$3&amp;": "&amp;INDEX(Dati!$AK$1:$AK$1000,MATCH($A6,Dati!$A$1:$A$1000,0))&amp;" · ","")&amp;IF(INDEX(Dati!$DN$1:$DN$1000,MATCH($A6,Dati!$A$1:$A$1000,0))&gt;0,Dati!$AL$3&amp;": "&amp;INDEX(Dati!$AL$1:$AL$1000,MATCH($A6,Dati!$A$1:$A$1000,0))&amp;" · ",""),LEN(IF(INDEX(Dati!$DK$1:$DK$1000,MATCH($A6,Dati!$A$1:$A$1000,0))&gt;0,Dati!$AI$3&amp;": "&amp;INDEX(Dati!$AI$1:$AI$1000,MATCH($A6,Dati!$A$1:$A$1000,0))&amp;" · ","")&amp;IF(INDEX(Dati!$DL$1:$DL$1000,MATCH($A6,Dati!$A$1:$A$1000,0))&gt;0,Dati!$AJ$3&amp;": "&amp;INDEX(Dati!$AJ$1:$AJ$1000,MATCH($A6,Dati!$A$1:$A$1000,0))&amp;" · ","")&amp;IF(INDEX(Dati!$DM$1:$DM$1000,MATCH($A6,Dati!$A$1:$A$1000,0))&gt;0,Dati!$AK$3&amp;": "&amp;INDEX(Dati!$AK$1:$AK$1000,MATCH($A6,Dati!$A$1:$A$1000,0))&amp;" · ","")&amp;IF(INDEX(Dati!$DN$1:$DN$1000,MATCH($A6,Dati!$A$1:$A$1000,0))&gt;0,Dati!$AL$3&amp;": "&amp;INDEX(Dati!$AL$1:$AL$1000,MATCH($A6,Dati!$A$1:$A$1000,0))&amp;" · ",""))-3)),""))</f>
        <v/>
      </c>
      <c r="L6" s="55" t="str">
        <f aca="false">IF($B6="","",IFERROR(IF((IF(INDEX(Dati!$DO$1:$DO$1000,MATCH($A6,Dati!$A$1:$A$1000,0))&gt;0,Dati!$AM$3&amp;": "&amp;INDEX(Dati!$AM$1:$AM$1000,MATCH($A6,Dati!$A$1:$A$1000,0))&amp;" · ","")&amp;IF(INDEX(Dati!$DP$1:$DP$1000,MATCH($A6,Dati!$A$1:$A$1000,0))&gt;0,Dati!$AN$3&amp;": "&amp;INDEX(Dati!$AN$1:$AN$1000,MATCH($A6,Dati!$A$1:$A$1000,0))&amp;" · ","")&amp;IF(INDEX(Dati!$DQ$1:$DQ$1000,MATCH($A6,Dati!$A$1:$A$1000,0))&gt;0,Dati!$AO$3&amp;": "&amp;INDEX(Dati!$AO$1:$AO$1000,MATCH($A6,Dati!$A$1:$A$1000,0))&amp;" · ","")&amp;IF(INDEX(Dati!$DR$1:$DR$1000,MATCH($A6,Dati!$A$1:$A$1000,0))&gt;0,Dati!$AP$3&amp;": "&amp;INDEX(Dati!$AP$1:$AP$1000,MATCH($A6,Dati!$A$1:$A$1000,0))&amp;" · ",""))="",IF(INDEX(Dati!$FP$1:$FP$1000,MATCH($A6,Dati!$A$1:$A$1000,0))=1,"AS da recuperare",""),LEFT(IF(INDEX(Dati!$DO$1:$DO$1000,MATCH($A6,Dati!$A$1:$A$1000,0))&gt;0,Dati!$AM$3&amp;": "&amp;INDEX(Dati!$AM$1:$AM$1000,MATCH($A6,Dati!$A$1:$A$1000,0))&amp;" · ","")&amp;IF(INDEX(Dati!$DP$1:$DP$1000,MATCH($A6,Dati!$A$1:$A$1000,0))&gt;0,Dati!$AN$3&amp;": "&amp;INDEX(Dati!$AN$1:$AN$1000,MATCH($A6,Dati!$A$1:$A$1000,0))&amp;" · ","")&amp;IF(INDEX(Dati!$DQ$1:$DQ$1000,MATCH($A6,Dati!$A$1:$A$1000,0))&gt;0,Dati!$AO$3&amp;": "&amp;INDEX(Dati!$AO$1:$AO$1000,MATCH($A6,Dati!$A$1:$A$1000,0))&amp;" · ","")&amp;IF(INDEX(Dati!$DR$1:$DR$1000,MATCH($A6,Dati!$A$1:$A$1000,0))&gt;0,Dati!$AP$3&amp;": "&amp;INDEX(Dati!$AP$1:$AP$1000,MATCH($A6,Dati!$A$1:$A$1000,0))&amp;" · ",""),LEN(IF(INDEX(Dati!$DO$1:$DO$1000,MATCH($A6,Dati!$A$1:$A$1000,0))&gt;0,Dati!$AM$3&amp;": "&amp;INDEX(Dati!$AM$1:$AM$1000,MATCH($A6,Dati!$A$1:$A$1000,0))&amp;" · ","")&amp;IF(INDEX(Dati!$DP$1:$DP$1000,MATCH($A6,Dati!$A$1:$A$1000,0))&gt;0,Dati!$AN$3&amp;": "&amp;INDEX(Dati!$AN$1:$AN$1000,MATCH($A6,Dati!$A$1:$A$1000,0))&amp;" · ","")&amp;IF(INDEX(Dati!$DQ$1:$DQ$1000,MATCH($A6,Dati!$A$1:$A$1000,0))&gt;0,Dati!$AO$3&amp;": "&amp;INDEX(Dati!$AO$1:$AO$1000,MATCH($A6,Dati!$A$1:$A$1000,0))&amp;" · ","")&amp;IF(INDEX(Dati!$DR$1:$DR$1000,MATCH($A6,Dati!$A$1:$A$1000,0))&gt;0,Dati!$AP$3&amp;": "&amp;INDEX(Dati!$AP$1:$AP$1000,MATCH($A6,Dati!$A$1:$A$1000,0))&amp;" · ",""))-3)),""))</f>
        <v/>
      </c>
      <c r="M6" s="55" t="str">
        <f aca="false">IF($B6="","",IFERROR(IF((IF(INDEX(Dati!$DS$1:$DS$1000,MATCH($A6,Dati!$A$1:$A$1000,0))&gt;0,Dati!$AQ$3&amp;": "&amp;INDEX(Dati!$AQ$1:$AQ$1000,MATCH($A6,Dati!$A$1:$A$1000,0))&amp;" · ","")&amp;IF(INDEX(Dati!$DT$1:$DT$1000,MATCH($A6,Dati!$A$1:$A$1000,0))&gt;0,Dati!$AR$3&amp;": "&amp;INDEX(Dati!$AR$1:$AR$1000,MATCH($A6,Dati!$A$1:$A$1000,0))&amp;" · ","")&amp;IF(INDEX(Dati!$DU$1:$DU$1000,MATCH($A6,Dati!$A$1:$A$1000,0))&gt;0,Dati!$AS$3&amp;": "&amp;INDEX(Dati!$AS$1:$AS$1000,MATCH($A6,Dati!$A$1:$A$1000,0))&amp;" · ","")&amp;IF(INDEX(Dati!$DV$1:$DV$1000,MATCH($A6,Dati!$A$1:$A$1000,0))&gt;0,Dati!$AT$3&amp;": "&amp;INDEX(Dati!$AT$1:$AT$1000,MATCH($A6,Dati!$A$1:$A$1000,0))&amp;" · ",""))="",IF(INDEX(Dati!$FQ$1:$FQ$1000,MATCH($A6,Dati!$A$1:$A$1000,0))=1,"AS da recuperare",""),LEFT(IF(INDEX(Dati!$DS$1:$DS$1000,MATCH($A6,Dati!$A$1:$A$1000,0))&gt;0,Dati!$AQ$3&amp;": "&amp;INDEX(Dati!$AQ$1:$AQ$1000,MATCH($A6,Dati!$A$1:$A$1000,0))&amp;" · ","")&amp;IF(INDEX(Dati!$DT$1:$DT$1000,MATCH($A6,Dati!$A$1:$A$1000,0))&gt;0,Dati!$AR$3&amp;": "&amp;INDEX(Dati!$AR$1:$AR$1000,MATCH($A6,Dati!$A$1:$A$1000,0))&amp;" · ","")&amp;IF(INDEX(Dati!$DU$1:$DU$1000,MATCH($A6,Dati!$A$1:$A$1000,0))&gt;0,Dati!$AS$3&amp;": "&amp;INDEX(Dati!$AS$1:$AS$1000,MATCH($A6,Dati!$A$1:$A$1000,0))&amp;" · ","")&amp;IF(INDEX(Dati!$DV$1:$DV$1000,MATCH($A6,Dati!$A$1:$A$1000,0))&gt;0,Dati!$AT$3&amp;": "&amp;INDEX(Dati!$AT$1:$AT$1000,MATCH($A6,Dati!$A$1:$A$1000,0))&amp;" · ",""),LEN(IF(INDEX(Dati!$DS$1:$DS$1000,MATCH($A6,Dati!$A$1:$A$1000,0))&gt;0,Dati!$AQ$3&amp;": "&amp;INDEX(Dati!$AQ$1:$AQ$1000,MATCH($A6,Dati!$A$1:$A$1000,0))&amp;" · ","")&amp;IF(INDEX(Dati!$DT$1:$DT$1000,MATCH($A6,Dati!$A$1:$A$1000,0))&gt;0,Dati!$AR$3&amp;": "&amp;INDEX(Dati!$AR$1:$AR$1000,MATCH($A6,Dati!$A$1:$A$1000,0))&amp;" · ","")&amp;IF(INDEX(Dati!$DU$1:$DU$1000,MATCH($A6,Dati!$A$1:$A$1000,0))&gt;0,Dati!$AS$3&amp;": "&amp;INDEX(Dati!$AS$1:$AS$1000,MATCH($A6,Dati!$A$1:$A$1000,0))&amp;" · ","")&amp;IF(INDEX(Dati!$DV$1:$DV$1000,MATCH($A6,Dati!$A$1:$A$1000,0))&gt;0,Dati!$AT$3&amp;": "&amp;INDEX(Dati!$AT$1:$AT$1000,MATCH($A6,Dati!$A$1:$A$1000,0))&amp;" · ",""))-3)),""))</f>
        <v/>
      </c>
      <c r="N6" s="55" t="str">
        <f aca="false">IF($B6="","",IFERROR(IF((IF(INDEX(Dati!$DW$1:$DW$1000,MATCH($A6,Dati!$A$1:$A$1000,0))&gt;0,Dati!$AU$3&amp;": "&amp;INDEX(Dati!$AU$1:$AU$1000,MATCH($A6,Dati!$A$1:$A$1000,0))&amp;" · ","")&amp;IF(INDEX(Dati!$DX$1:$DX$1000,MATCH($A6,Dati!$A$1:$A$1000,0))&gt;0,Dati!$AV$3&amp;": "&amp;INDEX(Dati!$AV$1:$AV$1000,MATCH($A6,Dati!$A$1:$A$1000,0))&amp;" · ","")&amp;IF(INDEX(Dati!$DY$1:$DY$1000,MATCH($A6,Dati!$A$1:$A$1000,0))&gt;0,Dati!$AW$3&amp;": "&amp;INDEX(Dati!$AW$1:$AW$1000,MATCH($A6,Dati!$A$1:$A$1000,0))&amp;" · ","")&amp;IF(INDEX(Dati!$DZ$1:$DZ$1000,MATCH($A6,Dati!$A$1:$A$1000,0))&gt;0,Dati!$AX$3&amp;": "&amp;INDEX(Dati!$AX$1:$AX$1000,MATCH($A6,Dati!$A$1:$A$1000,0))&amp;" · ",""))="",IF(INDEX(Dati!$FR$1:$FR$1000,MATCH($A6,Dati!$A$1:$A$1000,0))=1,"AS da recuperare",""),LEFT(IF(INDEX(Dati!$DW$1:$DW$1000,MATCH($A6,Dati!$A$1:$A$1000,0))&gt;0,Dati!$AU$3&amp;": "&amp;INDEX(Dati!$AU$1:$AU$1000,MATCH($A6,Dati!$A$1:$A$1000,0))&amp;" · ","")&amp;IF(INDEX(Dati!$DX$1:$DX$1000,MATCH($A6,Dati!$A$1:$A$1000,0))&gt;0,Dati!$AV$3&amp;": "&amp;INDEX(Dati!$AV$1:$AV$1000,MATCH($A6,Dati!$A$1:$A$1000,0))&amp;" · ","")&amp;IF(INDEX(Dati!$DY$1:$DY$1000,MATCH($A6,Dati!$A$1:$A$1000,0))&gt;0,Dati!$AW$3&amp;": "&amp;INDEX(Dati!$AW$1:$AW$1000,MATCH($A6,Dati!$A$1:$A$1000,0))&amp;" · ","")&amp;IF(INDEX(Dati!$DZ$1:$DZ$1000,MATCH($A6,Dati!$A$1:$A$1000,0))&gt;0,Dati!$AX$3&amp;": "&amp;INDEX(Dati!$AX$1:$AX$1000,MATCH($A6,Dati!$A$1:$A$1000,0))&amp;" · ",""),LEN(IF(INDEX(Dati!$DW$1:$DW$1000,MATCH($A6,Dati!$A$1:$A$1000,0))&gt;0,Dati!$AU$3&amp;": "&amp;INDEX(Dati!$AU$1:$AU$1000,MATCH($A6,Dati!$A$1:$A$1000,0))&amp;" · ","")&amp;IF(INDEX(Dati!$DX$1:$DX$1000,MATCH($A6,Dati!$A$1:$A$1000,0))&gt;0,Dati!$AV$3&amp;": "&amp;INDEX(Dati!$AV$1:$AV$1000,MATCH($A6,Dati!$A$1:$A$1000,0))&amp;" · ","")&amp;IF(INDEX(Dati!$DY$1:$DY$1000,MATCH($A6,Dati!$A$1:$A$1000,0))&gt;0,Dati!$AW$3&amp;": "&amp;INDEX(Dati!$AW$1:$AW$1000,MATCH($A6,Dati!$A$1:$A$1000,0))&amp;" · ","")&amp;IF(INDEX(Dati!$DZ$1:$DZ$1000,MATCH($A6,Dati!$A$1:$A$1000,0))&gt;0,Dati!$AX$3&amp;": "&amp;INDEX(Dati!$AX$1:$AX$1000,MATCH($A6,Dati!$A$1:$A$1000,0))&amp;" · ",""))-3)),""))</f>
        <v/>
      </c>
      <c r="O6" s="55" t="str">
        <f aca="false">IF($B6="","",IFERROR(IF((IF(INDEX(Dati!$EA$1:$EA$1000,MATCH($A6,Dati!$A$1:$A$1000,0))&gt;0,Dati!$AY$3&amp;": "&amp;INDEX(Dati!$AY$1:$AY$1000,MATCH($A6,Dati!$A$1:$A$1000,0))&amp;" · ","")&amp;IF(INDEX(Dati!$EB$1:$EB$1000,MATCH($A6,Dati!$A$1:$A$1000,0))&gt;0,Dati!$AZ$3&amp;": "&amp;INDEX(Dati!$AZ$1:$AZ$1000,MATCH($A6,Dati!$A$1:$A$1000,0))&amp;" · ","")&amp;IF(INDEX(Dati!$EC$1:$EC$1000,MATCH($A6,Dati!$A$1:$A$1000,0))&gt;0,Dati!$BA$3&amp;": "&amp;INDEX(Dati!$BA$1:$BA$1000,MATCH($A6,Dati!$A$1:$A$1000,0))&amp;" · ","")&amp;IF(INDEX(Dati!$ED$1:$ED$1000,MATCH($A6,Dati!$A$1:$A$1000,0))&gt;0,Dati!$BB$3&amp;": "&amp;INDEX(Dati!$BB$1:$BB$1000,MATCH($A6,Dati!$A$1:$A$1000,0))&amp;" · ",""))="",IF(INDEX(Dati!$FS$1:$FS$1000,MATCH($A6,Dati!$A$1:$A$1000,0))=1,"AS da recuperare",""),LEFT(IF(INDEX(Dati!$EA$1:$EA$1000,MATCH($A6,Dati!$A$1:$A$1000,0))&gt;0,Dati!$AY$3&amp;": "&amp;INDEX(Dati!$AY$1:$AY$1000,MATCH($A6,Dati!$A$1:$A$1000,0))&amp;" · ","")&amp;IF(INDEX(Dati!$EB$1:$EB$1000,MATCH($A6,Dati!$A$1:$A$1000,0))&gt;0,Dati!$AZ$3&amp;": "&amp;INDEX(Dati!$AZ$1:$AZ$1000,MATCH($A6,Dati!$A$1:$A$1000,0))&amp;" · ","")&amp;IF(INDEX(Dati!$EC$1:$EC$1000,MATCH($A6,Dati!$A$1:$A$1000,0))&gt;0,Dati!$BA$3&amp;": "&amp;INDEX(Dati!$BA$1:$BA$1000,MATCH($A6,Dati!$A$1:$A$1000,0))&amp;" · ","")&amp;IF(INDEX(Dati!$ED$1:$ED$1000,MATCH($A6,Dati!$A$1:$A$1000,0))&gt;0,Dati!$BB$3&amp;": "&amp;INDEX(Dati!$BB$1:$BB$1000,MATCH($A6,Dati!$A$1:$A$1000,0))&amp;" · ",""),LEN(IF(INDEX(Dati!$EA$1:$EA$1000,MATCH($A6,Dati!$A$1:$A$1000,0))&gt;0,Dati!$AY$3&amp;": "&amp;INDEX(Dati!$AY$1:$AY$1000,MATCH($A6,Dati!$A$1:$A$1000,0))&amp;" · ","")&amp;IF(INDEX(Dati!$EB$1:$EB$1000,MATCH($A6,Dati!$A$1:$A$1000,0))&gt;0,Dati!$AZ$3&amp;": "&amp;INDEX(Dati!$AZ$1:$AZ$1000,MATCH($A6,Dati!$A$1:$A$1000,0))&amp;" · ","")&amp;IF(INDEX(Dati!$EC$1:$EC$1000,MATCH($A6,Dati!$A$1:$A$1000,0))&gt;0,Dati!$BA$3&amp;": "&amp;INDEX(Dati!$BA$1:$BA$1000,MATCH($A6,Dati!$A$1:$A$1000,0))&amp;" · ","")&amp;IF(INDEX(Dati!$ED$1:$ED$1000,MATCH($A6,Dati!$A$1:$A$1000,0))&gt;0,Dati!$BB$3&amp;": "&amp;INDEX(Dati!$BB$1:$BB$1000,MATCH($A6,Dati!$A$1:$A$1000,0))&amp;" · ",""))-3)),""))</f>
        <v/>
      </c>
      <c r="P6" s="55" t="str">
        <f aca="false">IF($B6="","",IFERROR(IF((IF(INDEX(Dati!$EE$1:$EE$1000,MATCH($A6,Dati!$A$1:$A$1000,0))&gt;0,Dati!$BC$3&amp;": "&amp;INDEX(Dati!$BC$1:$BC$1000,MATCH($A6,Dati!$A$1:$A$1000,0))&amp;" · ","")&amp;IF(INDEX(Dati!$EF$1:$EF$1000,MATCH($A6,Dati!$A$1:$A$1000,0))&gt;0,Dati!$BD$3&amp;": "&amp;INDEX(Dati!$BD$1:$BD$1000,MATCH($A6,Dati!$A$1:$A$1000,0))&amp;" · ","")&amp;IF(INDEX(Dati!$EG$1:$EG$1000,MATCH($A6,Dati!$A$1:$A$1000,0))&gt;0,Dati!$BE$3&amp;": "&amp;INDEX(Dati!$BE$1:$BE$1000,MATCH($A6,Dati!$A$1:$A$1000,0))&amp;" · ","")&amp;IF(INDEX(Dati!$EH$1:$EH$1000,MATCH($A6,Dati!$A$1:$A$1000,0))&gt;0,Dati!$BF$3&amp;": "&amp;INDEX(Dati!$BF$1:$BF$1000,MATCH($A6,Dati!$A$1:$A$1000,0))&amp;" · ",""))="",IF(INDEX(Dati!$FT$1:$FT$1000,MATCH($A6,Dati!$A$1:$A$1000,0))=1,"AS da recuperare",""),LEFT(IF(INDEX(Dati!$EE$1:$EE$1000,MATCH($A6,Dati!$A$1:$A$1000,0))&gt;0,Dati!$BC$3&amp;": "&amp;INDEX(Dati!$BC$1:$BC$1000,MATCH($A6,Dati!$A$1:$A$1000,0))&amp;" · ","")&amp;IF(INDEX(Dati!$EF$1:$EF$1000,MATCH($A6,Dati!$A$1:$A$1000,0))&gt;0,Dati!$BD$3&amp;": "&amp;INDEX(Dati!$BD$1:$BD$1000,MATCH($A6,Dati!$A$1:$A$1000,0))&amp;" · ","")&amp;IF(INDEX(Dati!$EG$1:$EG$1000,MATCH($A6,Dati!$A$1:$A$1000,0))&gt;0,Dati!$BE$3&amp;": "&amp;INDEX(Dati!$BE$1:$BE$1000,MATCH($A6,Dati!$A$1:$A$1000,0))&amp;" · ","")&amp;IF(INDEX(Dati!$EH$1:$EH$1000,MATCH($A6,Dati!$A$1:$A$1000,0))&gt;0,Dati!$BF$3&amp;": "&amp;INDEX(Dati!$BF$1:$BF$1000,MATCH($A6,Dati!$A$1:$A$1000,0))&amp;" · ",""),LEN(IF(INDEX(Dati!$EE$1:$EE$1000,MATCH($A6,Dati!$A$1:$A$1000,0))&gt;0,Dati!$BC$3&amp;": "&amp;INDEX(Dati!$BC$1:$BC$1000,MATCH($A6,Dati!$A$1:$A$1000,0))&amp;" · ","")&amp;IF(INDEX(Dati!$EF$1:$EF$1000,MATCH($A6,Dati!$A$1:$A$1000,0))&gt;0,Dati!$BD$3&amp;": "&amp;INDEX(Dati!$BD$1:$BD$1000,MATCH($A6,Dati!$A$1:$A$1000,0))&amp;" · ","")&amp;IF(INDEX(Dati!$EG$1:$EG$1000,MATCH($A6,Dati!$A$1:$A$1000,0))&gt;0,Dati!$BE$3&amp;": "&amp;INDEX(Dati!$BE$1:$BE$1000,MATCH($A6,Dati!$A$1:$A$1000,0))&amp;" · ","")&amp;IF(INDEX(Dati!$EH$1:$EH$1000,MATCH($A6,Dati!$A$1:$A$1000,0))&gt;0,Dati!$BF$3&amp;": "&amp;INDEX(Dati!$BF$1:$BF$1000,MATCH($A6,Dati!$A$1:$A$1000,0))&amp;" · ",""))-3)),""))</f>
        <v/>
      </c>
      <c r="Q6" s="55" t="str">
        <f aca="false">IF($B6="","",IFERROR(IF((IF(INDEX(Dati!$EI$1:$EI$1000,MATCH($A6,Dati!$A$1:$A$1000,0))&gt;0,Dati!$BG$3&amp;": "&amp;INDEX(Dati!$BG$1:$BG$1000,MATCH($A6,Dati!$A$1:$A$1000,0))&amp;" · ","")&amp;IF(INDEX(Dati!$EJ$1:$EJ$1000,MATCH($A6,Dati!$A$1:$A$1000,0))&gt;0,Dati!$BH$3&amp;": "&amp;INDEX(Dati!$BH$1:$BH$1000,MATCH($A6,Dati!$A$1:$A$1000,0))&amp;" · ","")&amp;IF(INDEX(Dati!$EK$1:$EK$1000,MATCH($A6,Dati!$A$1:$A$1000,0))&gt;0,Dati!$BI$3&amp;": "&amp;INDEX(Dati!$BI$1:$BI$1000,MATCH($A6,Dati!$A$1:$A$1000,0))&amp;" · ","")&amp;IF(INDEX(Dati!$EL$1:$EL$1000,MATCH($A6,Dati!$A$1:$A$1000,0))&gt;0,Dati!$BJ$3&amp;": "&amp;INDEX(Dati!$BJ$1:$BJ$1000,MATCH($A6,Dati!$A$1:$A$1000,0))&amp;" · ",""))="",IF(INDEX(Dati!$FU$1:$FU$1000,MATCH($A6,Dati!$A$1:$A$1000,0))=1,"AS da recuperare",""),LEFT(IF(INDEX(Dati!$EI$1:$EI$1000,MATCH($A6,Dati!$A$1:$A$1000,0))&gt;0,Dati!$BG$3&amp;": "&amp;INDEX(Dati!$BG$1:$BG$1000,MATCH($A6,Dati!$A$1:$A$1000,0))&amp;" · ","")&amp;IF(INDEX(Dati!$EJ$1:$EJ$1000,MATCH($A6,Dati!$A$1:$A$1000,0))&gt;0,Dati!$BH$3&amp;": "&amp;INDEX(Dati!$BH$1:$BH$1000,MATCH($A6,Dati!$A$1:$A$1000,0))&amp;" · ","")&amp;IF(INDEX(Dati!$EK$1:$EK$1000,MATCH($A6,Dati!$A$1:$A$1000,0))&gt;0,Dati!$BI$3&amp;": "&amp;INDEX(Dati!$BI$1:$BI$1000,MATCH($A6,Dati!$A$1:$A$1000,0))&amp;" · ","")&amp;IF(INDEX(Dati!$EL$1:$EL$1000,MATCH($A6,Dati!$A$1:$A$1000,0))&gt;0,Dati!$BJ$3&amp;": "&amp;INDEX(Dati!$BJ$1:$BJ$1000,MATCH($A6,Dati!$A$1:$A$1000,0))&amp;" · ",""),LEN(IF(INDEX(Dati!$EI$1:$EI$1000,MATCH($A6,Dati!$A$1:$A$1000,0))&gt;0,Dati!$BG$3&amp;": "&amp;INDEX(Dati!$BG$1:$BG$1000,MATCH($A6,Dati!$A$1:$A$1000,0))&amp;" · ","")&amp;IF(INDEX(Dati!$EJ$1:$EJ$1000,MATCH($A6,Dati!$A$1:$A$1000,0))&gt;0,Dati!$BH$3&amp;": "&amp;INDEX(Dati!$BH$1:$BH$1000,MATCH($A6,Dati!$A$1:$A$1000,0))&amp;" · ","")&amp;IF(INDEX(Dati!$EK$1:$EK$1000,MATCH($A6,Dati!$A$1:$A$1000,0))&gt;0,Dati!$BI$3&amp;": "&amp;INDEX(Dati!$BI$1:$BI$1000,MATCH($A6,Dati!$A$1:$A$1000,0))&amp;" · ","")&amp;IF(INDEX(Dati!$EL$1:$EL$1000,MATCH($A6,Dati!$A$1:$A$1000,0))&gt;0,Dati!$BJ$3&amp;": "&amp;INDEX(Dati!$BJ$1:$BJ$1000,MATCH($A6,Dati!$A$1:$A$1000,0))&amp;" · ",""))-3)),""))</f>
        <v/>
      </c>
      <c r="R6" s="55" t="str">
        <f aca="false">IF($B6="","",IFERROR(IF((IF(INDEX(Dati!$EM$1:$EM$1000,MATCH($A6,Dati!$A$1:$A$1000,0))&gt;0,Dati!$BK$3&amp;": "&amp;INDEX(Dati!$BK$1:$BK$1000,MATCH($A6,Dati!$A$1:$A$1000,0))&amp;" · ","")&amp;IF(INDEX(Dati!$EN$1:$EN$1000,MATCH($A6,Dati!$A$1:$A$1000,0))&gt;0,Dati!$BL$3&amp;": "&amp;INDEX(Dati!$BL$1:$BL$1000,MATCH($A6,Dati!$A$1:$A$1000,0))&amp;" · ","")&amp;IF(INDEX(Dati!$EO$1:$EO$1000,MATCH($A6,Dati!$A$1:$A$1000,0))&gt;0,Dati!$BM$3&amp;": "&amp;INDEX(Dati!$BM$1:$BM$1000,MATCH($A6,Dati!$A$1:$A$1000,0))&amp;" · ","")&amp;IF(INDEX(Dati!$EP$1:$EP$1000,MATCH($A6,Dati!$A$1:$A$1000,0))&gt;0,Dati!$BN$3&amp;": "&amp;INDEX(Dati!$BN$1:$BN$1000,MATCH($A6,Dati!$A$1:$A$1000,0))&amp;" · ",""))="",IF(INDEX(Dati!$FV$1:$FV$1000,MATCH($A6,Dati!$A$1:$A$1000,0))=1,"AS da recuperare",""),LEFT(IF(INDEX(Dati!$EM$1:$EM$1000,MATCH($A6,Dati!$A$1:$A$1000,0))&gt;0,Dati!$BK$3&amp;": "&amp;INDEX(Dati!$BK$1:$BK$1000,MATCH($A6,Dati!$A$1:$A$1000,0))&amp;" · ","")&amp;IF(INDEX(Dati!$EN$1:$EN$1000,MATCH($A6,Dati!$A$1:$A$1000,0))&gt;0,Dati!$BL$3&amp;": "&amp;INDEX(Dati!$BL$1:$BL$1000,MATCH($A6,Dati!$A$1:$A$1000,0))&amp;" · ","")&amp;IF(INDEX(Dati!$EO$1:$EO$1000,MATCH($A6,Dati!$A$1:$A$1000,0))&gt;0,Dati!$BM$3&amp;": "&amp;INDEX(Dati!$BM$1:$BM$1000,MATCH($A6,Dati!$A$1:$A$1000,0))&amp;" · ","")&amp;IF(INDEX(Dati!$EP$1:$EP$1000,MATCH($A6,Dati!$A$1:$A$1000,0))&gt;0,Dati!$BN$3&amp;": "&amp;INDEX(Dati!$BN$1:$BN$1000,MATCH($A6,Dati!$A$1:$A$1000,0))&amp;" · ",""),LEN(IF(INDEX(Dati!$EM$1:$EM$1000,MATCH($A6,Dati!$A$1:$A$1000,0))&gt;0,Dati!$BK$3&amp;": "&amp;INDEX(Dati!$BK$1:$BK$1000,MATCH($A6,Dati!$A$1:$A$1000,0))&amp;" · ","")&amp;IF(INDEX(Dati!$EN$1:$EN$1000,MATCH($A6,Dati!$A$1:$A$1000,0))&gt;0,Dati!$BL$3&amp;": "&amp;INDEX(Dati!$BL$1:$BL$1000,MATCH($A6,Dati!$A$1:$A$1000,0))&amp;" · ","")&amp;IF(INDEX(Dati!$EO$1:$EO$1000,MATCH($A6,Dati!$A$1:$A$1000,0))&gt;0,Dati!$BM$3&amp;": "&amp;INDEX(Dati!$BM$1:$BM$1000,MATCH($A6,Dati!$A$1:$A$1000,0))&amp;" · ","")&amp;IF(INDEX(Dati!$EP$1:$EP$1000,MATCH($A6,Dati!$A$1:$A$1000,0))&gt;0,Dati!$BN$3&amp;": "&amp;INDEX(Dati!$BN$1:$BN$1000,MATCH($A6,Dati!$A$1:$A$1000,0))&amp;" · ",""))-3)),""))</f>
        <v/>
      </c>
      <c r="S6" s="55" t="str">
        <f aca="false">IF($B6="","",IFERROR(IF((IF(INDEX(Dati!$EQ$1:$EQ$1000,MATCH($A6,Dati!$A$1:$A$1000,0))&gt;0,Dati!$BO$3&amp;": "&amp;INDEX(Dati!$BO$1:$BO$1000,MATCH($A6,Dati!$A$1:$A$1000,0))&amp;" · ","")&amp;IF(INDEX(Dati!$ER$1:$ER$1000,MATCH($A6,Dati!$A$1:$A$1000,0))&gt;0,Dati!$BP$3&amp;": "&amp;INDEX(Dati!$BP$1:$BP$1000,MATCH($A6,Dati!$A$1:$A$1000,0))&amp;" · ","")&amp;IF(INDEX(Dati!$ES$1:$ES$1000,MATCH($A6,Dati!$A$1:$A$1000,0))&gt;0,Dati!$BQ$3&amp;": "&amp;INDEX(Dati!$BQ$1:$BQ$1000,MATCH($A6,Dati!$A$1:$A$1000,0))&amp;" · ","")&amp;IF(INDEX(Dati!$ET$1:$ET$1000,MATCH($A6,Dati!$A$1:$A$1000,0))&gt;0,Dati!$BR$3&amp;": "&amp;INDEX(Dati!$BR$1:$BR$1000,MATCH($A6,Dati!$A$1:$A$1000,0))&amp;" · ",""))="",IF(INDEX(Dati!$FW$1:$FW$1000,MATCH($A6,Dati!$A$1:$A$1000,0))=1,"AS da recuperare",""),LEFT(IF(INDEX(Dati!$EQ$1:$EQ$1000,MATCH($A6,Dati!$A$1:$A$1000,0))&gt;0,Dati!$BO$3&amp;": "&amp;INDEX(Dati!$BO$1:$BO$1000,MATCH($A6,Dati!$A$1:$A$1000,0))&amp;" · ","")&amp;IF(INDEX(Dati!$ER$1:$ER$1000,MATCH($A6,Dati!$A$1:$A$1000,0))&gt;0,Dati!$BP$3&amp;": "&amp;INDEX(Dati!$BP$1:$BP$1000,MATCH($A6,Dati!$A$1:$A$1000,0))&amp;" · ","")&amp;IF(INDEX(Dati!$ES$1:$ES$1000,MATCH($A6,Dati!$A$1:$A$1000,0))&gt;0,Dati!$BQ$3&amp;": "&amp;INDEX(Dati!$BQ$1:$BQ$1000,MATCH($A6,Dati!$A$1:$A$1000,0))&amp;" · ","")&amp;IF(INDEX(Dati!$ET$1:$ET$1000,MATCH($A6,Dati!$A$1:$A$1000,0))&gt;0,Dati!$BR$3&amp;": "&amp;INDEX(Dati!$BR$1:$BR$1000,MATCH($A6,Dati!$A$1:$A$1000,0))&amp;" · ",""),LEN(IF(INDEX(Dati!$EQ$1:$EQ$1000,MATCH($A6,Dati!$A$1:$A$1000,0))&gt;0,Dati!$BO$3&amp;": "&amp;INDEX(Dati!$BO$1:$BO$1000,MATCH($A6,Dati!$A$1:$A$1000,0))&amp;" · ","")&amp;IF(INDEX(Dati!$ER$1:$ER$1000,MATCH($A6,Dati!$A$1:$A$1000,0))&gt;0,Dati!$BP$3&amp;": "&amp;INDEX(Dati!$BP$1:$BP$1000,MATCH($A6,Dati!$A$1:$A$1000,0))&amp;" · ","")&amp;IF(INDEX(Dati!$ES$1:$ES$1000,MATCH($A6,Dati!$A$1:$A$1000,0))&gt;0,Dati!$BQ$3&amp;": "&amp;INDEX(Dati!$BQ$1:$BQ$1000,MATCH($A6,Dati!$A$1:$A$1000,0))&amp;" · ","")&amp;IF(INDEX(Dati!$ET$1:$ET$1000,MATCH($A6,Dati!$A$1:$A$1000,0))&gt;0,Dati!$BR$3&amp;": "&amp;INDEX(Dati!$BR$1:$BR$1000,MATCH($A6,Dati!$A$1:$A$1000,0))&amp;" · ",""))-3)),""))</f>
        <v/>
      </c>
      <c r="T6" s="55" t="str">
        <f aca="false">IF($B6="","",IFERROR(IF((IF(INDEX(Dati!$EU$1:$EU$1000,MATCH($A6,Dati!$A$1:$A$1000,0))&gt;0,Dati!$BS$3&amp;": "&amp;INDEX(Dati!$BS$1:$BS$1000,MATCH($A6,Dati!$A$1:$A$1000,0))&amp;" · ","")&amp;IF(INDEX(Dati!$EV$1:$EV$1000,MATCH($A6,Dati!$A$1:$A$1000,0))&gt;0,Dati!$BT$3&amp;": "&amp;INDEX(Dati!$BT$1:$BT$1000,MATCH($A6,Dati!$A$1:$A$1000,0))&amp;" · ","")&amp;IF(INDEX(Dati!$EW$1:$EW$1000,MATCH($A6,Dati!$A$1:$A$1000,0))&gt;0,Dati!$BU$3&amp;": "&amp;INDEX(Dati!$BU$1:$BU$1000,MATCH($A6,Dati!$A$1:$A$1000,0))&amp;" · ","")&amp;IF(INDEX(Dati!$EX$1:$EX$1000,MATCH($A6,Dati!$A$1:$A$1000,0))&gt;0,Dati!$BV$3&amp;": "&amp;INDEX(Dati!$BV$1:$BV$1000,MATCH($A6,Dati!$A$1:$A$1000,0))&amp;" · ",""))="",IF(INDEX(Dati!$FX$1:$FX$1000,MATCH($A6,Dati!$A$1:$A$1000,0))=1,"AS da recuperare",""),LEFT(IF(INDEX(Dati!$EU$1:$EU$1000,MATCH($A6,Dati!$A$1:$A$1000,0))&gt;0,Dati!$BS$3&amp;": "&amp;INDEX(Dati!$BS$1:$BS$1000,MATCH($A6,Dati!$A$1:$A$1000,0))&amp;" · ","")&amp;IF(INDEX(Dati!$EV$1:$EV$1000,MATCH($A6,Dati!$A$1:$A$1000,0))&gt;0,Dati!$BT$3&amp;": "&amp;INDEX(Dati!$BT$1:$BT$1000,MATCH($A6,Dati!$A$1:$A$1000,0))&amp;" · ","")&amp;IF(INDEX(Dati!$EW$1:$EW$1000,MATCH($A6,Dati!$A$1:$A$1000,0))&gt;0,Dati!$BU$3&amp;": "&amp;INDEX(Dati!$BU$1:$BU$1000,MATCH($A6,Dati!$A$1:$A$1000,0))&amp;" · ","")&amp;IF(INDEX(Dati!$EX$1:$EX$1000,MATCH($A6,Dati!$A$1:$A$1000,0))&gt;0,Dati!$BV$3&amp;": "&amp;INDEX(Dati!$BV$1:$BV$1000,MATCH($A6,Dati!$A$1:$A$1000,0))&amp;" · ",""),LEN(IF(INDEX(Dati!$EU$1:$EU$1000,MATCH($A6,Dati!$A$1:$A$1000,0))&gt;0,Dati!$BS$3&amp;": "&amp;INDEX(Dati!$BS$1:$BS$1000,MATCH($A6,Dati!$A$1:$A$1000,0))&amp;" · ","")&amp;IF(INDEX(Dati!$EV$1:$EV$1000,MATCH($A6,Dati!$A$1:$A$1000,0))&gt;0,Dati!$BT$3&amp;": "&amp;INDEX(Dati!$BT$1:$BT$1000,MATCH($A6,Dati!$A$1:$A$1000,0))&amp;" · ","")&amp;IF(INDEX(Dati!$EW$1:$EW$1000,MATCH($A6,Dati!$A$1:$A$1000,0))&gt;0,Dati!$BU$3&amp;": "&amp;INDEX(Dati!$BU$1:$BU$1000,MATCH($A6,Dati!$A$1:$A$1000,0))&amp;" · ","")&amp;IF(INDEX(Dati!$EX$1:$EX$1000,MATCH($A6,Dati!$A$1:$A$1000,0))&gt;0,Dati!$BV$3&amp;": "&amp;INDEX(Dati!$BV$1:$BV$1000,MATCH($A6,Dati!$A$1:$A$1000,0))&amp;" · ",""))-3)),""))</f>
        <v/>
      </c>
      <c r="U6" s="55" t="str">
        <f aca="false">IF($B6="","",IFERROR(IF((IF(INDEX(Dati!$EY$1:$EY$1000,MATCH($A6,Dati!$A$1:$A$1000,0))&gt;0,Dati!$BW$3&amp;": "&amp;INDEX(Dati!$BW$1:$BW$1000,MATCH($A6,Dati!$A$1:$A$1000,0))&amp;" · ","")&amp;IF(INDEX(Dati!$EZ$1:$EZ$1000,MATCH($A6,Dati!$A$1:$A$1000,0))&gt;0,Dati!$BX$3&amp;": "&amp;INDEX(Dati!$BX$1:$BX$1000,MATCH($A6,Dati!$A$1:$A$1000,0))&amp;" · ","")&amp;IF(INDEX(Dati!$FA$1:$FA$1000,MATCH($A6,Dati!$A$1:$A$1000,0))&gt;0,Dati!$BY$3&amp;": "&amp;INDEX(Dati!$BY$1:$BY$1000,MATCH($A6,Dati!$A$1:$A$1000,0))&amp;" · ","")&amp;IF(INDEX(Dati!$FB$1:$FB$1000,MATCH($A6,Dati!$A$1:$A$1000,0))&gt;0,Dati!$BZ$3&amp;": "&amp;INDEX(Dati!$BZ$1:$BZ$1000,MATCH($A6,Dati!$A$1:$A$1000,0))&amp;" · ",""))="",IF(INDEX(Dati!$FY$1:$FY$1000,MATCH($A6,Dati!$A$1:$A$1000,0))=1,"AS da recuperare",""),LEFT(IF(INDEX(Dati!$EY$1:$EY$1000,MATCH($A6,Dati!$A$1:$A$1000,0))&gt;0,Dati!$BW$3&amp;": "&amp;INDEX(Dati!$BW$1:$BW$1000,MATCH($A6,Dati!$A$1:$A$1000,0))&amp;" · ","")&amp;IF(INDEX(Dati!$EZ$1:$EZ$1000,MATCH($A6,Dati!$A$1:$A$1000,0))&gt;0,Dati!$BX$3&amp;": "&amp;INDEX(Dati!$BX$1:$BX$1000,MATCH($A6,Dati!$A$1:$A$1000,0))&amp;" · ","")&amp;IF(INDEX(Dati!$FA$1:$FA$1000,MATCH($A6,Dati!$A$1:$A$1000,0))&gt;0,Dati!$BY$3&amp;": "&amp;INDEX(Dati!$BY$1:$BY$1000,MATCH($A6,Dati!$A$1:$A$1000,0))&amp;" · ","")&amp;IF(INDEX(Dati!$FB$1:$FB$1000,MATCH($A6,Dati!$A$1:$A$1000,0))&gt;0,Dati!$BZ$3&amp;": "&amp;INDEX(Dati!$BZ$1:$BZ$1000,MATCH($A6,Dati!$A$1:$A$1000,0))&amp;" · ",""),LEN(IF(INDEX(Dati!$EY$1:$EY$1000,MATCH($A6,Dati!$A$1:$A$1000,0))&gt;0,Dati!$BW$3&amp;": "&amp;INDEX(Dati!$BW$1:$BW$1000,MATCH($A6,Dati!$A$1:$A$1000,0))&amp;" · ","")&amp;IF(INDEX(Dati!$EZ$1:$EZ$1000,MATCH($A6,Dati!$A$1:$A$1000,0))&gt;0,Dati!$BX$3&amp;": "&amp;INDEX(Dati!$BX$1:$BX$1000,MATCH($A6,Dati!$A$1:$A$1000,0))&amp;" · ","")&amp;IF(INDEX(Dati!$FA$1:$FA$1000,MATCH($A6,Dati!$A$1:$A$1000,0))&gt;0,Dati!$BY$3&amp;": "&amp;INDEX(Dati!$BY$1:$BY$1000,MATCH($A6,Dati!$A$1:$A$1000,0))&amp;" · ","")&amp;IF(INDEX(Dati!$FB$1:$FB$1000,MATCH($A6,Dati!$A$1:$A$1000,0))&gt;0,Dati!$BZ$3&amp;": "&amp;INDEX(Dati!$BZ$1:$BZ$1000,MATCH($A6,Dati!$A$1:$A$1000,0))&amp;" · ",""))-3)),""))</f>
        <v/>
      </c>
      <c r="V6" s="55" t="str">
        <f aca="false">IF($B6="","",IFERROR(IF((IF(INDEX(Dati!$FC$1:$FC$1000,MATCH($A6,Dati!$A$1:$A$1000,0))&gt;0,Dati!$CA$3&amp;": "&amp;INDEX(Dati!$CA$1:$CA$1000,MATCH($A6,Dati!$A$1:$A$1000,0))&amp;" · ","")&amp;IF(INDEX(Dati!$FD$1:$FD$1000,MATCH($A6,Dati!$A$1:$A$1000,0))&gt;0,Dati!$CB$3&amp;": "&amp;INDEX(Dati!$CB$1:$CB$1000,MATCH($A6,Dati!$A$1:$A$1000,0))&amp;" · ","")&amp;IF(INDEX(Dati!$FE$1:$FE$1000,MATCH($A6,Dati!$A$1:$A$1000,0))&gt;0,Dati!$CC$3&amp;": "&amp;INDEX(Dati!$CC$1:$CC$1000,MATCH($A6,Dati!$A$1:$A$1000,0))&amp;" · ","")&amp;IF(INDEX(Dati!$FF$1:$FF$1000,MATCH($A6,Dati!$A$1:$A$1000,0))&gt;0,Dati!$CD$3&amp;": "&amp;INDEX(Dati!$CD$1:$CD$1000,MATCH($A6,Dati!$A$1:$A$1000,0))&amp;" · ",""))="",IF(INDEX(Dati!$FZ$1:$FZ$1000,MATCH($A6,Dati!$A$1:$A$1000,0))=1,"AS da recuperare",""),LEFT(IF(INDEX(Dati!$FC$1:$FC$1000,MATCH($A6,Dati!$A$1:$A$1000,0))&gt;0,Dati!$CA$3&amp;": "&amp;INDEX(Dati!$CA$1:$CA$1000,MATCH($A6,Dati!$A$1:$A$1000,0))&amp;" · ","")&amp;IF(INDEX(Dati!$FD$1:$FD$1000,MATCH($A6,Dati!$A$1:$A$1000,0))&gt;0,Dati!$CB$3&amp;": "&amp;INDEX(Dati!$CB$1:$CB$1000,MATCH($A6,Dati!$A$1:$A$1000,0))&amp;" · ","")&amp;IF(INDEX(Dati!$FE$1:$FE$1000,MATCH($A6,Dati!$A$1:$A$1000,0))&gt;0,Dati!$CC$3&amp;": "&amp;INDEX(Dati!$CC$1:$CC$1000,MATCH($A6,Dati!$A$1:$A$1000,0))&amp;" · ","")&amp;IF(INDEX(Dati!$FF$1:$FF$1000,MATCH($A6,Dati!$A$1:$A$1000,0))&gt;0,Dati!$CD$3&amp;": "&amp;INDEX(Dati!$CD$1:$CD$1000,MATCH($A6,Dati!$A$1:$A$1000,0))&amp;" · ",""),LEN(IF(INDEX(Dati!$FC$1:$FC$1000,MATCH($A6,Dati!$A$1:$A$1000,0))&gt;0,Dati!$CA$3&amp;": "&amp;INDEX(Dati!$CA$1:$CA$1000,MATCH($A6,Dati!$A$1:$A$1000,0))&amp;" · ","")&amp;IF(INDEX(Dati!$FD$1:$FD$1000,MATCH($A6,Dati!$A$1:$A$1000,0))&gt;0,Dati!$CB$3&amp;": "&amp;INDEX(Dati!$CB$1:$CB$1000,MATCH($A6,Dati!$A$1:$A$1000,0))&amp;" · ","")&amp;IF(INDEX(Dati!$FE$1:$FE$1000,MATCH($A6,Dati!$A$1:$A$1000,0))&gt;0,Dati!$CC$3&amp;": "&amp;INDEX(Dati!$CC$1:$CC$1000,MATCH($A6,Dati!$A$1:$A$1000,0))&amp;" · ","")&amp;IF(INDEX(Dati!$FF$1:$FF$1000,MATCH($A6,Dati!$A$1:$A$1000,0))&gt;0,Dati!$CD$3&amp;": "&amp;INDEX(Dati!$CD$1:$CD$1000,MATCH($A6,Dati!$A$1:$A$1000,0))&amp;" · ",""))-3)),""))</f>
        <v/>
      </c>
    </row>
    <row r="7" customFormat="false" ht="19.5" hidden="false" customHeight="true" outlineLevel="0" collapsed="false">
      <c r="A7" s="10" t="n">
        <v>3</v>
      </c>
      <c r="B7" s="16" t="str">
        <f aca="false">IFERROR(INDEX(Alunni!$C$1:$C$1000,MATCH($A7,Alunni!$A$1:$A$1000,0))&amp;"","")</f>
        <v>Verdi Luca (esempio)</v>
      </c>
      <c r="C7" s="55" t="str">
        <f aca="false">IF($B7="","",IFERROR(IF((IF(INDEX(Dati!$CE$1:$CE$1000,MATCH($A7,Dati!$A$1:$A$1000,0))&gt;0,Dati!$C$3&amp;": "&amp;INDEX(Dati!$C$1:$C$1000,MATCH($A7,Dati!$A$1:$A$1000,0))&amp;" · ","")&amp;IF(INDEX(Dati!$CF$1:$CF$1000,MATCH($A7,Dati!$A$1:$A$1000,0))&gt;0,Dati!$D$3&amp;": "&amp;INDEX(Dati!$D$1:$D$1000,MATCH($A7,Dati!$A$1:$A$1000,0))&amp;" · ","")&amp;IF(INDEX(Dati!$CG$1:$CG$1000,MATCH($A7,Dati!$A$1:$A$1000,0))&gt;0,Dati!$E$3&amp;": "&amp;INDEX(Dati!$E$1:$E$1000,MATCH($A7,Dati!$A$1:$A$1000,0))&amp;" · ","")&amp;IF(INDEX(Dati!$CH$1:$CH$1000,MATCH($A7,Dati!$A$1:$A$1000,0))&gt;0,Dati!$F$3&amp;": "&amp;INDEX(Dati!$F$1:$F$1000,MATCH($A7,Dati!$A$1:$A$1000,0))&amp;" · ",""))="",IF(INDEX(Dati!$FG$1:$FG$1000,MATCH($A7,Dati!$A$1:$A$1000,0))=1,"AS da recuperare",""),LEFT(IF(INDEX(Dati!$CE$1:$CE$1000,MATCH($A7,Dati!$A$1:$A$1000,0))&gt;0,Dati!$C$3&amp;": "&amp;INDEX(Dati!$C$1:$C$1000,MATCH($A7,Dati!$A$1:$A$1000,0))&amp;" · ","")&amp;IF(INDEX(Dati!$CF$1:$CF$1000,MATCH($A7,Dati!$A$1:$A$1000,0))&gt;0,Dati!$D$3&amp;": "&amp;INDEX(Dati!$D$1:$D$1000,MATCH($A7,Dati!$A$1:$A$1000,0))&amp;" · ","")&amp;IF(INDEX(Dati!$CG$1:$CG$1000,MATCH($A7,Dati!$A$1:$A$1000,0))&gt;0,Dati!$E$3&amp;": "&amp;INDEX(Dati!$E$1:$E$1000,MATCH($A7,Dati!$A$1:$A$1000,0))&amp;" · ","")&amp;IF(INDEX(Dati!$CH$1:$CH$1000,MATCH($A7,Dati!$A$1:$A$1000,0))&gt;0,Dati!$F$3&amp;": "&amp;INDEX(Dati!$F$1:$F$1000,MATCH($A7,Dati!$A$1:$A$1000,0))&amp;" · ",""),LEN(IF(INDEX(Dati!$CE$1:$CE$1000,MATCH($A7,Dati!$A$1:$A$1000,0))&gt;0,Dati!$C$3&amp;": "&amp;INDEX(Dati!$C$1:$C$1000,MATCH($A7,Dati!$A$1:$A$1000,0))&amp;" · ","")&amp;IF(INDEX(Dati!$CF$1:$CF$1000,MATCH($A7,Dati!$A$1:$A$1000,0))&gt;0,Dati!$D$3&amp;": "&amp;INDEX(Dati!$D$1:$D$1000,MATCH($A7,Dati!$A$1:$A$1000,0))&amp;" · ","")&amp;IF(INDEX(Dati!$CG$1:$CG$1000,MATCH($A7,Dati!$A$1:$A$1000,0))&gt;0,Dati!$E$3&amp;": "&amp;INDEX(Dati!$E$1:$E$1000,MATCH($A7,Dati!$A$1:$A$1000,0))&amp;" · ","")&amp;IF(INDEX(Dati!$CH$1:$CH$1000,MATCH($A7,Dati!$A$1:$A$1000,0))&gt;0,Dati!$F$3&amp;": "&amp;INDEX(Dati!$F$1:$F$1000,MATCH($A7,Dati!$A$1:$A$1000,0))&amp;" · ",""))-3)),""))</f>
        <v/>
      </c>
      <c r="D7" s="55" t="str">
        <f aca="false">IF($B7="","",IFERROR(IF((IF(INDEX(Dati!$CI$1:$CI$1000,MATCH($A7,Dati!$A$1:$A$1000,0))&gt;0,Dati!$G$3&amp;": "&amp;INDEX(Dati!$G$1:$G$1000,MATCH($A7,Dati!$A$1:$A$1000,0))&amp;" · ","")&amp;IF(INDEX(Dati!$CJ$1:$CJ$1000,MATCH($A7,Dati!$A$1:$A$1000,0))&gt;0,Dati!$H$3&amp;": "&amp;INDEX(Dati!$H$1:$H$1000,MATCH($A7,Dati!$A$1:$A$1000,0))&amp;" · ","")&amp;IF(INDEX(Dati!$CK$1:$CK$1000,MATCH($A7,Dati!$A$1:$A$1000,0))&gt;0,Dati!$I$3&amp;": "&amp;INDEX(Dati!$I$1:$I$1000,MATCH($A7,Dati!$A$1:$A$1000,0))&amp;" · ","")&amp;IF(INDEX(Dati!$CL$1:$CL$1000,MATCH($A7,Dati!$A$1:$A$1000,0))&gt;0,Dati!$J$3&amp;": "&amp;INDEX(Dati!$J$1:$J$1000,MATCH($A7,Dati!$A$1:$A$1000,0))&amp;" · ",""))="",IF(INDEX(Dati!$FH$1:$FH$1000,MATCH($A7,Dati!$A$1:$A$1000,0))=1,"AS da recuperare",""),LEFT(IF(INDEX(Dati!$CI$1:$CI$1000,MATCH($A7,Dati!$A$1:$A$1000,0))&gt;0,Dati!$G$3&amp;": "&amp;INDEX(Dati!$G$1:$G$1000,MATCH($A7,Dati!$A$1:$A$1000,0))&amp;" · ","")&amp;IF(INDEX(Dati!$CJ$1:$CJ$1000,MATCH($A7,Dati!$A$1:$A$1000,0))&gt;0,Dati!$H$3&amp;": "&amp;INDEX(Dati!$H$1:$H$1000,MATCH($A7,Dati!$A$1:$A$1000,0))&amp;" · ","")&amp;IF(INDEX(Dati!$CK$1:$CK$1000,MATCH($A7,Dati!$A$1:$A$1000,0))&gt;0,Dati!$I$3&amp;": "&amp;INDEX(Dati!$I$1:$I$1000,MATCH($A7,Dati!$A$1:$A$1000,0))&amp;" · ","")&amp;IF(INDEX(Dati!$CL$1:$CL$1000,MATCH($A7,Dati!$A$1:$A$1000,0))&gt;0,Dati!$J$3&amp;": "&amp;INDEX(Dati!$J$1:$J$1000,MATCH($A7,Dati!$A$1:$A$1000,0))&amp;" · ",""),LEN(IF(INDEX(Dati!$CI$1:$CI$1000,MATCH($A7,Dati!$A$1:$A$1000,0))&gt;0,Dati!$G$3&amp;": "&amp;INDEX(Dati!$G$1:$G$1000,MATCH($A7,Dati!$A$1:$A$1000,0))&amp;" · ","")&amp;IF(INDEX(Dati!$CJ$1:$CJ$1000,MATCH($A7,Dati!$A$1:$A$1000,0))&gt;0,Dati!$H$3&amp;": "&amp;INDEX(Dati!$H$1:$H$1000,MATCH($A7,Dati!$A$1:$A$1000,0))&amp;" · ","")&amp;IF(INDEX(Dati!$CK$1:$CK$1000,MATCH($A7,Dati!$A$1:$A$1000,0))&gt;0,Dati!$I$3&amp;": "&amp;INDEX(Dati!$I$1:$I$1000,MATCH($A7,Dati!$A$1:$A$1000,0))&amp;" · ","")&amp;IF(INDEX(Dati!$CL$1:$CL$1000,MATCH($A7,Dati!$A$1:$A$1000,0))&gt;0,Dati!$J$3&amp;": "&amp;INDEX(Dati!$J$1:$J$1000,MATCH($A7,Dati!$A$1:$A$1000,0))&amp;" · ",""))-3)),""))</f>
        <v/>
      </c>
      <c r="E7" s="55" t="str">
        <f aca="false">IF($B7="","",IFERROR(IF((IF(INDEX(Dati!$CM$1:$CM$1000,MATCH($A7,Dati!$A$1:$A$1000,0))&gt;0,Dati!$K$3&amp;": "&amp;INDEX(Dati!$K$1:$K$1000,MATCH($A7,Dati!$A$1:$A$1000,0))&amp;" · ","")&amp;IF(INDEX(Dati!$CN$1:$CN$1000,MATCH($A7,Dati!$A$1:$A$1000,0))&gt;0,Dati!$L$3&amp;": "&amp;INDEX(Dati!$L$1:$L$1000,MATCH($A7,Dati!$A$1:$A$1000,0))&amp;" · ","")&amp;IF(INDEX(Dati!$CO$1:$CO$1000,MATCH($A7,Dati!$A$1:$A$1000,0))&gt;0,Dati!$M$3&amp;": "&amp;INDEX(Dati!$M$1:$M$1000,MATCH($A7,Dati!$A$1:$A$1000,0))&amp;" · ","")&amp;IF(INDEX(Dati!$CP$1:$CP$1000,MATCH($A7,Dati!$A$1:$A$1000,0))&gt;0,Dati!$N$3&amp;": "&amp;INDEX(Dati!$N$1:$N$1000,MATCH($A7,Dati!$A$1:$A$1000,0))&amp;" · ",""))="",IF(INDEX(Dati!$FI$1:$FI$1000,MATCH($A7,Dati!$A$1:$A$1000,0))=1,"AS da recuperare",""),LEFT(IF(INDEX(Dati!$CM$1:$CM$1000,MATCH($A7,Dati!$A$1:$A$1000,0))&gt;0,Dati!$K$3&amp;": "&amp;INDEX(Dati!$K$1:$K$1000,MATCH($A7,Dati!$A$1:$A$1000,0))&amp;" · ","")&amp;IF(INDEX(Dati!$CN$1:$CN$1000,MATCH($A7,Dati!$A$1:$A$1000,0))&gt;0,Dati!$L$3&amp;": "&amp;INDEX(Dati!$L$1:$L$1000,MATCH($A7,Dati!$A$1:$A$1000,0))&amp;" · ","")&amp;IF(INDEX(Dati!$CO$1:$CO$1000,MATCH($A7,Dati!$A$1:$A$1000,0))&gt;0,Dati!$M$3&amp;": "&amp;INDEX(Dati!$M$1:$M$1000,MATCH($A7,Dati!$A$1:$A$1000,0))&amp;" · ","")&amp;IF(INDEX(Dati!$CP$1:$CP$1000,MATCH($A7,Dati!$A$1:$A$1000,0))&gt;0,Dati!$N$3&amp;": "&amp;INDEX(Dati!$N$1:$N$1000,MATCH($A7,Dati!$A$1:$A$1000,0))&amp;" · ",""),LEN(IF(INDEX(Dati!$CM$1:$CM$1000,MATCH($A7,Dati!$A$1:$A$1000,0))&gt;0,Dati!$K$3&amp;": "&amp;INDEX(Dati!$K$1:$K$1000,MATCH($A7,Dati!$A$1:$A$1000,0))&amp;" · ","")&amp;IF(INDEX(Dati!$CN$1:$CN$1000,MATCH($A7,Dati!$A$1:$A$1000,0))&gt;0,Dati!$L$3&amp;": "&amp;INDEX(Dati!$L$1:$L$1000,MATCH($A7,Dati!$A$1:$A$1000,0))&amp;" · ","")&amp;IF(INDEX(Dati!$CO$1:$CO$1000,MATCH($A7,Dati!$A$1:$A$1000,0))&gt;0,Dati!$M$3&amp;": "&amp;INDEX(Dati!$M$1:$M$1000,MATCH($A7,Dati!$A$1:$A$1000,0))&amp;" · ","")&amp;IF(INDEX(Dati!$CP$1:$CP$1000,MATCH($A7,Dati!$A$1:$A$1000,0))&gt;0,Dati!$N$3&amp;": "&amp;INDEX(Dati!$N$1:$N$1000,MATCH($A7,Dati!$A$1:$A$1000,0))&amp;" · ",""))-3)),""))</f>
        <v/>
      </c>
      <c r="F7" s="55" t="str">
        <f aca="false">IF($B7="","",IFERROR(IF((IF(INDEX(Dati!$CQ$1:$CQ$1000,MATCH($A7,Dati!$A$1:$A$1000,0))&gt;0,Dati!$O$3&amp;": "&amp;INDEX(Dati!$O$1:$O$1000,MATCH($A7,Dati!$A$1:$A$1000,0))&amp;" · ","")&amp;IF(INDEX(Dati!$CR$1:$CR$1000,MATCH($A7,Dati!$A$1:$A$1000,0))&gt;0,Dati!$P$3&amp;": "&amp;INDEX(Dati!$P$1:$P$1000,MATCH($A7,Dati!$A$1:$A$1000,0))&amp;" · ","")&amp;IF(INDEX(Dati!$CS$1:$CS$1000,MATCH($A7,Dati!$A$1:$A$1000,0))&gt;0,Dati!$Q$3&amp;": "&amp;INDEX(Dati!$Q$1:$Q$1000,MATCH($A7,Dati!$A$1:$A$1000,0))&amp;" · ","")&amp;IF(INDEX(Dati!$CT$1:$CT$1000,MATCH($A7,Dati!$A$1:$A$1000,0))&gt;0,Dati!$R$3&amp;": "&amp;INDEX(Dati!$R$1:$R$1000,MATCH($A7,Dati!$A$1:$A$1000,0))&amp;" · ",""))="",IF(INDEX(Dati!$FJ$1:$FJ$1000,MATCH($A7,Dati!$A$1:$A$1000,0))=1,"AS da recuperare",""),LEFT(IF(INDEX(Dati!$CQ$1:$CQ$1000,MATCH($A7,Dati!$A$1:$A$1000,0))&gt;0,Dati!$O$3&amp;": "&amp;INDEX(Dati!$O$1:$O$1000,MATCH($A7,Dati!$A$1:$A$1000,0))&amp;" · ","")&amp;IF(INDEX(Dati!$CR$1:$CR$1000,MATCH($A7,Dati!$A$1:$A$1000,0))&gt;0,Dati!$P$3&amp;": "&amp;INDEX(Dati!$P$1:$P$1000,MATCH($A7,Dati!$A$1:$A$1000,0))&amp;" · ","")&amp;IF(INDEX(Dati!$CS$1:$CS$1000,MATCH($A7,Dati!$A$1:$A$1000,0))&gt;0,Dati!$Q$3&amp;": "&amp;INDEX(Dati!$Q$1:$Q$1000,MATCH($A7,Dati!$A$1:$A$1000,0))&amp;" · ","")&amp;IF(INDEX(Dati!$CT$1:$CT$1000,MATCH($A7,Dati!$A$1:$A$1000,0))&gt;0,Dati!$R$3&amp;": "&amp;INDEX(Dati!$R$1:$R$1000,MATCH($A7,Dati!$A$1:$A$1000,0))&amp;" · ",""),LEN(IF(INDEX(Dati!$CQ$1:$CQ$1000,MATCH($A7,Dati!$A$1:$A$1000,0))&gt;0,Dati!$O$3&amp;": "&amp;INDEX(Dati!$O$1:$O$1000,MATCH($A7,Dati!$A$1:$A$1000,0))&amp;" · ","")&amp;IF(INDEX(Dati!$CR$1:$CR$1000,MATCH($A7,Dati!$A$1:$A$1000,0))&gt;0,Dati!$P$3&amp;": "&amp;INDEX(Dati!$P$1:$P$1000,MATCH($A7,Dati!$A$1:$A$1000,0))&amp;" · ","")&amp;IF(INDEX(Dati!$CS$1:$CS$1000,MATCH($A7,Dati!$A$1:$A$1000,0))&gt;0,Dati!$Q$3&amp;": "&amp;INDEX(Dati!$Q$1:$Q$1000,MATCH($A7,Dati!$A$1:$A$1000,0))&amp;" · ","")&amp;IF(INDEX(Dati!$CT$1:$CT$1000,MATCH($A7,Dati!$A$1:$A$1000,0))&gt;0,Dati!$R$3&amp;": "&amp;INDEX(Dati!$R$1:$R$1000,MATCH($A7,Dati!$A$1:$A$1000,0))&amp;" · ",""))-3)),""))</f>
        <v/>
      </c>
      <c r="G7" s="55" t="str">
        <f aca="false">IF($B7="","",IFERROR(IF((IF(INDEX(Dati!$CU$1:$CU$1000,MATCH($A7,Dati!$A$1:$A$1000,0))&gt;0,Dati!$S$3&amp;": "&amp;INDEX(Dati!$S$1:$S$1000,MATCH($A7,Dati!$A$1:$A$1000,0))&amp;" · ","")&amp;IF(INDEX(Dati!$CV$1:$CV$1000,MATCH($A7,Dati!$A$1:$A$1000,0))&gt;0,Dati!$T$3&amp;": "&amp;INDEX(Dati!$T$1:$T$1000,MATCH($A7,Dati!$A$1:$A$1000,0))&amp;" · ","")&amp;IF(INDEX(Dati!$CW$1:$CW$1000,MATCH($A7,Dati!$A$1:$A$1000,0))&gt;0,Dati!$U$3&amp;": "&amp;INDEX(Dati!$U$1:$U$1000,MATCH($A7,Dati!$A$1:$A$1000,0))&amp;" · ","")&amp;IF(INDEX(Dati!$CX$1:$CX$1000,MATCH($A7,Dati!$A$1:$A$1000,0))&gt;0,Dati!$V$3&amp;": "&amp;INDEX(Dati!$V$1:$V$1000,MATCH($A7,Dati!$A$1:$A$1000,0))&amp;" · ",""))="",IF(INDEX(Dati!$FK$1:$FK$1000,MATCH($A7,Dati!$A$1:$A$1000,0))=1,"AS da recuperare",""),LEFT(IF(INDEX(Dati!$CU$1:$CU$1000,MATCH($A7,Dati!$A$1:$A$1000,0))&gt;0,Dati!$S$3&amp;": "&amp;INDEX(Dati!$S$1:$S$1000,MATCH($A7,Dati!$A$1:$A$1000,0))&amp;" · ","")&amp;IF(INDEX(Dati!$CV$1:$CV$1000,MATCH($A7,Dati!$A$1:$A$1000,0))&gt;0,Dati!$T$3&amp;": "&amp;INDEX(Dati!$T$1:$T$1000,MATCH($A7,Dati!$A$1:$A$1000,0))&amp;" · ","")&amp;IF(INDEX(Dati!$CW$1:$CW$1000,MATCH($A7,Dati!$A$1:$A$1000,0))&gt;0,Dati!$U$3&amp;": "&amp;INDEX(Dati!$U$1:$U$1000,MATCH($A7,Dati!$A$1:$A$1000,0))&amp;" · ","")&amp;IF(INDEX(Dati!$CX$1:$CX$1000,MATCH($A7,Dati!$A$1:$A$1000,0))&gt;0,Dati!$V$3&amp;": "&amp;INDEX(Dati!$V$1:$V$1000,MATCH($A7,Dati!$A$1:$A$1000,0))&amp;" · ",""),LEN(IF(INDEX(Dati!$CU$1:$CU$1000,MATCH($A7,Dati!$A$1:$A$1000,0))&gt;0,Dati!$S$3&amp;": "&amp;INDEX(Dati!$S$1:$S$1000,MATCH($A7,Dati!$A$1:$A$1000,0))&amp;" · ","")&amp;IF(INDEX(Dati!$CV$1:$CV$1000,MATCH($A7,Dati!$A$1:$A$1000,0))&gt;0,Dati!$T$3&amp;": "&amp;INDEX(Dati!$T$1:$T$1000,MATCH($A7,Dati!$A$1:$A$1000,0))&amp;" · ","")&amp;IF(INDEX(Dati!$CW$1:$CW$1000,MATCH($A7,Dati!$A$1:$A$1000,0))&gt;0,Dati!$U$3&amp;": "&amp;INDEX(Dati!$U$1:$U$1000,MATCH($A7,Dati!$A$1:$A$1000,0))&amp;" · ","")&amp;IF(INDEX(Dati!$CX$1:$CX$1000,MATCH($A7,Dati!$A$1:$A$1000,0))&gt;0,Dati!$V$3&amp;": "&amp;INDEX(Dati!$V$1:$V$1000,MATCH($A7,Dati!$A$1:$A$1000,0))&amp;" · ",""))-3)),""))</f>
        <v/>
      </c>
      <c r="H7" s="55" t="str">
        <f aca="false">IF($B7="","",IFERROR(IF((IF(INDEX(Dati!$CY$1:$CY$1000,MATCH($A7,Dati!$A$1:$A$1000,0))&gt;0,Dati!$W$3&amp;": "&amp;INDEX(Dati!$W$1:$W$1000,MATCH($A7,Dati!$A$1:$A$1000,0))&amp;" · ","")&amp;IF(INDEX(Dati!$CZ$1:$CZ$1000,MATCH($A7,Dati!$A$1:$A$1000,0))&gt;0,Dati!$X$3&amp;": "&amp;INDEX(Dati!$X$1:$X$1000,MATCH($A7,Dati!$A$1:$A$1000,0))&amp;" · ","")&amp;IF(INDEX(Dati!$DA$1:$DA$1000,MATCH($A7,Dati!$A$1:$A$1000,0))&gt;0,Dati!$Y$3&amp;": "&amp;INDEX(Dati!$Y$1:$Y$1000,MATCH($A7,Dati!$A$1:$A$1000,0))&amp;" · ","")&amp;IF(INDEX(Dati!$DB$1:$DB$1000,MATCH($A7,Dati!$A$1:$A$1000,0))&gt;0,Dati!$Z$3&amp;": "&amp;INDEX(Dati!$Z$1:$Z$1000,MATCH($A7,Dati!$A$1:$A$1000,0))&amp;" · ",""))="",IF(INDEX(Dati!$FL$1:$FL$1000,MATCH($A7,Dati!$A$1:$A$1000,0))=1,"AS da recuperare",""),LEFT(IF(INDEX(Dati!$CY$1:$CY$1000,MATCH($A7,Dati!$A$1:$A$1000,0))&gt;0,Dati!$W$3&amp;": "&amp;INDEX(Dati!$W$1:$W$1000,MATCH($A7,Dati!$A$1:$A$1000,0))&amp;" · ","")&amp;IF(INDEX(Dati!$CZ$1:$CZ$1000,MATCH($A7,Dati!$A$1:$A$1000,0))&gt;0,Dati!$X$3&amp;": "&amp;INDEX(Dati!$X$1:$X$1000,MATCH($A7,Dati!$A$1:$A$1000,0))&amp;" · ","")&amp;IF(INDEX(Dati!$DA$1:$DA$1000,MATCH($A7,Dati!$A$1:$A$1000,0))&gt;0,Dati!$Y$3&amp;": "&amp;INDEX(Dati!$Y$1:$Y$1000,MATCH($A7,Dati!$A$1:$A$1000,0))&amp;" · ","")&amp;IF(INDEX(Dati!$DB$1:$DB$1000,MATCH($A7,Dati!$A$1:$A$1000,0))&gt;0,Dati!$Z$3&amp;": "&amp;INDEX(Dati!$Z$1:$Z$1000,MATCH($A7,Dati!$A$1:$A$1000,0))&amp;" · ",""),LEN(IF(INDEX(Dati!$CY$1:$CY$1000,MATCH($A7,Dati!$A$1:$A$1000,0))&gt;0,Dati!$W$3&amp;": "&amp;INDEX(Dati!$W$1:$W$1000,MATCH($A7,Dati!$A$1:$A$1000,0))&amp;" · ","")&amp;IF(INDEX(Dati!$CZ$1:$CZ$1000,MATCH($A7,Dati!$A$1:$A$1000,0))&gt;0,Dati!$X$3&amp;": "&amp;INDEX(Dati!$X$1:$X$1000,MATCH($A7,Dati!$A$1:$A$1000,0))&amp;" · ","")&amp;IF(INDEX(Dati!$DA$1:$DA$1000,MATCH($A7,Dati!$A$1:$A$1000,0))&gt;0,Dati!$Y$3&amp;": "&amp;INDEX(Dati!$Y$1:$Y$1000,MATCH($A7,Dati!$A$1:$A$1000,0))&amp;" · ","")&amp;IF(INDEX(Dati!$DB$1:$DB$1000,MATCH($A7,Dati!$A$1:$A$1000,0))&gt;0,Dati!$Z$3&amp;": "&amp;INDEX(Dati!$Z$1:$Z$1000,MATCH($A7,Dati!$A$1:$A$1000,0))&amp;" · ",""))-3)),""))</f>
        <v/>
      </c>
      <c r="I7" s="55" t="str">
        <f aca="false">IF($B7="","",IFERROR(IF((IF(INDEX(Dati!$DC$1:$DC$1000,MATCH($A7,Dati!$A$1:$A$1000,0))&gt;0,Dati!$AA$3&amp;": "&amp;INDEX(Dati!$AA$1:$AA$1000,MATCH($A7,Dati!$A$1:$A$1000,0))&amp;" · ","")&amp;IF(INDEX(Dati!$DD$1:$DD$1000,MATCH($A7,Dati!$A$1:$A$1000,0))&gt;0,Dati!$AB$3&amp;": "&amp;INDEX(Dati!$AB$1:$AB$1000,MATCH($A7,Dati!$A$1:$A$1000,0))&amp;" · ","")&amp;IF(INDEX(Dati!$DE$1:$DE$1000,MATCH($A7,Dati!$A$1:$A$1000,0))&gt;0,Dati!$AC$3&amp;": "&amp;INDEX(Dati!$AC$1:$AC$1000,MATCH($A7,Dati!$A$1:$A$1000,0))&amp;" · ","")&amp;IF(INDEX(Dati!$DF$1:$DF$1000,MATCH($A7,Dati!$A$1:$A$1000,0))&gt;0,Dati!$AD$3&amp;": "&amp;INDEX(Dati!$AD$1:$AD$1000,MATCH($A7,Dati!$A$1:$A$1000,0))&amp;" · ",""))="",IF(INDEX(Dati!$FM$1:$FM$1000,MATCH($A7,Dati!$A$1:$A$1000,0))=1,"AS da recuperare",""),LEFT(IF(INDEX(Dati!$DC$1:$DC$1000,MATCH($A7,Dati!$A$1:$A$1000,0))&gt;0,Dati!$AA$3&amp;": "&amp;INDEX(Dati!$AA$1:$AA$1000,MATCH($A7,Dati!$A$1:$A$1000,0))&amp;" · ","")&amp;IF(INDEX(Dati!$DD$1:$DD$1000,MATCH($A7,Dati!$A$1:$A$1000,0))&gt;0,Dati!$AB$3&amp;": "&amp;INDEX(Dati!$AB$1:$AB$1000,MATCH($A7,Dati!$A$1:$A$1000,0))&amp;" · ","")&amp;IF(INDEX(Dati!$DE$1:$DE$1000,MATCH($A7,Dati!$A$1:$A$1000,0))&gt;0,Dati!$AC$3&amp;": "&amp;INDEX(Dati!$AC$1:$AC$1000,MATCH($A7,Dati!$A$1:$A$1000,0))&amp;" · ","")&amp;IF(INDEX(Dati!$DF$1:$DF$1000,MATCH($A7,Dati!$A$1:$A$1000,0))&gt;0,Dati!$AD$3&amp;": "&amp;INDEX(Dati!$AD$1:$AD$1000,MATCH($A7,Dati!$A$1:$A$1000,0))&amp;" · ",""),LEN(IF(INDEX(Dati!$DC$1:$DC$1000,MATCH($A7,Dati!$A$1:$A$1000,0))&gt;0,Dati!$AA$3&amp;": "&amp;INDEX(Dati!$AA$1:$AA$1000,MATCH($A7,Dati!$A$1:$A$1000,0))&amp;" · ","")&amp;IF(INDEX(Dati!$DD$1:$DD$1000,MATCH($A7,Dati!$A$1:$A$1000,0))&gt;0,Dati!$AB$3&amp;": "&amp;INDEX(Dati!$AB$1:$AB$1000,MATCH($A7,Dati!$A$1:$A$1000,0))&amp;" · ","")&amp;IF(INDEX(Dati!$DE$1:$DE$1000,MATCH($A7,Dati!$A$1:$A$1000,0))&gt;0,Dati!$AC$3&amp;": "&amp;INDEX(Dati!$AC$1:$AC$1000,MATCH($A7,Dati!$A$1:$A$1000,0))&amp;" · ","")&amp;IF(INDEX(Dati!$DF$1:$DF$1000,MATCH($A7,Dati!$A$1:$A$1000,0))&gt;0,Dati!$AD$3&amp;": "&amp;INDEX(Dati!$AD$1:$AD$1000,MATCH($A7,Dati!$A$1:$A$1000,0))&amp;" · ",""))-3)),""))</f>
        <v/>
      </c>
      <c r="J7" s="55" t="str">
        <f aca="false">IF($B7="","",IFERROR(IF((IF(INDEX(Dati!$DG$1:$DG$1000,MATCH($A7,Dati!$A$1:$A$1000,0))&gt;0,Dati!$AE$3&amp;": "&amp;INDEX(Dati!$AE$1:$AE$1000,MATCH($A7,Dati!$A$1:$A$1000,0))&amp;" · ","")&amp;IF(INDEX(Dati!$DH$1:$DH$1000,MATCH($A7,Dati!$A$1:$A$1000,0))&gt;0,Dati!$AF$3&amp;": "&amp;INDEX(Dati!$AF$1:$AF$1000,MATCH($A7,Dati!$A$1:$A$1000,0))&amp;" · ","")&amp;IF(INDEX(Dati!$DI$1:$DI$1000,MATCH($A7,Dati!$A$1:$A$1000,0))&gt;0,Dati!$AG$3&amp;": "&amp;INDEX(Dati!$AG$1:$AG$1000,MATCH($A7,Dati!$A$1:$A$1000,0))&amp;" · ","")&amp;IF(INDEX(Dati!$DJ$1:$DJ$1000,MATCH($A7,Dati!$A$1:$A$1000,0))&gt;0,Dati!$AH$3&amp;": "&amp;INDEX(Dati!$AH$1:$AH$1000,MATCH($A7,Dati!$A$1:$A$1000,0))&amp;" · ",""))="",IF(INDEX(Dati!$FN$1:$FN$1000,MATCH($A7,Dati!$A$1:$A$1000,0))=1,"AS da recuperare",""),LEFT(IF(INDEX(Dati!$DG$1:$DG$1000,MATCH($A7,Dati!$A$1:$A$1000,0))&gt;0,Dati!$AE$3&amp;": "&amp;INDEX(Dati!$AE$1:$AE$1000,MATCH($A7,Dati!$A$1:$A$1000,0))&amp;" · ","")&amp;IF(INDEX(Dati!$DH$1:$DH$1000,MATCH($A7,Dati!$A$1:$A$1000,0))&gt;0,Dati!$AF$3&amp;": "&amp;INDEX(Dati!$AF$1:$AF$1000,MATCH($A7,Dati!$A$1:$A$1000,0))&amp;" · ","")&amp;IF(INDEX(Dati!$DI$1:$DI$1000,MATCH($A7,Dati!$A$1:$A$1000,0))&gt;0,Dati!$AG$3&amp;": "&amp;INDEX(Dati!$AG$1:$AG$1000,MATCH($A7,Dati!$A$1:$A$1000,0))&amp;" · ","")&amp;IF(INDEX(Dati!$DJ$1:$DJ$1000,MATCH($A7,Dati!$A$1:$A$1000,0))&gt;0,Dati!$AH$3&amp;": "&amp;INDEX(Dati!$AH$1:$AH$1000,MATCH($A7,Dati!$A$1:$A$1000,0))&amp;" · ",""),LEN(IF(INDEX(Dati!$DG$1:$DG$1000,MATCH($A7,Dati!$A$1:$A$1000,0))&gt;0,Dati!$AE$3&amp;": "&amp;INDEX(Dati!$AE$1:$AE$1000,MATCH($A7,Dati!$A$1:$A$1000,0))&amp;" · ","")&amp;IF(INDEX(Dati!$DH$1:$DH$1000,MATCH($A7,Dati!$A$1:$A$1000,0))&gt;0,Dati!$AF$3&amp;": "&amp;INDEX(Dati!$AF$1:$AF$1000,MATCH($A7,Dati!$A$1:$A$1000,0))&amp;" · ","")&amp;IF(INDEX(Dati!$DI$1:$DI$1000,MATCH($A7,Dati!$A$1:$A$1000,0))&gt;0,Dati!$AG$3&amp;": "&amp;INDEX(Dati!$AG$1:$AG$1000,MATCH($A7,Dati!$A$1:$A$1000,0))&amp;" · ","")&amp;IF(INDEX(Dati!$DJ$1:$DJ$1000,MATCH($A7,Dati!$A$1:$A$1000,0))&gt;0,Dati!$AH$3&amp;": "&amp;INDEX(Dati!$AH$1:$AH$1000,MATCH($A7,Dati!$A$1:$A$1000,0))&amp;" · ",""))-3)),""))</f>
        <v/>
      </c>
      <c r="K7" s="55" t="str">
        <f aca="false">IF($B7="","",IFERROR(IF((IF(INDEX(Dati!$DK$1:$DK$1000,MATCH($A7,Dati!$A$1:$A$1000,0))&gt;0,Dati!$AI$3&amp;": "&amp;INDEX(Dati!$AI$1:$AI$1000,MATCH($A7,Dati!$A$1:$A$1000,0))&amp;" · ","")&amp;IF(INDEX(Dati!$DL$1:$DL$1000,MATCH($A7,Dati!$A$1:$A$1000,0))&gt;0,Dati!$AJ$3&amp;": "&amp;INDEX(Dati!$AJ$1:$AJ$1000,MATCH($A7,Dati!$A$1:$A$1000,0))&amp;" · ","")&amp;IF(INDEX(Dati!$DM$1:$DM$1000,MATCH($A7,Dati!$A$1:$A$1000,0))&gt;0,Dati!$AK$3&amp;": "&amp;INDEX(Dati!$AK$1:$AK$1000,MATCH($A7,Dati!$A$1:$A$1000,0))&amp;" · ","")&amp;IF(INDEX(Dati!$DN$1:$DN$1000,MATCH($A7,Dati!$A$1:$A$1000,0))&gt;0,Dati!$AL$3&amp;": "&amp;INDEX(Dati!$AL$1:$AL$1000,MATCH($A7,Dati!$A$1:$A$1000,0))&amp;" · ",""))="",IF(INDEX(Dati!$FO$1:$FO$1000,MATCH($A7,Dati!$A$1:$A$1000,0))=1,"AS da recuperare",""),LEFT(IF(INDEX(Dati!$DK$1:$DK$1000,MATCH($A7,Dati!$A$1:$A$1000,0))&gt;0,Dati!$AI$3&amp;": "&amp;INDEX(Dati!$AI$1:$AI$1000,MATCH($A7,Dati!$A$1:$A$1000,0))&amp;" · ","")&amp;IF(INDEX(Dati!$DL$1:$DL$1000,MATCH($A7,Dati!$A$1:$A$1000,0))&gt;0,Dati!$AJ$3&amp;": "&amp;INDEX(Dati!$AJ$1:$AJ$1000,MATCH($A7,Dati!$A$1:$A$1000,0))&amp;" · ","")&amp;IF(INDEX(Dati!$DM$1:$DM$1000,MATCH($A7,Dati!$A$1:$A$1000,0))&gt;0,Dati!$AK$3&amp;": "&amp;INDEX(Dati!$AK$1:$AK$1000,MATCH($A7,Dati!$A$1:$A$1000,0))&amp;" · ","")&amp;IF(INDEX(Dati!$DN$1:$DN$1000,MATCH($A7,Dati!$A$1:$A$1000,0))&gt;0,Dati!$AL$3&amp;": "&amp;INDEX(Dati!$AL$1:$AL$1000,MATCH($A7,Dati!$A$1:$A$1000,0))&amp;" · ",""),LEN(IF(INDEX(Dati!$DK$1:$DK$1000,MATCH($A7,Dati!$A$1:$A$1000,0))&gt;0,Dati!$AI$3&amp;": "&amp;INDEX(Dati!$AI$1:$AI$1000,MATCH($A7,Dati!$A$1:$A$1000,0))&amp;" · ","")&amp;IF(INDEX(Dati!$DL$1:$DL$1000,MATCH($A7,Dati!$A$1:$A$1000,0))&gt;0,Dati!$AJ$3&amp;": "&amp;INDEX(Dati!$AJ$1:$AJ$1000,MATCH($A7,Dati!$A$1:$A$1000,0))&amp;" · ","")&amp;IF(INDEX(Dati!$DM$1:$DM$1000,MATCH($A7,Dati!$A$1:$A$1000,0))&gt;0,Dati!$AK$3&amp;": "&amp;INDEX(Dati!$AK$1:$AK$1000,MATCH($A7,Dati!$A$1:$A$1000,0))&amp;" · ","")&amp;IF(INDEX(Dati!$DN$1:$DN$1000,MATCH($A7,Dati!$A$1:$A$1000,0))&gt;0,Dati!$AL$3&amp;": "&amp;INDEX(Dati!$AL$1:$AL$1000,MATCH($A7,Dati!$A$1:$A$1000,0))&amp;" · ",""))-3)),""))</f>
        <v/>
      </c>
      <c r="L7" s="55" t="str">
        <f aca="false">IF($B7="","",IFERROR(IF((IF(INDEX(Dati!$DO$1:$DO$1000,MATCH($A7,Dati!$A$1:$A$1000,0))&gt;0,Dati!$AM$3&amp;": "&amp;INDEX(Dati!$AM$1:$AM$1000,MATCH($A7,Dati!$A$1:$A$1000,0))&amp;" · ","")&amp;IF(INDEX(Dati!$DP$1:$DP$1000,MATCH($A7,Dati!$A$1:$A$1000,0))&gt;0,Dati!$AN$3&amp;": "&amp;INDEX(Dati!$AN$1:$AN$1000,MATCH($A7,Dati!$A$1:$A$1000,0))&amp;" · ","")&amp;IF(INDEX(Dati!$DQ$1:$DQ$1000,MATCH($A7,Dati!$A$1:$A$1000,0))&gt;0,Dati!$AO$3&amp;": "&amp;INDEX(Dati!$AO$1:$AO$1000,MATCH($A7,Dati!$A$1:$A$1000,0))&amp;" · ","")&amp;IF(INDEX(Dati!$DR$1:$DR$1000,MATCH($A7,Dati!$A$1:$A$1000,0))&gt;0,Dati!$AP$3&amp;": "&amp;INDEX(Dati!$AP$1:$AP$1000,MATCH($A7,Dati!$A$1:$A$1000,0))&amp;" · ",""))="",IF(INDEX(Dati!$FP$1:$FP$1000,MATCH($A7,Dati!$A$1:$A$1000,0))=1,"AS da recuperare",""),LEFT(IF(INDEX(Dati!$DO$1:$DO$1000,MATCH($A7,Dati!$A$1:$A$1000,0))&gt;0,Dati!$AM$3&amp;": "&amp;INDEX(Dati!$AM$1:$AM$1000,MATCH($A7,Dati!$A$1:$A$1000,0))&amp;" · ","")&amp;IF(INDEX(Dati!$DP$1:$DP$1000,MATCH($A7,Dati!$A$1:$A$1000,0))&gt;0,Dati!$AN$3&amp;": "&amp;INDEX(Dati!$AN$1:$AN$1000,MATCH($A7,Dati!$A$1:$A$1000,0))&amp;" · ","")&amp;IF(INDEX(Dati!$DQ$1:$DQ$1000,MATCH($A7,Dati!$A$1:$A$1000,0))&gt;0,Dati!$AO$3&amp;": "&amp;INDEX(Dati!$AO$1:$AO$1000,MATCH($A7,Dati!$A$1:$A$1000,0))&amp;" · ","")&amp;IF(INDEX(Dati!$DR$1:$DR$1000,MATCH($A7,Dati!$A$1:$A$1000,0))&gt;0,Dati!$AP$3&amp;": "&amp;INDEX(Dati!$AP$1:$AP$1000,MATCH($A7,Dati!$A$1:$A$1000,0))&amp;" · ",""),LEN(IF(INDEX(Dati!$DO$1:$DO$1000,MATCH($A7,Dati!$A$1:$A$1000,0))&gt;0,Dati!$AM$3&amp;": "&amp;INDEX(Dati!$AM$1:$AM$1000,MATCH($A7,Dati!$A$1:$A$1000,0))&amp;" · ","")&amp;IF(INDEX(Dati!$DP$1:$DP$1000,MATCH($A7,Dati!$A$1:$A$1000,0))&gt;0,Dati!$AN$3&amp;": "&amp;INDEX(Dati!$AN$1:$AN$1000,MATCH($A7,Dati!$A$1:$A$1000,0))&amp;" · ","")&amp;IF(INDEX(Dati!$DQ$1:$DQ$1000,MATCH($A7,Dati!$A$1:$A$1000,0))&gt;0,Dati!$AO$3&amp;": "&amp;INDEX(Dati!$AO$1:$AO$1000,MATCH($A7,Dati!$A$1:$A$1000,0))&amp;" · ","")&amp;IF(INDEX(Dati!$DR$1:$DR$1000,MATCH($A7,Dati!$A$1:$A$1000,0))&gt;0,Dati!$AP$3&amp;": "&amp;INDEX(Dati!$AP$1:$AP$1000,MATCH($A7,Dati!$A$1:$A$1000,0))&amp;" · ",""))-3)),""))</f>
        <v/>
      </c>
      <c r="M7" s="55" t="str">
        <f aca="false">IF($B7="","",IFERROR(IF((IF(INDEX(Dati!$DS$1:$DS$1000,MATCH($A7,Dati!$A$1:$A$1000,0))&gt;0,Dati!$AQ$3&amp;": "&amp;INDEX(Dati!$AQ$1:$AQ$1000,MATCH($A7,Dati!$A$1:$A$1000,0))&amp;" · ","")&amp;IF(INDEX(Dati!$DT$1:$DT$1000,MATCH($A7,Dati!$A$1:$A$1000,0))&gt;0,Dati!$AR$3&amp;": "&amp;INDEX(Dati!$AR$1:$AR$1000,MATCH($A7,Dati!$A$1:$A$1000,0))&amp;" · ","")&amp;IF(INDEX(Dati!$DU$1:$DU$1000,MATCH($A7,Dati!$A$1:$A$1000,0))&gt;0,Dati!$AS$3&amp;": "&amp;INDEX(Dati!$AS$1:$AS$1000,MATCH($A7,Dati!$A$1:$A$1000,0))&amp;" · ","")&amp;IF(INDEX(Dati!$DV$1:$DV$1000,MATCH($A7,Dati!$A$1:$A$1000,0))&gt;0,Dati!$AT$3&amp;": "&amp;INDEX(Dati!$AT$1:$AT$1000,MATCH($A7,Dati!$A$1:$A$1000,0))&amp;" · ",""))="",IF(INDEX(Dati!$FQ$1:$FQ$1000,MATCH($A7,Dati!$A$1:$A$1000,0))=1,"AS da recuperare",""),LEFT(IF(INDEX(Dati!$DS$1:$DS$1000,MATCH($A7,Dati!$A$1:$A$1000,0))&gt;0,Dati!$AQ$3&amp;": "&amp;INDEX(Dati!$AQ$1:$AQ$1000,MATCH($A7,Dati!$A$1:$A$1000,0))&amp;" · ","")&amp;IF(INDEX(Dati!$DT$1:$DT$1000,MATCH($A7,Dati!$A$1:$A$1000,0))&gt;0,Dati!$AR$3&amp;": "&amp;INDEX(Dati!$AR$1:$AR$1000,MATCH($A7,Dati!$A$1:$A$1000,0))&amp;" · ","")&amp;IF(INDEX(Dati!$DU$1:$DU$1000,MATCH($A7,Dati!$A$1:$A$1000,0))&gt;0,Dati!$AS$3&amp;": "&amp;INDEX(Dati!$AS$1:$AS$1000,MATCH($A7,Dati!$A$1:$A$1000,0))&amp;" · ","")&amp;IF(INDEX(Dati!$DV$1:$DV$1000,MATCH($A7,Dati!$A$1:$A$1000,0))&gt;0,Dati!$AT$3&amp;": "&amp;INDEX(Dati!$AT$1:$AT$1000,MATCH($A7,Dati!$A$1:$A$1000,0))&amp;" · ",""),LEN(IF(INDEX(Dati!$DS$1:$DS$1000,MATCH($A7,Dati!$A$1:$A$1000,0))&gt;0,Dati!$AQ$3&amp;": "&amp;INDEX(Dati!$AQ$1:$AQ$1000,MATCH($A7,Dati!$A$1:$A$1000,0))&amp;" · ","")&amp;IF(INDEX(Dati!$DT$1:$DT$1000,MATCH($A7,Dati!$A$1:$A$1000,0))&gt;0,Dati!$AR$3&amp;": "&amp;INDEX(Dati!$AR$1:$AR$1000,MATCH($A7,Dati!$A$1:$A$1000,0))&amp;" · ","")&amp;IF(INDEX(Dati!$DU$1:$DU$1000,MATCH($A7,Dati!$A$1:$A$1000,0))&gt;0,Dati!$AS$3&amp;": "&amp;INDEX(Dati!$AS$1:$AS$1000,MATCH($A7,Dati!$A$1:$A$1000,0))&amp;" · ","")&amp;IF(INDEX(Dati!$DV$1:$DV$1000,MATCH($A7,Dati!$A$1:$A$1000,0))&gt;0,Dati!$AT$3&amp;": "&amp;INDEX(Dati!$AT$1:$AT$1000,MATCH($A7,Dati!$A$1:$A$1000,0))&amp;" · ",""))-3)),""))</f>
        <v/>
      </c>
      <c r="N7" s="55" t="str">
        <f aca="false">IF($B7="","",IFERROR(IF((IF(INDEX(Dati!$DW$1:$DW$1000,MATCH($A7,Dati!$A$1:$A$1000,0))&gt;0,Dati!$AU$3&amp;": "&amp;INDEX(Dati!$AU$1:$AU$1000,MATCH($A7,Dati!$A$1:$A$1000,0))&amp;" · ","")&amp;IF(INDEX(Dati!$DX$1:$DX$1000,MATCH($A7,Dati!$A$1:$A$1000,0))&gt;0,Dati!$AV$3&amp;": "&amp;INDEX(Dati!$AV$1:$AV$1000,MATCH($A7,Dati!$A$1:$A$1000,0))&amp;" · ","")&amp;IF(INDEX(Dati!$DY$1:$DY$1000,MATCH($A7,Dati!$A$1:$A$1000,0))&gt;0,Dati!$AW$3&amp;": "&amp;INDEX(Dati!$AW$1:$AW$1000,MATCH($A7,Dati!$A$1:$A$1000,0))&amp;" · ","")&amp;IF(INDEX(Dati!$DZ$1:$DZ$1000,MATCH($A7,Dati!$A$1:$A$1000,0))&gt;0,Dati!$AX$3&amp;": "&amp;INDEX(Dati!$AX$1:$AX$1000,MATCH($A7,Dati!$A$1:$A$1000,0))&amp;" · ",""))="",IF(INDEX(Dati!$FR$1:$FR$1000,MATCH($A7,Dati!$A$1:$A$1000,0))=1,"AS da recuperare",""),LEFT(IF(INDEX(Dati!$DW$1:$DW$1000,MATCH($A7,Dati!$A$1:$A$1000,0))&gt;0,Dati!$AU$3&amp;": "&amp;INDEX(Dati!$AU$1:$AU$1000,MATCH($A7,Dati!$A$1:$A$1000,0))&amp;" · ","")&amp;IF(INDEX(Dati!$DX$1:$DX$1000,MATCH($A7,Dati!$A$1:$A$1000,0))&gt;0,Dati!$AV$3&amp;": "&amp;INDEX(Dati!$AV$1:$AV$1000,MATCH($A7,Dati!$A$1:$A$1000,0))&amp;" · ","")&amp;IF(INDEX(Dati!$DY$1:$DY$1000,MATCH($A7,Dati!$A$1:$A$1000,0))&gt;0,Dati!$AW$3&amp;": "&amp;INDEX(Dati!$AW$1:$AW$1000,MATCH($A7,Dati!$A$1:$A$1000,0))&amp;" · ","")&amp;IF(INDEX(Dati!$DZ$1:$DZ$1000,MATCH($A7,Dati!$A$1:$A$1000,0))&gt;0,Dati!$AX$3&amp;": "&amp;INDEX(Dati!$AX$1:$AX$1000,MATCH($A7,Dati!$A$1:$A$1000,0))&amp;" · ",""),LEN(IF(INDEX(Dati!$DW$1:$DW$1000,MATCH($A7,Dati!$A$1:$A$1000,0))&gt;0,Dati!$AU$3&amp;": "&amp;INDEX(Dati!$AU$1:$AU$1000,MATCH($A7,Dati!$A$1:$A$1000,0))&amp;" · ","")&amp;IF(INDEX(Dati!$DX$1:$DX$1000,MATCH($A7,Dati!$A$1:$A$1000,0))&gt;0,Dati!$AV$3&amp;": "&amp;INDEX(Dati!$AV$1:$AV$1000,MATCH($A7,Dati!$A$1:$A$1000,0))&amp;" · ","")&amp;IF(INDEX(Dati!$DY$1:$DY$1000,MATCH($A7,Dati!$A$1:$A$1000,0))&gt;0,Dati!$AW$3&amp;": "&amp;INDEX(Dati!$AW$1:$AW$1000,MATCH($A7,Dati!$A$1:$A$1000,0))&amp;" · ","")&amp;IF(INDEX(Dati!$DZ$1:$DZ$1000,MATCH($A7,Dati!$A$1:$A$1000,0))&gt;0,Dati!$AX$3&amp;": "&amp;INDEX(Dati!$AX$1:$AX$1000,MATCH($A7,Dati!$A$1:$A$1000,0))&amp;" · ",""))-3)),""))</f>
        <v/>
      </c>
      <c r="O7" s="55" t="str">
        <f aca="false">IF($B7="","",IFERROR(IF((IF(INDEX(Dati!$EA$1:$EA$1000,MATCH($A7,Dati!$A$1:$A$1000,0))&gt;0,Dati!$AY$3&amp;": "&amp;INDEX(Dati!$AY$1:$AY$1000,MATCH($A7,Dati!$A$1:$A$1000,0))&amp;" · ","")&amp;IF(INDEX(Dati!$EB$1:$EB$1000,MATCH($A7,Dati!$A$1:$A$1000,0))&gt;0,Dati!$AZ$3&amp;": "&amp;INDEX(Dati!$AZ$1:$AZ$1000,MATCH($A7,Dati!$A$1:$A$1000,0))&amp;" · ","")&amp;IF(INDEX(Dati!$EC$1:$EC$1000,MATCH($A7,Dati!$A$1:$A$1000,0))&gt;0,Dati!$BA$3&amp;": "&amp;INDEX(Dati!$BA$1:$BA$1000,MATCH($A7,Dati!$A$1:$A$1000,0))&amp;" · ","")&amp;IF(INDEX(Dati!$ED$1:$ED$1000,MATCH($A7,Dati!$A$1:$A$1000,0))&gt;0,Dati!$BB$3&amp;": "&amp;INDEX(Dati!$BB$1:$BB$1000,MATCH($A7,Dati!$A$1:$A$1000,0))&amp;" · ",""))="",IF(INDEX(Dati!$FS$1:$FS$1000,MATCH($A7,Dati!$A$1:$A$1000,0))=1,"AS da recuperare",""),LEFT(IF(INDEX(Dati!$EA$1:$EA$1000,MATCH($A7,Dati!$A$1:$A$1000,0))&gt;0,Dati!$AY$3&amp;": "&amp;INDEX(Dati!$AY$1:$AY$1000,MATCH($A7,Dati!$A$1:$A$1000,0))&amp;" · ","")&amp;IF(INDEX(Dati!$EB$1:$EB$1000,MATCH($A7,Dati!$A$1:$A$1000,0))&gt;0,Dati!$AZ$3&amp;": "&amp;INDEX(Dati!$AZ$1:$AZ$1000,MATCH($A7,Dati!$A$1:$A$1000,0))&amp;" · ","")&amp;IF(INDEX(Dati!$EC$1:$EC$1000,MATCH($A7,Dati!$A$1:$A$1000,0))&gt;0,Dati!$BA$3&amp;": "&amp;INDEX(Dati!$BA$1:$BA$1000,MATCH($A7,Dati!$A$1:$A$1000,0))&amp;" · ","")&amp;IF(INDEX(Dati!$ED$1:$ED$1000,MATCH($A7,Dati!$A$1:$A$1000,0))&gt;0,Dati!$BB$3&amp;": "&amp;INDEX(Dati!$BB$1:$BB$1000,MATCH($A7,Dati!$A$1:$A$1000,0))&amp;" · ",""),LEN(IF(INDEX(Dati!$EA$1:$EA$1000,MATCH($A7,Dati!$A$1:$A$1000,0))&gt;0,Dati!$AY$3&amp;": "&amp;INDEX(Dati!$AY$1:$AY$1000,MATCH($A7,Dati!$A$1:$A$1000,0))&amp;" · ","")&amp;IF(INDEX(Dati!$EB$1:$EB$1000,MATCH($A7,Dati!$A$1:$A$1000,0))&gt;0,Dati!$AZ$3&amp;": "&amp;INDEX(Dati!$AZ$1:$AZ$1000,MATCH($A7,Dati!$A$1:$A$1000,0))&amp;" · ","")&amp;IF(INDEX(Dati!$EC$1:$EC$1000,MATCH($A7,Dati!$A$1:$A$1000,0))&gt;0,Dati!$BA$3&amp;": "&amp;INDEX(Dati!$BA$1:$BA$1000,MATCH($A7,Dati!$A$1:$A$1000,0))&amp;" · ","")&amp;IF(INDEX(Dati!$ED$1:$ED$1000,MATCH($A7,Dati!$A$1:$A$1000,0))&gt;0,Dati!$BB$3&amp;": "&amp;INDEX(Dati!$BB$1:$BB$1000,MATCH($A7,Dati!$A$1:$A$1000,0))&amp;" · ",""))-3)),""))</f>
        <v/>
      </c>
      <c r="P7" s="55" t="str">
        <f aca="false">IF($B7="","",IFERROR(IF((IF(INDEX(Dati!$EE$1:$EE$1000,MATCH($A7,Dati!$A$1:$A$1000,0))&gt;0,Dati!$BC$3&amp;": "&amp;INDEX(Dati!$BC$1:$BC$1000,MATCH($A7,Dati!$A$1:$A$1000,0))&amp;" · ","")&amp;IF(INDEX(Dati!$EF$1:$EF$1000,MATCH($A7,Dati!$A$1:$A$1000,0))&gt;0,Dati!$BD$3&amp;": "&amp;INDEX(Dati!$BD$1:$BD$1000,MATCH($A7,Dati!$A$1:$A$1000,0))&amp;" · ","")&amp;IF(INDEX(Dati!$EG$1:$EG$1000,MATCH($A7,Dati!$A$1:$A$1000,0))&gt;0,Dati!$BE$3&amp;": "&amp;INDEX(Dati!$BE$1:$BE$1000,MATCH($A7,Dati!$A$1:$A$1000,0))&amp;" · ","")&amp;IF(INDEX(Dati!$EH$1:$EH$1000,MATCH($A7,Dati!$A$1:$A$1000,0))&gt;0,Dati!$BF$3&amp;": "&amp;INDEX(Dati!$BF$1:$BF$1000,MATCH($A7,Dati!$A$1:$A$1000,0))&amp;" · ",""))="",IF(INDEX(Dati!$FT$1:$FT$1000,MATCH($A7,Dati!$A$1:$A$1000,0))=1,"AS da recuperare",""),LEFT(IF(INDEX(Dati!$EE$1:$EE$1000,MATCH($A7,Dati!$A$1:$A$1000,0))&gt;0,Dati!$BC$3&amp;": "&amp;INDEX(Dati!$BC$1:$BC$1000,MATCH($A7,Dati!$A$1:$A$1000,0))&amp;" · ","")&amp;IF(INDEX(Dati!$EF$1:$EF$1000,MATCH($A7,Dati!$A$1:$A$1000,0))&gt;0,Dati!$BD$3&amp;": "&amp;INDEX(Dati!$BD$1:$BD$1000,MATCH($A7,Dati!$A$1:$A$1000,0))&amp;" · ","")&amp;IF(INDEX(Dati!$EG$1:$EG$1000,MATCH($A7,Dati!$A$1:$A$1000,0))&gt;0,Dati!$BE$3&amp;": "&amp;INDEX(Dati!$BE$1:$BE$1000,MATCH($A7,Dati!$A$1:$A$1000,0))&amp;" · ","")&amp;IF(INDEX(Dati!$EH$1:$EH$1000,MATCH($A7,Dati!$A$1:$A$1000,0))&gt;0,Dati!$BF$3&amp;": "&amp;INDEX(Dati!$BF$1:$BF$1000,MATCH($A7,Dati!$A$1:$A$1000,0))&amp;" · ",""),LEN(IF(INDEX(Dati!$EE$1:$EE$1000,MATCH($A7,Dati!$A$1:$A$1000,0))&gt;0,Dati!$BC$3&amp;": "&amp;INDEX(Dati!$BC$1:$BC$1000,MATCH($A7,Dati!$A$1:$A$1000,0))&amp;" · ","")&amp;IF(INDEX(Dati!$EF$1:$EF$1000,MATCH($A7,Dati!$A$1:$A$1000,0))&gt;0,Dati!$BD$3&amp;": "&amp;INDEX(Dati!$BD$1:$BD$1000,MATCH($A7,Dati!$A$1:$A$1000,0))&amp;" · ","")&amp;IF(INDEX(Dati!$EG$1:$EG$1000,MATCH($A7,Dati!$A$1:$A$1000,0))&gt;0,Dati!$BE$3&amp;": "&amp;INDEX(Dati!$BE$1:$BE$1000,MATCH($A7,Dati!$A$1:$A$1000,0))&amp;" · ","")&amp;IF(INDEX(Dati!$EH$1:$EH$1000,MATCH($A7,Dati!$A$1:$A$1000,0))&gt;0,Dati!$BF$3&amp;": "&amp;INDEX(Dati!$BF$1:$BF$1000,MATCH($A7,Dati!$A$1:$A$1000,0))&amp;" · ",""))-3)),""))</f>
        <v/>
      </c>
      <c r="Q7" s="55" t="str">
        <f aca="false">IF($B7="","",IFERROR(IF((IF(INDEX(Dati!$EI$1:$EI$1000,MATCH($A7,Dati!$A$1:$A$1000,0))&gt;0,Dati!$BG$3&amp;": "&amp;INDEX(Dati!$BG$1:$BG$1000,MATCH($A7,Dati!$A$1:$A$1000,0))&amp;" · ","")&amp;IF(INDEX(Dati!$EJ$1:$EJ$1000,MATCH($A7,Dati!$A$1:$A$1000,0))&gt;0,Dati!$BH$3&amp;": "&amp;INDEX(Dati!$BH$1:$BH$1000,MATCH($A7,Dati!$A$1:$A$1000,0))&amp;" · ","")&amp;IF(INDEX(Dati!$EK$1:$EK$1000,MATCH($A7,Dati!$A$1:$A$1000,0))&gt;0,Dati!$BI$3&amp;": "&amp;INDEX(Dati!$BI$1:$BI$1000,MATCH($A7,Dati!$A$1:$A$1000,0))&amp;" · ","")&amp;IF(INDEX(Dati!$EL$1:$EL$1000,MATCH($A7,Dati!$A$1:$A$1000,0))&gt;0,Dati!$BJ$3&amp;": "&amp;INDEX(Dati!$BJ$1:$BJ$1000,MATCH($A7,Dati!$A$1:$A$1000,0))&amp;" · ",""))="",IF(INDEX(Dati!$FU$1:$FU$1000,MATCH($A7,Dati!$A$1:$A$1000,0))=1,"AS da recuperare",""),LEFT(IF(INDEX(Dati!$EI$1:$EI$1000,MATCH($A7,Dati!$A$1:$A$1000,0))&gt;0,Dati!$BG$3&amp;": "&amp;INDEX(Dati!$BG$1:$BG$1000,MATCH($A7,Dati!$A$1:$A$1000,0))&amp;" · ","")&amp;IF(INDEX(Dati!$EJ$1:$EJ$1000,MATCH($A7,Dati!$A$1:$A$1000,0))&gt;0,Dati!$BH$3&amp;": "&amp;INDEX(Dati!$BH$1:$BH$1000,MATCH($A7,Dati!$A$1:$A$1000,0))&amp;" · ","")&amp;IF(INDEX(Dati!$EK$1:$EK$1000,MATCH($A7,Dati!$A$1:$A$1000,0))&gt;0,Dati!$BI$3&amp;": "&amp;INDEX(Dati!$BI$1:$BI$1000,MATCH($A7,Dati!$A$1:$A$1000,0))&amp;" · ","")&amp;IF(INDEX(Dati!$EL$1:$EL$1000,MATCH($A7,Dati!$A$1:$A$1000,0))&gt;0,Dati!$BJ$3&amp;": "&amp;INDEX(Dati!$BJ$1:$BJ$1000,MATCH($A7,Dati!$A$1:$A$1000,0))&amp;" · ",""),LEN(IF(INDEX(Dati!$EI$1:$EI$1000,MATCH($A7,Dati!$A$1:$A$1000,0))&gt;0,Dati!$BG$3&amp;": "&amp;INDEX(Dati!$BG$1:$BG$1000,MATCH($A7,Dati!$A$1:$A$1000,0))&amp;" · ","")&amp;IF(INDEX(Dati!$EJ$1:$EJ$1000,MATCH($A7,Dati!$A$1:$A$1000,0))&gt;0,Dati!$BH$3&amp;": "&amp;INDEX(Dati!$BH$1:$BH$1000,MATCH($A7,Dati!$A$1:$A$1000,0))&amp;" · ","")&amp;IF(INDEX(Dati!$EK$1:$EK$1000,MATCH($A7,Dati!$A$1:$A$1000,0))&gt;0,Dati!$BI$3&amp;": "&amp;INDEX(Dati!$BI$1:$BI$1000,MATCH($A7,Dati!$A$1:$A$1000,0))&amp;" · ","")&amp;IF(INDEX(Dati!$EL$1:$EL$1000,MATCH($A7,Dati!$A$1:$A$1000,0))&gt;0,Dati!$BJ$3&amp;": "&amp;INDEX(Dati!$BJ$1:$BJ$1000,MATCH($A7,Dati!$A$1:$A$1000,0))&amp;" · ",""))-3)),""))</f>
        <v/>
      </c>
      <c r="R7" s="55" t="str">
        <f aca="false">IF($B7="","",IFERROR(IF((IF(INDEX(Dati!$EM$1:$EM$1000,MATCH($A7,Dati!$A$1:$A$1000,0))&gt;0,Dati!$BK$3&amp;": "&amp;INDEX(Dati!$BK$1:$BK$1000,MATCH($A7,Dati!$A$1:$A$1000,0))&amp;" · ","")&amp;IF(INDEX(Dati!$EN$1:$EN$1000,MATCH($A7,Dati!$A$1:$A$1000,0))&gt;0,Dati!$BL$3&amp;": "&amp;INDEX(Dati!$BL$1:$BL$1000,MATCH($A7,Dati!$A$1:$A$1000,0))&amp;" · ","")&amp;IF(INDEX(Dati!$EO$1:$EO$1000,MATCH($A7,Dati!$A$1:$A$1000,0))&gt;0,Dati!$BM$3&amp;": "&amp;INDEX(Dati!$BM$1:$BM$1000,MATCH($A7,Dati!$A$1:$A$1000,0))&amp;" · ","")&amp;IF(INDEX(Dati!$EP$1:$EP$1000,MATCH($A7,Dati!$A$1:$A$1000,0))&gt;0,Dati!$BN$3&amp;": "&amp;INDEX(Dati!$BN$1:$BN$1000,MATCH($A7,Dati!$A$1:$A$1000,0))&amp;" · ",""))="",IF(INDEX(Dati!$FV$1:$FV$1000,MATCH($A7,Dati!$A$1:$A$1000,0))=1,"AS da recuperare",""),LEFT(IF(INDEX(Dati!$EM$1:$EM$1000,MATCH($A7,Dati!$A$1:$A$1000,0))&gt;0,Dati!$BK$3&amp;": "&amp;INDEX(Dati!$BK$1:$BK$1000,MATCH($A7,Dati!$A$1:$A$1000,0))&amp;" · ","")&amp;IF(INDEX(Dati!$EN$1:$EN$1000,MATCH($A7,Dati!$A$1:$A$1000,0))&gt;0,Dati!$BL$3&amp;": "&amp;INDEX(Dati!$BL$1:$BL$1000,MATCH($A7,Dati!$A$1:$A$1000,0))&amp;" · ","")&amp;IF(INDEX(Dati!$EO$1:$EO$1000,MATCH($A7,Dati!$A$1:$A$1000,0))&gt;0,Dati!$BM$3&amp;": "&amp;INDEX(Dati!$BM$1:$BM$1000,MATCH($A7,Dati!$A$1:$A$1000,0))&amp;" · ","")&amp;IF(INDEX(Dati!$EP$1:$EP$1000,MATCH($A7,Dati!$A$1:$A$1000,0))&gt;0,Dati!$BN$3&amp;": "&amp;INDEX(Dati!$BN$1:$BN$1000,MATCH($A7,Dati!$A$1:$A$1000,0))&amp;" · ",""),LEN(IF(INDEX(Dati!$EM$1:$EM$1000,MATCH($A7,Dati!$A$1:$A$1000,0))&gt;0,Dati!$BK$3&amp;": "&amp;INDEX(Dati!$BK$1:$BK$1000,MATCH($A7,Dati!$A$1:$A$1000,0))&amp;" · ","")&amp;IF(INDEX(Dati!$EN$1:$EN$1000,MATCH($A7,Dati!$A$1:$A$1000,0))&gt;0,Dati!$BL$3&amp;": "&amp;INDEX(Dati!$BL$1:$BL$1000,MATCH($A7,Dati!$A$1:$A$1000,0))&amp;" · ","")&amp;IF(INDEX(Dati!$EO$1:$EO$1000,MATCH($A7,Dati!$A$1:$A$1000,0))&gt;0,Dati!$BM$3&amp;": "&amp;INDEX(Dati!$BM$1:$BM$1000,MATCH($A7,Dati!$A$1:$A$1000,0))&amp;" · ","")&amp;IF(INDEX(Dati!$EP$1:$EP$1000,MATCH($A7,Dati!$A$1:$A$1000,0))&gt;0,Dati!$BN$3&amp;": "&amp;INDEX(Dati!$BN$1:$BN$1000,MATCH($A7,Dati!$A$1:$A$1000,0))&amp;" · ",""))-3)),""))</f>
        <v/>
      </c>
      <c r="S7" s="55" t="str">
        <f aca="false">IF($B7="","",IFERROR(IF((IF(INDEX(Dati!$EQ$1:$EQ$1000,MATCH($A7,Dati!$A$1:$A$1000,0))&gt;0,Dati!$BO$3&amp;": "&amp;INDEX(Dati!$BO$1:$BO$1000,MATCH($A7,Dati!$A$1:$A$1000,0))&amp;" · ","")&amp;IF(INDEX(Dati!$ER$1:$ER$1000,MATCH($A7,Dati!$A$1:$A$1000,0))&gt;0,Dati!$BP$3&amp;": "&amp;INDEX(Dati!$BP$1:$BP$1000,MATCH($A7,Dati!$A$1:$A$1000,0))&amp;" · ","")&amp;IF(INDEX(Dati!$ES$1:$ES$1000,MATCH($A7,Dati!$A$1:$A$1000,0))&gt;0,Dati!$BQ$3&amp;": "&amp;INDEX(Dati!$BQ$1:$BQ$1000,MATCH($A7,Dati!$A$1:$A$1000,0))&amp;" · ","")&amp;IF(INDEX(Dati!$ET$1:$ET$1000,MATCH($A7,Dati!$A$1:$A$1000,0))&gt;0,Dati!$BR$3&amp;": "&amp;INDEX(Dati!$BR$1:$BR$1000,MATCH($A7,Dati!$A$1:$A$1000,0))&amp;" · ",""))="",IF(INDEX(Dati!$FW$1:$FW$1000,MATCH($A7,Dati!$A$1:$A$1000,0))=1,"AS da recuperare",""),LEFT(IF(INDEX(Dati!$EQ$1:$EQ$1000,MATCH($A7,Dati!$A$1:$A$1000,0))&gt;0,Dati!$BO$3&amp;": "&amp;INDEX(Dati!$BO$1:$BO$1000,MATCH($A7,Dati!$A$1:$A$1000,0))&amp;" · ","")&amp;IF(INDEX(Dati!$ER$1:$ER$1000,MATCH($A7,Dati!$A$1:$A$1000,0))&gt;0,Dati!$BP$3&amp;": "&amp;INDEX(Dati!$BP$1:$BP$1000,MATCH($A7,Dati!$A$1:$A$1000,0))&amp;" · ","")&amp;IF(INDEX(Dati!$ES$1:$ES$1000,MATCH($A7,Dati!$A$1:$A$1000,0))&gt;0,Dati!$BQ$3&amp;": "&amp;INDEX(Dati!$BQ$1:$BQ$1000,MATCH($A7,Dati!$A$1:$A$1000,0))&amp;" · ","")&amp;IF(INDEX(Dati!$ET$1:$ET$1000,MATCH($A7,Dati!$A$1:$A$1000,0))&gt;0,Dati!$BR$3&amp;": "&amp;INDEX(Dati!$BR$1:$BR$1000,MATCH($A7,Dati!$A$1:$A$1000,0))&amp;" · ",""),LEN(IF(INDEX(Dati!$EQ$1:$EQ$1000,MATCH($A7,Dati!$A$1:$A$1000,0))&gt;0,Dati!$BO$3&amp;": "&amp;INDEX(Dati!$BO$1:$BO$1000,MATCH($A7,Dati!$A$1:$A$1000,0))&amp;" · ","")&amp;IF(INDEX(Dati!$ER$1:$ER$1000,MATCH($A7,Dati!$A$1:$A$1000,0))&gt;0,Dati!$BP$3&amp;": "&amp;INDEX(Dati!$BP$1:$BP$1000,MATCH($A7,Dati!$A$1:$A$1000,0))&amp;" · ","")&amp;IF(INDEX(Dati!$ES$1:$ES$1000,MATCH($A7,Dati!$A$1:$A$1000,0))&gt;0,Dati!$BQ$3&amp;": "&amp;INDEX(Dati!$BQ$1:$BQ$1000,MATCH($A7,Dati!$A$1:$A$1000,0))&amp;" · ","")&amp;IF(INDEX(Dati!$ET$1:$ET$1000,MATCH($A7,Dati!$A$1:$A$1000,0))&gt;0,Dati!$BR$3&amp;": "&amp;INDEX(Dati!$BR$1:$BR$1000,MATCH($A7,Dati!$A$1:$A$1000,0))&amp;" · ",""))-3)),""))</f>
        <v/>
      </c>
      <c r="T7" s="55" t="str">
        <f aca="false">IF($B7="","",IFERROR(IF((IF(INDEX(Dati!$EU$1:$EU$1000,MATCH($A7,Dati!$A$1:$A$1000,0))&gt;0,Dati!$BS$3&amp;": "&amp;INDEX(Dati!$BS$1:$BS$1000,MATCH($A7,Dati!$A$1:$A$1000,0))&amp;" · ","")&amp;IF(INDEX(Dati!$EV$1:$EV$1000,MATCH($A7,Dati!$A$1:$A$1000,0))&gt;0,Dati!$BT$3&amp;": "&amp;INDEX(Dati!$BT$1:$BT$1000,MATCH($A7,Dati!$A$1:$A$1000,0))&amp;" · ","")&amp;IF(INDEX(Dati!$EW$1:$EW$1000,MATCH($A7,Dati!$A$1:$A$1000,0))&gt;0,Dati!$BU$3&amp;": "&amp;INDEX(Dati!$BU$1:$BU$1000,MATCH($A7,Dati!$A$1:$A$1000,0))&amp;" · ","")&amp;IF(INDEX(Dati!$EX$1:$EX$1000,MATCH($A7,Dati!$A$1:$A$1000,0))&gt;0,Dati!$BV$3&amp;": "&amp;INDEX(Dati!$BV$1:$BV$1000,MATCH($A7,Dati!$A$1:$A$1000,0))&amp;" · ",""))="",IF(INDEX(Dati!$FX$1:$FX$1000,MATCH($A7,Dati!$A$1:$A$1000,0))=1,"AS da recuperare",""),LEFT(IF(INDEX(Dati!$EU$1:$EU$1000,MATCH($A7,Dati!$A$1:$A$1000,0))&gt;0,Dati!$BS$3&amp;": "&amp;INDEX(Dati!$BS$1:$BS$1000,MATCH($A7,Dati!$A$1:$A$1000,0))&amp;" · ","")&amp;IF(INDEX(Dati!$EV$1:$EV$1000,MATCH($A7,Dati!$A$1:$A$1000,0))&gt;0,Dati!$BT$3&amp;": "&amp;INDEX(Dati!$BT$1:$BT$1000,MATCH($A7,Dati!$A$1:$A$1000,0))&amp;" · ","")&amp;IF(INDEX(Dati!$EW$1:$EW$1000,MATCH($A7,Dati!$A$1:$A$1000,0))&gt;0,Dati!$BU$3&amp;": "&amp;INDEX(Dati!$BU$1:$BU$1000,MATCH($A7,Dati!$A$1:$A$1000,0))&amp;" · ","")&amp;IF(INDEX(Dati!$EX$1:$EX$1000,MATCH($A7,Dati!$A$1:$A$1000,0))&gt;0,Dati!$BV$3&amp;": "&amp;INDEX(Dati!$BV$1:$BV$1000,MATCH($A7,Dati!$A$1:$A$1000,0))&amp;" · ",""),LEN(IF(INDEX(Dati!$EU$1:$EU$1000,MATCH($A7,Dati!$A$1:$A$1000,0))&gt;0,Dati!$BS$3&amp;": "&amp;INDEX(Dati!$BS$1:$BS$1000,MATCH($A7,Dati!$A$1:$A$1000,0))&amp;" · ","")&amp;IF(INDEX(Dati!$EV$1:$EV$1000,MATCH($A7,Dati!$A$1:$A$1000,0))&gt;0,Dati!$BT$3&amp;": "&amp;INDEX(Dati!$BT$1:$BT$1000,MATCH($A7,Dati!$A$1:$A$1000,0))&amp;" · ","")&amp;IF(INDEX(Dati!$EW$1:$EW$1000,MATCH($A7,Dati!$A$1:$A$1000,0))&gt;0,Dati!$BU$3&amp;": "&amp;INDEX(Dati!$BU$1:$BU$1000,MATCH($A7,Dati!$A$1:$A$1000,0))&amp;" · ","")&amp;IF(INDEX(Dati!$EX$1:$EX$1000,MATCH($A7,Dati!$A$1:$A$1000,0))&gt;0,Dati!$BV$3&amp;": "&amp;INDEX(Dati!$BV$1:$BV$1000,MATCH($A7,Dati!$A$1:$A$1000,0))&amp;" · ",""))-3)),""))</f>
        <v/>
      </c>
      <c r="U7" s="55" t="str">
        <f aca="false">IF($B7="","",IFERROR(IF((IF(INDEX(Dati!$EY$1:$EY$1000,MATCH($A7,Dati!$A$1:$A$1000,0))&gt;0,Dati!$BW$3&amp;": "&amp;INDEX(Dati!$BW$1:$BW$1000,MATCH($A7,Dati!$A$1:$A$1000,0))&amp;" · ","")&amp;IF(INDEX(Dati!$EZ$1:$EZ$1000,MATCH($A7,Dati!$A$1:$A$1000,0))&gt;0,Dati!$BX$3&amp;": "&amp;INDEX(Dati!$BX$1:$BX$1000,MATCH($A7,Dati!$A$1:$A$1000,0))&amp;" · ","")&amp;IF(INDEX(Dati!$FA$1:$FA$1000,MATCH($A7,Dati!$A$1:$A$1000,0))&gt;0,Dati!$BY$3&amp;": "&amp;INDEX(Dati!$BY$1:$BY$1000,MATCH($A7,Dati!$A$1:$A$1000,0))&amp;" · ","")&amp;IF(INDEX(Dati!$FB$1:$FB$1000,MATCH($A7,Dati!$A$1:$A$1000,0))&gt;0,Dati!$BZ$3&amp;": "&amp;INDEX(Dati!$BZ$1:$BZ$1000,MATCH($A7,Dati!$A$1:$A$1000,0))&amp;" · ",""))="",IF(INDEX(Dati!$FY$1:$FY$1000,MATCH($A7,Dati!$A$1:$A$1000,0))=1,"AS da recuperare",""),LEFT(IF(INDEX(Dati!$EY$1:$EY$1000,MATCH($A7,Dati!$A$1:$A$1000,0))&gt;0,Dati!$BW$3&amp;": "&amp;INDEX(Dati!$BW$1:$BW$1000,MATCH($A7,Dati!$A$1:$A$1000,0))&amp;" · ","")&amp;IF(INDEX(Dati!$EZ$1:$EZ$1000,MATCH($A7,Dati!$A$1:$A$1000,0))&gt;0,Dati!$BX$3&amp;": "&amp;INDEX(Dati!$BX$1:$BX$1000,MATCH($A7,Dati!$A$1:$A$1000,0))&amp;" · ","")&amp;IF(INDEX(Dati!$FA$1:$FA$1000,MATCH($A7,Dati!$A$1:$A$1000,0))&gt;0,Dati!$BY$3&amp;": "&amp;INDEX(Dati!$BY$1:$BY$1000,MATCH($A7,Dati!$A$1:$A$1000,0))&amp;" · ","")&amp;IF(INDEX(Dati!$FB$1:$FB$1000,MATCH($A7,Dati!$A$1:$A$1000,0))&gt;0,Dati!$BZ$3&amp;": "&amp;INDEX(Dati!$BZ$1:$BZ$1000,MATCH($A7,Dati!$A$1:$A$1000,0))&amp;" · ",""),LEN(IF(INDEX(Dati!$EY$1:$EY$1000,MATCH($A7,Dati!$A$1:$A$1000,0))&gt;0,Dati!$BW$3&amp;": "&amp;INDEX(Dati!$BW$1:$BW$1000,MATCH($A7,Dati!$A$1:$A$1000,0))&amp;" · ","")&amp;IF(INDEX(Dati!$EZ$1:$EZ$1000,MATCH($A7,Dati!$A$1:$A$1000,0))&gt;0,Dati!$BX$3&amp;": "&amp;INDEX(Dati!$BX$1:$BX$1000,MATCH($A7,Dati!$A$1:$A$1000,0))&amp;" · ","")&amp;IF(INDEX(Dati!$FA$1:$FA$1000,MATCH($A7,Dati!$A$1:$A$1000,0))&gt;0,Dati!$BY$3&amp;": "&amp;INDEX(Dati!$BY$1:$BY$1000,MATCH($A7,Dati!$A$1:$A$1000,0))&amp;" · ","")&amp;IF(INDEX(Dati!$FB$1:$FB$1000,MATCH($A7,Dati!$A$1:$A$1000,0))&gt;0,Dati!$BZ$3&amp;": "&amp;INDEX(Dati!$BZ$1:$BZ$1000,MATCH($A7,Dati!$A$1:$A$1000,0))&amp;" · ",""))-3)),""))</f>
        <v/>
      </c>
      <c r="V7" s="55" t="str">
        <f aca="false">IF($B7="","",IFERROR(IF((IF(INDEX(Dati!$FC$1:$FC$1000,MATCH($A7,Dati!$A$1:$A$1000,0))&gt;0,Dati!$CA$3&amp;": "&amp;INDEX(Dati!$CA$1:$CA$1000,MATCH($A7,Dati!$A$1:$A$1000,0))&amp;" · ","")&amp;IF(INDEX(Dati!$FD$1:$FD$1000,MATCH($A7,Dati!$A$1:$A$1000,0))&gt;0,Dati!$CB$3&amp;": "&amp;INDEX(Dati!$CB$1:$CB$1000,MATCH($A7,Dati!$A$1:$A$1000,0))&amp;" · ","")&amp;IF(INDEX(Dati!$FE$1:$FE$1000,MATCH($A7,Dati!$A$1:$A$1000,0))&gt;0,Dati!$CC$3&amp;": "&amp;INDEX(Dati!$CC$1:$CC$1000,MATCH($A7,Dati!$A$1:$A$1000,0))&amp;" · ","")&amp;IF(INDEX(Dati!$FF$1:$FF$1000,MATCH($A7,Dati!$A$1:$A$1000,0))&gt;0,Dati!$CD$3&amp;": "&amp;INDEX(Dati!$CD$1:$CD$1000,MATCH($A7,Dati!$A$1:$A$1000,0))&amp;" · ",""))="",IF(INDEX(Dati!$FZ$1:$FZ$1000,MATCH($A7,Dati!$A$1:$A$1000,0))=1,"AS da recuperare",""),LEFT(IF(INDEX(Dati!$FC$1:$FC$1000,MATCH($A7,Dati!$A$1:$A$1000,0))&gt;0,Dati!$CA$3&amp;": "&amp;INDEX(Dati!$CA$1:$CA$1000,MATCH($A7,Dati!$A$1:$A$1000,0))&amp;" · ","")&amp;IF(INDEX(Dati!$FD$1:$FD$1000,MATCH($A7,Dati!$A$1:$A$1000,0))&gt;0,Dati!$CB$3&amp;": "&amp;INDEX(Dati!$CB$1:$CB$1000,MATCH($A7,Dati!$A$1:$A$1000,0))&amp;" · ","")&amp;IF(INDEX(Dati!$FE$1:$FE$1000,MATCH($A7,Dati!$A$1:$A$1000,0))&gt;0,Dati!$CC$3&amp;": "&amp;INDEX(Dati!$CC$1:$CC$1000,MATCH($A7,Dati!$A$1:$A$1000,0))&amp;" · ","")&amp;IF(INDEX(Dati!$FF$1:$FF$1000,MATCH($A7,Dati!$A$1:$A$1000,0))&gt;0,Dati!$CD$3&amp;": "&amp;INDEX(Dati!$CD$1:$CD$1000,MATCH($A7,Dati!$A$1:$A$1000,0))&amp;" · ",""),LEN(IF(INDEX(Dati!$FC$1:$FC$1000,MATCH($A7,Dati!$A$1:$A$1000,0))&gt;0,Dati!$CA$3&amp;": "&amp;INDEX(Dati!$CA$1:$CA$1000,MATCH($A7,Dati!$A$1:$A$1000,0))&amp;" · ","")&amp;IF(INDEX(Dati!$FD$1:$FD$1000,MATCH($A7,Dati!$A$1:$A$1000,0))&gt;0,Dati!$CB$3&amp;": "&amp;INDEX(Dati!$CB$1:$CB$1000,MATCH($A7,Dati!$A$1:$A$1000,0))&amp;" · ","")&amp;IF(INDEX(Dati!$FE$1:$FE$1000,MATCH($A7,Dati!$A$1:$A$1000,0))&gt;0,Dati!$CC$3&amp;": "&amp;INDEX(Dati!$CC$1:$CC$1000,MATCH($A7,Dati!$A$1:$A$1000,0))&amp;" · ","")&amp;IF(INDEX(Dati!$FF$1:$FF$1000,MATCH($A7,Dati!$A$1:$A$1000,0))&gt;0,Dati!$CD$3&amp;": "&amp;INDEX(Dati!$CD$1:$CD$1000,MATCH($A7,Dati!$A$1:$A$1000,0))&amp;" · ",""))-3)),""))</f>
        <v/>
      </c>
    </row>
    <row r="8" customFormat="false" ht="19.5" hidden="false" customHeight="true" outlineLevel="0" collapsed="false">
      <c r="A8" s="10" t="n">
        <v>4</v>
      </c>
      <c r="B8" s="16" t="str">
        <f aca="false">IFERROR(INDEX(Alunni!$C$1:$C$1000,MATCH($A8,Alunni!$A$1:$A$1000,0))&amp;"","")</f>
        <v/>
      </c>
      <c r="C8" s="55" t="str">
        <f aca="false">IF($B8="","",IFERROR(IF((IF(INDEX(Dati!$CE$1:$CE$1000,MATCH($A8,Dati!$A$1:$A$1000,0))&gt;0,Dati!$C$3&amp;": "&amp;INDEX(Dati!$C$1:$C$1000,MATCH($A8,Dati!$A$1:$A$1000,0))&amp;" · ","")&amp;IF(INDEX(Dati!$CF$1:$CF$1000,MATCH($A8,Dati!$A$1:$A$1000,0))&gt;0,Dati!$D$3&amp;": "&amp;INDEX(Dati!$D$1:$D$1000,MATCH($A8,Dati!$A$1:$A$1000,0))&amp;" · ","")&amp;IF(INDEX(Dati!$CG$1:$CG$1000,MATCH($A8,Dati!$A$1:$A$1000,0))&gt;0,Dati!$E$3&amp;": "&amp;INDEX(Dati!$E$1:$E$1000,MATCH($A8,Dati!$A$1:$A$1000,0))&amp;" · ","")&amp;IF(INDEX(Dati!$CH$1:$CH$1000,MATCH($A8,Dati!$A$1:$A$1000,0))&gt;0,Dati!$F$3&amp;": "&amp;INDEX(Dati!$F$1:$F$1000,MATCH($A8,Dati!$A$1:$A$1000,0))&amp;" · ",""))="",IF(INDEX(Dati!$FG$1:$FG$1000,MATCH($A8,Dati!$A$1:$A$1000,0))=1,"AS da recuperare",""),LEFT(IF(INDEX(Dati!$CE$1:$CE$1000,MATCH($A8,Dati!$A$1:$A$1000,0))&gt;0,Dati!$C$3&amp;": "&amp;INDEX(Dati!$C$1:$C$1000,MATCH($A8,Dati!$A$1:$A$1000,0))&amp;" · ","")&amp;IF(INDEX(Dati!$CF$1:$CF$1000,MATCH($A8,Dati!$A$1:$A$1000,0))&gt;0,Dati!$D$3&amp;": "&amp;INDEX(Dati!$D$1:$D$1000,MATCH($A8,Dati!$A$1:$A$1000,0))&amp;" · ","")&amp;IF(INDEX(Dati!$CG$1:$CG$1000,MATCH($A8,Dati!$A$1:$A$1000,0))&gt;0,Dati!$E$3&amp;": "&amp;INDEX(Dati!$E$1:$E$1000,MATCH($A8,Dati!$A$1:$A$1000,0))&amp;" · ","")&amp;IF(INDEX(Dati!$CH$1:$CH$1000,MATCH($A8,Dati!$A$1:$A$1000,0))&gt;0,Dati!$F$3&amp;": "&amp;INDEX(Dati!$F$1:$F$1000,MATCH($A8,Dati!$A$1:$A$1000,0))&amp;" · ",""),LEN(IF(INDEX(Dati!$CE$1:$CE$1000,MATCH($A8,Dati!$A$1:$A$1000,0))&gt;0,Dati!$C$3&amp;": "&amp;INDEX(Dati!$C$1:$C$1000,MATCH($A8,Dati!$A$1:$A$1000,0))&amp;" · ","")&amp;IF(INDEX(Dati!$CF$1:$CF$1000,MATCH($A8,Dati!$A$1:$A$1000,0))&gt;0,Dati!$D$3&amp;": "&amp;INDEX(Dati!$D$1:$D$1000,MATCH($A8,Dati!$A$1:$A$1000,0))&amp;" · ","")&amp;IF(INDEX(Dati!$CG$1:$CG$1000,MATCH($A8,Dati!$A$1:$A$1000,0))&gt;0,Dati!$E$3&amp;": "&amp;INDEX(Dati!$E$1:$E$1000,MATCH($A8,Dati!$A$1:$A$1000,0))&amp;" · ","")&amp;IF(INDEX(Dati!$CH$1:$CH$1000,MATCH($A8,Dati!$A$1:$A$1000,0))&gt;0,Dati!$F$3&amp;": "&amp;INDEX(Dati!$F$1:$F$1000,MATCH($A8,Dati!$A$1:$A$1000,0))&amp;" · ",""))-3)),""))</f>
        <v/>
      </c>
      <c r="D8" s="55" t="str">
        <f aca="false">IF($B8="","",IFERROR(IF((IF(INDEX(Dati!$CI$1:$CI$1000,MATCH($A8,Dati!$A$1:$A$1000,0))&gt;0,Dati!$G$3&amp;": "&amp;INDEX(Dati!$G$1:$G$1000,MATCH($A8,Dati!$A$1:$A$1000,0))&amp;" · ","")&amp;IF(INDEX(Dati!$CJ$1:$CJ$1000,MATCH($A8,Dati!$A$1:$A$1000,0))&gt;0,Dati!$H$3&amp;": "&amp;INDEX(Dati!$H$1:$H$1000,MATCH($A8,Dati!$A$1:$A$1000,0))&amp;" · ","")&amp;IF(INDEX(Dati!$CK$1:$CK$1000,MATCH($A8,Dati!$A$1:$A$1000,0))&gt;0,Dati!$I$3&amp;": "&amp;INDEX(Dati!$I$1:$I$1000,MATCH($A8,Dati!$A$1:$A$1000,0))&amp;" · ","")&amp;IF(INDEX(Dati!$CL$1:$CL$1000,MATCH($A8,Dati!$A$1:$A$1000,0))&gt;0,Dati!$J$3&amp;": "&amp;INDEX(Dati!$J$1:$J$1000,MATCH($A8,Dati!$A$1:$A$1000,0))&amp;" · ",""))="",IF(INDEX(Dati!$FH$1:$FH$1000,MATCH($A8,Dati!$A$1:$A$1000,0))=1,"AS da recuperare",""),LEFT(IF(INDEX(Dati!$CI$1:$CI$1000,MATCH($A8,Dati!$A$1:$A$1000,0))&gt;0,Dati!$G$3&amp;": "&amp;INDEX(Dati!$G$1:$G$1000,MATCH($A8,Dati!$A$1:$A$1000,0))&amp;" · ","")&amp;IF(INDEX(Dati!$CJ$1:$CJ$1000,MATCH($A8,Dati!$A$1:$A$1000,0))&gt;0,Dati!$H$3&amp;": "&amp;INDEX(Dati!$H$1:$H$1000,MATCH($A8,Dati!$A$1:$A$1000,0))&amp;" · ","")&amp;IF(INDEX(Dati!$CK$1:$CK$1000,MATCH($A8,Dati!$A$1:$A$1000,0))&gt;0,Dati!$I$3&amp;": "&amp;INDEX(Dati!$I$1:$I$1000,MATCH($A8,Dati!$A$1:$A$1000,0))&amp;" · ","")&amp;IF(INDEX(Dati!$CL$1:$CL$1000,MATCH($A8,Dati!$A$1:$A$1000,0))&gt;0,Dati!$J$3&amp;": "&amp;INDEX(Dati!$J$1:$J$1000,MATCH($A8,Dati!$A$1:$A$1000,0))&amp;" · ",""),LEN(IF(INDEX(Dati!$CI$1:$CI$1000,MATCH($A8,Dati!$A$1:$A$1000,0))&gt;0,Dati!$G$3&amp;": "&amp;INDEX(Dati!$G$1:$G$1000,MATCH($A8,Dati!$A$1:$A$1000,0))&amp;" · ","")&amp;IF(INDEX(Dati!$CJ$1:$CJ$1000,MATCH($A8,Dati!$A$1:$A$1000,0))&gt;0,Dati!$H$3&amp;": "&amp;INDEX(Dati!$H$1:$H$1000,MATCH($A8,Dati!$A$1:$A$1000,0))&amp;" · ","")&amp;IF(INDEX(Dati!$CK$1:$CK$1000,MATCH($A8,Dati!$A$1:$A$1000,0))&gt;0,Dati!$I$3&amp;": "&amp;INDEX(Dati!$I$1:$I$1000,MATCH($A8,Dati!$A$1:$A$1000,0))&amp;" · ","")&amp;IF(INDEX(Dati!$CL$1:$CL$1000,MATCH($A8,Dati!$A$1:$A$1000,0))&gt;0,Dati!$J$3&amp;": "&amp;INDEX(Dati!$J$1:$J$1000,MATCH($A8,Dati!$A$1:$A$1000,0))&amp;" · ",""))-3)),""))</f>
        <v/>
      </c>
      <c r="E8" s="55" t="str">
        <f aca="false">IF($B8="","",IFERROR(IF((IF(INDEX(Dati!$CM$1:$CM$1000,MATCH($A8,Dati!$A$1:$A$1000,0))&gt;0,Dati!$K$3&amp;": "&amp;INDEX(Dati!$K$1:$K$1000,MATCH($A8,Dati!$A$1:$A$1000,0))&amp;" · ","")&amp;IF(INDEX(Dati!$CN$1:$CN$1000,MATCH($A8,Dati!$A$1:$A$1000,0))&gt;0,Dati!$L$3&amp;": "&amp;INDEX(Dati!$L$1:$L$1000,MATCH($A8,Dati!$A$1:$A$1000,0))&amp;" · ","")&amp;IF(INDEX(Dati!$CO$1:$CO$1000,MATCH($A8,Dati!$A$1:$A$1000,0))&gt;0,Dati!$M$3&amp;": "&amp;INDEX(Dati!$M$1:$M$1000,MATCH($A8,Dati!$A$1:$A$1000,0))&amp;" · ","")&amp;IF(INDEX(Dati!$CP$1:$CP$1000,MATCH($A8,Dati!$A$1:$A$1000,0))&gt;0,Dati!$N$3&amp;": "&amp;INDEX(Dati!$N$1:$N$1000,MATCH($A8,Dati!$A$1:$A$1000,0))&amp;" · ",""))="",IF(INDEX(Dati!$FI$1:$FI$1000,MATCH($A8,Dati!$A$1:$A$1000,0))=1,"AS da recuperare",""),LEFT(IF(INDEX(Dati!$CM$1:$CM$1000,MATCH($A8,Dati!$A$1:$A$1000,0))&gt;0,Dati!$K$3&amp;": "&amp;INDEX(Dati!$K$1:$K$1000,MATCH($A8,Dati!$A$1:$A$1000,0))&amp;" · ","")&amp;IF(INDEX(Dati!$CN$1:$CN$1000,MATCH($A8,Dati!$A$1:$A$1000,0))&gt;0,Dati!$L$3&amp;": "&amp;INDEX(Dati!$L$1:$L$1000,MATCH($A8,Dati!$A$1:$A$1000,0))&amp;" · ","")&amp;IF(INDEX(Dati!$CO$1:$CO$1000,MATCH($A8,Dati!$A$1:$A$1000,0))&gt;0,Dati!$M$3&amp;": "&amp;INDEX(Dati!$M$1:$M$1000,MATCH($A8,Dati!$A$1:$A$1000,0))&amp;" · ","")&amp;IF(INDEX(Dati!$CP$1:$CP$1000,MATCH($A8,Dati!$A$1:$A$1000,0))&gt;0,Dati!$N$3&amp;": "&amp;INDEX(Dati!$N$1:$N$1000,MATCH($A8,Dati!$A$1:$A$1000,0))&amp;" · ",""),LEN(IF(INDEX(Dati!$CM$1:$CM$1000,MATCH($A8,Dati!$A$1:$A$1000,0))&gt;0,Dati!$K$3&amp;": "&amp;INDEX(Dati!$K$1:$K$1000,MATCH($A8,Dati!$A$1:$A$1000,0))&amp;" · ","")&amp;IF(INDEX(Dati!$CN$1:$CN$1000,MATCH($A8,Dati!$A$1:$A$1000,0))&gt;0,Dati!$L$3&amp;": "&amp;INDEX(Dati!$L$1:$L$1000,MATCH($A8,Dati!$A$1:$A$1000,0))&amp;" · ","")&amp;IF(INDEX(Dati!$CO$1:$CO$1000,MATCH($A8,Dati!$A$1:$A$1000,0))&gt;0,Dati!$M$3&amp;": "&amp;INDEX(Dati!$M$1:$M$1000,MATCH($A8,Dati!$A$1:$A$1000,0))&amp;" · ","")&amp;IF(INDEX(Dati!$CP$1:$CP$1000,MATCH($A8,Dati!$A$1:$A$1000,0))&gt;0,Dati!$N$3&amp;": "&amp;INDEX(Dati!$N$1:$N$1000,MATCH($A8,Dati!$A$1:$A$1000,0))&amp;" · ",""))-3)),""))</f>
        <v/>
      </c>
      <c r="F8" s="55" t="str">
        <f aca="false">IF($B8="","",IFERROR(IF((IF(INDEX(Dati!$CQ$1:$CQ$1000,MATCH($A8,Dati!$A$1:$A$1000,0))&gt;0,Dati!$O$3&amp;": "&amp;INDEX(Dati!$O$1:$O$1000,MATCH($A8,Dati!$A$1:$A$1000,0))&amp;" · ","")&amp;IF(INDEX(Dati!$CR$1:$CR$1000,MATCH($A8,Dati!$A$1:$A$1000,0))&gt;0,Dati!$P$3&amp;": "&amp;INDEX(Dati!$P$1:$P$1000,MATCH($A8,Dati!$A$1:$A$1000,0))&amp;" · ","")&amp;IF(INDEX(Dati!$CS$1:$CS$1000,MATCH($A8,Dati!$A$1:$A$1000,0))&gt;0,Dati!$Q$3&amp;": "&amp;INDEX(Dati!$Q$1:$Q$1000,MATCH($A8,Dati!$A$1:$A$1000,0))&amp;" · ","")&amp;IF(INDEX(Dati!$CT$1:$CT$1000,MATCH($A8,Dati!$A$1:$A$1000,0))&gt;0,Dati!$R$3&amp;": "&amp;INDEX(Dati!$R$1:$R$1000,MATCH($A8,Dati!$A$1:$A$1000,0))&amp;" · ",""))="",IF(INDEX(Dati!$FJ$1:$FJ$1000,MATCH($A8,Dati!$A$1:$A$1000,0))=1,"AS da recuperare",""),LEFT(IF(INDEX(Dati!$CQ$1:$CQ$1000,MATCH($A8,Dati!$A$1:$A$1000,0))&gt;0,Dati!$O$3&amp;": "&amp;INDEX(Dati!$O$1:$O$1000,MATCH($A8,Dati!$A$1:$A$1000,0))&amp;" · ","")&amp;IF(INDEX(Dati!$CR$1:$CR$1000,MATCH($A8,Dati!$A$1:$A$1000,0))&gt;0,Dati!$P$3&amp;": "&amp;INDEX(Dati!$P$1:$P$1000,MATCH($A8,Dati!$A$1:$A$1000,0))&amp;" · ","")&amp;IF(INDEX(Dati!$CS$1:$CS$1000,MATCH($A8,Dati!$A$1:$A$1000,0))&gt;0,Dati!$Q$3&amp;": "&amp;INDEX(Dati!$Q$1:$Q$1000,MATCH($A8,Dati!$A$1:$A$1000,0))&amp;" · ","")&amp;IF(INDEX(Dati!$CT$1:$CT$1000,MATCH($A8,Dati!$A$1:$A$1000,0))&gt;0,Dati!$R$3&amp;": "&amp;INDEX(Dati!$R$1:$R$1000,MATCH($A8,Dati!$A$1:$A$1000,0))&amp;" · ",""),LEN(IF(INDEX(Dati!$CQ$1:$CQ$1000,MATCH($A8,Dati!$A$1:$A$1000,0))&gt;0,Dati!$O$3&amp;": "&amp;INDEX(Dati!$O$1:$O$1000,MATCH($A8,Dati!$A$1:$A$1000,0))&amp;" · ","")&amp;IF(INDEX(Dati!$CR$1:$CR$1000,MATCH($A8,Dati!$A$1:$A$1000,0))&gt;0,Dati!$P$3&amp;": "&amp;INDEX(Dati!$P$1:$P$1000,MATCH($A8,Dati!$A$1:$A$1000,0))&amp;" · ","")&amp;IF(INDEX(Dati!$CS$1:$CS$1000,MATCH($A8,Dati!$A$1:$A$1000,0))&gt;0,Dati!$Q$3&amp;": "&amp;INDEX(Dati!$Q$1:$Q$1000,MATCH($A8,Dati!$A$1:$A$1000,0))&amp;" · ","")&amp;IF(INDEX(Dati!$CT$1:$CT$1000,MATCH($A8,Dati!$A$1:$A$1000,0))&gt;0,Dati!$R$3&amp;": "&amp;INDEX(Dati!$R$1:$R$1000,MATCH($A8,Dati!$A$1:$A$1000,0))&amp;" · ",""))-3)),""))</f>
        <v/>
      </c>
      <c r="G8" s="55" t="str">
        <f aca="false">IF($B8="","",IFERROR(IF((IF(INDEX(Dati!$CU$1:$CU$1000,MATCH($A8,Dati!$A$1:$A$1000,0))&gt;0,Dati!$S$3&amp;": "&amp;INDEX(Dati!$S$1:$S$1000,MATCH($A8,Dati!$A$1:$A$1000,0))&amp;" · ","")&amp;IF(INDEX(Dati!$CV$1:$CV$1000,MATCH($A8,Dati!$A$1:$A$1000,0))&gt;0,Dati!$T$3&amp;": "&amp;INDEX(Dati!$T$1:$T$1000,MATCH($A8,Dati!$A$1:$A$1000,0))&amp;" · ","")&amp;IF(INDEX(Dati!$CW$1:$CW$1000,MATCH($A8,Dati!$A$1:$A$1000,0))&gt;0,Dati!$U$3&amp;": "&amp;INDEX(Dati!$U$1:$U$1000,MATCH($A8,Dati!$A$1:$A$1000,0))&amp;" · ","")&amp;IF(INDEX(Dati!$CX$1:$CX$1000,MATCH($A8,Dati!$A$1:$A$1000,0))&gt;0,Dati!$V$3&amp;": "&amp;INDEX(Dati!$V$1:$V$1000,MATCH($A8,Dati!$A$1:$A$1000,0))&amp;" · ",""))="",IF(INDEX(Dati!$FK$1:$FK$1000,MATCH($A8,Dati!$A$1:$A$1000,0))=1,"AS da recuperare",""),LEFT(IF(INDEX(Dati!$CU$1:$CU$1000,MATCH($A8,Dati!$A$1:$A$1000,0))&gt;0,Dati!$S$3&amp;": "&amp;INDEX(Dati!$S$1:$S$1000,MATCH($A8,Dati!$A$1:$A$1000,0))&amp;" · ","")&amp;IF(INDEX(Dati!$CV$1:$CV$1000,MATCH($A8,Dati!$A$1:$A$1000,0))&gt;0,Dati!$T$3&amp;": "&amp;INDEX(Dati!$T$1:$T$1000,MATCH($A8,Dati!$A$1:$A$1000,0))&amp;" · ","")&amp;IF(INDEX(Dati!$CW$1:$CW$1000,MATCH($A8,Dati!$A$1:$A$1000,0))&gt;0,Dati!$U$3&amp;": "&amp;INDEX(Dati!$U$1:$U$1000,MATCH($A8,Dati!$A$1:$A$1000,0))&amp;" · ","")&amp;IF(INDEX(Dati!$CX$1:$CX$1000,MATCH($A8,Dati!$A$1:$A$1000,0))&gt;0,Dati!$V$3&amp;": "&amp;INDEX(Dati!$V$1:$V$1000,MATCH($A8,Dati!$A$1:$A$1000,0))&amp;" · ",""),LEN(IF(INDEX(Dati!$CU$1:$CU$1000,MATCH($A8,Dati!$A$1:$A$1000,0))&gt;0,Dati!$S$3&amp;": "&amp;INDEX(Dati!$S$1:$S$1000,MATCH($A8,Dati!$A$1:$A$1000,0))&amp;" · ","")&amp;IF(INDEX(Dati!$CV$1:$CV$1000,MATCH($A8,Dati!$A$1:$A$1000,0))&gt;0,Dati!$T$3&amp;": "&amp;INDEX(Dati!$T$1:$T$1000,MATCH($A8,Dati!$A$1:$A$1000,0))&amp;" · ","")&amp;IF(INDEX(Dati!$CW$1:$CW$1000,MATCH($A8,Dati!$A$1:$A$1000,0))&gt;0,Dati!$U$3&amp;": "&amp;INDEX(Dati!$U$1:$U$1000,MATCH($A8,Dati!$A$1:$A$1000,0))&amp;" · ","")&amp;IF(INDEX(Dati!$CX$1:$CX$1000,MATCH($A8,Dati!$A$1:$A$1000,0))&gt;0,Dati!$V$3&amp;": "&amp;INDEX(Dati!$V$1:$V$1000,MATCH($A8,Dati!$A$1:$A$1000,0))&amp;" · ",""))-3)),""))</f>
        <v/>
      </c>
      <c r="H8" s="55" t="str">
        <f aca="false">IF($B8="","",IFERROR(IF((IF(INDEX(Dati!$CY$1:$CY$1000,MATCH($A8,Dati!$A$1:$A$1000,0))&gt;0,Dati!$W$3&amp;": "&amp;INDEX(Dati!$W$1:$W$1000,MATCH($A8,Dati!$A$1:$A$1000,0))&amp;" · ","")&amp;IF(INDEX(Dati!$CZ$1:$CZ$1000,MATCH($A8,Dati!$A$1:$A$1000,0))&gt;0,Dati!$X$3&amp;": "&amp;INDEX(Dati!$X$1:$X$1000,MATCH($A8,Dati!$A$1:$A$1000,0))&amp;" · ","")&amp;IF(INDEX(Dati!$DA$1:$DA$1000,MATCH($A8,Dati!$A$1:$A$1000,0))&gt;0,Dati!$Y$3&amp;": "&amp;INDEX(Dati!$Y$1:$Y$1000,MATCH($A8,Dati!$A$1:$A$1000,0))&amp;" · ","")&amp;IF(INDEX(Dati!$DB$1:$DB$1000,MATCH($A8,Dati!$A$1:$A$1000,0))&gt;0,Dati!$Z$3&amp;": "&amp;INDEX(Dati!$Z$1:$Z$1000,MATCH($A8,Dati!$A$1:$A$1000,0))&amp;" · ",""))="",IF(INDEX(Dati!$FL$1:$FL$1000,MATCH($A8,Dati!$A$1:$A$1000,0))=1,"AS da recuperare",""),LEFT(IF(INDEX(Dati!$CY$1:$CY$1000,MATCH($A8,Dati!$A$1:$A$1000,0))&gt;0,Dati!$W$3&amp;": "&amp;INDEX(Dati!$W$1:$W$1000,MATCH($A8,Dati!$A$1:$A$1000,0))&amp;" · ","")&amp;IF(INDEX(Dati!$CZ$1:$CZ$1000,MATCH($A8,Dati!$A$1:$A$1000,0))&gt;0,Dati!$X$3&amp;": "&amp;INDEX(Dati!$X$1:$X$1000,MATCH($A8,Dati!$A$1:$A$1000,0))&amp;" · ","")&amp;IF(INDEX(Dati!$DA$1:$DA$1000,MATCH($A8,Dati!$A$1:$A$1000,0))&gt;0,Dati!$Y$3&amp;": "&amp;INDEX(Dati!$Y$1:$Y$1000,MATCH($A8,Dati!$A$1:$A$1000,0))&amp;" · ","")&amp;IF(INDEX(Dati!$DB$1:$DB$1000,MATCH($A8,Dati!$A$1:$A$1000,0))&gt;0,Dati!$Z$3&amp;": "&amp;INDEX(Dati!$Z$1:$Z$1000,MATCH($A8,Dati!$A$1:$A$1000,0))&amp;" · ",""),LEN(IF(INDEX(Dati!$CY$1:$CY$1000,MATCH($A8,Dati!$A$1:$A$1000,0))&gt;0,Dati!$W$3&amp;": "&amp;INDEX(Dati!$W$1:$W$1000,MATCH($A8,Dati!$A$1:$A$1000,0))&amp;" · ","")&amp;IF(INDEX(Dati!$CZ$1:$CZ$1000,MATCH($A8,Dati!$A$1:$A$1000,0))&gt;0,Dati!$X$3&amp;": "&amp;INDEX(Dati!$X$1:$X$1000,MATCH($A8,Dati!$A$1:$A$1000,0))&amp;" · ","")&amp;IF(INDEX(Dati!$DA$1:$DA$1000,MATCH($A8,Dati!$A$1:$A$1000,0))&gt;0,Dati!$Y$3&amp;": "&amp;INDEX(Dati!$Y$1:$Y$1000,MATCH($A8,Dati!$A$1:$A$1000,0))&amp;" · ","")&amp;IF(INDEX(Dati!$DB$1:$DB$1000,MATCH($A8,Dati!$A$1:$A$1000,0))&gt;0,Dati!$Z$3&amp;": "&amp;INDEX(Dati!$Z$1:$Z$1000,MATCH($A8,Dati!$A$1:$A$1000,0))&amp;" · ",""))-3)),""))</f>
        <v/>
      </c>
      <c r="I8" s="55" t="str">
        <f aca="false">IF($B8="","",IFERROR(IF((IF(INDEX(Dati!$DC$1:$DC$1000,MATCH($A8,Dati!$A$1:$A$1000,0))&gt;0,Dati!$AA$3&amp;": "&amp;INDEX(Dati!$AA$1:$AA$1000,MATCH($A8,Dati!$A$1:$A$1000,0))&amp;" · ","")&amp;IF(INDEX(Dati!$DD$1:$DD$1000,MATCH($A8,Dati!$A$1:$A$1000,0))&gt;0,Dati!$AB$3&amp;": "&amp;INDEX(Dati!$AB$1:$AB$1000,MATCH($A8,Dati!$A$1:$A$1000,0))&amp;" · ","")&amp;IF(INDEX(Dati!$DE$1:$DE$1000,MATCH($A8,Dati!$A$1:$A$1000,0))&gt;0,Dati!$AC$3&amp;": "&amp;INDEX(Dati!$AC$1:$AC$1000,MATCH($A8,Dati!$A$1:$A$1000,0))&amp;" · ","")&amp;IF(INDEX(Dati!$DF$1:$DF$1000,MATCH($A8,Dati!$A$1:$A$1000,0))&gt;0,Dati!$AD$3&amp;": "&amp;INDEX(Dati!$AD$1:$AD$1000,MATCH($A8,Dati!$A$1:$A$1000,0))&amp;" · ",""))="",IF(INDEX(Dati!$FM$1:$FM$1000,MATCH($A8,Dati!$A$1:$A$1000,0))=1,"AS da recuperare",""),LEFT(IF(INDEX(Dati!$DC$1:$DC$1000,MATCH($A8,Dati!$A$1:$A$1000,0))&gt;0,Dati!$AA$3&amp;": "&amp;INDEX(Dati!$AA$1:$AA$1000,MATCH($A8,Dati!$A$1:$A$1000,0))&amp;" · ","")&amp;IF(INDEX(Dati!$DD$1:$DD$1000,MATCH($A8,Dati!$A$1:$A$1000,0))&gt;0,Dati!$AB$3&amp;": "&amp;INDEX(Dati!$AB$1:$AB$1000,MATCH($A8,Dati!$A$1:$A$1000,0))&amp;" · ","")&amp;IF(INDEX(Dati!$DE$1:$DE$1000,MATCH($A8,Dati!$A$1:$A$1000,0))&gt;0,Dati!$AC$3&amp;": "&amp;INDEX(Dati!$AC$1:$AC$1000,MATCH($A8,Dati!$A$1:$A$1000,0))&amp;" · ","")&amp;IF(INDEX(Dati!$DF$1:$DF$1000,MATCH($A8,Dati!$A$1:$A$1000,0))&gt;0,Dati!$AD$3&amp;": "&amp;INDEX(Dati!$AD$1:$AD$1000,MATCH($A8,Dati!$A$1:$A$1000,0))&amp;" · ",""),LEN(IF(INDEX(Dati!$DC$1:$DC$1000,MATCH($A8,Dati!$A$1:$A$1000,0))&gt;0,Dati!$AA$3&amp;": "&amp;INDEX(Dati!$AA$1:$AA$1000,MATCH($A8,Dati!$A$1:$A$1000,0))&amp;" · ","")&amp;IF(INDEX(Dati!$DD$1:$DD$1000,MATCH($A8,Dati!$A$1:$A$1000,0))&gt;0,Dati!$AB$3&amp;": "&amp;INDEX(Dati!$AB$1:$AB$1000,MATCH($A8,Dati!$A$1:$A$1000,0))&amp;" · ","")&amp;IF(INDEX(Dati!$DE$1:$DE$1000,MATCH($A8,Dati!$A$1:$A$1000,0))&gt;0,Dati!$AC$3&amp;": "&amp;INDEX(Dati!$AC$1:$AC$1000,MATCH($A8,Dati!$A$1:$A$1000,0))&amp;" · ","")&amp;IF(INDEX(Dati!$DF$1:$DF$1000,MATCH($A8,Dati!$A$1:$A$1000,0))&gt;0,Dati!$AD$3&amp;": "&amp;INDEX(Dati!$AD$1:$AD$1000,MATCH($A8,Dati!$A$1:$A$1000,0))&amp;" · ",""))-3)),""))</f>
        <v/>
      </c>
      <c r="J8" s="55" t="str">
        <f aca="false">IF($B8="","",IFERROR(IF((IF(INDEX(Dati!$DG$1:$DG$1000,MATCH($A8,Dati!$A$1:$A$1000,0))&gt;0,Dati!$AE$3&amp;": "&amp;INDEX(Dati!$AE$1:$AE$1000,MATCH($A8,Dati!$A$1:$A$1000,0))&amp;" · ","")&amp;IF(INDEX(Dati!$DH$1:$DH$1000,MATCH($A8,Dati!$A$1:$A$1000,0))&gt;0,Dati!$AF$3&amp;": "&amp;INDEX(Dati!$AF$1:$AF$1000,MATCH($A8,Dati!$A$1:$A$1000,0))&amp;" · ","")&amp;IF(INDEX(Dati!$DI$1:$DI$1000,MATCH($A8,Dati!$A$1:$A$1000,0))&gt;0,Dati!$AG$3&amp;": "&amp;INDEX(Dati!$AG$1:$AG$1000,MATCH($A8,Dati!$A$1:$A$1000,0))&amp;" · ","")&amp;IF(INDEX(Dati!$DJ$1:$DJ$1000,MATCH($A8,Dati!$A$1:$A$1000,0))&gt;0,Dati!$AH$3&amp;": "&amp;INDEX(Dati!$AH$1:$AH$1000,MATCH($A8,Dati!$A$1:$A$1000,0))&amp;" · ",""))="",IF(INDEX(Dati!$FN$1:$FN$1000,MATCH($A8,Dati!$A$1:$A$1000,0))=1,"AS da recuperare",""),LEFT(IF(INDEX(Dati!$DG$1:$DG$1000,MATCH($A8,Dati!$A$1:$A$1000,0))&gt;0,Dati!$AE$3&amp;": "&amp;INDEX(Dati!$AE$1:$AE$1000,MATCH($A8,Dati!$A$1:$A$1000,0))&amp;" · ","")&amp;IF(INDEX(Dati!$DH$1:$DH$1000,MATCH($A8,Dati!$A$1:$A$1000,0))&gt;0,Dati!$AF$3&amp;": "&amp;INDEX(Dati!$AF$1:$AF$1000,MATCH($A8,Dati!$A$1:$A$1000,0))&amp;" · ","")&amp;IF(INDEX(Dati!$DI$1:$DI$1000,MATCH($A8,Dati!$A$1:$A$1000,0))&gt;0,Dati!$AG$3&amp;": "&amp;INDEX(Dati!$AG$1:$AG$1000,MATCH($A8,Dati!$A$1:$A$1000,0))&amp;" · ","")&amp;IF(INDEX(Dati!$DJ$1:$DJ$1000,MATCH($A8,Dati!$A$1:$A$1000,0))&gt;0,Dati!$AH$3&amp;": "&amp;INDEX(Dati!$AH$1:$AH$1000,MATCH($A8,Dati!$A$1:$A$1000,0))&amp;" · ",""),LEN(IF(INDEX(Dati!$DG$1:$DG$1000,MATCH($A8,Dati!$A$1:$A$1000,0))&gt;0,Dati!$AE$3&amp;": "&amp;INDEX(Dati!$AE$1:$AE$1000,MATCH($A8,Dati!$A$1:$A$1000,0))&amp;" · ","")&amp;IF(INDEX(Dati!$DH$1:$DH$1000,MATCH($A8,Dati!$A$1:$A$1000,0))&gt;0,Dati!$AF$3&amp;": "&amp;INDEX(Dati!$AF$1:$AF$1000,MATCH($A8,Dati!$A$1:$A$1000,0))&amp;" · ","")&amp;IF(INDEX(Dati!$DI$1:$DI$1000,MATCH($A8,Dati!$A$1:$A$1000,0))&gt;0,Dati!$AG$3&amp;": "&amp;INDEX(Dati!$AG$1:$AG$1000,MATCH($A8,Dati!$A$1:$A$1000,0))&amp;" · ","")&amp;IF(INDEX(Dati!$DJ$1:$DJ$1000,MATCH($A8,Dati!$A$1:$A$1000,0))&gt;0,Dati!$AH$3&amp;": "&amp;INDEX(Dati!$AH$1:$AH$1000,MATCH($A8,Dati!$A$1:$A$1000,0))&amp;" · ",""))-3)),""))</f>
        <v/>
      </c>
      <c r="K8" s="55" t="str">
        <f aca="false">IF($B8="","",IFERROR(IF((IF(INDEX(Dati!$DK$1:$DK$1000,MATCH($A8,Dati!$A$1:$A$1000,0))&gt;0,Dati!$AI$3&amp;": "&amp;INDEX(Dati!$AI$1:$AI$1000,MATCH($A8,Dati!$A$1:$A$1000,0))&amp;" · ","")&amp;IF(INDEX(Dati!$DL$1:$DL$1000,MATCH($A8,Dati!$A$1:$A$1000,0))&gt;0,Dati!$AJ$3&amp;": "&amp;INDEX(Dati!$AJ$1:$AJ$1000,MATCH($A8,Dati!$A$1:$A$1000,0))&amp;" · ","")&amp;IF(INDEX(Dati!$DM$1:$DM$1000,MATCH($A8,Dati!$A$1:$A$1000,0))&gt;0,Dati!$AK$3&amp;": "&amp;INDEX(Dati!$AK$1:$AK$1000,MATCH($A8,Dati!$A$1:$A$1000,0))&amp;" · ","")&amp;IF(INDEX(Dati!$DN$1:$DN$1000,MATCH($A8,Dati!$A$1:$A$1000,0))&gt;0,Dati!$AL$3&amp;": "&amp;INDEX(Dati!$AL$1:$AL$1000,MATCH($A8,Dati!$A$1:$A$1000,0))&amp;" · ",""))="",IF(INDEX(Dati!$FO$1:$FO$1000,MATCH($A8,Dati!$A$1:$A$1000,0))=1,"AS da recuperare",""),LEFT(IF(INDEX(Dati!$DK$1:$DK$1000,MATCH($A8,Dati!$A$1:$A$1000,0))&gt;0,Dati!$AI$3&amp;": "&amp;INDEX(Dati!$AI$1:$AI$1000,MATCH($A8,Dati!$A$1:$A$1000,0))&amp;" · ","")&amp;IF(INDEX(Dati!$DL$1:$DL$1000,MATCH($A8,Dati!$A$1:$A$1000,0))&gt;0,Dati!$AJ$3&amp;": "&amp;INDEX(Dati!$AJ$1:$AJ$1000,MATCH($A8,Dati!$A$1:$A$1000,0))&amp;" · ","")&amp;IF(INDEX(Dati!$DM$1:$DM$1000,MATCH($A8,Dati!$A$1:$A$1000,0))&gt;0,Dati!$AK$3&amp;": "&amp;INDEX(Dati!$AK$1:$AK$1000,MATCH($A8,Dati!$A$1:$A$1000,0))&amp;" · ","")&amp;IF(INDEX(Dati!$DN$1:$DN$1000,MATCH($A8,Dati!$A$1:$A$1000,0))&gt;0,Dati!$AL$3&amp;": "&amp;INDEX(Dati!$AL$1:$AL$1000,MATCH($A8,Dati!$A$1:$A$1000,0))&amp;" · ",""),LEN(IF(INDEX(Dati!$DK$1:$DK$1000,MATCH($A8,Dati!$A$1:$A$1000,0))&gt;0,Dati!$AI$3&amp;": "&amp;INDEX(Dati!$AI$1:$AI$1000,MATCH($A8,Dati!$A$1:$A$1000,0))&amp;" · ","")&amp;IF(INDEX(Dati!$DL$1:$DL$1000,MATCH($A8,Dati!$A$1:$A$1000,0))&gt;0,Dati!$AJ$3&amp;": "&amp;INDEX(Dati!$AJ$1:$AJ$1000,MATCH($A8,Dati!$A$1:$A$1000,0))&amp;" · ","")&amp;IF(INDEX(Dati!$DM$1:$DM$1000,MATCH($A8,Dati!$A$1:$A$1000,0))&gt;0,Dati!$AK$3&amp;": "&amp;INDEX(Dati!$AK$1:$AK$1000,MATCH($A8,Dati!$A$1:$A$1000,0))&amp;" · ","")&amp;IF(INDEX(Dati!$DN$1:$DN$1000,MATCH($A8,Dati!$A$1:$A$1000,0))&gt;0,Dati!$AL$3&amp;": "&amp;INDEX(Dati!$AL$1:$AL$1000,MATCH($A8,Dati!$A$1:$A$1000,0))&amp;" · ",""))-3)),""))</f>
        <v/>
      </c>
      <c r="L8" s="55" t="str">
        <f aca="false">IF($B8="","",IFERROR(IF((IF(INDEX(Dati!$DO$1:$DO$1000,MATCH($A8,Dati!$A$1:$A$1000,0))&gt;0,Dati!$AM$3&amp;": "&amp;INDEX(Dati!$AM$1:$AM$1000,MATCH($A8,Dati!$A$1:$A$1000,0))&amp;" · ","")&amp;IF(INDEX(Dati!$DP$1:$DP$1000,MATCH($A8,Dati!$A$1:$A$1000,0))&gt;0,Dati!$AN$3&amp;": "&amp;INDEX(Dati!$AN$1:$AN$1000,MATCH($A8,Dati!$A$1:$A$1000,0))&amp;" · ","")&amp;IF(INDEX(Dati!$DQ$1:$DQ$1000,MATCH($A8,Dati!$A$1:$A$1000,0))&gt;0,Dati!$AO$3&amp;": "&amp;INDEX(Dati!$AO$1:$AO$1000,MATCH($A8,Dati!$A$1:$A$1000,0))&amp;" · ","")&amp;IF(INDEX(Dati!$DR$1:$DR$1000,MATCH($A8,Dati!$A$1:$A$1000,0))&gt;0,Dati!$AP$3&amp;": "&amp;INDEX(Dati!$AP$1:$AP$1000,MATCH($A8,Dati!$A$1:$A$1000,0))&amp;" · ",""))="",IF(INDEX(Dati!$FP$1:$FP$1000,MATCH($A8,Dati!$A$1:$A$1000,0))=1,"AS da recuperare",""),LEFT(IF(INDEX(Dati!$DO$1:$DO$1000,MATCH($A8,Dati!$A$1:$A$1000,0))&gt;0,Dati!$AM$3&amp;": "&amp;INDEX(Dati!$AM$1:$AM$1000,MATCH($A8,Dati!$A$1:$A$1000,0))&amp;" · ","")&amp;IF(INDEX(Dati!$DP$1:$DP$1000,MATCH($A8,Dati!$A$1:$A$1000,0))&gt;0,Dati!$AN$3&amp;": "&amp;INDEX(Dati!$AN$1:$AN$1000,MATCH($A8,Dati!$A$1:$A$1000,0))&amp;" · ","")&amp;IF(INDEX(Dati!$DQ$1:$DQ$1000,MATCH($A8,Dati!$A$1:$A$1000,0))&gt;0,Dati!$AO$3&amp;": "&amp;INDEX(Dati!$AO$1:$AO$1000,MATCH($A8,Dati!$A$1:$A$1000,0))&amp;" · ","")&amp;IF(INDEX(Dati!$DR$1:$DR$1000,MATCH($A8,Dati!$A$1:$A$1000,0))&gt;0,Dati!$AP$3&amp;": "&amp;INDEX(Dati!$AP$1:$AP$1000,MATCH($A8,Dati!$A$1:$A$1000,0))&amp;" · ",""),LEN(IF(INDEX(Dati!$DO$1:$DO$1000,MATCH($A8,Dati!$A$1:$A$1000,0))&gt;0,Dati!$AM$3&amp;": "&amp;INDEX(Dati!$AM$1:$AM$1000,MATCH($A8,Dati!$A$1:$A$1000,0))&amp;" · ","")&amp;IF(INDEX(Dati!$DP$1:$DP$1000,MATCH($A8,Dati!$A$1:$A$1000,0))&gt;0,Dati!$AN$3&amp;": "&amp;INDEX(Dati!$AN$1:$AN$1000,MATCH($A8,Dati!$A$1:$A$1000,0))&amp;" · ","")&amp;IF(INDEX(Dati!$DQ$1:$DQ$1000,MATCH($A8,Dati!$A$1:$A$1000,0))&gt;0,Dati!$AO$3&amp;": "&amp;INDEX(Dati!$AO$1:$AO$1000,MATCH($A8,Dati!$A$1:$A$1000,0))&amp;" · ","")&amp;IF(INDEX(Dati!$DR$1:$DR$1000,MATCH($A8,Dati!$A$1:$A$1000,0))&gt;0,Dati!$AP$3&amp;": "&amp;INDEX(Dati!$AP$1:$AP$1000,MATCH($A8,Dati!$A$1:$A$1000,0))&amp;" · ",""))-3)),""))</f>
        <v/>
      </c>
      <c r="M8" s="55" t="str">
        <f aca="false">IF($B8="","",IFERROR(IF((IF(INDEX(Dati!$DS$1:$DS$1000,MATCH($A8,Dati!$A$1:$A$1000,0))&gt;0,Dati!$AQ$3&amp;": "&amp;INDEX(Dati!$AQ$1:$AQ$1000,MATCH($A8,Dati!$A$1:$A$1000,0))&amp;" · ","")&amp;IF(INDEX(Dati!$DT$1:$DT$1000,MATCH($A8,Dati!$A$1:$A$1000,0))&gt;0,Dati!$AR$3&amp;": "&amp;INDEX(Dati!$AR$1:$AR$1000,MATCH($A8,Dati!$A$1:$A$1000,0))&amp;" · ","")&amp;IF(INDEX(Dati!$DU$1:$DU$1000,MATCH($A8,Dati!$A$1:$A$1000,0))&gt;0,Dati!$AS$3&amp;": "&amp;INDEX(Dati!$AS$1:$AS$1000,MATCH($A8,Dati!$A$1:$A$1000,0))&amp;" · ","")&amp;IF(INDEX(Dati!$DV$1:$DV$1000,MATCH($A8,Dati!$A$1:$A$1000,0))&gt;0,Dati!$AT$3&amp;": "&amp;INDEX(Dati!$AT$1:$AT$1000,MATCH($A8,Dati!$A$1:$A$1000,0))&amp;" · ",""))="",IF(INDEX(Dati!$FQ$1:$FQ$1000,MATCH($A8,Dati!$A$1:$A$1000,0))=1,"AS da recuperare",""),LEFT(IF(INDEX(Dati!$DS$1:$DS$1000,MATCH($A8,Dati!$A$1:$A$1000,0))&gt;0,Dati!$AQ$3&amp;": "&amp;INDEX(Dati!$AQ$1:$AQ$1000,MATCH($A8,Dati!$A$1:$A$1000,0))&amp;" · ","")&amp;IF(INDEX(Dati!$DT$1:$DT$1000,MATCH($A8,Dati!$A$1:$A$1000,0))&gt;0,Dati!$AR$3&amp;": "&amp;INDEX(Dati!$AR$1:$AR$1000,MATCH($A8,Dati!$A$1:$A$1000,0))&amp;" · ","")&amp;IF(INDEX(Dati!$DU$1:$DU$1000,MATCH($A8,Dati!$A$1:$A$1000,0))&gt;0,Dati!$AS$3&amp;": "&amp;INDEX(Dati!$AS$1:$AS$1000,MATCH($A8,Dati!$A$1:$A$1000,0))&amp;" · ","")&amp;IF(INDEX(Dati!$DV$1:$DV$1000,MATCH($A8,Dati!$A$1:$A$1000,0))&gt;0,Dati!$AT$3&amp;": "&amp;INDEX(Dati!$AT$1:$AT$1000,MATCH($A8,Dati!$A$1:$A$1000,0))&amp;" · ",""),LEN(IF(INDEX(Dati!$DS$1:$DS$1000,MATCH($A8,Dati!$A$1:$A$1000,0))&gt;0,Dati!$AQ$3&amp;": "&amp;INDEX(Dati!$AQ$1:$AQ$1000,MATCH($A8,Dati!$A$1:$A$1000,0))&amp;" · ","")&amp;IF(INDEX(Dati!$DT$1:$DT$1000,MATCH($A8,Dati!$A$1:$A$1000,0))&gt;0,Dati!$AR$3&amp;": "&amp;INDEX(Dati!$AR$1:$AR$1000,MATCH($A8,Dati!$A$1:$A$1000,0))&amp;" · ","")&amp;IF(INDEX(Dati!$DU$1:$DU$1000,MATCH($A8,Dati!$A$1:$A$1000,0))&gt;0,Dati!$AS$3&amp;": "&amp;INDEX(Dati!$AS$1:$AS$1000,MATCH($A8,Dati!$A$1:$A$1000,0))&amp;" · ","")&amp;IF(INDEX(Dati!$DV$1:$DV$1000,MATCH($A8,Dati!$A$1:$A$1000,0))&gt;0,Dati!$AT$3&amp;": "&amp;INDEX(Dati!$AT$1:$AT$1000,MATCH($A8,Dati!$A$1:$A$1000,0))&amp;" · ",""))-3)),""))</f>
        <v/>
      </c>
      <c r="N8" s="55" t="str">
        <f aca="false">IF($B8="","",IFERROR(IF((IF(INDEX(Dati!$DW$1:$DW$1000,MATCH($A8,Dati!$A$1:$A$1000,0))&gt;0,Dati!$AU$3&amp;": "&amp;INDEX(Dati!$AU$1:$AU$1000,MATCH($A8,Dati!$A$1:$A$1000,0))&amp;" · ","")&amp;IF(INDEX(Dati!$DX$1:$DX$1000,MATCH($A8,Dati!$A$1:$A$1000,0))&gt;0,Dati!$AV$3&amp;": "&amp;INDEX(Dati!$AV$1:$AV$1000,MATCH($A8,Dati!$A$1:$A$1000,0))&amp;" · ","")&amp;IF(INDEX(Dati!$DY$1:$DY$1000,MATCH($A8,Dati!$A$1:$A$1000,0))&gt;0,Dati!$AW$3&amp;": "&amp;INDEX(Dati!$AW$1:$AW$1000,MATCH($A8,Dati!$A$1:$A$1000,0))&amp;" · ","")&amp;IF(INDEX(Dati!$DZ$1:$DZ$1000,MATCH($A8,Dati!$A$1:$A$1000,0))&gt;0,Dati!$AX$3&amp;": "&amp;INDEX(Dati!$AX$1:$AX$1000,MATCH($A8,Dati!$A$1:$A$1000,0))&amp;" · ",""))="",IF(INDEX(Dati!$FR$1:$FR$1000,MATCH($A8,Dati!$A$1:$A$1000,0))=1,"AS da recuperare",""),LEFT(IF(INDEX(Dati!$DW$1:$DW$1000,MATCH($A8,Dati!$A$1:$A$1000,0))&gt;0,Dati!$AU$3&amp;": "&amp;INDEX(Dati!$AU$1:$AU$1000,MATCH($A8,Dati!$A$1:$A$1000,0))&amp;" · ","")&amp;IF(INDEX(Dati!$DX$1:$DX$1000,MATCH($A8,Dati!$A$1:$A$1000,0))&gt;0,Dati!$AV$3&amp;": "&amp;INDEX(Dati!$AV$1:$AV$1000,MATCH($A8,Dati!$A$1:$A$1000,0))&amp;" · ","")&amp;IF(INDEX(Dati!$DY$1:$DY$1000,MATCH($A8,Dati!$A$1:$A$1000,0))&gt;0,Dati!$AW$3&amp;": "&amp;INDEX(Dati!$AW$1:$AW$1000,MATCH($A8,Dati!$A$1:$A$1000,0))&amp;" · ","")&amp;IF(INDEX(Dati!$DZ$1:$DZ$1000,MATCH($A8,Dati!$A$1:$A$1000,0))&gt;0,Dati!$AX$3&amp;": "&amp;INDEX(Dati!$AX$1:$AX$1000,MATCH($A8,Dati!$A$1:$A$1000,0))&amp;" · ",""),LEN(IF(INDEX(Dati!$DW$1:$DW$1000,MATCH($A8,Dati!$A$1:$A$1000,0))&gt;0,Dati!$AU$3&amp;": "&amp;INDEX(Dati!$AU$1:$AU$1000,MATCH($A8,Dati!$A$1:$A$1000,0))&amp;" · ","")&amp;IF(INDEX(Dati!$DX$1:$DX$1000,MATCH($A8,Dati!$A$1:$A$1000,0))&gt;0,Dati!$AV$3&amp;": "&amp;INDEX(Dati!$AV$1:$AV$1000,MATCH($A8,Dati!$A$1:$A$1000,0))&amp;" · ","")&amp;IF(INDEX(Dati!$DY$1:$DY$1000,MATCH($A8,Dati!$A$1:$A$1000,0))&gt;0,Dati!$AW$3&amp;": "&amp;INDEX(Dati!$AW$1:$AW$1000,MATCH($A8,Dati!$A$1:$A$1000,0))&amp;" · ","")&amp;IF(INDEX(Dati!$DZ$1:$DZ$1000,MATCH($A8,Dati!$A$1:$A$1000,0))&gt;0,Dati!$AX$3&amp;": "&amp;INDEX(Dati!$AX$1:$AX$1000,MATCH($A8,Dati!$A$1:$A$1000,0))&amp;" · ",""))-3)),""))</f>
        <v/>
      </c>
      <c r="O8" s="55" t="str">
        <f aca="false">IF($B8="","",IFERROR(IF((IF(INDEX(Dati!$EA$1:$EA$1000,MATCH($A8,Dati!$A$1:$A$1000,0))&gt;0,Dati!$AY$3&amp;": "&amp;INDEX(Dati!$AY$1:$AY$1000,MATCH($A8,Dati!$A$1:$A$1000,0))&amp;" · ","")&amp;IF(INDEX(Dati!$EB$1:$EB$1000,MATCH($A8,Dati!$A$1:$A$1000,0))&gt;0,Dati!$AZ$3&amp;": "&amp;INDEX(Dati!$AZ$1:$AZ$1000,MATCH($A8,Dati!$A$1:$A$1000,0))&amp;" · ","")&amp;IF(INDEX(Dati!$EC$1:$EC$1000,MATCH($A8,Dati!$A$1:$A$1000,0))&gt;0,Dati!$BA$3&amp;": "&amp;INDEX(Dati!$BA$1:$BA$1000,MATCH($A8,Dati!$A$1:$A$1000,0))&amp;" · ","")&amp;IF(INDEX(Dati!$ED$1:$ED$1000,MATCH($A8,Dati!$A$1:$A$1000,0))&gt;0,Dati!$BB$3&amp;": "&amp;INDEX(Dati!$BB$1:$BB$1000,MATCH($A8,Dati!$A$1:$A$1000,0))&amp;" · ",""))="",IF(INDEX(Dati!$FS$1:$FS$1000,MATCH($A8,Dati!$A$1:$A$1000,0))=1,"AS da recuperare",""),LEFT(IF(INDEX(Dati!$EA$1:$EA$1000,MATCH($A8,Dati!$A$1:$A$1000,0))&gt;0,Dati!$AY$3&amp;": "&amp;INDEX(Dati!$AY$1:$AY$1000,MATCH($A8,Dati!$A$1:$A$1000,0))&amp;" · ","")&amp;IF(INDEX(Dati!$EB$1:$EB$1000,MATCH($A8,Dati!$A$1:$A$1000,0))&gt;0,Dati!$AZ$3&amp;": "&amp;INDEX(Dati!$AZ$1:$AZ$1000,MATCH($A8,Dati!$A$1:$A$1000,0))&amp;" · ","")&amp;IF(INDEX(Dati!$EC$1:$EC$1000,MATCH($A8,Dati!$A$1:$A$1000,0))&gt;0,Dati!$BA$3&amp;": "&amp;INDEX(Dati!$BA$1:$BA$1000,MATCH($A8,Dati!$A$1:$A$1000,0))&amp;" · ","")&amp;IF(INDEX(Dati!$ED$1:$ED$1000,MATCH($A8,Dati!$A$1:$A$1000,0))&gt;0,Dati!$BB$3&amp;": "&amp;INDEX(Dati!$BB$1:$BB$1000,MATCH($A8,Dati!$A$1:$A$1000,0))&amp;" · ",""),LEN(IF(INDEX(Dati!$EA$1:$EA$1000,MATCH($A8,Dati!$A$1:$A$1000,0))&gt;0,Dati!$AY$3&amp;": "&amp;INDEX(Dati!$AY$1:$AY$1000,MATCH($A8,Dati!$A$1:$A$1000,0))&amp;" · ","")&amp;IF(INDEX(Dati!$EB$1:$EB$1000,MATCH($A8,Dati!$A$1:$A$1000,0))&gt;0,Dati!$AZ$3&amp;": "&amp;INDEX(Dati!$AZ$1:$AZ$1000,MATCH($A8,Dati!$A$1:$A$1000,0))&amp;" · ","")&amp;IF(INDEX(Dati!$EC$1:$EC$1000,MATCH($A8,Dati!$A$1:$A$1000,0))&gt;0,Dati!$BA$3&amp;": "&amp;INDEX(Dati!$BA$1:$BA$1000,MATCH($A8,Dati!$A$1:$A$1000,0))&amp;" · ","")&amp;IF(INDEX(Dati!$ED$1:$ED$1000,MATCH($A8,Dati!$A$1:$A$1000,0))&gt;0,Dati!$BB$3&amp;": "&amp;INDEX(Dati!$BB$1:$BB$1000,MATCH($A8,Dati!$A$1:$A$1000,0))&amp;" · ",""))-3)),""))</f>
        <v/>
      </c>
      <c r="P8" s="55" t="str">
        <f aca="false">IF($B8="","",IFERROR(IF((IF(INDEX(Dati!$EE$1:$EE$1000,MATCH($A8,Dati!$A$1:$A$1000,0))&gt;0,Dati!$BC$3&amp;": "&amp;INDEX(Dati!$BC$1:$BC$1000,MATCH($A8,Dati!$A$1:$A$1000,0))&amp;" · ","")&amp;IF(INDEX(Dati!$EF$1:$EF$1000,MATCH($A8,Dati!$A$1:$A$1000,0))&gt;0,Dati!$BD$3&amp;": "&amp;INDEX(Dati!$BD$1:$BD$1000,MATCH($A8,Dati!$A$1:$A$1000,0))&amp;" · ","")&amp;IF(INDEX(Dati!$EG$1:$EG$1000,MATCH($A8,Dati!$A$1:$A$1000,0))&gt;0,Dati!$BE$3&amp;": "&amp;INDEX(Dati!$BE$1:$BE$1000,MATCH($A8,Dati!$A$1:$A$1000,0))&amp;" · ","")&amp;IF(INDEX(Dati!$EH$1:$EH$1000,MATCH($A8,Dati!$A$1:$A$1000,0))&gt;0,Dati!$BF$3&amp;": "&amp;INDEX(Dati!$BF$1:$BF$1000,MATCH($A8,Dati!$A$1:$A$1000,0))&amp;" · ",""))="",IF(INDEX(Dati!$FT$1:$FT$1000,MATCH($A8,Dati!$A$1:$A$1000,0))=1,"AS da recuperare",""),LEFT(IF(INDEX(Dati!$EE$1:$EE$1000,MATCH($A8,Dati!$A$1:$A$1000,0))&gt;0,Dati!$BC$3&amp;": "&amp;INDEX(Dati!$BC$1:$BC$1000,MATCH($A8,Dati!$A$1:$A$1000,0))&amp;" · ","")&amp;IF(INDEX(Dati!$EF$1:$EF$1000,MATCH($A8,Dati!$A$1:$A$1000,0))&gt;0,Dati!$BD$3&amp;": "&amp;INDEX(Dati!$BD$1:$BD$1000,MATCH($A8,Dati!$A$1:$A$1000,0))&amp;" · ","")&amp;IF(INDEX(Dati!$EG$1:$EG$1000,MATCH($A8,Dati!$A$1:$A$1000,0))&gt;0,Dati!$BE$3&amp;": "&amp;INDEX(Dati!$BE$1:$BE$1000,MATCH($A8,Dati!$A$1:$A$1000,0))&amp;" · ","")&amp;IF(INDEX(Dati!$EH$1:$EH$1000,MATCH($A8,Dati!$A$1:$A$1000,0))&gt;0,Dati!$BF$3&amp;": "&amp;INDEX(Dati!$BF$1:$BF$1000,MATCH($A8,Dati!$A$1:$A$1000,0))&amp;" · ",""),LEN(IF(INDEX(Dati!$EE$1:$EE$1000,MATCH($A8,Dati!$A$1:$A$1000,0))&gt;0,Dati!$BC$3&amp;": "&amp;INDEX(Dati!$BC$1:$BC$1000,MATCH($A8,Dati!$A$1:$A$1000,0))&amp;" · ","")&amp;IF(INDEX(Dati!$EF$1:$EF$1000,MATCH($A8,Dati!$A$1:$A$1000,0))&gt;0,Dati!$BD$3&amp;": "&amp;INDEX(Dati!$BD$1:$BD$1000,MATCH($A8,Dati!$A$1:$A$1000,0))&amp;" · ","")&amp;IF(INDEX(Dati!$EG$1:$EG$1000,MATCH($A8,Dati!$A$1:$A$1000,0))&gt;0,Dati!$BE$3&amp;": "&amp;INDEX(Dati!$BE$1:$BE$1000,MATCH($A8,Dati!$A$1:$A$1000,0))&amp;" · ","")&amp;IF(INDEX(Dati!$EH$1:$EH$1000,MATCH($A8,Dati!$A$1:$A$1000,0))&gt;0,Dati!$BF$3&amp;": "&amp;INDEX(Dati!$BF$1:$BF$1000,MATCH($A8,Dati!$A$1:$A$1000,0))&amp;" · ",""))-3)),""))</f>
        <v/>
      </c>
      <c r="Q8" s="55" t="str">
        <f aca="false">IF($B8="","",IFERROR(IF((IF(INDEX(Dati!$EI$1:$EI$1000,MATCH($A8,Dati!$A$1:$A$1000,0))&gt;0,Dati!$BG$3&amp;": "&amp;INDEX(Dati!$BG$1:$BG$1000,MATCH($A8,Dati!$A$1:$A$1000,0))&amp;" · ","")&amp;IF(INDEX(Dati!$EJ$1:$EJ$1000,MATCH($A8,Dati!$A$1:$A$1000,0))&gt;0,Dati!$BH$3&amp;": "&amp;INDEX(Dati!$BH$1:$BH$1000,MATCH($A8,Dati!$A$1:$A$1000,0))&amp;" · ","")&amp;IF(INDEX(Dati!$EK$1:$EK$1000,MATCH($A8,Dati!$A$1:$A$1000,0))&gt;0,Dati!$BI$3&amp;": "&amp;INDEX(Dati!$BI$1:$BI$1000,MATCH($A8,Dati!$A$1:$A$1000,0))&amp;" · ","")&amp;IF(INDEX(Dati!$EL$1:$EL$1000,MATCH($A8,Dati!$A$1:$A$1000,0))&gt;0,Dati!$BJ$3&amp;": "&amp;INDEX(Dati!$BJ$1:$BJ$1000,MATCH($A8,Dati!$A$1:$A$1000,0))&amp;" · ",""))="",IF(INDEX(Dati!$FU$1:$FU$1000,MATCH($A8,Dati!$A$1:$A$1000,0))=1,"AS da recuperare",""),LEFT(IF(INDEX(Dati!$EI$1:$EI$1000,MATCH($A8,Dati!$A$1:$A$1000,0))&gt;0,Dati!$BG$3&amp;": "&amp;INDEX(Dati!$BG$1:$BG$1000,MATCH($A8,Dati!$A$1:$A$1000,0))&amp;" · ","")&amp;IF(INDEX(Dati!$EJ$1:$EJ$1000,MATCH($A8,Dati!$A$1:$A$1000,0))&gt;0,Dati!$BH$3&amp;": "&amp;INDEX(Dati!$BH$1:$BH$1000,MATCH($A8,Dati!$A$1:$A$1000,0))&amp;" · ","")&amp;IF(INDEX(Dati!$EK$1:$EK$1000,MATCH($A8,Dati!$A$1:$A$1000,0))&gt;0,Dati!$BI$3&amp;": "&amp;INDEX(Dati!$BI$1:$BI$1000,MATCH($A8,Dati!$A$1:$A$1000,0))&amp;" · ","")&amp;IF(INDEX(Dati!$EL$1:$EL$1000,MATCH($A8,Dati!$A$1:$A$1000,0))&gt;0,Dati!$BJ$3&amp;": "&amp;INDEX(Dati!$BJ$1:$BJ$1000,MATCH($A8,Dati!$A$1:$A$1000,0))&amp;" · ",""),LEN(IF(INDEX(Dati!$EI$1:$EI$1000,MATCH($A8,Dati!$A$1:$A$1000,0))&gt;0,Dati!$BG$3&amp;": "&amp;INDEX(Dati!$BG$1:$BG$1000,MATCH($A8,Dati!$A$1:$A$1000,0))&amp;" · ","")&amp;IF(INDEX(Dati!$EJ$1:$EJ$1000,MATCH($A8,Dati!$A$1:$A$1000,0))&gt;0,Dati!$BH$3&amp;": "&amp;INDEX(Dati!$BH$1:$BH$1000,MATCH($A8,Dati!$A$1:$A$1000,0))&amp;" · ","")&amp;IF(INDEX(Dati!$EK$1:$EK$1000,MATCH($A8,Dati!$A$1:$A$1000,0))&gt;0,Dati!$BI$3&amp;": "&amp;INDEX(Dati!$BI$1:$BI$1000,MATCH($A8,Dati!$A$1:$A$1000,0))&amp;" · ","")&amp;IF(INDEX(Dati!$EL$1:$EL$1000,MATCH($A8,Dati!$A$1:$A$1000,0))&gt;0,Dati!$BJ$3&amp;": "&amp;INDEX(Dati!$BJ$1:$BJ$1000,MATCH($A8,Dati!$A$1:$A$1000,0))&amp;" · ",""))-3)),""))</f>
        <v/>
      </c>
      <c r="R8" s="55" t="str">
        <f aca="false">IF($B8="","",IFERROR(IF((IF(INDEX(Dati!$EM$1:$EM$1000,MATCH($A8,Dati!$A$1:$A$1000,0))&gt;0,Dati!$BK$3&amp;": "&amp;INDEX(Dati!$BK$1:$BK$1000,MATCH($A8,Dati!$A$1:$A$1000,0))&amp;" · ","")&amp;IF(INDEX(Dati!$EN$1:$EN$1000,MATCH($A8,Dati!$A$1:$A$1000,0))&gt;0,Dati!$BL$3&amp;": "&amp;INDEX(Dati!$BL$1:$BL$1000,MATCH($A8,Dati!$A$1:$A$1000,0))&amp;" · ","")&amp;IF(INDEX(Dati!$EO$1:$EO$1000,MATCH($A8,Dati!$A$1:$A$1000,0))&gt;0,Dati!$BM$3&amp;": "&amp;INDEX(Dati!$BM$1:$BM$1000,MATCH($A8,Dati!$A$1:$A$1000,0))&amp;" · ","")&amp;IF(INDEX(Dati!$EP$1:$EP$1000,MATCH($A8,Dati!$A$1:$A$1000,0))&gt;0,Dati!$BN$3&amp;": "&amp;INDEX(Dati!$BN$1:$BN$1000,MATCH($A8,Dati!$A$1:$A$1000,0))&amp;" · ",""))="",IF(INDEX(Dati!$FV$1:$FV$1000,MATCH($A8,Dati!$A$1:$A$1000,0))=1,"AS da recuperare",""),LEFT(IF(INDEX(Dati!$EM$1:$EM$1000,MATCH($A8,Dati!$A$1:$A$1000,0))&gt;0,Dati!$BK$3&amp;": "&amp;INDEX(Dati!$BK$1:$BK$1000,MATCH($A8,Dati!$A$1:$A$1000,0))&amp;" · ","")&amp;IF(INDEX(Dati!$EN$1:$EN$1000,MATCH($A8,Dati!$A$1:$A$1000,0))&gt;0,Dati!$BL$3&amp;": "&amp;INDEX(Dati!$BL$1:$BL$1000,MATCH($A8,Dati!$A$1:$A$1000,0))&amp;" · ","")&amp;IF(INDEX(Dati!$EO$1:$EO$1000,MATCH($A8,Dati!$A$1:$A$1000,0))&gt;0,Dati!$BM$3&amp;": "&amp;INDEX(Dati!$BM$1:$BM$1000,MATCH($A8,Dati!$A$1:$A$1000,0))&amp;" · ","")&amp;IF(INDEX(Dati!$EP$1:$EP$1000,MATCH($A8,Dati!$A$1:$A$1000,0))&gt;0,Dati!$BN$3&amp;": "&amp;INDEX(Dati!$BN$1:$BN$1000,MATCH($A8,Dati!$A$1:$A$1000,0))&amp;" · ",""),LEN(IF(INDEX(Dati!$EM$1:$EM$1000,MATCH($A8,Dati!$A$1:$A$1000,0))&gt;0,Dati!$BK$3&amp;": "&amp;INDEX(Dati!$BK$1:$BK$1000,MATCH($A8,Dati!$A$1:$A$1000,0))&amp;" · ","")&amp;IF(INDEX(Dati!$EN$1:$EN$1000,MATCH($A8,Dati!$A$1:$A$1000,0))&gt;0,Dati!$BL$3&amp;": "&amp;INDEX(Dati!$BL$1:$BL$1000,MATCH($A8,Dati!$A$1:$A$1000,0))&amp;" · ","")&amp;IF(INDEX(Dati!$EO$1:$EO$1000,MATCH($A8,Dati!$A$1:$A$1000,0))&gt;0,Dati!$BM$3&amp;": "&amp;INDEX(Dati!$BM$1:$BM$1000,MATCH($A8,Dati!$A$1:$A$1000,0))&amp;" · ","")&amp;IF(INDEX(Dati!$EP$1:$EP$1000,MATCH($A8,Dati!$A$1:$A$1000,0))&gt;0,Dati!$BN$3&amp;": "&amp;INDEX(Dati!$BN$1:$BN$1000,MATCH($A8,Dati!$A$1:$A$1000,0))&amp;" · ",""))-3)),""))</f>
        <v/>
      </c>
      <c r="S8" s="55" t="str">
        <f aca="false">IF($B8="","",IFERROR(IF((IF(INDEX(Dati!$EQ$1:$EQ$1000,MATCH($A8,Dati!$A$1:$A$1000,0))&gt;0,Dati!$BO$3&amp;": "&amp;INDEX(Dati!$BO$1:$BO$1000,MATCH($A8,Dati!$A$1:$A$1000,0))&amp;" · ","")&amp;IF(INDEX(Dati!$ER$1:$ER$1000,MATCH($A8,Dati!$A$1:$A$1000,0))&gt;0,Dati!$BP$3&amp;": "&amp;INDEX(Dati!$BP$1:$BP$1000,MATCH($A8,Dati!$A$1:$A$1000,0))&amp;" · ","")&amp;IF(INDEX(Dati!$ES$1:$ES$1000,MATCH($A8,Dati!$A$1:$A$1000,0))&gt;0,Dati!$BQ$3&amp;": "&amp;INDEX(Dati!$BQ$1:$BQ$1000,MATCH($A8,Dati!$A$1:$A$1000,0))&amp;" · ","")&amp;IF(INDEX(Dati!$ET$1:$ET$1000,MATCH($A8,Dati!$A$1:$A$1000,0))&gt;0,Dati!$BR$3&amp;": "&amp;INDEX(Dati!$BR$1:$BR$1000,MATCH($A8,Dati!$A$1:$A$1000,0))&amp;" · ",""))="",IF(INDEX(Dati!$FW$1:$FW$1000,MATCH($A8,Dati!$A$1:$A$1000,0))=1,"AS da recuperare",""),LEFT(IF(INDEX(Dati!$EQ$1:$EQ$1000,MATCH($A8,Dati!$A$1:$A$1000,0))&gt;0,Dati!$BO$3&amp;": "&amp;INDEX(Dati!$BO$1:$BO$1000,MATCH($A8,Dati!$A$1:$A$1000,0))&amp;" · ","")&amp;IF(INDEX(Dati!$ER$1:$ER$1000,MATCH($A8,Dati!$A$1:$A$1000,0))&gt;0,Dati!$BP$3&amp;": "&amp;INDEX(Dati!$BP$1:$BP$1000,MATCH($A8,Dati!$A$1:$A$1000,0))&amp;" · ","")&amp;IF(INDEX(Dati!$ES$1:$ES$1000,MATCH($A8,Dati!$A$1:$A$1000,0))&gt;0,Dati!$BQ$3&amp;": "&amp;INDEX(Dati!$BQ$1:$BQ$1000,MATCH($A8,Dati!$A$1:$A$1000,0))&amp;" · ","")&amp;IF(INDEX(Dati!$ET$1:$ET$1000,MATCH($A8,Dati!$A$1:$A$1000,0))&gt;0,Dati!$BR$3&amp;": "&amp;INDEX(Dati!$BR$1:$BR$1000,MATCH($A8,Dati!$A$1:$A$1000,0))&amp;" · ",""),LEN(IF(INDEX(Dati!$EQ$1:$EQ$1000,MATCH($A8,Dati!$A$1:$A$1000,0))&gt;0,Dati!$BO$3&amp;": "&amp;INDEX(Dati!$BO$1:$BO$1000,MATCH($A8,Dati!$A$1:$A$1000,0))&amp;" · ","")&amp;IF(INDEX(Dati!$ER$1:$ER$1000,MATCH($A8,Dati!$A$1:$A$1000,0))&gt;0,Dati!$BP$3&amp;": "&amp;INDEX(Dati!$BP$1:$BP$1000,MATCH($A8,Dati!$A$1:$A$1000,0))&amp;" · ","")&amp;IF(INDEX(Dati!$ES$1:$ES$1000,MATCH($A8,Dati!$A$1:$A$1000,0))&gt;0,Dati!$BQ$3&amp;": "&amp;INDEX(Dati!$BQ$1:$BQ$1000,MATCH($A8,Dati!$A$1:$A$1000,0))&amp;" · ","")&amp;IF(INDEX(Dati!$ET$1:$ET$1000,MATCH($A8,Dati!$A$1:$A$1000,0))&gt;0,Dati!$BR$3&amp;": "&amp;INDEX(Dati!$BR$1:$BR$1000,MATCH($A8,Dati!$A$1:$A$1000,0))&amp;" · ",""))-3)),""))</f>
        <v/>
      </c>
      <c r="T8" s="55" t="str">
        <f aca="false">IF($B8="","",IFERROR(IF((IF(INDEX(Dati!$EU$1:$EU$1000,MATCH($A8,Dati!$A$1:$A$1000,0))&gt;0,Dati!$BS$3&amp;": "&amp;INDEX(Dati!$BS$1:$BS$1000,MATCH($A8,Dati!$A$1:$A$1000,0))&amp;" · ","")&amp;IF(INDEX(Dati!$EV$1:$EV$1000,MATCH($A8,Dati!$A$1:$A$1000,0))&gt;0,Dati!$BT$3&amp;": "&amp;INDEX(Dati!$BT$1:$BT$1000,MATCH($A8,Dati!$A$1:$A$1000,0))&amp;" · ","")&amp;IF(INDEX(Dati!$EW$1:$EW$1000,MATCH($A8,Dati!$A$1:$A$1000,0))&gt;0,Dati!$BU$3&amp;": "&amp;INDEX(Dati!$BU$1:$BU$1000,MATCH($A8,Dati!$A$1:$A$1000,0))&amp;" · ","")&amp;IF(INDEX(Dati!$EX$1:$EX$1000,MATCH($A8,Dati!$A$1:$A$1000,0))&gt;0,Dati!$BV$3&amp;": "&amp;INDEX(Dati!$BV$1:$BV$1000,MATCH($A8,Dati!$A$1:$A$1000,0))&amp;" · ",""))="",IF(INDEX(Dati!$FX$1:$FX$1000,MATCH($A8,Dati!$A$1:$A$1000,0))=1,"AS da recuperare",""),LEFT(IF(INDEX(Dati!$EU$1:$EU$1000,MATCH($A8,Dati!$A$1:$A$1000,0))&gt;0,Dati!$BS$3&amp;": "&amp;INDEX(Dati!$BS$1:$BS$1000,MATCH($A8,Dati!$A$1:$A$1000,0))&amp;" · ","")&amp;IF(INDEX(Dati!$EV$1:$EV$1000,MATCH($A8,Dati!$A$1:$A$1000,0))&gt;0,Dati!$BT$3&amp;": "&amp;INDEX(Dati!$BT$1:$BT$1000,MATCH($A8,Dati!$A$1:$A$1000,0))&amp;" · ","")&amp;IF(INDEX(Dati!$EW$1:$EW$1000,MATCH($A8,Dati!$A$1:$A$1000,0))&gt;0,Dati!$BU$3&amp;": "&amp;INDEX(Dati!$BU$1:$BU$1000,MATCH($A8,Dati!$A$1:$A$1000,0))&amp;" · ","")&amp;IF(INDEX(Dati!$EX$1:$EX$1000,MATCH($A8,Dati!$A$1:$A$1000,0))&gt;0,Dati!$BV$3&amp;": "&amp;INDEX(Dati!$BV$1:$BV$1000,MATCH($A8,Dati!$A$1:$A$1000,0))&amp;" · ",""),LEN(IF(INDEX(Dati!$EU$1:$EU$1000,MATCH($A8,Dati!$A$1:$A$1000,0))&gt;0,Dati!$BS$3&amp;": "&amp;INDEX(Dati!$BS$1:$BS$1000,MATCH($A8,Dati!$A$1:$A$1000,0))&amp;" · ","")&amp;IF(INDEX(Dati!$EV$1:$EV$1000,MATCH($A8,Dati!$A$1:$A$1000,0))&gt;0,Dati!$BT$3&amp;": "&amp;INDEX(Dati!$BT$1:$BT$1000,MATCH($A8,Dati!$A$1:$A$1000,0))&amp;" · ","")&amp;IF(INDEX(Dati!$EW$1:$EW$1000,MATCH($A8,Dati!$A$1:$A$1000,0))&gt;0,Dati!$BU$3&amp;": "&amp;INDEX(Dati!$BU$1:$BU$1000,MATCH($A8,Dati!$A$1:$A$1000,0))&amp;" · ","")&amp;IF(INDEX(Dati!$EX$1:$EX$1000,MATCH($A8,Dati!$A$1:$A$1000,0))&gt;0,Dati!$BV$3&amp;": "&amp;INDEX(Dati!$BV$1:$BV$1000,MATCH($A8,Dati!$A$1:$A$1000,0))&amp;" · ",""))-3)),""))</f>
        <v/>
      </c>
      <c r="U8" s="55" t="str">
        <f aca="false">IF($B8="","",IFERROR(IF((IF(INDEX(Dati!$EY$1:$EY$1000,MATCH($A8,Dati!$A$1:$A$1000,0))&gt;0,Dati!$BW$3&amp;": "&amp;INDEX(Dati!$BW$1:$BW$1000,MATCH($A8,Dati!$A$1:$A$1000,0))&amp;" · ","")&amp;IF(INDEX(Dati!$EZ$1:$EZ$1000,MATCH($A8,Dati!$A$1:$A$1000,0))&gt;0,Dati!$BX$3&amp;": "&amp;INDEX(Dati!$BX$1:$BX$1000,MATCH($A8,Dati!$A$1:$A$1000,0))&amp;" · ","")&amp;IF(INDEX(Dati!$FA$1:$FA$1000,MATCH($A8,Dati!$A$1:$A$1000,0))&gt;0,Dati!$BY$3&amp;": "&amp;INDEX(Dati!$BY$1:$BY$1000,MATCH($A8,Dati!$A$1:$A$1000,0))&amp;" · ","")&amp;IF(INDEX(Dati!$FB$1:$FB$1000,MATCH($A8,Dati!$A$1:$A$1000,0))&gt;0,Dati!$BZ$3&amp;": "&amp;INDEX(Dati!$BZ$1:$BZ$1000,MATCH($A8,Dati!$A$1:$A$1000,0))&amp;" · ",""))="",IF(INDEX(Dati!$FY$1:$FY$1000,MATCH($A8,Dati!$A$1:$A$1000,0))=1,"AS da recuperare",""),LEFT(IF(INDEX(Dati!$EY$1:$EY$1000,MATCH($A8,Dati!$A$1:$A$1000,0))&gt;0,Dati!$BW$3&amp;": "&amp;INDEX(Dati!$BW$1:$BW$1000,MATCH($A8,Dati!$A$1:$A$1000,0))&amp;" · ","")&amp;IF(INDEX(Dati!$EZ$1:$EZ$1000,MATCH($A8,Dati!$A$1:$A$1000,0))&gt;0,Dati!$BX$3&amp;": "&amp;INDEX(Dati!$BX$1:$BX$1000,MATCH($A8,Dati!$A$1:$A$1000,0))&amp;" · ","")&amp;IF(INDEX(Dati!$FA$1:$FA$1000,MATCH($A8,Dati!$A$1:$A$1000,0))&gt;0,Dati!$BY$3&amp;": "&amp;INDEX(Dati!$BY$1:$BY$1000,MATCH($A8,Dati!$A$1:$A$1000,0))&amp;" · ","")&amp;IF(INDEX(Dati!$FB$1:$FB$1000,MATCH($A8,Dati!$A$1:$A$1000,0))&gt;0,Dati!$BZ$3&amp;": "&amp;INDEX(Dati!$BZ$1:$BZ$1000,MATCH($A8,Dati!$A$1:$A$1000,0))&amp;" · ",""),LEN(IF(INDEX(Dati!$EY$1:$EY$1000,MATCH($A8,Dati!$A$1:$A$1000,0))&gt;0,Dati!$BW$3&amp;": "&amp;INDEX(Dati!$BW$1:$BW$1000,MATCH($A8,Dati!$A$1:$A$1000,0))&amp;" · ","")&amp;IF(INDEX(Dati!$EZ$1:$EZ$1000,MATCH($A8,Dati!$A$1:$A$1000,0))&gt;0,Dati!$BX$3&amp;": "&amp;INDEX(Dati!$BX$1:$BX$1000,MATCH($A8,Dati!$A$1:$A$1000,0))&amp;" · ","")&amp;IF(INDEX(Dati!$FA$1:$FA$1000,MATCH($A8,Dati!$A$1:$A$1000,0))&gt;0,Dati!$BY$3&amp;": "&amp;INDEX(Dati!$BY$1:$BY$1000,MATCH($A8,Dati!$A$1:$A$1000,0))&amp;" · ","")&amp;IF(INDEX(Dati!$FB$1:$FB$1000,MATCH($A8,Dati!$A$1:$A$1000,0))&gt;0,Dati!$BZ$3&amp;": "&amp;INDEX(Dati!$BZ$1:$BZ$1000,MATCH($A8,Dati!$A$1:$A$1000,0))&amp;" · ",""))-3)),""))</f>
        <v/>
      </c>
      <c r="V8" s="55" t="str">
        <f aca="false">IF($B8="","",IFERROR(IF((IF(INDEX(Dati!$FC$1:$FC$1000,MATCH($A8,Dati!$A$1:$A$1000,0))&gt;0,Dati!$CA$3&amp;": "&amp;INDEX(Dati!$CA$1:$CA$1000,MATCH($A8,Dati!$A$1:$A$1000,0))&amp;" · ","")&amp;IF(INDEX(Dati!$FD$1:$FD$1000,MATCH($A8,Dati!$A$1:$A$1000,0))&gt;0,Dati!$CB$3&amp;": "&amp;INDEX(Dati!$CB$1:$CB$1000,MATCH($A8,Dati!$A$1:$A$1000,0))&amp;" · ","")&amp;IF(INDEX(Dati!$FE$1:$FE$1000,MATCH($A8,Dati!$A$1:$A$1000,0))&gt;0,Dati!$CC$3&amp;": "&amp;INDEX(Dati!$CC$1:$CC$1000,MATCH($A8,Dati!$A$1:$A$1000,0))&amp;" · ","")&amp;IF(INDEX(Dati!$FF$1:$FF$1000,MATCH($A8,Dati!$A$1:$A$1000,0))&gt;0,Dati!$CD$3&amp;": "&amp;INDEX(Dati!$CD$1:$CD$1000,MATCH($A8,Dati!$A$1:$A$1000,0))&amp;" · ",""))="",IF(INDEX(Dati!$FZ$1:$FZ$1000,MATCH($A8,Dati!$A$1:$A$1000,0))=1,"AS da recuperare",""),LEFT(IF(INDEX(Dati!$FC$1:$FC$1000,MATCH($A8,Dati!$A$1:$A$1000,0))&gt;0,Dati!$CA$3&amp;": "&amp;INDEX(Dati!$CA$1:$CA$1000,MATCH($A8,Dati!$A$1:$A$1000,0))&amp;" · ","")&amp;IF(INDEX(Dati!$FD$1:$FD$1000,MATCH($A8,Dati!$A$1:$A$1000,0))&gt;0,Dati!$CB$3&amp;": "&amp;INDEX(Dati!$CB$1:$CB$1000,MATCH($A8,Dati!$A$1:$A$1000,0))&amp;" · ","")&amp;IF(INDEX(Dati!$FE$1:$FE$1000,MATCH($A8,Dati!$A$1:$A$1000,0))&gt;0,Dati!$CC$3&amp;": "&amp;INDEX(Dati!$CC$1:$CC$1000,MATCH($A8,Dati!$A$1:$A$1000,0))&amp;" · ","")&amp;IF(INDEX(Dati!$FF$1:$FF$1000,MATCH($A8,Dati!$A$1:$A$1000,0))&gt;0,Dati!$CD$3&amp;": "&amp;INDEX(Dati!$CD$1:$CD$1000,MATCH($A8,Dati!$A$1:$A$1000,0))&amp;" · ",""),LEN(IF(INDEX(Dati!$FC$1:$FC$1000,MATCH($A8,Dati!$A$1:$A$1000,0))&gt;0,Dati!$CA$3&amp;": "&amp;INDEX(Dati!$CA$1:$CA$1000,MATCH($A8,Dati!$A$1:$A$1000,0))&amp;" · ","")&amp;IF(INDEX(Dati!$FD$1:$FD$1000,MATCH($A8,Dati!$A$1:$A$1000,0))&gt;0,Dati!$CB$3&amp;": "&amp;INDEX(Dati!$CB$1:$CB$1000,MATCH($A8,Dati!$A$1:$A$1000,0))&amp;" · ","")&amp;IF(INDEX(Dati!$FE$1:$FE$1000,MATCH($A8,Dati!$A$1:$A$1000,0))&gt;0,Dati!$CC$3&amp;": "&amp;INDEX(Dati!$CC$1:$CC$1000,MATCH($A8,Dati!$A$1:$A$1000,0))&amp;" · ","")&amp;IF(INDEX(Dati!$FF$1:$FF$1000,MATCH($A8,Dati!$A$1:$A$1000,0))&gt;0,Dati!$CD$3&amp;": "&amp;INDEX(Dati!$CD$1:$CD$1000,MATCH($A8,Dati!$A$1:$A$1000,0))&amp;" · ",""))-3)),""))</f>
        <v/>
      </c>
    </row>
    <row r="9" customFormat="false" ht="19.5" hidden="false" customHeight="true" outlineLevel="0" collapsed="false">
      <c r="A9" s="10" t="n">
        <v>5</v>
      </c>
      <c r="B9" s="16" t="str">
        <f aca="false">IFERROR(INDEX(Alunni!$C$1:$C$1000,MATCH($A9,Alunni!$A$1:$A$1000,0))&amp;"","")</f>
        <v/>
      </c>
      <c r="C9" s="55" t="str">
        <f aca="false">IF($B9="","",IFERROR(IF((IF(INDEX(Dati!$CE$1:$CE$1000,MATCH($A9,Dati!$A$1:$A$1000,0))&gt;0,Dati!$C$3&amp;": "&amp;INDEX(Dati!$C$1:$C$1000,MATCH($A9,Dati!$A$1:$A$1000,0))&amp;" · ","")&amp;IF(INDEX(Dati!$CF$1:$CF$1000,MATCH($A9,Dati!$A$1:$A$1000,0))&gt;0,Dati!$D$3&amp;": "&amp;INDEX(Dati!$D$1:$D$1000,MATCH($A9,Dati!$A$1:$A$1000,0))&amp;" · ","")&amp;IF(INDEX(Dati!$CG$1:$CG$1000,MATCH($A9,Dati!$A$1:$A$1000,0))&gt;0,Dati!$E$3&amp;": "&amp;INDEX(Dati!$E$1:$E$1000,MATCH($A9,Dati!$A$1:$A$1000,0))&amp;" · ","")&amp;IF(INDEX(Dati!$CH$1:$CH$1000,MATCH($A9,Dati!$A$1:$A$1000,0))&gt;0,Dati!$F$3&amp;": "&amp;INDEX(Dati!$F$1:$F$1000,MATCH($A9,Dati!$A$1:$A$1000,0))&amp;" · ",""))="",IF(INDEX(Dati!$FG$1:$FG$1000,MATCH($A9,Dati!$A$1:$A$1000,0))=1,"AS da recuperare",""),LEFT(IF(INDEX(Dati!$CE$1:$CE$1000,MATCH($A9,Dati!$A$1:$A$1000,0))&gt;0,Dati!$C$3&amp;": "&amp;INDEX(Dati!$C$1:$C$1000,MATCH($A9,Dati!$A$1:$A$1000,0))&amp;" · ","")&amp;IF(INDEX(Dati!$CF$1:$CF$1000,MATCH($A9,Dati!$A$1:$A$1000,0))&gt;0,Dati!$D$3&amp;": "&amp;INDEX(Dati!$D$1:$D$1000,MATCH($A9,Dati!$A$1:$A$1000,0))&amp;" · ","")&amp;IF(INDEX(Dati!$CG$1:$CG$1000,MATCH($A9,Dati!$A$1:$A$1000,0))&gt;0,Dati!$E$3&amp;": "&amp;INDEX(Dati!$E$1:$E$1000,MATCH($A9,Dati!$A$1:$A$1000,0))&amp;" · ","")&amp;IF(INDEX(Dati!$CH$1:$CH$1000,MATCH($A9,Dati!$A$1:$A$1000,0))&gt;0,Dati!$F$3&amp;": "&amp;INDEX(Dati!$F$1:$F$1000,MATCH($A9,Dati!$A$1:$A$1000,0))&amp;" · ",""),LEN(IF(INDEX(Dati!$CE$1:$CE$1000,MATCH($A9,Dati!$A$1:$A$1000,0))&gt;0,Dati!$C$3&amp;": "&amp;INDEX(Dati!$C$1:$C$1000,MATCH($A9,Dati!$A$1:$A$1000,0))&amp;" · ","")&amp;IF(INDEX(Dati!$CF$1:$CF$1000,MATCH($A9,Dati!$A$1:$A$1000,0))&gt;0,Dati!$D$3&amp;": "&amp;INDEX(Dati!$D$1:$D$1000,MATCH($A9,Dati!$A$1:$A$1000,0))&amp;" · ","")&amp;IF(INDEX(Dati!$CG$1:$CG$1000,MATCH($A9,Dati!$A$1:$A$1000,0))&gt;0,Dati!$E$3&amp;": "&amp;INDEX(Dati!$E$1:$E$1000,MATCH($A9,Dati!$A$1:$A$1000,0))&amp;" · ","")&amp;IF(INDEX(Dati!$CH$1:$CH$1000,MATCH($A9,Dati!$A$1:$A$1000,0))&gt;0,Dati!$F$3&amp;": "&amp;INDEX(Dati!$F$1:$F$1000,MATCH($A9,Dati!$A$1:$A$1000,0))&amp;" · ",""))-3)),""))</f>
        <v/>
      </c>
      <c r="D9" s="55" t="str">
        <f aca="false">IF($B9="","",IFERROR(IF((IF(INDEX(Dati!$CI$1:$CI$1000,MATCH($A9,Dati!$A$1:$A$1000,0))&gt;0,Dati!$G$3&amp;": "&amp;INDEX(Dati!$G$1:$G$1000,MATCH($A9,Dati!$A$1:$A$1000,0))&amp;" · ","")&amp;IF(INDEX(Dati!$CJ$1:$CJ$1000,MATCH($A9,Dati!$A$1:$A$1000,0))&gt;0,Dati!$H$3&amp;": "&amp;INDEX(Dati!$H$1:$H$1000,MATCH($A9,Dati!$A$1:$A$1000,0))&amp;" · ","")&amp;IF(INDEX(Dati!$CK$1:$CK$1000,MATCH($A9,Dati!$A$1:$A$1000,0))&gt;0,Dati!$I$3&amp;": "&amp;INDEX(Dati!$I$1:$I$1000,MATCH($A9,Dati!$A$1:$A$1000,0))&amp;" · ","")&amp;IF(INDEX(Dati!$CL$1:$CL$1000,MATCH($A9,Dati!$A$1:$A$1000,0))&gt;0,Dati!$J$3&amp;": "&amp;INDEX(Dati!$J$1:$J$1000,MATCH($A9,Dati!$A$1:$A$1000,0))&amp;" · ",""))="",IF(INDEX(Dati!$FH$1:$FH$1000,MATCH($A9,Dati!$A$1:$A$1000,0))=1,"AS da recuperare",""),LEFT(IF(INDEX(Dati!$CI$1:$CI$1000,MATCH($A9,Dati!$A$1:$A$1000,0))&gt;0,Dati!$G$3&amp;": "&amp;INDEX(Dati!$G$1:$G$1000,MATCH($A9,Dati!$A$1:$A$1000,0))&amp;" · ","")&amp;IF(INDEX(Dati!$CJ$1:$CJ$1000,MATCH($A9,Dati!$A$1:$A$1000,0))&gt;0,Dati!$H$3&amp;": "&amp;INDEX(Dati!$H$1:$H$1000,MATCH($A9,Dati!$A$1:$A$1000,0))&amp;" · ","")&amp;IF(INDEX(Dati!$CK$1:$CK$1000,MATCH($A9,Dati!$A$1:$A$1000,0))&gt;0,Dati!$I$3&amp;": "&amp;INDEX(Dati!$I$1:$I$1000,MATCH($A9,Dati!$A$1:$A$1000,0))&amp;" · ","")&amp;IF(INDEX(Dati!$CL$1:$CL$1000,MATCH($A9,Dati!$A$1:$A$1000,0))&gt;0,Dati!$J$3&amp;": "&amp;INDEX(Dati!$J$1:$J$1000,MATCH($A9,Dati!$A$1:$A$1000,0))&amp;" · ",""),LEN(IF(INDEX(Dati!$CI$1:$CI$1000,MATCH($A9,Dati!$A$1:$A$1000,0))&gt;0,Dati!$G$3&amp;": "&amp;INDEX(Dati!$G$1:$G$1000,MATCH($A9,Dati!$A$1:$A$1000,0))&amp;" · ","")&amp;IF(INDEX(Dati!$CJ$1:$CJ$1000,MATCH($A9,Dati!$A$1:$A$1000,0))&gt;0,Dati!$H$3&amp;": "&amp;INDEX(Dati!$H$1:$H$1000,MATCH($A9,Dati!$A$1:$A$1000,0))&amp;" · ","")&amp;IF(INDEX(Dati!$CK$1:$CK$1000,MATCH($A9,Dati!$A$1:$A$1000,0))&gt;0,Dati!$I$3&amp;": "&amp;INDEX(Dati!$I$1:$I$1000,MATCH($A9,Dati!$A$1:$A$1000,0))&amp;" · ","")&amp;IF(INDEX(Dati!$CL$1:$CL$1000,MATCH($A9,Dati!$A$1:$A$1000,0))&gt;0,Dati!$J$3&amp;": "&amp;INDEX(Dati!$J$1:$J$1000,MATCH($A9,Dati!$A$1:$A$1000,0))&amp;" · ",""))-3)),""))</f>
        <v/>
      </c>
      <c r="E9" s="55" t="str">
        <f aca="false">IF($B9="","",IFERROR(IF((IF(INDEX(Dati!$CM$1:$CM$1000,MATCH($A9,Dati!$A$1:$A$1000,0))&gt;0,Dati!$K$3&amp;": "&amp;INDEX(Dati!$K$1:$K$1000,MATCH($A9,Dati!$A$1:$A$1000,0))&amp;" · ","")&amp;IF(INDEX(Dati!$CN$1:$CN$1000,MATCH($A9,Dati!$A$1:$A$1000,0))&gt;0,Dati!$L$3&amp;": "&amp;INDEX(Dati!$L$1:$L$1000,MATCH($A9,Dati!$A$1:$A$1000,0))&amp;" · ","")&amp;IF(INDEX(Dati!$CO$1:$CO$1000,MATCH($A9,Dati!$A$1:$A$1000,0))&gt;0,Dati!$M$3&amp;": "&amp;INDEX(Dati!$M$1:$M$1000,MATCH($A9,Dati!$A$1:$A$1000,0))&amp;" · ","")&amp;IF(INDEX(Dati!$CP$1:$CP$1000,MATCH($A9,Dati!$A$1:$A$1000,0))&gt;0,Dati!$N$3&amp;": "&amp;INDEX(Dati!$N$1:$N$1000,MATCH($A9,Dati!$A$1:$A$1000,0))&amp;" · ",""))="",IF(INDEX(Dati!$FI$1:$FI$1000,MATCH($A9,Dati!$A$1:$A$1000,0))=1,"AS da recuperare",""),LEFT(IF(INDEX(Dati!$CM$1:$CM$1000,MATCH($A9,Dati!$A$1:$A$1000,0))&gt;0,Dati!$K$3&amp;": "&amp;INDEX(Dati!$K$1:$K$1000,MATCH($A9,Dati!$A$1:$A$1000,0))&amp;" · ","")&amp;IF(INDEX(Dati!$CN$1:$CN$1000,MATCH($A9,Dati!$A$1:$A$1000,0))&gt;0,Dati!$L$3&amp;": "&amp;INDEX(Dati!$L$1:$L$1000,MATCH($A9,Dati!$A$1:$A$1000,0))&amp;" · ","")&amp;IF(INDEX(Dati!$CO$1:$CO$1000,MATCH($A9,Dati!$A$1:$A$1000,0))&gt;0,Dati!$M$3&amp;": "&amp;INDEX(Dati!$M$1:$M$1000,MATCH($A9,Dati!$A$1:$A$1000,0))&amp;" · ","")&amp;IF(INDEX(Dati!$CP$1:$CP$1000,MATCH($A9,Dati!$A$1:$A$1000,0))&gt;0,Dati!$N$3&amp;": "&amp;INDEX(Dati!$N$1:$N$1000,MATCH($A9,Dati!$A$1:$A$1000,0))&amp;" · ",""),LEN(IF(INDEX(Dati!$CM$1:$CM$1000,MATCH($A9,Dati!$A$1:$A$1000,0))&gt;0,Dati!$K$3&amp;": "&amp;INDEX(Dati!$K$1:$K$1000,MATCH($A9,Dati!$A$1:$A$1000,0))&amp;" · ","")&amp;IF(INDEX(Dati!$CN$1:$CN$1000,MATCH($A9,Dati!$A$1:$A$1000,0))&gt;0,Dati!$L$3&amp;": "&amp;INDEX(Dati!$L$1:$L$1000,MATCH($A9,Dati!$A$1:$A$1000,0))&amp;" · ","")&amp;IF(INDEX(Dati!$CO$1:$CO$1000,MATCH($A9,Dati!$A$1:$A$1000,0))&gt;0,Dati!$M$3&amp;": "&amp;INDEX(Dati!$M$1:$M$1000,MATCH($A9,Dati!$A$1:$A$1000,0))&amp;" · ","")&amp;IF(INDEX(Dati!$CP$1:$CP$1000,MATCH($A9,Dati!$A$1:$A$1000,0))&gt;0,Dati!$N$3&amp;": "&amp;INDEX(Dati!$N$1:$N$1000,MATCH($A9,Dati!$A$1:$A$1000,0))&amp;" · ",""))-3)),""))</f>
        <v/>
      </c>
      <c r="F9" s="55" t="str">
        <f aca="false">IF($B9="","",IFERROR(IF((IF(INDEX(Dati!$CQ$1:$CQ$1000,MATCH($A9,Dati!$A$1:$A$1000,0))&gt;0,Dati!$O$3&amp;": "&amp;INDEX(Dati!$O$1:$O$1000,MATCH($A9,Dati!$A$1:$A$1000,0))&amp;" · ","")&amp;IF(INDEX(Dati!$CR$1:$CR$1000,MATCH($A9,Dati!$A$1:$A$1000,0))&gt;0,Dati!$P$3&amp;": "&amp;INDEX(Dati!$P$1:$P$1000,MATCH($A9,Dati!$A$1:$A$1000,0))&amp;" · ","")&amp;IF(INDEX(Dati!$CS$1:$CS$1000,MATCH($A9,Dati!$A$1:$A$1000,0))&gt;0,Dati!$Q$3&amp;": "&amp;INDEX(Dati!$Q$1:$Q$1000,MATCH($A9,Dati!$A$1:$A$1000,0))&amp;" · ","")&amp;IF(INDEX(Dati!$CT$1:$CT$1000,MATCH($A9,Dati!$A$1:$A$1000,0))&gt;0,Dati!$R$3&amp;": "&amp;INDEX(Dati!$R$1:$R$1000,MATCH($A9,Dati!$A$1:$A$1000,0))&amp;" · ",""))="",IF(INDEX(Dati!$FJ$1:$FJ$1000,MATCH($A9,Dati!$A$1:$A$1000,0))=1,"AS da recuperare",""),LEFT(IF(INDEX(Dati!$CQ$1:$CQ$1000,MATCH($A9,Dati!$A$1:$A$1000,0))&gt;0,Dati!$O$3&amp;": "&amp;INDEX(Dati!$O$1:$O$1000,MATCH($A9,Dati!$A$1:$A$1000,0))&amp;" · ","")&amp;IF(INDEX(Dati!$CR$1:$CR$1000,MATCH($A9,Dati!$A$1:$A$1000,0))&gt;0,Dati!$P$3&amp;": "&amp;INDEX(Dati!$P$1:$P$1000,MATCH($A9,Dati!$A$1:$A$1000,0))&amp;" · ","")&amp;IF(INDEX(Dati!$CS$1:$CS$1000,MATCH($A9,Dati!$A$1:$A$1000,0))&gt;0,Dati!$Q$3&amp;": "&amp;INDEX(Dati!$Q$1:$Q$1000,MATCH($A9,Dati!$A$1:$A$1000,0))&amp;" · ","")&amp;IF(INDEX(Dati!$CT$1:$CT$1000,MATCH($A9,Dati!$A$1:$A$1000,0))&gt;0,Dati!$R$3&amp;": "&amp;INDEX(Dati!$R$1:$R$1000,MATCH($A9,Dati!$A$1:$A$1000,0))&amp;" · ",""),LEN(IF(INDEX(Dati!$CQ$1:$CQ$1000,MATCH($A9,Dati!$A$1:$A$1000,0))&gt;0,Dati!$O$3&amp;": "&amp;INDEX(Dati!$O$1:$O$1000,MATCH($A9,Dati!$A$1:$A$1000,0))&amp;" · ","")&amp;IF(INDEX(Dati!$CR$1:$CR$1000,MATCH($A9,Dati!$A$1:$A$1000,0))&gt;0,Dati!$P$3&amp;": "&amp;INDEX(Dati!$P$1:$P$1000,MATCH($A9,Dati!$A$1:$A$1000,0))&amp;" · ","")&amp;IF(INDEX(Dati!$CS$1:$CS$1000,MATCH($A9,Dati!$A$1:$A$1000,0))&gt;0,Dati!$Q$3&amp;": "&amp;INDEX(Dati!$Q$1:$Q$1000,MATCH($A9,Dati!$A$1:$A$1000,0))&amp;" · ","")&amp;IF(INDEX(Dati!$CT$1:$CT$1000,MATCH($A9,Dati!$A$1:$A$1000,0))&gt;0,Dati!$R$3&amp;": "&amp;INDEX(Dati!$R$1:$R$1000,MATCH($A9,Dati!$A$1:$A$1000,0))&amp;" · ",""))-3)),""))</f>
        <v/>
      </c>
      <c r="G9" s="55" t="str">
        <f aca="false">IF($B9="","",IFERROR(IF((IF(INDEX(Dati!$CU$1:$CU$1000,MATCH($A9,Dati!$A$1:$A$1000,0))&gt;0,Dati!$S$3&amp;": "&amp;INDEX(Dati!$S$1:$S$1000,MATCH($A9,Dati!$A$1:$A$1000,0))&amp;" · ","")&amp;IF(INDEX(Dati!$CV$1:$CV$1000,MATCH($A9,Dati!$A$1:$A$1000,0))&gt;0,Dati!$T$3&amp;": "&amp;INDEX(Dati!$T$1:$T$1000,MATCH($A9,Dati!$A$1:$A$1000,0))&amp;" · ","")&amp;IF(INDEX(Dati!$CW$1:$CW$1000,MATCH($A9,Dati!$A$1:$A$1000,0))&gt;0,Dati!$U$3&amp;": "&amp;INDEX(Dati!$U$1:$U$1000,MATCH($A9,Dati!$A$1:$A$1000,0))&amp;" · ","")&amp;IF(INDEX(Dati!$CX$1:$CX$1000,MATCH($A9,Dati!$A$1:$A$1000,0))&gt;0,Dati!$V$3&amp;": "&amp;INDEX(Dati!$V$1:$V$1000,MATCH($A9,Dati!$A$1:$A$1000,0))&amp;" · ",""))="",IF(INDEX(Dati!$FK$1:$FK$1000,MATCH($A9,Dati!$A$1:$A$1000,0))=1,"AS da recuperare",""),LEFT(IF(INDEX(Dati!$CU$1:$CU$1000,MATCH($A9,Dati!$A$1:$A$1000,0))&gt;0,Dati!$S$3&amp;": "&amp;INDEX(Dati!$S$1:$S$1000,MATCH($A9,Dati!$A$1:$A$1000,0))&amp;" · ","")&amp;IF(INDEX(Dati!$CV$1:$CV$1000,MATCH($A9,Dati!$A$1:$A$1000,0))&gt;0,Dati!$T$3&amp;": "&amp;INDEX(Dati!$T$1:$T$1000,MATCH($A9,Dati!$A$1:$A$1000,0))&amp;" · ","")&amp;IF(INDEX(Dati!$CW$1:$CW$1000,MATCH($A9,Dati!$A$1:$A$1000,0))&gt;0,Dati!$U$3&amp;": "&amp;INDEX(Dati!$U$1:$U$1000,MATCH($A9,Dati!$A$1:$A$1000,0))&amp;" · ","")&amp;IF(INDEX(Dati!$CX$1:$CX$1000,MATCH($A9,Dati!$A$1:$A$1000,0))&gt;0,Dati!$V$3&amp;": "&amp;INDEX(Dati!$V$1:$V$1000,MATCH($A9,Dati!$A$1:$A$1000,0))&amp;" · ",""),LEN(IF(INDEX(Dati!$CU$1:$CU$1000,MATCH($A9,Dati!$A$1:$A$1000,0))&gt;0,Dati!$S$3&amp;": "&amp;INDEX(Dati!$S$1:$S$1000,MATCH($A9,Dati!$A$1:$A$1000,0))&amp;" · ","")&amp;IF(INDEX(Dati!$CV$1:$CV$1000,MATCH($A9,Dati!$A$1:$A$1000,0))&gt;0,Dati!$T$3&amp;": "&amp;INDEX(Dati!$T$1:$T$1000,MATCH($A9,Dati!$A$1:$A$1000,0))&amp;" · ","")&amp;IF(INDEX(Dati!$CW$1:$CW$1000,MATCH($A9,Dati!$A$1:$A$1000,0))&gt;0,Dati!$U$3&amp;": "&amp;INDEX(Dati!$U$1:$U$1000,MATCH($A9,Dati!$A$1:$A$1000,0))&amp;" · ","")&amp;IF(INDEX(Dati!$CX$1:$CX$1000,MATCH($A9,Dati!$A$1:$A$1000,0))&gt;0,Dati!$V$3&amp;": "&amp;INDEX(Dati!$V$1:$V$1000,MATCH($A9,Dati!$A$1:$A$1000,0))&amp;" · ",""))-3)),""))</f>
        <v/>
      </c>
      <c r="H9" s="55" t="str">
        <f aca="false">IF($B9="","",IFERROR(IF((IF(INDEX(Dati!$CY$1:$CY$1000,MATCH($A9,Dati!$A$1:$A$1000,0))&gt;0,Dati!$W$3&amp;": "&amp;INDEX(Dati!$W$1:$W$1000,MATCH($A9,Dati!$A$1:$A$1000,0))&amp;" · ","")&amp;IF(INDEX(Dati!$CZ$1:$CZ$1000,MATCH($A9,Dati!$A$1:$A$1000,0))&gt;0,Dati!$X$3&amp;": "&amp;INDEX(Dati!$X$1:$X$1000,MATCH($A9,Dati!$A$1:$A$1000,0))&amp;" · ","")&amp;IF(INDEX(Dati!$DA$1:$DA$1000,MATCH($A9,Dati!$A$1:$A$1000,0))&gt;0,Dati!$Y$3&amp;": "&amp;INDEX(Dati!$Y$1:$Y$1000,MATCH($A9,Dati!$A$1:$A$1000,0))&amp;" · ","")&amp;IF(INDEX(Dati!$DB$1:$DB$1000,MATCH($A9,Dati!$A$1:$A$1000,0))&gt;0,Dati!$Z$3&amp;": "&amp;INDEX(Dati!$Z$1:$Z$1000,MATCH($A9,Dati!$A$1:$A$1000,0))&amp;" · ",""))="",IF(INDEX(Dati!$FL$1:$FL$1000,MATCH($A9,Dati!$A$1:$A$1000,0))=1,"AS da recuperare",""),LEFT(IF(INDEX(Dati!$CY$1:$CY$1000,MATCH($A9,Dati!$A$1:$A$1000,0))&gt;0,Dati!$W$3&amp;": "&amp;INDEX(Dati!$W$1:$W$1000,MATCH($A9,Dati!$A$1:$A$1000,0))&amp;" · ","")&amp;IF(INDEX(Dati!$CZ$1:$CZ$1000,MATCH($A9,Dati!$A$1:$A$1000,0))&gt;0,Dati!$X$3&amp;": "&amp;INDEX(Dati!$X$1:$X$1000,MATCH($A9,Dati!$A$1:$A$1000,0))&amp;" · ","")&amp;IF(INDEX(Dati!$DA$1:$DA$1000,MATCH($A9,Dati!$A$1:$A$1000,0))&gt;0,Dati!$Y$3&amp;": "&amp;INDEX(Dati!$Y$1:$Y$1000,MATCH($A9,Dati!$A$1:$A$1000,0))&amp;" · ","")&amp;IF(INDEX(Dati!$DB$1:$DB$1000,MATCH($A9,Dati!$A$1:$A$1000,0))&gt;0,Dati!$Z$3&amp;": "&amp;INDEX(Dati!$Z$1:$Z$1000,MATCH($A9,Dati!$A$1:$A$1000,0))&amp;" · ",""),LEN(IF(INDEX(Dati!$CY$1:$CY$1000,MATCH($A9,Dati!$A$1:$A$1000,0))&gt;0,Dati!$W$3&amp;": "&amp;INDEX(Dati!$W$1:$W$1000,MATCH($A9,Dati!$A$1:$A$1000,0))&amp;" · ","")&amp;IF(INDEX(Dati!$CZ$1:$CZ$1000,MATCH($A9,Dati!$A$1:$A$1000,0))&gt;0,Dati!$X$3&amp;": "&amp;INDEX(Dati!$X$1:$X$1000,MATCH($A9,Dati!$A$1:$A$1000,0))&amp;" · ","")&amp;IF(INDEX(Dati!$DA$1:$DA$1000,MATCH($A9,Dati!$A$1:$A$1000,0))&gt;0,Dati!$Y$3&amp;": "&amp;INDEX(Dati!$Y$1:$Y$1000,MATCH($A9,Dati!$A$1:$A$1000,0))&amp;" · ","")&amp;IF(INDEX(Dati!$DB$1:$DB$1000,MATCH($A9,Dati!$A$1:$A$1000,0))&gt;0,Dati!$Z$3&amp;": "&amp;INDEX(Dati!$Z$1:$Z$1000,MATCH($A9,Dati!$A$1:$A$1000,0))&amp;" · ",""))-3)),""))</f>
        <v/>
      </c>
      <c r="I9" s="55" t="str">
        <f aca="false">IF($B9="","",IFERROR(IF((IF(INDEX(Dati!$DC$1:$DC$1000,MATCH($A9,Dati!$A$1:$A$1000,0))&gt;0,Dati!$AA$3&amp;": "&amp;INDEX(Dati!$AA$1:$AA$1000,MATCH($A9,Dati!$A$1:$A$1000,0))&amp;" · ","")&amp;IF(INDEX(Dati!$DD$1:$DD$1000,MATCH($A9,Dati!$A$1:$A$1000,0))&gt;0,Dati!$AB$3&amp;": "&amp;INDEX(Dati!$AB$1:$AB$1000,MATCH($A9,Dati!$A$1:$A$1000,0))&amp;" · ","")&amp;IF(INDEX(Dati!$DE$1:$DE$1000,MATCH($A9,Dati!$A$1:$A$1000,0))&gt;0,Dati!$AC$3&amp;": "&amp;INDEX(Dati!$AC$1:$AC$1000,MATCH($A9,Dati!$A$1:$A$1000,0))&amp;" · ","")&amp;IF(INDEX(Dati!$DF$1:$DF$1000,MATCH($A9,Dati!$A$1:$A$1000,0))&gt;0,Dati!$AD$3&amp;": "&amp;INDEX(Dati!$AD$1:$AD$1000,MATCH($A9,Dati!$A$1:$A$1000,0))&amp;" · ",""))="",IF(INDEX(Dati!$FM$1:$FM$1000,MATCH($A9,Dati!$A$1:$A$1000,0))=1,"AS da recuperare",""),LEFT(IF(INDEX(Dati!$DC$1:$DC$1000,MATCH($A9,Dati!$A$1:$A$1000,0))&gt;0,Dati!$AA$3&amp;": "&amp;INDEX(Dati!$AA$1:$AA$1000,MATCH($A9,Dati!$A$1:$A$1000,0))&amp;" · ","")&amp;IF(INDEX(Dati!$DD$1:$DD$1000,MATCH($A9,Dati!$A$1:$A$1000,0))&gt;0,Dati!$AB$3&amp;": "&amp;INDEX(Dati!$AB$1:$AB$1000,MATCH($A9,Dati!$A$1:$A$1000,0))&amp;" · ","")&amp;IF(INDEX(Dati!$DE$1:$DE$1000,MATCH($A9,Dati!$A$1:$A$1000,0))&gt;0,Dati!$AC$3&amp;": "&amp;INDEX(Dati!$AC$1:$AC$1000,MATCH($A9,Dati!$A$1:$A$1000,0))&amp;" · ","")&amp;IF(INDEX(Dati!$DF$1:$DF$1000,MATCH($A9,Dati!$A$1:$A$1000,0))&gt;0,Dati!$AD$3&amp;": "&amp;INDEX(Dati!$AD$1:$AD$1000,MATCH($A9,Dati!$A$1:$A$1000,0))&amp;" · ",""),LEN(IF(INDEX(Dati!$DC$1:$DC$1000,MATCH($A9,Dati!$A$1:$A$1000,0))&gt;0,Dati!$AA$3&amp;": "&amp;INDEX(Dati!$AA$1:$AA$1000,MATCH($A9,Dati!$A$1:$A$1000,0))&amp;" · ","")&amp;IF(INDEX(Dati!$DD$1:$DD$1000,MATCH($A9,Dati!$A$1:$A$1000,0))&gt;0,Dati!$AB$3&amp;": "&amp;INDEX(Dati!$AB$1:$AB$1000,MATCH($A9,Dati!$A$1:$A$1000,0))&amp;" · ","")&amp;IF(INDEX(Dati!$DE$1:$DE$1000,MATCH($A9,Dati!$A$1:$A$1000,0))&gt;0,Dati!$AC$3&amp;": "&amp;INDEX(Dati!$AC$1:$AC$1000,MATCH($A9,Dati!$A$1:$A$1000,0))&amp;" · ","")&amp;IF(INDEX(Dati!$DF$1:$DF$1000,MATCH($A9,Dati!$A$1:$A$1000,0))&gt;0,Dati!$AD$3&amp;": "&amp;INDEX(Dati!$AD$1:$AD$1000,MATCH($A9,Dati!$A$1:$A$1000,0))&amp;" · ",""))-3)),""))</f>
        <v/>
      </c>
      <c r="J9" s="55" t="str">
        <f aca="false">IF($B9="","",IFERROR(IF((IF(INDEX(Dati!$DG$1:$DG$1000,MATCH($A9,Dati!$A$1:$A$1000,0))&gt;0,Dati!$AE$3&amp;": "&amp;INDEX(Dati!$AE$1:$AE$1000,MATCH($A9,Dati!$A$1:$A$1000,0))&amp;" · ","")&amp;IF(INDEX(Dati!$DH$1:$DH$1000,MATCH($A9,Dati!$A$1:$A$1000,0))&gt;0,Dati!$AF$3&amp;": "&amp;INDEX(Dati!$AF$1:$AF$1000,MATCH($A9,Dati!$A$1:$A$1000,0))&amp;" · ","")&amp;IF(INDEX(Dati!$DI$1:$DI$1000,MATCH($A9,Dati!$A$1:$A$1000,0))&gt;0,Dati!$AG$3&amp;": "&amp;INDEX(Dati!$AG$1:$AG$1000,MATCH($A9,Dati!$A$1:$A$1000,0))&amp;" · ","")&amp;IF(INDEX(Dati!$DJ$1:$DJ$1000,MATCH($A9,Dati!$A$1:$A$1000,0))&gt;0,Dati!$AH$3&amp;": "&amp;INDEX(Dati!$AH$1:$AH$1000,MATCH($A9,Dati!$A$1:$A$1000,0))&amp;" · ",""))="",IF(INDEX(Dati!$FN$1:$FN$1000,MATCH($A9,Dati!$A$1:$A$1000,0))=1,"AS da recuperare",""),LEFT(IF(INDEX(Dati!$DG$1:$DG$1000,MATCH($A9,Dati!$A$1:$A$1000,0))&gt;0,Dati!$AE$3&amp;": "&amp;INDEX(Dati!$AE$1:$AE$1000,MATCH($A9,Dati!$A$1:$A$1000,0))&amp;" · ","")&amp;IF(INDEX(Dati!$DH$1:$DH$1000,MATCH($A9,Dati!$A$1:$A$1000,0))&gt;0,Dati!$AF$3&amp;": "&amp;INDEX(Dati!$AF$1:$AF$1000,MATCH($A9,Dati!$A$1:$A$1000,0))&amp;" · ","")&amp;IF(INDEX(Dati!$DI$1:$DI$1000,MATCH($A9,Dati!$A$1:$A$1000,0))&gt;0,Dati!$AG$3&amp;": "&amp;INDEX(Dati!$AG$1:$AG$1000,MATCH($A9,Dati!$A$1:$A$1000,0))&amp;" · ","")&amp;IF(INDEX(Dati!$DJ$1:$DJ$1000,MATCH($A9,Dati!$A$1:$A$1000,0))&gt;0,Dati!$AH$3&amp;": "&amp;INDEX(Dati!$AH$1:$AH$1000,MATCH($A9,Dati!$A$1:$A$1000,0))&amp;" · ",""),LEN(IF(INDEX(Dati!$DG$1:$DG$1000,MATCH($A9,Dati!$A$1:$A$1000,0))&gt;0,Dati!$AE$3&amp;": "&amp;INDEX(Dati!$AE$1:$AE$1000,MATCH($A9,Dati!$A$1:$A$1000,0))&amp;" · ","")&amp;IF(INDEX(Dati!$DH$1:$DH$1000,MATCH($A9,Dati!$A$1:$A$1000,0))&gt;0,Dati!$AF$3&amp;": "&amp;INDEX(Dati!$AF$1:$AF$1000,MATCH($A9,Dati!$A$1:$A$1000,0))&amp;" · ","")&amp;IF(INDEX(Dati!$DI$1:$DI$1000,MATCH($A9,Dati!$A$1:$A$1000,0))&gt;0,Dati!$AG$3&amp;": "&amp;INDEX(Dati!$AG$1:$AG$1000,MATCH($A9,Dati!$A$1:$A$1000,0))&amp;" · ","")&amp;IF(INDEX(Dati!$DJ$1:$DJ$1000,MATCH($A9,Dati!$A$1:$A$1000,0))&gt;0,Dati!$AH$3&amp;": "&amp;INDEX(Dati!$AH$1:$AH$1000,MATCH($A9,Dati!$A$1:$A$1000,0))&amp;" · ",""))-3)),""))</f>
        <v/>
      </c>
      <c r="K9" s="55" t="str">
        <f aca="false">IF($B9="","",IFERROR(IF((IF(INDEX(Dati!$DK$1:$DK$1000,MATCH($A9,Dati!$A$1:$A$1000,0))&gt;0,Dati!$AI$3&amp;": "&amp;INDEX(Dati!$AI$1:$AI$1000,MATCH($A9,Dati!$A$1:$A$1000,0))&amp;" · ","")&amp;IF(INDEX(Dati!$DL$1:$DL$1000,MATCH($A9,Dati!$A$1:$A$1000,0))&gt;0,Dati!$AJ$3&amp;": "&amp;INDEX(Dati!$AJ$1:$AJ$1000,MATCH($A9,Dati!$A$1:$A$1000,0))&amp;" · ","")&amp;IF(INDEX(Dati!$DM$1:$DM$1000,MATCH($A9,Dati!$A$1:$A$1000,0))&gt;0,Dati!$AK$3&amp;": "&amp;INDEX(Dati!$AK$1:$AK$1000,MATCH($A9,Dati!$A$1:$A$1000,0))&amp;" · ","")&amp;IF(INDEX(Dati!$DN$1:$DN$1000,MATCH($A9,Dati!$A$1:$A$1000,0))&gt;0,Dati!$AL$3&amp;": "&amp;INDEX(Dati!$AL$1:$AL$1000,MATCH($A9,Dati!$A$1:$A$1000,0))&amp;" · ",""))="",IF(INDEX(Dati!$FO$1:$FO$1000,MATCH($A9,Dati!$A$1:$A$1000,0))=1,"AS da recuperare",""),LEFT(IF(INDEX(Dati!$DK$1:$DK$1000,MATCH($A9,Dati!$A$1:$A$1000,0))&gt;0,Dati!$AI$3&amp;": "&amp;INDEX(Dati!$AI$1:$AI$1000,MATCH($A9,Dati!$A$1:$A$1000,0))&amp;" · ","")&amp;IF(INDEX(Dati!$DL$1:$DL$1000,MATCH($A9,Dati!$A$1:$A$1000,0))&gt;0,Dati!$AJ$3&amp;": "&amp;INDEX(Dati!$AJ$1:$AJ$1000,MATCH($A9,Dati!$A$1:$A$1000,0))&amp;" · ","")&amp;IF(INDEX(Dati!$DM$1:$DM$1000,MATCH($A9,Dati!$A$1:$A$1000,0))&gt;0,Dati!$AK$3&amp;": "&amp;INDEX(Dati!$AK$1:$AK$1000,MATCH($A9,Dati!$A$1:$A$1000,0))&amp;" · ","")&amp;IF(INDEX(Dati!$DN$1:$DN$1000,MATCH($A9,Dati!$A$1:$A$1000,0))&gt;0,Dati!$AL$3&amp;": "&amp;INDEX(Dati!$AL$1:$AL$1000,MATCH($A9,Dati!$A$1:$A$1000,0))&amp;" · ",""),LEN(IF(INDEX(Dati!$DK$1:$DK$1000,MATCH($A9,Dati!$A$1:$A$1000,0))&gt;0,Dati!$AI$3&amp;": "&amp;INDEX(Dati!$AI$1:$AI$1000,MATCH($A9,Dati!$A$1:$A$1000,0))&amp;" · ","")&amp;IF(INDEX(Dati!$DL$1:$DL$1000,MATCH($A9,Dati!$A$1:$A$1000,0))&gt;0,Dati!$AJ$3&amp;": "&amp;INDEX(Dati!$AJ$1:$AJ$1000,MATCH($A9,Dati!$A$1:$A$1000,0))&amp;" · ","")&amp;IF(INDEX(Dati!$DM$1:$DM$1000,MATCH($A9,Dati!$A$1:$A$1000,0))&gt;0,Dati!$AK$3&amp;": "&amp;INDEX(Dati!$AK$1:$AK$1000,MATCH($A9,Dati!$A$1:$A$1000,0))&amp;" · ","")&amp;IF(INDEX(Dati!$DN$1:$DN$1000,MATCH($A9,Dati!$A$1:$A$1000,0))&gt;0,Dati!$AL$3&amp;": "&amp;INDEX(Dati!$AL$1:$AL$1000,MATCH($A9,Dati!$A$1:$A$1000,0))&amp;" · ",""))-3)),""))</f>
        <v/>
      </c>
      <c r="L9" s="55" t="str">
        <f aca="false">IF($B9="","",IFERROR(IF((IF(INDEX(Dati!$DO$1:$DO$1000,MATCH($A9,Dati!$A$1:$A$1000,0))&gt;0,Dati!$AM$3&amp;": "&amp;INDEX(Dati!$AM$1:$AM$1000,MATCH($A9,Dati!$A$1:$A$1000,0))&amp;" · ","")&amp;IF(INDEX(Dati!$DP$1:$DP$1000,MATCH($A9,Dati!$A$1:$A$1000,0))&gt;0,Dati!$AN$3&amp;": "&amp;INDEX(Dati!$AN$1:$AN$1000,MATCH($A9,Dati!$A$1:$A$1000,0))&amp;" · ","")&amp;IF(INDEX(Dati!$DQ$1:$DQ$1000,MATCH($A9,Dati!$A$1:$A$1000,0))&gt;0,Dati!$AO$3&amp;": "&amp;INDEX(Dati!$AO$1:$AO$1000,MATCH($A9,Dati!$A$1:$A$1000,0))&amp;" · ","")&amp;IF(INDEX(Dati!$DR$1:$DR$1000,MATCH($A9,Dati!$A$1:$A$1000,0))&gt;0,Dati!$AP$3&amp;": "&amp;INDEX(Dati!$AP$1:$AP$1000,MATCH($A9,Dati!$A$1:$A$1000,0))&amp;" · ",""))="",IF(INDEX(Dati!$FP$1:$FP$1000,MATCH($A9,Dati!$A$1:$A$1000,0))=1,"AS da recuperare",""),LEFT(IF(INDEX(Dati!$DO$1:$DO$1000,MATCH($A9,Dati!$A$1:$A$1000,0))&gt;0,Dati!$AM$3&amp;": "&amp;INDEX(Dati!$AM$1:$AM$1000,MATCH($A9,Dati!$A$1:$A$1000,0))&amp;" · ","")&amp;IF(INDEX(Dati!$DP$1:$DP$1000,MATCH($A9,Dati!$A$1:$A$1000,0))&gt;0,Dati!$AN$3&amp;": "&amp;INDEX(Dati!$AN$1:$AN$1000,MATCH($A9,Dati!$A$1:$A$1000,0))&amp;" · ","")&amp;IF(INDEX(Dati!$DQ$1:$DQ$1000,MATCH($A9,Dati!$A$1:$A$1000,0))&gt;0,Dati!$AO$3&amp;": "&amp;INDEX(Dati!$AO$1:$AO$1000,MATCH($A9,Dati!$A$1:$A$1000,0))&amp;" · ","")&amp;IF(INDEX(Dati!$DR$1:$DR$1000,MATCH($A9,Dati!$A$1:$A$1000,0))&gt;0,Dati!$AP$3&amp;": "&amp;INDEX(Dati!$AP$1:$AP$1000,MATCH($A9,Dati!$A$1:$A$1000,0))&amp;" · ",""),LEN(IF(INDEX(Dati!$DO$1:$DO$1000,MATCH($A9,Dati!$A$1:$A$1000,0))&gt;0,Dati!$AM$3&amp;": "&amp;INDEX(Dati!$AM$1:$AM$1000,MATCH($A9,Dati!$A$1:$A$1000,0))&amp;" · ","")&amp;IF(INDEX(Dati!$DP$1:$DP$1000,MATCH($A9,Dati!$A$1:$A$1000,0))&gt;0,Dati!$AN$3&amp;": "&amp;INDEX(Dati!$AN$1:$AN$1000,MATCH($A9,Dati!$A$1:$A$1000,0))&amp;" · ","")&amp;IF(INDEX(Dati!$DQ$1:$DQ$1000,MATCH($A9,Dati!$A$1:$A$1000,0))&gt;0,Dati!$AO$3&amp;": "&amp;INDEX(Dati!$AO$1:$AO$1000,MATCH($A9,Dati!$A$1:$A$1000,0))&amp;" · ","")&amp;IF(INDEX(Dati!$DR$1:$DR$1000,MATCH($A9,Dati!$A$1:$A$1000,0))&gt;0,Dati!$AP$3&amp;": "&amp;INDEX(Dati!$AP$1:$AP$1000,MATCH($A9,Dati!$A$1:$A$1000,0))&amp;" · ",""))-3)),""))</f>
        <v/>
      </c>
      <c r="M9" s="55" t="str">
        <f aca="false">IF($B9="","",IFERROR(IF((IF(INDEX(Dati!$DS$1:$DS$1000,MATCH($A9,Dati!$A$1:$A$1000,0))&gt;0,Dati!$AQ$3&amp;": "&amp;INDEX(Dati!$AQ$1:$AQ$1000,MATCH($A9,Dati!$A$1:$A$1000,0))&amp;" · ","")&amp;IF(INDEX(Dati!$DT$1:$DT$1000,MATCH($A9,Dati!$A$1:$A$1000,0))&gt;0,Dati!$AR$3&amp;": "&amp;INDEX(Dati!$AR$1:$AR$1000,MATCH($A9,Dati!$A$1:$A$1000,0))&amp;" · ","")&amp;IF(INDEX(Dati!$DU$1:$DU$1000,MATCH($A9,Dati!$A$1:$A$1000,0))&gt;0,Dati!$AS$3&amp;": "&amp;INDEX(Dati!$AS$1:$AS$1000,MATCH($A9,Dati!$A$1:$A$1000,0))&amp;" · ","")&amp;IF(INDEX(Dati!$DV$1:$DV$1000,MATCH($A9,Dati!$A$1:$A$1000,0))&gt;0,Dati!$AT$3&amp;": "&amp;INDEX(Dati!$AT$1:$AT$1000,MATCH($A9,Dati!$A$1:$A$1000,0))&amp;" · ",""))="",IF(INDEX(Dati!$FQ$1:$FQ$1000,MATCH($A9,Dati!$A$1:$A$1000,0))=1,"AS da recuperare",""),LEFT(IF(INDEX(Dati!$DS$1:$DS$1000,MATCH($A9,Dati!$A$1:$A$1000,0))&gt;0,Dati!$AQ$3&amp;": "&amp;INDEX(Dati!$AQ$1:$AQ$1000,MATCH($A9,Dati!$A$1:$A$1000,0))&amp;" · ","")&amp;IF(INDEX(Dati!$DT$1:$DT$1000,MATCH($A9,Dati!$A$1:$A$1000,0))&gt;0,Dati!$AR$3&amp;": "&amp;INDEX(Dati!$AR$1:$AR$1000,MATCH($A9,Dati!$A$1:$A$1000,0))&amp;" · ","")&amp;IF(INDEX(Dati!$DU$1:$DU$1000,MATCH($A9,Dati!$A$1:$A$1000,0))&gt;0,Dati!$AS$3&amp;": "&amp;INDEX(Dati!$AS$1:$AS$1000,MATCH($A9,Dati!$A$1:$A$1000,0))&amp;" · ","")&amp;IF(INDEX(Dati!$DV$1:$DV$1000,MATCH($A9,Dati!$A$1:$A$1000,0))&gt;0,Dati!$AT$3&amp;": "&amp;INDEX(Dati!$AT$1:$AT$1000,MATCH($A9,Dati!$A$1:$A$1000,0))&amp;" · ",""),LEN(IF(INDEX(Dati!$DS$1:$DS$1000,MATCH($A9,Dati!$A$1:$A$1000,0))&gt;0,Dati!$AQ$3&amp;": "&amp;INDEX(Dati!$AQ$1:$AQ$1000,MATCH($A9,Dati!$A$1:$A$1000,0))&amp;" · ","")&amp;IF(INDEX(Dati!$DT$1:$DT$1000,MATCH($A9,Dati!$A$1:$A$1000,0))&gt;0,Dati!$AR$3&amp;": "&amp;INDEX(Dati!$AR$1:$AR$1000,MATCH($A9,Dati!$A$1:$A$1000,0))&amp;" · ","")&amp;IF(INDEX(Dati!$DU$1:$DU$1000,MATCH($A9,Dati!$A$1:$A$1000,0))&gt;0,Dati!$AS$3&amp;": "&amp;INDEX(Dati!$AS$1:$AS$1000,MATCH($A9,Dati!$A$1:$A$1000,0))&amp;" · ","")&amp;IF(INDEX(Dati!$DV$1:$DV$1000,MATCH($A9,Dati!$A$1:$A$1000,0))&gt;0,Dati!$AT$3&amp;": "&amp;INDEX(Dati!$AT$1:$AT$1000,MATCH($A9,Dati!$A$1:$A$1000,0))&amp;" · ",""))-3)),""))</f>
        <v/>
      </c>
      <c r="N9" s="55" t="str">
        <f aca="false">IF($B9="","",IFERROR(IF((IF(INDEX(Dati!$DW$1:$DW$1000,MATCH($A9,Dati!$A$1:$A$1000,0))&gt;0,Dati!$AU$3&amp;": "&amp;INDEX(Dati!$AU$1:$AU$1000,MATCH($A9,Dati!$A$1:$A$1000,0))&amp;" · ","")&amp;IF(INDEX(Dati!$DX$1:$DX$1000,MATCH($A9,Dati!$A$1:$A$1000,0))&gt;0,Dati!$AV$3&amp;": "&amp;INDEX(Dati!$AV$1:$AV$1000,MATCH($A9,Dati!$A$1:$A$1000,0))&amp;" · ","")&amp;IF(INDEX(Dati!$DY$1:$DY$1000,MATCH($A9,Dati!$A$1:$A$1000,0))&gt;0,Dati!$AW$3&amp;": "&amp;INDEX(Dati!$AW$1:$AW$1000,MATCH($A9,Dati!$A$1:$A$1000,0))&amp;" · ","")&amp;IF(INDEX(Dati!$DZ$1:$DZ$1000,MATCH($A9,Dati!$A$1:$A$1000,0))&gt;0,Dati!$AX$3&amp;": "&amp;INDEX(Dati!$AX$1:$AX$1000,MATCH($A9,Dati!$A$1:$A$1000,0))&amp;" · ",""))="",IF(INDEX(Dati!$FR$1:$FR$1000,MATCH($A9,Dati!$A$1:$A$1000,0))=1,"AS da recuperare",""),LEFT(IF(INDEX(Dati!$DW$1:$DW$1000,MATCH($A9,Dati!$A$1:$A$1000,0))&gt;0,Dati!$AU$3&amp;": "&amp;INDEX(Dati!$AU$1:$AU$1000,MATCH($A9,Dati!$A$1:$A$1000,0))&amp;" · ","")&amp;IF(INDEX(Dati!$DX$1:$DX$1000,MATCH($A9,Dati!$A$1:$A$1000,0))&gt;0,Dati!$AV$3&amp;": "&amp;INDEX(Dati!$AV$1:$AV$1000,MATCH($A9,Dati!$A$1:$A$1000,0))&amp;" · ","")&amp;IF(INDEX(Dati!$DY$1:$DY$1000,MATCH($A9,Dati!$A$1:$A$1000,0))&gt;0,Dati!$AW$3&amp;": "&amp;INDEX(Dati!$AW$1:$AW$1000,MATCH($A9,Dati!$A$1:$A$1000,0))&amp;" · ","")&amp;IF(INDEX(Dati!$DZ$1:$DZ$1000,MATCH($A9,Dati!$A$1:$A$1000,0))&gt;0,Dati!$AX$3&amp;": "&amp;INDEX(Dati!$AX$1:$AX$1000,MATCH($A9,Dati!$A$1:$A$1000,0))&amp;" · ",""),LEN(IF(INDEX(Dati!$DW$1:$DW$1000,MATCH($A9,Dati!$A$1:$A$1000,0))&gt;0,Dati!$AU$3&amp;": "&amp;INDEX(Dati!$AU$1:$AU$1000,MATCH($A9,Dati!$A$1:$A$1000,0))&amp;" · ","")&amp;IF(INDEX(Dati!$DX$1:$DX$1000,MATCH($A9,Dati!$A$1:$A$1000,0))&gt;0,Dati!$AV$3&amp;": "&amp;INDEX(Dati!$AV$1:$AV$1000,MATCH($A9,Dati!$A$1:$A$1000,0))&amp;" · ","")&amp;IF(INDEX(Dati!$DY$1:$DY$1000,MATCH($A9,Dati!$A$1:$A$1000,0))&gt;0,Dati!$AW$3&amp;": "&amp;INDEX(Dati!$AW$1:$AW$1000,MATCH($A9,Dati!$A$1:$A$1000,0))&amp;" · ","")&amp;IF(INDEX(Dati!$DZ$1:$DZ$1000,MATCH($A9,Dati!$A$1:$A$1000,0))&gt;0,Dati!$AX$3&amp;": "&amp;INDEX(Dati!$AX$1:$AX$1000,MATCH($A9,Dati!$A$1:$A$1000,0))&amp;" · ",""))-3)),""))</f>
        <v/>
      </c>
      <c r="O9" s="55" t="str">
        <f aca="false">IF($B9="","",IFERROR(IF((IF(INDEX(Dati!$EA$1:$EA$1000,MATCH($A9,Dati!$A$1:$A$1000,0))&gt;0,Dati!$AY$3&amp;": "&amp;INDEX(Dati!$AY$1:$AY$1000,MATCH($A9,Dati!$A$1:$A$1000,0))&amp;" · ","")&amp;IF(INDEX(Dati!$EB$1:$EB$1000,MATCH($A9,Dati!$A$1:$A$1000,0))&gt;0,Dati!$AZ$3&amp;": "&amp;INDEX(Dati!$AZ$1:$AZ$1000,MATCH($A9,Dati!$A$1:$A$1000,0))&amp;" · ","")&amp;IF(INDEX(Dati!$EC$1:$EC$1000,MATCH($A9,Dati!$A$1:$A$1000,0))&gt;0,Dati!$BA$3&amp;": "&amp;INDEX(Dati!$BA$1:$BA$1000,MATCH($A9,Dati!$A$1:$A$1000,0))&amp;" · ","")&amp;IF(INDEX(Dati!$ED$1:$ED$1000,MATCH($A9,Dati!$A$1:$A$1000,0))&gt;0,Dati!$BB$3&amp;": "&amp;INDEX(Dati!$BB$1:$BB$1000,MATCH($A9,Dati!$A$1:$A$1000,0))&amp;" · ",""))="",IF(INDEX(Dati!$FS$1:$FS$1000,MATCH($A9,Dati!$A$1:$A$1000,0))=1,"AS da recuperare",""),LEFT(IF(INDEX(Dati!$EA$1:$EA$1000,MATCH($A9,Dati!$A$1:$A$1000,0))&gt;0,Dati!$AY$3&amp;": "&amp;INDEX(Dati!$AY$1:$AY$1000,MATCH($A9,Dati!$A$1:$A$1000,0))&amp;" · ","")&amp;IF(INDEX(Dati!$EB$1:$EB$1000,MATCH($A9,Dati!$A$1:$A$1000,0))&gt;0,Dati!$AZ$3&amp;": "&amp;INDEX(Dati!$AZ$1:$AZ$1000,MATCH($A9,Dati!$A$1:$A$1000,0))&amp;" · ","")&amp;IF(INDEX(Dati!$EC$1:$EC$1000,MATCH($A9,Dati!$A$1:$A$1000,0))&gt;0,Dati!$BA$3&amp;": "&amp;INDEX(Dati!$BA$1:$BA$1000,MATCH($A9,Dati!$A$1:$A$1000,0))&amp;" · ","")&amp;IF(INDEX(Dati!$ED$1:$ED$1000,MATCH($A9,Dati!$A$1:$A$1000,0))&gt;0,Dati!$BB$3&amp;": "&amp;INDEX(Dati!$BB$1:$BB$1000,MATCH($A9,Dati!$A$1:$A$1000,0))&amp;" · ",""),LEN(IF(INDEX(Dati!$EA$1:$EA$1000,MATCH($A9,Dati!$A$1:$A$1000,0))&gt;0,Dati!$AY$3&amp;": "&amp;INDEX(Dati!$AY$1:$AY$1000,MATCH($A9,Dati!$A$1:$A$1000,0))&amp;" · ","")&amp;IF(INDEX(Dati!$EB$1:$EB$1000,MATCH($A9,Dati!$A$1:$A$1000,0))&gt;0,Dati!$AZ$3&amp;": "&amp;INDEX(Dati!$AZ$1:$AZ$1000,MATCH($A9,Dati!$A$1:$A$1000,0))&amp;" · ","")&amp;IF(INDEX(Dati!$EC$1:$EC$1000,MATCH($A9,Dati!$A$1:$A$1000,0))&gt;0,Dati!$BA$3&amp;": "&amp;INDEX(Dati!$BA$1:$BA$1000,MATCH($A9,Dati!$A$1:$A$1000,0))&amp;" · ","")&amp;IF(INDEX(Dati!$ED$1:$ED$1000,MATCH($A9,Dati!$A$1:$A$1000,0))&gt;0,Dati!$BB$3&amp;": "&amp;INDEX(Dati!$BB$1:$BB$1000,MATCH($A9,Dati!$A$1:$A$1000,0))&amp;" · ",""))-3)),""))</f>
        <v/>
      </c>
      <c r="P9" s="55" t="str">
        <f aca="false">IF($B9="","",IFERROR(IF((IF(INDEX(Dati!$EE$1:$EE$1000,MATCH($A9,Dati!$A$1:$A$1000,0))&gt;0,Dati!$BC$3&amp;": "&amp;INDEX(Dati!$BC$1:$BC$1000,MATCH($A9,Dati!$A$1:$A$1000,0))&amp;" · ","")&amp;IF(INDEX(Dati!$EF$1:$EF$1000,MATCH($A9,Dati!$A$1:$A$1000,0))&gt;0,Dati!$BD$3&amp;": "&amp;INDEX(Dati!$BD$1:$BD$1000,MATCH($A9,Dati!$A$1:$A$1000,0))&amp;" · ","")&amp;IF(INDEX(Dati!$EG$1:$EG$1000,MATCH($A9,Dati!$A$1:$A$1000,0))&gt;0,Dati!$BE$3&amp;": "&amp;INDEX(Dati!$BE$1:$BE$1000,MATCH($A9,Dati!$A$1:$A$1000,0))&amp;" · ","")&amp;IF(INDEX(Dati!$EH$1:$EH$1000,MATCH($A9,Dati!$A$1:$A$1000,0))&gt;0,Dati!$BF$3&amp;": "&amp;INDEX(Dati!$BF$1:$BF$1000,MATCH($A9,Dati!$A$1:$A$1000,0))&amp;" · ",""))="",IF(INDEX(Dati!$FT$1:$FT$1000,MATCH($A9,Dati!$A$1:$A$1000,0))=1,"AS da recuperare",""),LEFT(IF(INDEX(Dati!$EE$1:$EE$1000,MATCH($A9,Dati!$A$1:$A$1000,0))&gt;0,Dati!$BC$3&amp;": "&amp;INDEX(Dati!$BC$1:$BC$1000,MATCH($A9,Dati!$A$1:$A$1000,0))&amp;" · ","")&amp;IF(INDEX(Dati!$EF$1:$EF$1000,MATCH($A9,Dati!$A$1:$A$1000,0))&gt;0,Dati!$BD$3&amp;": "&amp;INDEX(Dati!$BD$1:$BD$1000,MATCH($A9,Dati!$A$1:$A$1000,0))&amp;" · ","")&amp;IF(INDEX(Dati!$EG$1:$EG$1000,MATCH($A9,Dati!$A$1:$A$1000,0))&gt;0,Dati!$BE$3&amp;": "&amp;INDEX(Dati!$BE$1:$BE$1000,MATCH($A9,Dati!$A$1:$A$1000,0))&amp;" · ","")&amp;IF(INDEX(Dati!$EH$1:$EH$1000,MATCH($A9,Dati!$A$1:$A$1000,0))&gt;0,Dati!$BF$3&amp;": "&amp;INDEX(Dati!$BF$1:$BF$1000,MATCH($A9,Dati!$A$1:$A$1000,0))&amp;" · ",""),LEN(IF(INDEX(Dati!$EE$1:$EE$1000,MATCH($A9,Dati!$A$1:$A$1000,0))&gt;0,Dati!$BC$3&amp;": "&amp;INDEX(Dati!$BC$1:$BC$1000,MATCH($A9,Dati!$A$1:$A$1000,0))&amp;" · ","")&amp;IF(INDEX(Dati!$EF$1:$EF$1000,MATCH($A9,Dati!$A$1:$A$1000,0))&gt;0,Dati!$BD$3&amp;": "&amp;INDEX(Dati!$BD$1:$BD$1000,MATCH($A9,Dati!$A$1:$A$1000,0))&amp;" · ","")&amp;IF(INDEX(Dati!$EG$1:$EG$1000,MATCH($A9,Dati!$A$1:$A$1000,0))&gt;0,Dati!$BE$3&amp;": "&amp;INDEX(Dati!$BE$1:$BE$1000,MATCH($A9,Dati!$A$1:$A$1000,0))&amp;" · ","")&amp;IF(INDEX(Dati!$EH$1:$EH$1000,MATCH($A9,Dati!$A$1:$A$1000,0))&gt;0,Dati!$BF$3&amp;": "&amp;INDEX(Dati!$BF$1:$BF$1000,MATCH($A9,Dati!$A$1:$A$1000,0))&amp;" · ",""))-3)),""))</f>
        <v/>
      </c>
      <c r="Q9" s="55" t="str">
        <f aca="false">IF($B9="","",IFERROR(IF((IF(INDEX(Dati!$EI$1:$EI$1000,MATCH($A9,Dati!$A$1:$A$1000,0))&gt;0,Dati!$BG$3&amp;": "&amp;INDEX(Dati!$BG$1:$BG$1000,MATCH($A9,Dati!$A$1:$A$1000,0))&amp;" · ","")&amp;IF(INDEX(Dati!$EJ$1:$EJ$1000,MATCH($A9,Dati!$A$1:$A$1000,0))&gt;0,Dati!$BH$3&amp;": "&amp;INDEX(Dati!$BH$1:$BH$1000,MATCH($A9,Dati!$A$1:$A$1000,0))&amp;" · ","")&amp;IF(INDEX(Dati!$EK$1:$EK$1000,MATCH($A9,Dati!$A$1:$A$1000,0))&gt;0,Dati!$BI$3&amp;": "&amp;INDEX(Dati!$BI$1:$BI$1000,MATCH($A9,Dati!$A$1:$A$1000,0))&amp;" · ","")&amp;IF(INDEX(Dati!$EL$1:$EL$1000,MATCH($A9,Dati!$A$1:$A$1000,0))&gt;0,Dati!$BJ$3&amp;": "&amp;INDEX(Dati!$BJ$1:$BJ$1000,MATCH($A9,Dati!$A$1:$A$1000,0))&amp;" · ",""))="",IF(INDEX(Dati!$FU$1:$FU$1000,MATCH($A9,Dati!$A$1:$A$1000,0))=1,"AS da recuperare",""),LEFT(IF(INDEX(Dati!$EI$1:$EI$1000,MATCH($A9,Dati!$A$1:$A$1000,0))&gt;0,Dati!$BG$3&amp;": "&amp;INDEX(Dati!$BG$1:$BG$1000,MATCH($A9,Dati!$A$1:$A$1000,0))&amp;" · ","")&amp;IF(INDEX(Dati!$EJ$1:$EJ$1000,MATCH($A9,Dati!$A$1:$A$1000,0))&gt;0,Dati!$BH$3&amp;": "&amp;INDEX(Dati!$BH$1:$BH$1000,MATCH($A9,Dati!$A$1:$A$1000,0))&amp;" · ","")&amp;IF(INDEX(Dati!$EK$1:$EK$1000,MATCH($A9,Dati!$A$1:$A$1000,0))&gt;0,Dati!$BI$3&amp;": "&amp;INDEX(Dati!$BI$1:$BI$1000,MATCH($A9,Dati!$A$1:$A$1000,0))&amp;" · ","")&amp;IF(INDEX(Dati!$EL$1:$EL$1000,MATCH($A9,Dati!$A$1:$A$1000,0))&gt;0,Dati!$BJ$3&amp;": "&amp;INDEX(Dati!$BJ$1:$BJ$1000,MATCH($A9,Dati!$A$1:$A$1000,0))&amp;" · ",""),LEN(IF(INDEX(Dati!$EI$1:$EI$1000,MATCH($A9,Dati!$A$1:$A$1000,0))&gt;0,Dati!$BG$3&amp;": "&amp;INDEX(Dati!$BG$1:$BG$1000,MATCH($A9,Dati!$A$1:$A$1000,0))&amp;" · ","")&amp;IF(INDEX(Dati!$EJ$1:$EJ$1000,MATCH($A9,Dati!$A$1:$A$1000,0))&gt;0,Dati!$BH$3&amp;": "&amp;INDEX(Dati!$BH$1:$BH$1000,MATCH($A9,Dati!$A$1:$A$1000,0))&amp;" · ","")&amp;IF(INDEX(Dati!$EK$1:$EK$1000,MATCH($A9,Dati!$A$1:$A$1000,0))&gt;0,Dati!$BI$3&amp;": "&amp;INDEX(Dati!$BI$1:$BI$1000,MATCH($A9,Dati!$A$1:$A$1000,0))&amp;" · ","")&amp;IF(INDEX(Dati!$EL$1:$EL$1000,MATCH($A9,Dati!$A$1:$A$1000,0))&gt;0,Dati!$BJ$3&amp;": "&amp;INDEX(Dati!$BJ$1:$BJ$1000,MATCH($A9,Dati!$A$1:$A$1000,0))&amp;" · ",""))-3)),""))</f>
        <v/>
      </c>
      <c r="R9" s="55" t="str">
        <f aca="false">IF($B9="","",IFERROR(IF((IF(INDEX(Dati!$EM$1:$EM$1000,MATCH($A9,Dati!$A$1:$A$1000,0))&gt;0,Dati!$BK$3&amp;": "&amp;INDEX(Dati!$BK$1:$BK$1000,MATCH($A9,Dati!$A$1:$A$1000,0))&amp;" · ","")&amp;IF(INDEX(Dati!$EN$1:$EN$1000,MATCH($A9,Dati!$A$1:$A$1000,0))&gt;0,Dati!$BL$3&amp;": "&amp;INDEX(Dati!$BL$1:$BL$1000,MATCH($A9,Dati!$A$1:$A$1000,0))&amp;" · ","")&amp;IF(INDEX(Dati!$EO$1:$EO$1000,MATCH($A9,Dati!$A$1:$A$1000,0))&gt;0,Dati!$BM$3&amp;": "&amp;INDEX(Dati!$BM$1:$BM$1000,MATCH($A9,Dati!$A$1:$A$1000,0))&amp;" · ","")&amp;IF(INDEX(Dati!$EP$1:$EP$1000,MATCH($A9,Dati!$A$1:$A$1000,0))&gt;0,Dati!$BN$3&amp;": "&amp;INDEX(Dati!$BN$1:$BN$1000,MATCH($A9,Dati!$A$1:$A$1000,0))&amp;" · ",""))="",IF(INDEX(Dati!$FV$1:$FV$1000,MATCH($A9,Dati!$A$1:$A$1000,0))=1,"AS da recuperare",""),LEFT(IF(INDEX(Dati!$EM$1:$EM$1000,MATCH($A9,Dati!$A$1:$A$1000,0))&gt;0,Dati!$BK$3&amp;": "&amp;INDEX(Dati!$BK$1:$BK$1000,MATCH($A9,Dati!$A$1:$A$1000,0))&amp;" · ","")&amp;IF(INDEX(Dati!$EN$1:$EN$1000,MATCH($A9,Dati!$A$1:$A$1000,0))&gt;0,Dati!$BL$3&amp;": "&amp;INDEX(Dati!$BL$1:$BL$1000,MATCH($A9,Dati!$A$1:$A$1000,0))&amp;" · ","")&amp;IF(INDEX(Dati!$EO$1:$EO$1000,MATCH($A9,Dati!$A$1:$A$1000,0))&gt;0,Dati!$BM$3&amp;": "&amp;INDEX(Dati!$BM$1:$BM$1000,MATCH($A9,Dati!$A$1:$A$1000,0))&amp;" · ","")&amp;IF(INDEX(Dati!$EP$1:$EP$1000,MATCH($A9,Dati!$A$1:$A$1000,0))&gt;0,Dati!$BN$3&amp;": "&amp;INDEX(Dati!$BN$1:$BN$1000,MATCH($A9,Dati!$A$1:$A$1000,0))&amp;" · ",""),LEN(IF(INDEX(Dati!$EM$1:$EM$1000,MATCH($A9,Dati!$A$1:$A$1000,0))&gt;0,Dati!$BK$3&amp;": "&amp;INDEX(Dati!$BK$1:$BK$1000,MATCH($A9,Dati!$A$1:$A$1000,0))&amp;" · ","")&amp;IF(INDEX(Dati!$EN$1:$EN$1000,MATCH($A9,Dati!$A$1:$A$1000,0))&gt;0,Dati!$BL$3&amp;": "&amp;INDEX(Dati!$BL$1:$BL$1000,MATCH($A9,Dati!$A$1:$A$1000,0))&amp;" · ","")&amp;IF(INDEX(Dati!$EO$1:$EO$1000,MATCH($A9,Dati!$A$1:$A$1000,0))&gt;0,Dati!$BM$3&amp;": "&amp;INDEX(Dati!$BM$1:$BM$1000,MATCH($A9,Dati!$A$1:$A$1000,0))&amp;" · ","")&amp;IF(INDEX(Dati!$EP$1:$EP$1000,MATCH($A9,Dati!$A$1:$A$1000,0))&gt;0,Dati!$BN$3&amp;": "&amp;INDEX(Dati!$BN$1:$BN$1000,MATCH($A9,Dati!$A$1:$A$1000,0))&amp;" · ",""))-3)),""))</f>
        <v/>
      </c>
      <c r="S9" s="55" t="str">
        <f aca="false">IF($B9="","",IFERROR(IF((IF(INDEX(Dati!$EQ$1:$EQ$1000,MATCH($A9,Dati!$A$1:$A$1000,0))&gt;0,Dati!$BO$3&amp;": "&amp;INDEX(Dati!$BO$1:$BO$1000,MATCH($A9,Dati!$A$1:$A$1000,0))&amp;" · ","")&amp;IF(INDEX(Dati!$ER$1:$ER$1000,MATCH($A9,Dati!$A$1:$A$1000,0))&gt;0,Dati!$BP$3&amp;": "&amp;INDEX(Dati!$BP$1:$BP$1000,MATCH($A9,Dati!$A$1:$A$1000,0))&amp;" · ","")&amp;IF(INDEX(Dati!$ES$1:$ES$1000,MATCH($A9,Dati!$A$1:$A$1000,0))&gt;0,Dati!$BQ$3&amp;": "&amp;INDEX(Dati!$BQ$1:$BQ$1000,MATCH($A9,Dati!$A$1:$A$1000,0))&amp;" · ","")&amp;IF(INDEX(Dati!$ET$1:$ET$1000,MATCH($A9,Dati!$A$1:$A$1000,0))&gt;0,Dati!$BR$3&amp;": "&amp;INDEX(Dati!$BR$1:$BR$1000,MATCH($A9,Dati!$A$1:$A$1000,0))&amp;" · ",""))="",IF(INDEX(Dati!$FW$1:$FW$1000,MATCH($A9,Dati!$A$1:$A$1000,0))=1,"AS da recuperare",""),LEFT(IF(INDEX(Dati!$EQ$1:$EQ$1000,MATCH($A9,Dati!$A$1:$A$1000,0))&gt;0,Dati!$BO$3&amp;": "&amp;INDEX(Dati!$BO$1:$BO$1000,MATCH($A9,Dati!$A$1:$A$1000,0))&amp;" · ","")&amp;IF(INDEX(Dati!$ER$1:$ER$1000,MATCH($A9,Dati!$A$1:$A$1000,0))&gt;0,Dati!$BP$3&amp;": "&amp;INDEX(Dati!$BP$1:$BP$1000,MATCH($A9,Dati!$A$1:$A$1000,0))&amp;" · ","")&amp;IF(INDEX(Dati!$ES$1:$ES$1000,MATCH($A9,Dati!$A$1:$A$1000,0))&gt;0,Dati!$BQ$3&amp;": "&amp;INDEX(Dati!$BQ$1:$BQ$1000,MATCH($A9,Dati!$A$1:$A$1000,0))&amp;" · ","")&amp;IF(INDEX(Dati!$ET$1:$ET$1000,MATCH($A9,Dati!$A$1:$A$1000,0))&gt;0,Dati!$BR$3&amp;": "&amp;INDEX(Dati!$BR$1:$BR$1000,MATCH($A9,Dati!$A$1:$A$1000,0))&amp;" · ",""),LEN(IF(INDEX(Dati!$EQ$1:$EQ$1000,MATCH($A9,Dati!$A$1:$A$1000,0))&gt;0,Dati!$BO$3&amp;": "&amp;INDEX(Dati!$BO$1:$BO$1000,MATCH($A9,Dati!$A$1:$A$1000,0))&amp;" · ","")&amp;IF(INDEX(Dati!$ER$1:$ER$1000,MATCH($A9,Dati!$A$1:$A$1000,0))&gt;0,Dati!$BP$3&amp;": "&amp;INDEX(Dati!$BP$1:$BP$1000,MATCH($A9,Dati!$A$1:$A$1000,0))&amp;" · ","")&amp;IF(INDEX(Dati!$ES$1:$ES$1000,MATCH($A9,Dati!$A$1:$A$1000,0))&gt;0,Dati!$BQ$3&amp;": "&amp;INDEX(Dati!$BQ$1:$BQ$1000,MATCH($A9,Dati!$A$1:$A$1000,0))&amp;" · ","")&amp;IF(INDEX(Dati!$ET$1:$ET$1000,MATCH($A9,Dati!$A$1:$A$1000,0))&gt;0,Dati!$BR$3&amp;": "&amp;INDEX(Dati!$BR$1:$BR$1000,MATCH($A9,Dati!$A$1:$A$1000,0))&amp;" · ",""))-3)),""))</f>
        <v/>
      </c>
      <c r="T9" s="55" t="str">
        <f aca="false">IF($B9="","",IFERROR(IF((IF(INDEX(Dati!$EU$1:$EU$1000,MATCH($A9,Dati!$A$1:$A$1000,0))&gt;0,Dati!$BS$3&amp;": "&amp;INDEX(Dati!$BS$1:$BS$1000,MATCH($A9,Dati!$A$1:$A$1000,0))&amp;" · ","")&amp;IF(INDEX(Dati!$EV$1:$EV$1000,MATCH($A9,Dati!$A$1:$A$1000,0))&gt;0,Dati!$BT$3&amp;": "&amp;INDEX(Dati!$BT$1:$BT$1000,MATCH($A9,Dati!$A$1:$A$1000,0))&amp;" · ","")&amp;IF(INDEX(Dati!$EW$1:$EW$1000,MATCH($A9,Dati!$A$1:$A$1000,0))&gt;0,Dati!$BU$3&amp;": "&amp;INDEX(Dati!$BU$1:$BU$1000,MATCH($A9,Dati!$A$1:$A$1000,0))&amp;" · ","")&amp;IF(INDEX(Dati!$EX$1:$EX$1000,MATCH($A9,Dati!$A$1:$A$1000,0))&gt;0,Dati!$BV$3&amp;": "&amp;INDEX(Dati!$BV$1:$BV$1000,MATCH($A9,Dati!$A$1:$A$1000,0))&amp;" · ",""))="",IF(INDEX(Dati!$FX$1:$FX$1000,MATCH($A9,Dati!$A$1:$A$1000,0))=1,"AS da recuperare",""),LEFT(IF(INDEX(Dati!$EU$1:$EU$1000,MATCH($A9,Dati!$A$1:$A$1000,0))&gt;0,Dati!$BS$3&amp;": "&amp;INDEX(Dati!$BS$1:$BS$1000,MATCH($A9,Dati!$A$1:$A$1000,0))&amp;" · ","")&amp;IF(INDEX(Dati!$EV$1:$EV$1000,MATCH($A9,Dati!$A$1:$A$1000,0))&gt;0,Dati!$BT$3&amp;": "&amp;INDEX(Dati!$BT$1:$BT$1000,MATCH($A9,Dati!$A$1:$A$1000,0))&amp;" · ","")&amp;IF(INDEX(Dati!$EW$1:$EW$1000,MATCH($A9,Dati!$A$1:$A$1000,0))&gt;0,Dati!$BU$3&amp;": "&amp;INDEX(Dati!$BU$1:$BU$1000,MATCH($A9,Dati!$A$1:$A$1000,0))&amp;" · ","")&amp;IF(INDEX(Dati!$EX$1:$EX$1000,MATCH($A9,Dati!$A$1:$A$1000,0))&gt;0,Dati!$BV$3&amp;": "&amp;INDEX(Dati!$BV$1:$BV$1000,MATCH($A9,Dati!$A$1:$A$1000,0))&amp;" · ",""),LEN(IF(INDEX(Dati!$EU$1:$EU$1000,MATCH($A9,Dati!$A$1:$A$1000,0))&gt;0,Dati!$BS$3&amp;": "&amp;INDEX(Dati!$BS$1:$BS$1000,MATCH($A9,Dati!$A$1:$A$1000,0))&amp;" · ","")&amp;IF(INDEX(Dati!$EV$1:$EV$1000,MATCH($A9,Dati!$A$1:$A$1000,0))&gt;0,Dati!$BT$3&amp;": "&amp;INDEX(Dati!$BT$1:$BT$1000,MATCH($A9,Dati!$A$1:$A$1000,0))&amp;" · ","")&amp;IF(INDEX(Dati!$EW$1:$EW$1000,MATCH($A9,Dati!$A$1:$A$1000,0))&gt;0,Dati!$BU$3&amp;": "&amp;INDEX(Dati!$BU$1:$BU$1000,MATCH($A9,Dati!$A$1:$A$1000,0))&amp;" · ","")&amp;IF(INDEX(Dati!$EX$1:$EX$1000,MATCH($A9,Dati!$A$1:$A$1000,0))&gt;0,Dati!$BV$3&amp;": "&amp;INDEX(Dati!$BV$1:$BV$1000,MATCH($A9,Dati!$A$1:$A$1000,0))&amp;" · ",""))-3)),""))</f>
        <v/>
      </c>
      <c r="U9" s="55" t="str">
        <f aca="false">IF($B9="","",IFERROR(IF((IF(INDEX(Dati!$EY$1:$EY$1000,MATCH($A9,Dati!$A$1:$A$1000,0))&gt;0,Dati!$BW$3&amp;": "&amp;INDEX(Dati!$BW$1:$BW$1000,MATCH($A9,Dati!$A$1:$A$1000,0))&amp;" · ","")&amp;IF(INDEX(Dati!$EZ$1:$EZ$1000,MATCH($A9,Dati!$A$1:$A$1000,0))&gt;0,Dati!$BX$3&amp;": "&amp;INDEX(Dati!$BX$1:$BX$1000,MATCH($A9,Dati!$A$1:$A$1000,0))&amp;" · ","")&amp;IF(INDEX(Dati!$FA$1:$FA$1000,MATCH($A9,Dati!$A$1:$A$1000,0))&gt;0,Dati!$BY$3&amp;": "&amp;INDEX(Dati!$BY$1:$BY$1000,MATCH($A9,Dati!$A$1:$A$1000,0))&amp;" · ","")&amp;IF(INDEX(Dati!$FB$1:$FB$1000,MATCH($A9,Dati!$A$1:$A$1000,0))&gt;0,Dati!$BZ$3&amp;": "&amp;INDEX(Dati!$BZ$1:$BZ$1000,MATCH($A9,Dati!$A$1:$A$1000,0))&amp;" · ",""))="",IF(INDEX(Dati!$FY$1:$FY$1000,MATCH($A9,Dati!$A$1:$A$1000,0))=1,"AS da recuperare",""),LEFT(IF(INDEX(Dati!$EY$1:$EY$1000,MATCH($A9,Dati!$A$1:$A$1000,0))&gt;0,Dati!$BW$3&amp;": "&amp;INDEX(Dati!$BW$1:$BW$1000,MATCH($A9,Dati!$A$1:$A$1000,0))&amp;" · ","")&amp;IF(INDEX(Dati!$EZ$1:$EZ$1000,MATCH($A9,Dati!$A$1:$A$1000,0))&gt;0,Dati!$BX$3&amp;": "&amp;INDEX(Dati!$BX$1:$BX$1000,MATCH($A9,Dati!$A$1:$A$1000,0))&amp;" · ","")&amp;IF(INDEX(Dati!$FA$1:$FA$1000,MATCH($A9,Dati!$A$1:$A$1000,0))&gt;0,Dati!$BY$3&amp;": "&amp;INDEX(Dati!$BY$1:$BY$1000,MATCH($A9,Dati!$A$1:$A$1000,0))&amp;" · ","")&amp;IF(INDEX(Dati!$FB$1:$FB$1000,MATCH($A9,Dati!$A$1:$A$1000,0))&gt;0,Dati!$BZ$3&amp;": "&amp;INDEX(Dati!$BZ$1:$BZ$1000,MATCH($A9,Dati!$A$1:$A$1000,0))&amp;" · ",""),LEN(IF(INDEX(Dati!$EY$1:$EY$1000,MATCH($A9,Dati!$A$1:$A$1000,0))&gt;0,Dati!$BW$3&amp;": "&amp;INDEX(Dati!$BW$1:$BW$1000,MATCH($A9,Dati!$A$1:$A$1000,0))&amp;" · ","")&amp;IF(INDEX(Dati!$EZ$1:$EZ$1000,MATCH($A9,Dati!$A$1:$A$1000,0))&gt;0,Dati!$BX$3&amp;": "&amp;INDEX(Dati!$BX$1:$BX$1000,MATCH($A9,Dati!$A$1:$A$1000,0))&amp;" · ","")&amp;IF(INDEX(Dati!$FA$1:$FA$1000,MATCH($A9,Dati!$A$1:$A$1000,0))&gt;0,Dati!$BY$3&amp;": "&amp;INDEX(Dati!$BY$1:$BY$1000,MATCH($A9,Dati!$A$1:$A$1000,0))&amp;" · ","")&amp;IF(INDEX(Dati!$FB$1:$FB$1000,MATCH($A9,Dati!$A$1:$A$1000,0))&gt;0,Dati!$BZ$3&amp;": "&amp;INDEX(Dati!$BZ$1:$BZ$1000,MATCH($A9,Dati!$A$1:$A$1000,0))&amp;" · ",""))-3)),""))</f>
        <v/>
      </c>
      <c r="V9" s="55" t="str">
        <f aca="false">IF($B9="","",IFERROR(IF((IF(INDEX(Dati!$FC$1:$FC$1000,MATCH($A9,Dati!$A$1:$A$1000,0))&gt;0,Dati!$CA$3&amp;": "&amp;INDEX(Dati!$CA$1:$CA$1000,MATCH($A9,Dati!$A$1:$A$1000,0))&amp;" · ","")&amp;IF(INDEX(Dati!$FD$1:$FD$1000,MATCH($A9,Dati!$A$1:$A$1000,0))&gt;0,Dati!$CB$3&amp;": "&amp;INDEX(Dati!$CB$1:$CB$1000,MATCH($A9,Dati!$A$1:$A$1000,0))&amp;" · ","")&amp;IF(INDEX(Dati!$FE$1:$FE$1000,MATCH($A9,Dati!$A$1:$A$1000,0))&gt;0,Dati!$CC$3&amp;": "&amp;INDEX(Dati!$CC$1:$CC$1000,MATCH($A9,Dati!$A$1:$A$1000,0))&amp;" · ","")&amp;IF(INDEX(Dati!$FF$1:$FF$1000,MATCH($A9,Dati!$A$1:$A$1000,0))&gt;0,Dati!$CD$3&amp;": "&amp;INDEX(Dati!$CD$1:$CD$1000,MATCH($A9,Dati!$A$1:$A$1000,0))&amp;" · ",""))="",IF(INDEX(Dati!$FZ$1:$FZ$1000,MATCH($A9,Dati!$A$1:$A$1000,0))=1,"AS da recuperare",""),LEFT(IF(INDEX(Dati!$FC$1:$FC$1000,MATCH($A9,Dati!$A$1:$A$1000,0))&gt;0,Dati!$CA$3&amp;": "&amp;INDEX(Dati!$CA$1:$CA$1000,MATCH($A9,Dati!$A$1:$A$1000,0))&amp;" · ","")&amp;IF(INDEX(Dati!$FD$1:$FD$1000,MATCH($A9,Dati!$A$1:$A$1000,0))&gt;0,Dati!$CB$3&amp;": "&amp;INDEX(Dati!$CB$1:$CB$1000,MATCH($A9,Dati!$A$1:$A$1000,0))&amp;" · ","")&amp;IF(INDEX(Dati!$FE$1:$FE$1000,MATCH($A9,Dati!$A$1:$A$1000,0))&gt;0,Dati!$CC$3&amp;": "&amp;INDEX(Dati!$CC$1:$CC$1000,MATCH($A9,Dati!$A$1:$A$1000,0))&amp;" · ","")&amp;IF(INDEX(Dati!$FF$1:$FF$1000,MATCH($A9,Dati!$A$1:$A$1000,0))&gt;0,Dati!$CD$3&amp;": "&amp;INDEX(Dati!$CD$1:$CD$1000,MATCH($A9,Dati!$A$1:$A$1000,0))&amp;" · ",""),LEN(IF(INDEX(Dati!$FC$1:$FC$1000,MATCH($A9,Dati!$A$1:$A$1000,0))&gt;0,Dati!$CA$3&amp;": "&amp;INDEX(Dati!$CA$1:$CA$1000,MATCH($A9,Dati!$A$1:$A$1000,0))&amp;" · ","")&amp;IF(INDEX(Dati!$FD$1:$FD$1000,MATCH($A9,Dati!$A$1:$A$1000,0))&gt;0,Dati!$CB$3&amp;": "&amp;INDEX(Dati!$CB$1:$CB$1000,MATCH($A9,Dati!$A$1:$A$1000,0))&amp;" · ","")&amp;IF(INDEX(Dati!$FE$1:$FE$1000,MATCH($A9,Dati!$A$1:$A$1000,0))&gt;0,Dati!$CC$3&amp;": "&amp;INDEX(Dati!$CC$1:$CC$1000,MATCH($A9,Dati!$A$1:$A$1000,0))&amp;" · ","")&amp;IF(INDEX(Dati!$FF$1:$FF$1000,MATCH($A9,Dati!$A$1:$A$1000,0))&gt;0,Dati!$CD$3&amp;": "&amp;INDEX(Dati!$CD$1:$CD$1000,MATCH($A9,Dati!$A$1:$A$1000,0))&amp;" · ",""))-3)),""))</f>
        <v/>
      </c>
    </row>
    <row r="10" customFormat="false" ht="19.5" hidden="false" customHeight="true" outlineLevel="0" collapsed="false">
      <c r="A10" s="10" t="n">
        <v>6</v>
      </c>
      <c r="B10" s="16" t="str">
        <f aca="false">IFERROR(INDEX(Alunni!$C$1:$C$1000,MATCH($A10,Alunni!$A$1:$A$1000,0))&amp;"","")</f>
        <v/>
      </c>
      <c r="C10" s="55" t="str">
        <f aca="false">IF($B10="","",IFERROR(IF((IF(INDEX(Dati!$CE$1:$CE$1000,MATCH($A10,Dati!$A$1:$A$1000,0))&gt;0,Dati!$C$3&amp;": "&amp;INDEX(Dati!$C$1:$C$1000,MATCH($A10,Dati!$A$1:$A$1000,0))&amp;" · ","")&amp;IF(INDEX(Dati!$CF$1:$CF$1000,MATCH($A10,Dati!$A$1:$A$1000,0))&gt;0,Dati!$D$3&amp;": "&amp;INDEX(Dati!$D$1:$D$1000,MATCH($A10,Dati!$A$1:$A$1000,0))&amp;" · ","")&amp;IF(INDEX(Dati!$CG$1:$CG$1000,MATCH($A10,Dati!$A$1:$A$1000,0))&gt;0,Dati!$E$3&amp;": "&amp;INDEX(Dati!$E$1:$E$1000,MATCH($A10,Dati!$A$1:$A$1000,0))&amp;" · ","")&amp;IF(INDEX(Dati!$CH$1:$CH$1000,MATCH($A10,Dati!$A$1:$A$1000,0))&gt;0,Dati!$F$3&amp;": "&amp;INDEX(Dati!$F$1:$F$1000,MATCH($A10,Dati!$A$1:$A$1000,0))&amp;" · ",""))="",IF(INDEX(Dati!$FG$1:$FG$1000,MATCH($A10,Dati!$A$1:$A$1000,0))=1,"AS da recuperare",""),LEFT(IF(INDEX(Dati!$CE$1:$CE$1000,MATCH($A10,Dati!$A$1:$A$1000,0))&gt;0,Dati!$C$3&amp;": "&amp;INDEX(Dati!$C$1:$C$1000,MATCH($A10,Dati!$A$1:$A$1000,0))&amp;" · ","")&amp;IF(INDEX(Dati!$CF$1:$CF$1000,MATCH($A10,Dati!$A$1:$A$1000,0))&gt;0,Dati!$D$3&amp;": "&amp;INDEX(Dati!$D$1:$D$1000,MATCH($A10,Dati!$A$1:$A$1000,0))&amp;" · ","")&amp;IF(INDEX(Dati!$CG$1:$CG$1000,MATCH($A10,Dati!$A$1:$A$1000,0))&gt;0,Dati!$E$3&amp;": "&amp;INDEX(Dati!$E$1:$E$1000,MATCH($A10,Dati!$A$1:$A$1000,0))&amp;" · ","")&amp;IF(INDEX(Dati!$CH$1:$CH$1000,MATCH($A10,Dati!$A$1:$A$1000,0))&gt;0,Dati!$F$3&amp;": "&amp;INDEX(Dati!$F$1:$F$1000,MATCH($A10,Dati!$A$1:$A$1000,0))&amp;" · ",""),LEN(IF(INDEX(Dati!$CE$1:$CE$1000,MATCH($A10,Dati!$A$1:$A$1000,0))&gt;0,Dati!$C$3&amp;": "&amp;INDEX(Dati!$C$1:$C$1000,MATCH($A10,Dati!$A$1:$A$1000,0))&amp;" · ","")&amp;IF(INDEX(Dati!$CF$1:$CF$1000,MATCH($A10,Dati!$A$1:$A$1000,0))&gt;0,Dati!$D$3&amp;": "&amp;INDEX(Dati!$D$1:$D$1000,MATCH($A10,Dati!$A$1:$A$1000,0))&amp;" · ","")&amp;IF(INDEX(Dati!$CG$1:$CG$1000,MATCH($A10,Dati!$A$1:$A$1000,0))&gt;0,Dati!$E$3&amp;": "&amp;INDEX(Dati!$E$1:$E$1000,MATCH($A10,Dati!$A$1:$A$1000,0))&amp;" · ","")&amp;IF(INDEX(Dati!$CH$1:$CH$1000,MATCH($A10,Dati!$A$1:$A$1000,0))&gt;0,Dati!$F$3&amp;": "&amp;INDEX(Dati!$F$1:$F$1000,MATCH($A10,Dati!$A$1:$A$1000,0))&amp;" · ",""))-3)),""))</f>
        <v/>
      </c>
      <c r="D10" s="55" t="str">
        <f aca="false">IF($B10="","",IFERROR(IF((IF(INDEX(Dati!$CI$1:$CI$1000,MATCH($A10,Dati!$A$1:$A$1000,0))&gt;0,Dati!$G$3&amp;": "&amp;INDEX(Dati!$G$1:$G$1000,MATCH($A10,Dati!$A$1:$A$1000,0))&amp;" · ","")&amp;IF(INDEX(Dati!$CJ$1:$CJ$1000,MATCH($A10,Dati!$A$1:$A$1000,0))&gt;0,Dati!$H$3&amp;": "&amp;INDEX(Dati!$H$1:$H$1000,MATCH($A10,Dati!$A$1:$A$1000,0))&amp;" · ","")&amp;IF(INDEX(Dati!$CK$1:$CK$1000,MATCH($A10,Dati!$A$1:$A$1000,0))&gt;0,Dati!$I$3&amp;": "&amp;INDEX(Dati!$I$1:$I$1000,MATCH($A10,Dati!$A$1:$A$1000,0))&amp;" · ","")&amp;IF(INDEX(Dati!$CL$1:$CL$1000,MATCH($A10,Dati!$A$1:$A$1000,0))&gt;0,Dati!$J$3&amp;": "&amp;INDEX(Dati!$J$1:$J$1000,MATCH($A10,Dati!$A$1:$A$1000,0))&amp;" · ",""))="",IF(INDEX(Dati!$FH$1:$FH$1000,MATCH($A10,Dati!$A$1:$A$1000,0))=1,"AS da recuperare",""),LEFT(IF(INDEX(Dati!$CI$1:$CI$1000,MATCH($A10,Dati!$A$1:$A$1000,0))&gt;0,Dati!$G$3&amp;": "&amp;INDEX(Dati!$G$1:$G$1000,MATCH($A10,Dati!$A$1:$A$1000,0))&amp;" · ","")&amp;IF(INDEX(Dati!$CJ$1:$CJ$1000,MATCH($A10,Dati!$A$1:$A$1000,0))&gt;0,Dati!$H$3&amp;": "&amp;INDEX(Dati!$H$1:$H$1000,MATCH($A10,Dati!$A$1:$A$1000,0))&amp;" · ","")&amp;IF(INDEX(Dati!$CK$1:$CK$1000,MATCH($A10,Dati!$A$1:$A$1000,0))&gt;0,Dati!$I$3&amp;": "&amp;INDEX(Dati!$I$1:$I$1000,MATCH($A10,Dati!$A$1:$A$1000,0))&amp;" · ","")&amp;IF(INDEX(Dati!$CL$1:$CL$1000,MATCH($A10,Dati!$A$1:$A$1000,0))&gt;0,Dati!$J$3&amp;": "&amp;INDEX(Dati!$J$1:$J$1000,MATCH($A10,Dati!$A$1:$A$1000,0))&amp;" · ",""),LEN(IF(INDEX(Dati!$CI$1:$CI$1000,MATCH($A10,Dati!$A$1:$A$1000,0))&gt;0,Dati!$G$3&amp;": "&amp;INDEX(Dati!$G$1:$G$1000,MATCH($A10,Dati!$A$1:$A$1000,0))&amp;" · ","")&amp;IF(INDEX(Dati!$CJ$1:$CJ$1000,MATCH($A10,Dati!$A$1:$A$1000,0))&gt;0,Dati!$H$3&amp;": "&amp;INDEX(Dati!$H$1:$H$1000,MATCH($A10,Dati!$A$1:$A$1000,0))&amp;" · ","")&amp;IF(INDEX(Dati!$CK$1:$CK$1000,MATCH($A10,Dati!$A$1:$A$1000,0))&gt;0,Dati!$I$3&amp;": "&amp;INDEX(Dati!$I$1:$I$1000,MATCH($A10,Dati!$A$1:$A$1000,0))&amp;" · ","")&amp;IF(INDEX(Dati!$CL$1:$CL$1000,MATCH($A10,Dati!$A$1:$A$1000,0))&gt;0,Dati!$J$3&amp;": "&amp;INDEX(Dati!$J$1:$J$1000,MATCH($A10,Dati!$A$1:$A$1000,0))&amp;" · ",""))-3)),""))</f>
        <v/>
      </c>
      <c r="E10" s="55" t="str">
        <f aca="false">IF($B10="","",IFERROR(IF((IF(INDEX(Dati!$CM$1:$CM$1000,MATCH($A10,Dati!$A$1:$A$1000,0))&gt;0,Dati!$K$3&amp;": "&amp;INDEX(Dati!$K$1:$K$1000,MATCH($A10,Dati!$A$1:$A$1000,0))&amp;" · ","")&amp;IF(INDEX(Dati!$CN$1:$CN$1000,MATCH($A10,Dati!$A$1:$A$1000,0))&gt;0,Dati!$L$3&amp;": "&amp;INDEX(Dati!$L$1:$L$1000,MATCH($A10,Dati!$A$1:$A$1000,0))&amp;" · ","")&amp;IF(INDEX(Dati!$CO$1:$CO$1000,MATCH($A10,Dati!$A$1:$A$1000,0))&gt;0,Dati!$M$3&amp;": "&amp;INDEX(Dati!$M$1:$M$1000,MATCH($A10,Dati!$A$1:$A$1000,0))&amp;" · ","")&amp;IF(INDEX(Dati!$CP$1:$CP$1000,MATCH($A10,Dati!$A$1:$A$1000,0))&gt;0,Dati!$N$3&amp;": "&amp;INDEX(Dati!$N$1:$N$1000,MATCH($A10,Dati!$A$1:$A$1000,0))&amp;" · ",""))="",IF(INDEX(Dati!$FI$1:$FI$1000,MATCH($A10,Dati!$A$1:$A$1000,0))=1,"AS da recuperare",""),LEFT(IF(INDEX(Dati!$CM$1:$CM$1000,MATCH($A10,Dati!$A$1:$A$1000,0))&gt;0,Dati!$K$3&amp;": "&amp;INDEX(Dati!$K$1:$K$1000,MATCH($A10,Dati!$A$1:$A$1000,0))&amp;" · ","")&amp;IF(INDEX(Dati!$CN$1:$CN$1000,MATCH($A10,Dati!$A$1:$A$1000,0))&gt;0,Dati!$L$3&amp;": "&amp;INDEX(Dati!$L$1:$L$1000,MATCH($A10,Dati!$A$1:$A$1000,0))&amp;" · ","")&amp;IF(INDEX(Dati!$CO$1:$CO$1000,MATCH($A10,Dati!$A$1:$A$1000,0))&gt;0,Dati!$M$3&amp;": "&amp;INDEX(Dati!$M$1:$M$1000,MATCH($A10,Dati!$A$1:$A$1000,0))&amp;" · ","")&amp;IF(INDEX(Dati!$CP$1:$CP$1000,MATCH($A10,Dati!$A$1:$A$1000,0))&gt;0,Dati!$N$3&amp;": "&amp;INDEX(Dati!$N$1:$N$1000,MATCH($A10,Dati!$A$1:$A$1000,0))&amp;" · ",""),LEN(IF(INDEX(Dati!$CM$1:$CM$1000,MATCH($A10,Dati!$A$1:$A$1000,0))&gt;0,Dati!$K$3&amp;": "&amp;INDEX(Dati!$K$1:$K$1000,MATCH($A10,Dati!$A$1:$A$1000,0))&amp;" · ","")&amp;IF(INDEX(Dati!$CN$1:$CN$1000,MATCH($A10,Dati!$A$1:$A$1000,0))&gt;0,Dati!$L$3&amp;": "&amp;INDEX(Dati!$L$1:$L$1000,MATCH($A10,Dati!$A$1:$A$1000,0))&amp;" · ","")&amp;IF(INDEX(Dati!$CO$1:$CO$1000,MATCH($A10,Dati!$A$1:$A$1000,0))&gt;0,Dati!$M$3&amp;": "&amp;INDEX(Dati!$M$1:$M$1000,MATCH($A10,Dati!$A$1:$A$1000,0))&amp;" · ","")&amp;IF(INDEX(Dati!$CP$1:$CP$1000,MATCH($A10,Dati!$A$1:$A$1000,0))&gt;0,Dati!$N$3&amp;": "&amp;INDEX(Dati!$N$1:$N$1000,MATCH($A10,Dati!$A$1:$A$1000,0))&amp;" · ",""))-3)),""))</f>
        <v/>
      </c>
      <c r="F10" s="55" t="str">
        <f aca="false">IF($B10="","",IFERROR(IF((IF(INDEX(Dati!$CQ$1:$CQ$1000,MATCH($A10,Dati!$A$1:$A$1000,0))&gt;0,Dati!$O$3&amp;": "&amp;INDEX(Dati!$O$1:$O$1000,MATCH($A10,Dati!$A$1:$A$1000,0))&amp;" · ","")&amp;IF(INDEX(Dati!$CR$1:$CR$1000,MATCH($A10,Dati!$A$1:$A$1000,0))&gt;0,Dati!$P$3&amp;": "&amp;INDEX(Dati!$P$1:$P$1000,MATCH($A10,Dati!$A$1:$A$1000,0))&amp;" · ","")&amp;IF(INDEX(Dati!$CS$1:$CS$1000,MATCH($A10,Dati!$A$1:$A$1000,0))&gt;0,Dati!$Q$3&amp;": "&amp;INDEX(Dati!$Q$1:$Q$1000,MATCH($A10,Dati!$A$1:$A$1000,0))&amp;" · ","")&amp;IF(INDEX(Dati!$CT$1:$CT$1000,MATCH($A10,Dati!$A$1:$A$1000,0))&gt;0,Dati!$R$3&amp;": "&amp;INDEX(Dati!$R$1:$R$1000,MATCH($A10,Dati!$A$1:$A$1000,0))&amp;" · ",""))="",IF(INDEX(Dati!$FJ$1:$FJ$1000,MATCH($A10,Dati!$A$1:$A$1000,0))=1,"AS da recuperare",""),LEFT(IF(INDEX(Dati!$CQ$1:$CQ$1000,MATCH($A10,Dati!$A$1:$A$1000,0))&gt;0,Dati!$O$3&amp;": "&amp;INDEX(Dati!$O$1:$O$1000,MATCH($A10,Dati!$A$1:$A$1000,0))&amp;" · ","")&amp;IF(INDEX(Dati!$CR$1:$CR$1000,MATCH($A10,Dati!$A$1:$A$1000,0))&gt;0,Dati!$P$3&amp;": "&amp;INDEX(Dati!$P$1:$P$1000,MATCH($A10,Dati!$A$1:$A$1000,0))&amp;" · ","")&amp;IF(INDEX(Dati!$CS$1:$CS$1000,MATCH($A10,Dati!$A$1:$A$1000,0))&gt;0,Dati!$Q$3&amp;": "&amp;INDEX(Dati!$Q$1:$Q$1000,MATCH($A10,Dati!$A$1:$A$1000,0))&amp;" · ","")&amp;IF(INDEX(Dati!$CT$1:$CT$1000,MATCH($A10,Dati!$A$1:$A$1000,0))&gt;0,Dati!$R$3&amp;": "&amp;INDEX(Dati!$R$1:$R$1000,MATCH($A10,Dati!$A$1:$A$1000,0))&amp;" · ",""),LEN(IF(INDEX(Dati!$CQ$1:$CQ$1000,MATCH($A10,Dati!$A$1:$A$1000,0))&gt;0,Dati!$O$3&amp;": "&amp;INDEX(Dati!$O$1:$O$1000,MATCH($A10,Dati!$A$1:$A$1000,0))&amp;" · ","")&amp;IF(INDEX(Dati!$CR$1:$CR$1000,MATCH($A10,Dati!$A$1:$A$1000,0))&gt;0,Dati!$P$3&amp;": "&amp;INDEX(Dati!$P$1:$P$1000,MATCH($A10,Dati!$A$1:$A$1000,0))&amp;" · ","")&amp;IF(INDEX(Dati!$CS$1:$CS$1000,MATCH($A10,Dati!$A$1:$A$1000,0))&gt;0,Dati!$Q$3&amp;": "&amp;INDEX(Dati!$Q$1:$Q$1000,MATCH($A10,Dati!$A$1:$A$1000,0))&amp;" · ","")&amp;IF(INDEX(Dati!$CT$1:$CT$1000,MATCH($A10,Dati!$A$1:$A$1000,0))&gt;0,Dati!$R$3&amp;": "&amp;INDEX(Dati!$R$1:$R$1000,MATCH($A10,Dati!$A$1:$A$1000,0))&amp;" · ",""))-3)),""))</f>
        <v/>
      </c>
      <c r="G10" s="55" t="str">
        <f aca="false">IF($B10="","",IFERROR(IF((IF(INDEX(Dati!$CU$1:$CU$1000,MATCH($A10,Dati!$A$1:$A$1000,0))&gt;0,Dati!$S$3&amp;": "&amp;INDEX(Dati!$S$1:$S$1000,MATCH($A10,Dati!$A$1:$A$1000,0))&amp;" · ","")&amp;IF(INDEX(Dati!$CV$1:$CV$1000,MATCH($A10,Dati!$A$1:$A$1000,0))&gt;0,Dati!$T$3&amp;": "&amp;INDEX(Dati!$T$1:$T$1000,MATCH($A10,Dati!$A$1:$A$1000,0))&amp;" · ","")&amp;IF(INDEX(Dati!$CW$1:$CW$1000,MATCH($A10,Dati!$A$1:$A$1000,0))&gt;0,Dati!$U$3&amp;": "&amp;INDEX(Dati!$U$1:$U$1000,MATCH($A10,Dati!$A$1:$A$1000,0))&amp;" · ","")&amp;IF(INDEX(Dati!$CX$1:$CX$1000,MATCH($A10,Dati!$A$1:$A$1000,0))&gt;0,Dati!$V$3&amp;": "&amp;INDEX(Dati!$V$1:$V$1000,MATCH($A10,Dati!$A$1:$A$1000,0))&amp;" · ",""))="",IF(INDEX(Dati!$FK$1:$FK$1000,MATCH($A10,Dati!$A$1:$A$1000,0))=1,"AS da recuperare",""),LEFT(IF(INDEX(Dati!$CU$1:$CU$1000,MATCH($A10,Dati!$A$1:$A$1000,0))&gt;0,Dati!$S$3&amp;": "&amp;INDEX(Dati!$S$1:$S$1000,MATCH($A10,Dati!$A$1:$A$1000,0))&amp;" · ","")&amp;IF(INDEX(Dati!$CV$1:$CV$1000,MATCH($A10,Dati!$A$1:$A$1000,0))&gt;0,Dati!$T$3&amp;": "&amp;INDEX(Dati!$T$1:$T$1000,MATCH($A10,Dati!$A$1:$A$1000,0))&amp;" · ","")&amp;IF(INDEX(Dati!$CW$1:$CW$1000,MATCH($A10,Dati!$A$1:$A$1000,0))&gt;0,Dati!$U$3&amp;": "&amp;INDEX(Dati!$U$1:$U$1000,MATCH($A10,Dati!$A$1:$A$1000,0))&amp;" · ","")&amp;IF(INDEX(Dati!$CX$1:$CX$1000,MATCH($A10,Dati!$A$1:$A$1000,0))&gt;0,Dati!$V$3&amp;": "&amp;INDEX(Dati!$V$1:$V$1000,MATCH($A10,Dati!$A$1:$A$1000,0))&amp;" · ",""),LEN(IF(INDEX(Dati!$CU$1:$CU$1000,MATCH($A10,Dati!$A$1:$A$1000,0))&gt;0,Dati!$S$3&amp;": "&amp;INDEX(Dati!$S$1:$S$1000,MATCH($A10,Dati!$A$1:$A$1000,0))&amp;" · ","")&amp;IF(INDEX(Dati!$CV$1:$CV$1000,MATCH($A10,Dati!$A$1:$A$1000,0))&gt;0,Dati!$T$3&amp;": "&amp;INDEX(Dati!$T$1:$T$1000,MATCH($A10,Dati!$A$1:$A$1000,0))&amp;" · ","")&amp;IF(INDEX(Dati!$CW$1:$CW$1000,MATCH($A10,Dati!$A$1:$A$1000,0))&gt;0,Dati!$U$3&amp;": "&amp;INDEX(Dati!$U$1:$U$1000,MATCH($A10,Dati!$A$1:$A$1000,0))&amp;" · ","")&amp;IF(INDEX(Dati!$CX$1:$CX$1000,MATCH($A10,Dati!$A$1:$A$1000,0))&gt;0,Dati!$V$3&amp;": "&amp;INDEX(Dati!$V$1:$V$1000,MATCH($A10,Dati!$A$1:$A$1000,0))&amp;" · ",""))-3)),""))</f>
        <v/>
      </c>
      <c r="H10" s="55" t="str">
        <f aca="false">IF($B10="","",IFERROR(IF((IF(INDEX(Dati!$CY$1:$CY$1000,MATCH($A10,Dati!$A$1:$A$1000,0))&gt;0,Dati!$W$3&amp;": "&amp;INDEX(Dati!$W$1:$W$1000,MATCH($A10,Dati!$A$1:$A$1000,0))&amp;" · ","")&amp;IF(INDEX(Dati!$CZ$1:$CZ$1000,MATCH($A10,Dati!$A$1:$A$1000,0))&gt;0,Dati!$X$3&amp;": "&amp;INDEX(Dati!$X$1:$X$1000,MATCH($A10,Dati!$A$1:$A$1000,0))&amp;" · ","")&amp;IF(INDEX(Dati!$DA$1:$DA$1000,MATCH($A10,Dati!$A$1:$A$1000,0))&gt;0,Dati!$Y$3&amp;": "&amp;INDEX(Dati!$Y$1:$Y$1000,MATCH($A10,Dati!$A$1:$A$1000,0))&amp;" · ","")&amp;IF(INDEX(Dati!$DB$1:$DB$1000,MATCH($A10,Dati!$A$1:$A$1000,0))&gt;0,Dati!$Z$3&amp;": "&amp;INDEX(Dati!$Z$1:$Z$1000,MATCH($A10,Dati!$A$1:$A$1000,0))&amp;" · ",""))="",IF(INDEX(Dati!$FL$1:$FL$1000,MATCH($A10,Dati!$A$1:$A$1000,0))=1,"AS da recuperare",""),LEFT(IF(INDEX(Dati!$CY$1:$CY$1000,MATCH($A10,Dati!$A$1:$A$1000,0))&gt;0,Dati!$W$3&amp;": "&amp;INDEX(Dati!$W$1:$W$1000,MATCH($A10,Dati!$A$1:$A$1000,0))&amp;" · ","")&amp;IF(INDEX(Dati!$CZ$1:$CZ$1000,MATCH($A10,Dati!$A$1:$A$1000,0))&gt;0,Dati!$X$3&amp;": "&amp;INDEX(Dati!$X$1:$X$1000,MATCH($A10,Dati!$A$1:$A$1000,0))&amp;" · ","")&amp;IF(INDEX(Dati!$DA$1:$DA$1000,MATCH($A10,Dati!$A$1:$A$1000,0))&gt;0,Dati!$Y$3&amp;": "&amp;INDEX(Dati!$Y$1:$Y$1000,MATCH($A10,Dati!$A$1:$A$1000,0))&amp;" · ","")&amp;IF(INDEX(Dati!$DB$1:$DB$1000,MATCH($A10,Dati!$A$1:$A$1000,0))&gt;0,Dati!$Z$3&amp;": "&amp;INDEX(Dati!$Z$1:$Z$1000,MATCH($A10,Dati!$A$1:$A$1000,0))&amp;" · ",""),LEN(IF(INDEX(Dati!$CY$1:$CY$1000,MATCH($A10,Dati!$A$1:$A$1000,0))&gt;0,Dati!$W$3&amp;": "&amp;INDEX(Dati!$W$1:$W$1000,MATCH($A10,Dati!$A$1:$A$1000,0))&amp;" · ","")&amp;IF(INDEX(Dati!$CZ$1:$CZ$1000,MATCH($A10,Dati!$A$1:$A$1000,0))&gt;0,Dati!$X$3&amp;": "&amp;INDEX(Dati!$X$1:$X$1000,MATCH($A10,Dati!$A$1:$A$1000,0))&amp;" · ","")&amp;IF(INDEX(Dati!$DA$1:$DA$1000,MATCH($A10,Dati!$A$1:$A$1000,0))&gt;0,Dati!$Y$3&amp;": "&amp;INDEX(Dati!$Y$1:$Y$1000,MATCH($A10,Dati!$A$1:$A$1000,0))&amp;" · ","")&amp;IF(INDEX(Dati!$DB$1:$DB$1000,MATCH($A10,Dati!$A$1:$A$1000,0))&gt;0,Dati!$Z$3&amp;": "&amp;INDEX(Dati!$Z$1:$Z$1000,MATCH($A10,Dati!$A$1:$A$1000,0))&amp;" · ",""))-3)),""))</f>
        <v/>
      </c>
      <c r="I10" s="55" t="str">
        <f aca="false">IF($B10="","",IFERROR(IF((IF(INDEX(Dati!$DC$1:$DC$1000,MATCH($A10,Dati!$A$1:$A$1000,0))&gt;0,Dati!$AA$3&amp;": "&amp;INDEX(Dati!$AA$1:$AA$1000,MATCH($A10,Dati!$A$1:$A$1000,0))&amp;" · ","")&amp;IF(INDEX(Dati!$DD$1:$DD$1000,MATCH($A10,Dati!$A$1:$A$1000,0))&gt;0,Dati!$AB$3&amp;": "&amp;INDEX(Dati!$AB$1:$AB$1000,MATCH($A10,Dati!$A$1:$A$1000,0))&amp;" · ","")&amp;IF(INDEX(Dati!$DE$1:$DE$1000,MATCH($A10,Dati!$A$1:$A$1000,0))&gt;0,Dati!$AC$3&amp;": "&amp;INDEX(Dati!$AC$1:$AC$1000,MATCH($A10,Dati!$A$1:$A$1000,0))&amp;" · ","")&amp;IF(INDEX(Dati!$DF$1:$DF$1000,MATCH($A10,Dati!$A$1:$A$1000,0))&gt;0,Dati!$AD$3&amp;": "&amp;INDEX(Dati!$AD$1:$AD$1000,MATCH($A10,Dati!$A$1:$A$1000,0))&amp;" · ",""))="",IF(INDEX(Dati!$FM$1:$FM$1000,MATCH($A10,Dati!$A$1:$A$1000,0))=1,"AS da recuperare",""),LEFT(IF(INDEX(Dati!$DC$1:$DC$1000,MATCH($A10,Dati!$A$1:$A$1000,0))&gt;0,Dati!$AA$3&amp;": "&amp;INDEX(Dati!$AA$1:$AA$1000,MATCH($A10,Dati!$A$1:$A$1000,0))&amp;" · ","")&amp;IF(INDEX(Dati!$DD$1:$DD$1000,MATCH($A10,Dati!$A$1:$A$1000,0))&gt;0,Dati!$AB$3&amp;": "&amp;INDEX(Dati!$AB$1:$AB$1000,MATCH($A10,Dati!$A$1:$A$1000,0))&amp;" · ","")&amp;IF(INDEX(Dati!$DE$1:$DE$1000,MATCH($A10,Dati!$A$1:$A$1000,0))&gt;0,Dati!$AC$3&amp;": "&amp;INDEX(Dati!$AC$1:$AC$1000,MATCH($A10,Dati!$A$1:$A$1000,0))&amp;" · ","")&amp;IF(INDEX(Dati!$DF$1:$DF$1000,MATCH($A10,Dati!$A$1:$A$1000,0))&gt;0,Dati!$AD$3&amp;": "&amp;INDEX(Dati!$AD$1:$AD$1000,MATCH($A10,Dati!$A$1:$A$1000,0))&amp;" · ",""),LEN(IF(INDEX(Dati!$DC$1:$DC$1000,MATCH($A10,Dati!$A$1:$A$1000,0))&gt;0,Dati!$AA$3&amp;": "&amp;INDEX(Dati!$AA$1:$AA$1000,MATCH($A10,Dati!$A$1:$A$1000,0))&amp;" · ","")&amp;IF(INDEX(Dati!$DD$1:$DD$1000,MATCH($A10,Dati!$A$1:$A$1000,0))&gt;0,Dati!$AB$3&amp;": "&amp;INDEX(Dati!$AB$1:$AB$1000,MATCH($A10,Dati!$A$1:$A$1000,0))&amp;" · ","")&amp;IF(INDEX(Dati!$DE$1:$DE$1000,MATCH($A10,Dati!$A$1:$A$1000,0))&gt;0,Dati!$AC$3&amp;": "&amp;INDEX(Dati!$AC$1:$AC$1000,MATCH($A10,Dati!$A$1:$A$1000,0))&amp;" · ","")&amp;IF(INDEX(Dati!$DF$1:$DF$1000,MATCH($A10,Dati!$A$1:$A$1000,0))&gt;0,Dati!$AD$3&amp;": "&amp;INDEX(Dati!$AD$1:$AD$1000,MATCH($A10,Dati!$A$1:$A$1000,0))&amp;" · ",""))-3)),""))</f>
        <v/>
      </c>
      <c r="J10" s="55" t="str">
        <f aca="false">IF($B10="","",IFERROR(IF((IF(INDEX(Dati!$DG$1:$DG$1000,MATCH($A10,Dati!$A$1:$A$1000,0))&gt;0,Dati!$AE$3&amp;": "&amp;INDEX(Dati!$AE$1:$AE$1000,MATCH($A10,Dati!$A$1:$A$1000,0))&amp;" · ","")&amp;IF(INDEX(Dati!$DH$1:$DH$1000,MATCH($A10,Dati!$A$1:$A$1000,0))&gt;0,Dati!$AF$3&amp;": "&amp;INDEX(Dati!$AF$1:$AF$1000,MATCH($A10,Dati!$A$1:$A$1000,0))&amp;" · ","")&amp;IF(INDEX(Dati!$DI$1:$DI$1000,MATCH($A10,Dati!$A$1:$A$1000,0))&gt;0,Dati!$AG$3&amp;": "&amp;INDEX(Dati!$AG$1:$AG$1000,MATCH($A10,Dati!$A$1:$A$1000,0))&amp;" · ","")&amp;IF(INDEX(Dati!$DJ$1:$DJ$1000,MATCH($A10,Dati!$A$1:$A$1000,0))&gt;0,Dati!$AH$3&amp;": "&amp;INDEX(Dati!$AH$1:$AH$1000,MATCH($A10,Dati!$A$1:$A$1000,0))&amp;" · ",""))="",IF(INDEX(Dati!$FN$1:$FN$1000,MATCH($A10,Dati!$A$1:$A$1000,0))=1,"AS da recuperare",""),LEFT(IF(INDEX(Dati!$DG$1:$DG$1000,MATCH($A10,Dati!$A$1:$A$1000,0))&gt;0,Dati!$AE$3&amp;": "&amp;INDEX(Dati!$AE$1:$AE$1000,MATCH($A10,Dati!$A$1:$A$1000,0))&amp;" · ","")&amp;IF(INDEX(Dati!$DH$1:$DH$1000,MATCH($A10,Dati!$A$1:$A$1000,0))&gt;0,Dati!$AF$3&amp;": "&amp;INDEX(Dati!$AF$1:$AF$1000,MATCH($A10,Dati!$A$1:$A$1000,0))&amp;" · ","")&amp;IF(INDEX(Dati!$DI$1:$DI$1000,MATCH($A10,Dati!$A$1:$A$1000,0))&gt;0,Dati!$AG$3&amp;": "&amp;INDEX(Dati!$AG$1:$AG$1000,MATCH($A10,Dati!$A$1:$A$1000,0))&amp;" · ","")&amp;IF(INDEX(Dati!$DJ$1:$DJ$1000,MATCH($A10,Dati!$A$1:$A$1000,0))&gt;0,Dati!$AH$3&amp;": "&amp;INDEX(Dati!$AH$1:$AH$1000,MATCH($A10,Dati!$A$1:$A$1000,0))&amp;" · ",""),LEN(IF(INDEX(Dati!$DG$1:$DG$1000,MATCH($A10,Dati!$A$1:$A$1000,0))&gt;0,Dati!$AE$3&amp;": "&amp;INDEX(Dati!$AE$1:$AE$1000,MATCH($A10,Dati!$A$1:$A$1000,0))&amp;" · ","")&amp;IF(INDEX(Dati!$DH$1:$DH$1000,MATCH($A10,Dati!$A$1:$A$1000,0))&gt;0,Dati!$AF$3&amp;": "&amp;INDEX(Dati!$AF$1:$AF$1000,MATCH($A10,Dati!$A$1:$A$1000,0))&amp;" · ","")&amp;IF(INDEX(Dati!$DI$1:$DI$1000,MATCH($A10,Dati!$A$1:$A$1000,0))&gt;0,Dati!$AG$3&amp;": "&amp;INDEX(Dati!$AG$1:$AG$1000,MATCH($A10,Dati!$A$1:$A$1000,0))&amp;" · ","")&amp;IF(INDEX(Dati!$DJ$1:$DJ$1000,MATCH($A10,Dati!$A$1:$A$1000,0))&gt;0,Dati!$AH$3&amp;": "&amp;INDEX(Dati!$AH$1:$AH$1000,MATCH($A10,Dati!$A$1:$A$1000,0))&amp;" · ",""))-3)),""))</f>
        <v/>
      </c>
      <c r="K10" s="55" t="str">
        <f aca="false">IF($B10="","",IFERROR(IF((IF(INDEX(Dati!$DK$1:$DK$1000,MATCH($A10,Dati!$A$1:$A$1000,0))&gt;0,Dati!$AI$3&amp;": "&amp;INDEX(Dati!$AI$1:$AI$1000,MATCH($A10,Dati!$A$1:$A$1000,0))&amp;" · ","")&amp;IF(INDEX(Dati!$DL$1:$DL$1000,MATCH($A10,Dati!$A$1:$A$1000,0))&gt;0,Dati!$AJ$3&amp;": "&amp;INDEX(Dati!$AJ$1:$AJ$1000,MATCH($A10,Dati!$A$1:$A$1000,0))&amp;" · ","")&amp;IF(INDEX(Dati!$DM$1:$DM$1000,MATCH($A10,Dati!$A$1:$A$1000,0))&gt;0,Dati!$AK$3&amp;": "&amp;INDEX(Dati!$AK$1:$AK$1000,MATCH($A10,Dati!$A$1:$A$1000,0))&amp;" · ","")&amp;IF(INDEX(Dati!$DN$1:$DN$1000,MATCH($A10,Dati!$A$1:$A$1000,0))&gt;0,Dati!$AL$3&amp;": "&amp;INDEX(Dati!$AL$1:$AL$1000,MATCH($A10,Dati!$A$1:$A$1000,0))&amp;" · ",""))="",IF(INDEX(Dati!$FO$1:$FO$1000,MATCH($A10,Dati!$A$1:$A$1000,0))=1,"AS da recuperare",""),LEFT(IF(INDEX(Dati!$DK$1:$DK$1000,MATCH($A10,Dati!$A$1:$A$1000,0))&gt;0,Dati!$AI$3&amp;": "&amp;INDEX(Dati!$AI$1:$AI$1000,MATCH($A10,Dati!$A$1:$A$1000,0))&amp;" · ","")&amp;IF(INDEX(Dati!$DL$1:$DL$1000,MATCH($A10,Dati!$A$1:$A$1000,0))&gt;0,Dati!$AJ$3&amp;": "&amp;INDEX(Dati!$AJ$1:$AJ$1000,MATCH($A10,Dati!$A$1:$A$1000,0))&amp;" · ","")&amp;IF(INDEX(Dati!$DM$1:$DM$1000,MATCH($A10,Dati!$A$1:$A$1000,0))&gt;0,Dati!$AK$3&amp;": "&amp;INDEX(Dati!$AK$1:$AK$1000,MATCH($A10,Dati!$A$1:$A$1000,0))&amp;" · ","")&amp;IF(INDEX(Dati!$DN$1:$DN$1000,MATCH($A10,Dati!$A$1:$A$1000,0))&gt;0,Dati!$AL$3&amp;": "&amp;INDEX(Dati!$AL$1:$AL$1000,MATCH($A10,Dati!$A$1:$A$1000,0))&amp;" · ",""),LEN(IF(INDEX(Dati!$DK$1:$DK$1000,MATCH($A10,Dati!$A$1:$A$1000,0))&gt;0,Dati!$AI$3&amp;": "&amp;INDEX(Dati!$AI$1:$AI$1000,MATCH($A10,Dati!$A$1:$A$1000,0))&amp;" · ","")&amp;IF(INDEX(Dati!$DL$1:$DL$1000,MATCH($A10,Dati!$A$1:$A$1000,0))&gt;0,Dati!$AJ$3&amp;": "&amp;INDEX(Dati!$AJ$1:$AJ$1000,MATCH($A10,Dati!$A$1:$A$1000,0))&amp;" · ","")&amp;IF(INDEX(Dati!$DM$1:$DM$1000,MATCH($A10,Dati!$A$1:$A$1000,0))&gt;0,Dati!$AK$3&amp;": "&amp;INDEX(Dati!$AK$1:$AK$1000,MATCH($A10,Dati!$A$1:$A$1000,0))&amp;" · ","")&amp;IF(INDEX(Dati!$DN$1:$DN$1000,MATCH($A10,Dati!$A$1:$A$1000,0))&gt;0,Dati!$AL$3&amp;": "&amp;INDEX(Dati!$AL$1:$AL$1000,MATCH($A10,Dati!$A$1:$A$1000,0))&amp;" · ",""))-3)),""))</f>
        <v/>
      </c>
      <c r="L10" s="55" t="str">
        <f aca="false">IF($B10="","",IFERROR(IF((IF(INDEX(Dati!$DO$1:$DO$1000,MATCH($A10,Dati!$A$1:$A$1000,0))&gt;0,Dati!$AM$3&amp;": "&amp;INDEX(Dati!$AM$1:$AM$1000,MATCH($A10,Dati!$A$1:$A$1000,0))&amp;" · ","")&amp;IF(INDEX(Dati!$DP$1:$DP$1000,MATCH($A10,Dati!$A$1:$A$1000,0))&gt;0,Dati!$AN$3&amp;": "&amp;INDEX(Dati!$AN$1:$AN$1000,MATCH($A10,Dati!$A$1:$A$1000,0))&amp;" · ","")&amp;IF(INDEX(Dati!$DQ$1:$DQ$1000,MATCH($A10,Dati!$A$1:$A$1000,0))&gt;0,Dati!$AO$3&amp;": "&amp;INDEX(Dati!$AO$1:$AO$1000,MATCH($A10,Dati!$A$1:$A$1000,0))&amp;" · ","")&amp;IF(INDEX(Dati!$DR$1:$DR$1000,MATCH($A10,Dati!$A$1:$A$1000,0))&gt;0,Dati!$AP$3&amp;": "&amp;INDEX(Dati!$AP$1:$AP$1000,MATCH($A10,Dati!$A$1:$A$1000,0))&amp;" · ",""))="",IF(INDEX(Dati!$FP$1:$FP$1000,MATCH($A10,Dati!$A$1:$A$1000,0))=1,"AS da recuperare",""),LEFT(IF(INDEX(Dati!$DO$1:$DO$1000,MATCH($A10,Dati!$A$1:$A$1000,0))&gt;0,Dati!$AM$3&amp;": "&amp;INDEX(Dati!$AM$1:$AM$1000,MATCH($A10,Dati!$A$1:$A$1000,0))&amp;" · ","")&amp;IF(INDEX(Dati!$DP$1:$DP$1000,MATCH($A10,Dati!$A$1:$A$1000,0))&gt;0,Dati!$AN$3&amp;": "&amp;INDEX(Dati!$AN$1:$AN$1000,MATCH($A10,Dati!$A$1:$A$1000,0))&amp;" · ","")&amp;IF(INDEX(Dati!$DQ$1:$DQ$1000,MATCH($A10,Dati!$A$1:$A$1000,0))&gt;0,Dati!$AO$3&amp;": "&amp;INDEX(Dati!$AO$1:$AO$1000,MATCH($A10,Dati!$A$1:$A$1000,0))&amp;" · ","")&amp;IF(INDEX(Dati!$DR$1:$DR$1000,MATCH($A10,Dati!$A$1:$A$1000,0))&gt;0,Dati!$AP$3&amp;": "&amp;INDEX(Dati!$AP$1:$AP$1000,MATCH($A10,Dati!$A$1:$A$1000,0))&amp;" · ",""),LEN(IF(INDEX(Dati!$DO$1:$DO$1000,MATCH($A10,Dati!$A$1:$A$1000,0))&gt;0,Dati!$AM$3&amp;": "&amp;INDEX(Dati!$AM$1:$AM$1000,MATCH($A10,Dati!$A$1:$A$1000,0))&amp;" · ","")&amp;IF(INDEX(Dati!$DP$1:$DP$1000,MATCH($A10,Dati!$A$1:$A$1000,0))&gt;0,Dati!$AN$3&amp;": "&amp;INDEX(Dati!$AN$1:$AN$1000,MATCH($A10,Dati!$A$1:$A$1000,0))&amp;" · ","")&amp;IF(INDEX(Dati!$DQ$1:$DQ$1000,MATCH($A10,Dati!$A$1:$A$1000,0))&gt;0,Dati!$AO$3&amp;": "&amp;INDEX(Dati!$AO$1:$AO$1000,MATCH($A10,Dati!$A$1:$A$1000,0))&amp;" · ","")&amp;IF(INDEX(Dati!$DR$1:$DR$1000,MATCH($A10,Dati!$A$1:$A$1000,0))&gt;0,Dati!$AP$3&amp;": "&amp;INDEX(Dati!$AP$1:$AP$1000,MATCH($A10,Dati!$A$1:$A$1000,0))&amp;" · ",""))-3)),""))</f>
        <v/>
      </c>
      <c r="M10" s="55" t="str">
        <f aca="false">IF($B10="","",IFERROR(IF((IF(INDEX(Dati!$DS$1:$DS$1000,MATCH($A10,Dati!$A$1:$A$1000,0))&gt;0,Dati!$AQ$3&amp;": "&amp;INDEX(Dati!$AQ$1:$AQ$1000,MATCH($A10,Dati!$A$1:$A$1000,0))&amp;" · ","")&amp;IF(INDEX(Dati!$DT$1:$DT$1000,MATCH($A10,Dati!$A$1:$A$1000,0))&gt;0,Dati!$AR$3&amp;": "&amp;INDEX(Dati!$AR$1:$AR$1000,MATCH($A10,Dati!$A$1:$A$1000,0))&amp;" · ","")&amp;IF(INDEX(Dati!$DU$1:$DU$1000,MATCH($A10,Dati!$A$1:$A$1000,0))&gt;0,Dati!$AS$3&amp;": "&amp;INDEX(Dati!$AS$1:$AS$1000,MATCH($A10,Dati!$A$1:$A$1000,0))&amp;" · ","")&amp;IF(INDEX(Dati!$DV$1:$DV$1000,MATCH($A10,Dati!$A$1:$A$1000,0))&gt;0,Dati!$AT$3&amp;": "&amp;INDEX(Dati!$AT$1:$AT$1000,MATCH($A10,Dati!$A$1:$A$1000,0))&amp;" · ",""))="",IF(INDEX(Dati!$FQ$1:$FQ$1000,MATCH($A10,Dati!$A$1:$A$1000,0))=1,"AS da recuperare",""),LEFT(IF(INDEX(Dati!$DS$1:$DS$1000,MATCH($A10,Dati!$A$1:$A$1000,0))&gt;0,Dati!$AQ$3&amp;": "&amp;INDEX(Dati!$AQ$1:$AQ$1000,MATCH($A10,Dati!$A$1:$A$1000,0))&amp;" · ","")&amp;IF(INDEX(Dati!$DT$1:$DT$1000,MATCH($A10,Dati!$A$1:$A$1000,0))&gt;0,Dati!$AR$3&amp;": "&amp;INDEX(Dati!$AR$1:$AR$1000,MATCH($A10,Dati!$A$1:$A$1000,0))&amp;" · ","")&amp;IF(INDEX(Dati!$DU$1:$DU$1000,MATCH($A10,Dati!$A$1:$A$1000,0))&gt;0,Dati!$AS$3&amp;": "&amp;INDEX(Dati!$AS$1:$AS$1000,MATCH($A10,Dati!$A$1:$A$1000,0))&amp;" · ","")&amp;IF(INDEX(Dati!$DV$1:$DV$1000,MATCH($A10,Dati!$A$1:$A$1000,0))&gt;0,Dati!$AT$3&amp;": "&amp;INDEX(Dati!$AT$1:$AT$1000,MATCH($A10,Dati!$A$1:$A$1000,0))&amp;" · ",""),LEN(IF(INDEX(Dati!$DS$1:$DS$1000,MATCH($A10,Dati!$A$1:$A$1000,0))&gt;0,Dati!$AQ$3&amp;": "&amp;INDEX(Dati!$AQ$1:$AQ$1000,MATCH($A10,Dati!$A$1:$A$1000,0))&amp;" · ","")&amp;IF(INDEX(Dati!$DT$1:$DT$1000,MATCH($A10,Dati!$A$1:$A$1000,0))&gt;0,Dati!$AR$3&amp;": "&amp;INDEX(Dati!$AR$1:$AR$1000,MATCH($A10,Dati!$A$1:$A$1000,0))&amp;" · ","")&amp;IF(INDEX(Dati!$DU$1:$DU$1000,MATCH($A10,Dati!$A$1:$A$1000,0))&gt;0,Dati!$AS$3&amp;": "&amp;INDEX(Dati!$AS$1:$AS$1000,MATCH($A10,Dati!$A$1:$A$1000,0))&amp;" · ","")&amp;IF(INDEX(Dati!$DV$1:$DV$1000,MATCH($A10,Dati!$A$1:$A$1000,0))&gt;0,Dati!$AT$3&amp;": "&amp;INDEX(Dati!$AT$1:$AT$1000,MATCH($A10,Dati!$A$1:$A$1000,0))&amp;" · ",""))-3)),""))</f>
        <v/>
      </c>
      <c r="N10" s="55" t="str">
        <f aca="false">IF($B10="","",IFERROR(IF((IF(INDEX(Dati!$DW$1:$DW$1000,MATCH($A10,Dati!$A$1:$A$1000,0))&gt;0,Dati!$AU$3&amp;": "&amp;INDEX(Dati!$AU$1:$AU$1000,MATCH($A10,Dati!$A$1:$A$1000,0))&amp;" · ","")&amp;IF(INDEX(Dati!$DX$1:$DX$1000,MATCH($A10,Dati!$A$1:$A$1000,0))&gt;0,Dati!$AV$3&amp;": "&amp;INDEX(Dati!$AV$1:$AV$1000,MATCH($A10,Dati!$A$1:$A$1000,0))&amp;" · ","")&amp;IF(INDEX(Dati!$DY$1:$DY$1000,MATCH($A10,Dati!$A$1:$A$1000,0))&gt;0,Dati!$AW$3&amp;": "&amp;INDEX(Dati!$AW$1:$AW$1000,MATCH($A10,Dati!$A$1:$A$1000,0))&amp;" · ","")&amp;IF(INDEX(Dati!$DZ$1:$DZ$1000,MATCH($A10,Dati!$A$1:$A$1000,0))&gt;0,Dati!$AX$3&amp;": "&amp;INDEX(Dati!$AX$1:$AX$1000,MATCH($A10,Dati!$A$1:$A$1000,0))&amp;" · ",""))="",IF(INDEX(Dati!$FR$1:$FR$1000,MATCH($A10,Dati!$A$1:$A$1000,0))=1,"AS da recuperare",""),LEFT(IF(INDEX(Dati!$DW$1:$DW$1000,MATCH($A10,Dati!$A$1:$A$1000,0))&gt;0,Dati!$AU$3&amp;": "&amp;INDEX(Dati!$AU$1:$AU$1000,MATCH($A10,Dati!$A$1:$A$1000,0))&amp;" · ","")&amp;IF(INDEX(Dati!$DX$1:$DX$1000,MATCH($A10,Dati!$A$1:$A$1000,0))&gt;0,Dati!$AV$3&amp;": "&amp;INDEX(Dati!$AV$1:$AV$1000,MATCH($A10,Dati!$A$1:$A$1000,0))&amp;" · ","")&amp;IF(INDEX(Dati!$DY$1:$DY$1000,MATCH($A10,Dati!$A$1:$A$1000,0))&gt;0,Dati!$AW$3&amp;": "&amp;INDEX(Dati!$AW$1:$AW$1000,MATCH($A10,Dati!$A$1:$A$1000,0))&amp;" · ","")&amp;IF(INDEX(Dati!$DZ$1:$DZ$1000,MATCH($A10,Dati!$A$1:$A$1000,0))&gt;0,Dati!$AX$3&amp;": "&amp;INDEX(Dati!$AX$1:$AX$1000,MATCH($A10,Dati!$A$1:$A$1000,0))&amp;" · ",""),LEN(IF(INDEX(Dati!$DW$1:$DW$1000,MATCH($A10,Dati!$A$1:$A$1000,0))&gt;0,Dati!$AU$3&amp;": "&amp;INDEX(Dati!$AU$1:$AU$1000,MATCH($A10,Dati!$A$1:$A$1000,0))&amp;" · ","")&amp;IF(INDEX(Dati!$DX$1:$DX$1000,MATCH($A10,Dati!$A$1:$A$1000,0))&gt;0,Dati!$AV$3&amp;": "&amp;INDEX(Dati!$AV$1:$AV$1000,MATCH($A10,Dati!$A$1:$A$1000,0))&amp;" · ","")&amp;IF(INDEX(Dati!$DY$1:$DY$1000,MATCH($A10,Dati!$A$1:$A$1000,0))&gt;0,Dati!$AW$3&amp;": "&amp;INDEX(Dati!$AW$1:$AW$1000,MATCH($A10,Dati!$A$1:$A$1000,0))&amp;" · ","")&amp;IF(INDEX(Dati!$DZ$1:$DZ$1000,MATCH($A10,Dati!$A$1:$A$1000,0))&gt;0,Dati!$AX$3&amp;": "&amp;INDEX(Dati!$AX$1:$AX$1000,MATCH($A10,Dati!$A$1:$A$1000,0))&amp;" · ",""))-3)),""))</f>
        <v/>
      </c>
      <c r="O10" s="55" t="str">
        <f aca="false">IF($B10="","",IFERROR(IF((IF(INDEX(Dati!$EA$1:$EA$1000,MATCH($A10,Dati!$A$1:$A$1000,0))&gt;0,Dati!$AY$3&amp;": "&amp;INDEX(Dati!$AY$1:$AY$1000,MATCH($A10,Dati!$A$1:$A$1000,0))&amp;" · ","")&amp;IF(INDEX(Dati!$EB$1:$EB$1000,MATCH($A10,Dati!$A$1:$A$1000,0))&gt;0,Dati!$AZ$3&amp;": "&amp;INDEX(Dati!$AZ$1:$AZ$1000,MATCH($A10,Dati!$A$1:$A$1000,0))&amp;" · ","")&amp;IF(INDEX(Dati!$EC$1:$EC$1000,MATCH($A10,Dati!$A$1:$A$1000,0))&gt;0,Dati!$BA$3&amp;": "&amp;INDEX(Dati!$BA$1:$BA$1000,MATCH($A10,Dati!$A$1:$A$1000,0))&amp;" · ","")&amp;IF(INDEX(Dati!$ED$1:$ED$1000,MATCH($A10,Dati!$A$1:$A$1000,0))&gt;0,Dati!$BB$3&amp;": "&amp;INDEX(Dati!$BB$1:$BB$1000,MATCH($A10,Dati!$A$1:$A$1000,0))&amp;" · ",""))="",IF(INDEX(Dati!$FS$1:$FS$1000,MATCH($A10,Dati!$A$1:$A$1000,0))=1,"AS da recuperare",""),LEFT(IF(INDEX(Dati!$EA$1:$EA$1000,MATCH($A10,Dati!$A$1:$A$1000,0))&gt;0,Dati!$AY$3&amp;": "&amp;INDEX(Dati!$AY$1:$AY$1000,MATCH($A10,Dati!$A$1:$A$1000,0))&amp;" · ","")&amp;IF(INDEX(Dati!$EB$1:$EB$1000,MATCH($A10,Dati!$A$1:$A$1000,0))&gt;0,Dati!$AZ$3&amp;": "&amp;INDEX(Dati!$AZ$1:$AZ$1000,MATCH($A10,Dati!$A$1:$A$1000,0))&amp;" · ","")&amp;IF(INDEX(Dati!$EC$1:$EC$1000,MATCH($A10,Dati!$A$1:$A$1000,0))&gt;0,Dati!$BA$3&amp;": "&amp;INDEX(Dati!$BA$1:$BA$1000,MATCH($A10,Dati!$A$1:$A$1000,0))&amp;" · ","")&amp;IF(INDEX(Dati!$ED$1:$ED$1000,MATCH($A10,Dati!$A$1:$A$1000,0))&gt;0,Dati!$BB$3&amp;": "&amp;INDEX(Dati!$BB$1:$BB$1000,MATCH($A10,Dati!$A$1:$A$1000,0))&amp;" · ",""),LEN(IF(INDEX(Dati!$EA$1:$EA$1000,MATCH($A10,Dati!$A$1:$A$1000,0))&gt;0,Dati!$AY$3&amp;": "&amp;INDEX(Dati!$AY$1:$AY$1000,MATCH($A10,Dati!$A$1:$A$1000,0))&amp;" · ","")&amp;IF(INDEX(Dati!$EB$1:$EB$1000,MATCH($A10,Dati!$A$1:$A$1000,0))&gt;0,Dati!$AZ$3&amp;": "&amp;INDEX(Dati!$AZ$1:$AZ$1000,MATCH($A10,Dati!$A$1:$A$1000,0))&amp;" · ","")&amp;IF(INDEX(Dati!$EC$1:$EC$1000,MATCH($A10,Dati!$A$1:$A$1000,0))&gt;0,Dati!$BA$3&amp;": "&amp;INDEX(Dati!$BA$1:$BA$1000,MATCH($A10,Dati!$A$1:$A$1000,0))&amp;" · ","")&amp;IF(INDEX(Dati!$ED$1:$ED$1000,MATCH($A10,Dati!$A$1:$A$1000,0))&gt;0,Dati!$BB$3&amp;": "&amp;INDEX(Dati!$BB$1:$BB$1000,MATCH($A10,Dati!$A$1:$A$1000,0))&amp;" · ",""))-3)),""))</f>
        <v/>
      </c>
      <c r="P10" s="55" t="str">
        <f aca="false">IF($B10="","",IFERROR(IF((IF(INDEX(Dati!$EE$1:$EE$1000,MATCH($A10,Dati!$A$1:$A$1000,0))&gt;0,Dati!$BC$3&amp;": "&amp;INDEX(Dati!$BC$1:$BC$1000,MATCH($A10,Dati!$A$1:$A$1000,0))&amp;" · ","")&amp;IF(INDEX(Dati!$EF$1:$EF$1000,MATCH($A10,Dati!$A$1:$A$1000,0))&gt;0,Dati!$BD$3&amp;": "&amp;INDEX(Dati!$BD$1:$BD$1000,MATCH($A10,Dati!$A$1:$A$1000,0))&amp;" · ","")&amp;IF(INDEX(Dati!$EG$1:$EG$1000,MATCH($A10,Dati!$A$1:$A$1000,0))&gt;0,Dati!$BE$3&amp;": "&amp;INDEX(Dati!$BE$1:$BE$1000,MATCH($A10,Dati!$A$1:$A$1000,0))&amp;" · ","")&amp;IF(INDEX(Dati!$EH$1:$EH$1000,MATCH($A10,Dati!$A$1:$A$1000,0))&gt;0,Dati!$BF$3&amp;": "&amp;INDEX(Dati!$BF$1:$BF$1000,MATCH($A10,Dati!$A$1:$A$1000,0))&amp;" · ",""))="",IF(INDEX(Dati!$FT$1:$FT$1000,MATCH($A10,Dati!$A$1:$A$1000,0))=1,"AS da recuperare",""),LEFT(IF(INDEX(Dati!$EE$1:$EE$1000,MATCH($A10,Dati!$A$1:$A$1000,0))&gt;0,Dati!$BC$3&amp;": "&amp;INDEX(Dati!$BC$1:$BC$1000,MATCH($A10,Dati!$A$1:$A$1000,0))&amp;" · ","")&amp;IF(INDEX(Dati!$EF$1:$EF$1000,MATCH($A10,Dati!$A$1:$A$1000,0))&gt;0,Dati!$BD$3&amp;": "&amp;INDEX(Dati!$BD$1:$BD$1000,MATCH($A10,Dati!$A$1:$A$1000,0))&amp;" · ","")&amp;IF(INDEX(Dati!$EG$1:$EG$1000,MATCH($A10,Dati!$A$1:$A$1000,0))&gt;0,Dati!$BE$3&amp;": "&amp;INDEX(Dati!$BE$1:$BE$1000,MATCH($A10,Dati!$A$1:$A$1000,0))&amp;" · ","")&amp;IF(INDEX(Dati!$EH$1:$EH$1000,MATCH($A10,Dati!$A$1:$A$1000,0))&gt;0,Dati!$BF$3&amp;": "&amp;INDEX(Dati!$BF$1:$BF$1000,MATCH($A10,Dati!$A$1:$A$1000,0))&amp;" · ",""),LEN(IF(INDEX(Dati!$EE$1:$EE$1000,MATCH($A10,Dati!$A$1:$A$1000,0))&gt;0,Dati!$BC$3&amp;": "&amp;INDEX(Dati!$BC$1:$BC$1000,MATCH($A10,Dati!$A$1:$A$1000,0))&amp;" · ","")&amp;IF(INDEX(Dati!$EF$1:$EF$1000,MATCH($A10,Dati!$A$1:$A$1000,0))&gt;0,Dati!$BD$3&amp;": "&amp;INDEX(Dati!$BD$1:$BD$1000,MATCH($A10,Dati!$A$1:$A$1000,0))&amp;" · ","")&amp;IF(INDEX(Dati!$EG$1:$EG$1000,MATCH($A10,Dati!$A$1:$A$1000,0))&gt;0,Dati!$BE$3&amp;": "&amp;INDEX(Dati!$BE$1:$BE$1000,MATCH($A10,Dati!$A$1:$A$1000,0))&amp;" · ","")&amp;IF(INDEX(Dati!$EH$1:$EH$1000,MATCH($A10,Dati!$A$1:$A$1000,0))&gt;0,Dati!$BF$3&amp;": "&amp;INDEX(Dati!$BF$1:$BF$1000,MATCH($A10,Dati!$A$1:$A$1000,0))&amp;" · ",""))-3)),""))</f>
        <v/>
      </c>
      <c r="Q10" s="55" t="str">
        <f aca="false">IF($B10="","",IFERROR(IF((IF(INDEX(Dati!$EI$1:$EI$1000,MATCH($A10,Dati!$A$1:$A$1000,0))&gt;0,Dati!$BG$3&amp;": "&amp;INDEX(Dati!$BG$1:$BG$1000,MATCH($A10,Dati!$A$1:$A$1000,0))&amp;" · ","")&amp;IF(INDEX(Dati!$EJ$1:$EJ$1000,MATCH($A10,Dati!$A$1:$A$1000,0))&gt;0,Dati!$BH$3&amp;": "&amp;INDEX(Dati!$BH$1:$BH$1000,MATCH($A10,Dati!$A$1:$A$1000,0))&amp;" · ","")&amp;IF(INDEX(Dati!$EK$1:$EK$1000,MATCH($A10,Dati!$A$1:$A$1000,0))&gt;0,Dati!$BI$3&amp;": "&amp;INDEX(Dati!$BI$1:$BI$1000,MATCH($A10,Dati!$A$1:$A$1000,0))&amp;" · ","")&amp;IF(INDEX(Dati!$EL$1:$EL$1000,MATCH($A10,Dati!$A$1:$A$1000,0))&gt;0,Dati!$BJ$3&amp;": "&amp;INDEX(Dati!$BJ$1:$BJ$1000,MATCH($A10,Dati!$A$1:$A$1000,0))&amp;" · ",""))="",IF(INDEX(Dati!$FU$1:$FU$1000,MATCH($A10,Dati!$A$1:$A$1000,0))=1,"AS da recuperare",""),LEFT(IF(INDEX(Dati!$EI$1:$EI$1000,MATCH($A10,Dati!$A$1:$A$1000,0))&gt;0,Dati!$BG$3&amp;": "&amp;INDEX(Dati!$BG$1:$BG$1000,MATCH($A10,Dati!$A$1:$A$1000,0))&amp;" · ","")&amp;IF(INDEX(Dati!$EJ$1:$EJ$1000,MATCH($A10,Dati!$A$1:$A$1000,0))&gt;0,Dati!$BH$3&amp;": "&amp;INDEX(Dati!$BH$1:$BH$1000,MATCH($A10,Dati!$A$1:$A$1000,0))&amp;" · ","")&amp;IF(INDEX(Dati!$EK$1:$EK$1000,MATCH($A10,Dati!$A$1:$A$1000,0))&gt;0,Dati!$BI$3&amp;": "&amp;INDEX(Dati!$BI$1:$BI$1000,MATCH($A10,Dati!$A$1:$A$1000,0))&amp;" · ","")&amp;IF(INDEX(Dati!$EL$1:$EL$1000,MATCH($A10,Dati!$A$1:$A$1000,0))&gt;0,Dati!$BJ$3&amp;": "&amp;INDEX(Dati!$BJ$1:$BJ$1000,MATCH($A10,Dati!$A$1:$A$1000,0))&amp;" · ",""),LEN(IF(INDEX(Dati!$EI$1:$EI$1000,MATCH($A10,Dati!$A$1:$A$1000,0))&gt;0,Dati!$BG$3&amp;": "&amp;INDEX(Dati!$BG$1:$BG$1000,MATCH($A10,Dati!$A$1:$A$1000,0))&amp;" · ","")&amp;IF(INDEX(Dati!$EJ$1:$EJ$1000,MATCH($A10,Dati!$A$1:$A$1000,0))&gt;0,Dati!$BH$3&amp;": "&amp;INDEX(Dati!$BH$1:$BH$1000,MATCH($A10,Dati!$A$1:$A$1000,0))&amp;" · ","")&amp;IF(INDEX(Dati!$EK$1:$EK$1000,MATCH($A10,Dati!$A$1:$A$1000,0))&gt;0,Dati!$BI$3&amp;": "&amp;INDEX(Dati!$BI$1:$BI$1000,MATCH($A10,Dati!$A$1:$A$1000,0))&amp;" · ","")&amp;IF(INDEX(Dati!$EL$1:$EL$1000,MATCH($A10,Dati!$A$1:$A$1000,0))&gt;0,Dati!$BJ$3&amp;": "&amp;INDEX(Dati!$BJ$1:$BJ$1000,MATCH($A10,Dati!$A$1:$A$1000,0))&amp;" · ",""))-3)),""))</f>
        <v/>
      </c>
      <c r="R10" s="55" t="str">
        <f aca="false">IF($B10="","",IFERROR(IF((IF(INDEX(Dati!$EM$1:$EM$1000,MATCH($A10,Dati!$A$1:$A$1000,0))&gt;0,Dati!$BK$3&amp;": "&amp;INDEX(Dati!$BK$1:$BK$1000,MATCH($A10,Dati!$A$1:$A$1000,0))&amp;" · ","")&amp;IF(INDEX(Dati!$EN$1:$EN$1000,MATCH($A10,Dati!$A$1:$A$1000,0))&gt;0,Dati!$BL$3&amp;": "&amp;INDEX(Dati!$BL$1:$BL$1000,MATCH($A10,Dati!$A$1:$A$1000,0))&amp;" · ","")&amp;IF(INDEX(Dati!$EO$1:$EO$1000,MATCH($A10,Dati!$A$1:$A$1000,0))&gt;0,Dati!$BM$3&amp;": "&amp;INDEX(Dati!$BM$1:$BM$1000,MATCH($A10,Dati!$A$1:$A$1000,0))&amp;" · ","")&amp;IF(INDEX(Dati!$EP$1:$EP$1000,MATCH($A10,Dati!$A$1:$A$1000,0))&gt;0,Dati!$BN$3&amp;": "&amp;INDEX(Dati!$BN$1:$BN$1000,MATCH($A10,Dati!$A$1:$A$1000,0))&amp;" · ",""))="",IF(INDEX(Dati!$FV$1:$FV$1000,MATCH($A10,Dati!$A$1:$A$1000,0))=1,"AS da recuperare",""),LEFT(IF(INDEX(Dati!$EM$1:$EM$1000,MATCH($A10,Dati!$A$1:$A$1000,0))&gt;0,Dati!$BK$3&amp;": "&amp;INDEX(Dati!$BK$1:$BK$1000,MATCH($A10,Dati!$A$1:$A$1000,0))&amp;" · ","")&amp;IF(INDEX(Dati!$EN$1:$EN$1000,MATCH($A10,Dati!$A$1:$A$1000,0))&gt;0,Dati!$BL$3&amp;": "&amp;INDEX(Dati!$BL$1:$BL$1000,MATCH($A10,Dati!$A$1:$A$1000,0))&amp;" · ","")&amp;IF(INDEX(Dati!$EO$1:$EO$1000,MATCH($A10,Dati!$A$1:$A$1000,0))&gt;0,Dati!$BM$3&amp;": "&amp;INDEX(Dati!$BM$1:$BM$1000,MATCH($A10,Dati!$A$1:$A$1000,0))&amp;" · ","")&amp;IF(INDEX(Dati!$EP$1:$EP$1000,MATCH($A10,Dati!$A$1:$A$1000,0))&gt;0,Dati!$BN$3&amp;": "&amp;INDEX(Dati!$BN$1:$BN$1000,MATCH($A10,Dati!$A$1:$A$1000,0))&amp;" · ",""),LEN(IF(INDEX(Dati!$EM$1:$EM$1000,MATCH($A10,Dati!$A$1:$A$1000,0))&gt;0,Dati!$BK$3&amp;": "&amp;INDEX(Dati!$BK$1:$BK$1000,MATCH($A10,Dati!$A$1:$A$1000,0))&amp;" · ","")&amp;IF(INDEX(Dati!$EN$1:$EN$1000,MATCH($A10,Dati!$A$1:$A$1000,0))&gt;0,Dati!$BL$3&amp;": "&amp;INDEX(Dati!$BL$1:$BL$1000,MATCH($A10,Dati!$A$1:$A$1000,0))&amp;" · ","")&amp;IF(INDEX(Dati!$EO$1:$EO$1000,MATCH($A10,Dati!$A$1:$A$1000,0))&gt;0,Dati!$BM$3&amp;": "&amp;INDEX(Dati!$BM$1:$BM$1000,MATCH($A10,Dati!$A$1:$A$1000,0))&amp;" · ","")&amp;IF(INDEX(Dati!$EP$1:$EP$1000,MATCH($A10,Dati!$A$1:$A$1000,0))&gt;0,Dati!$BN$3&amp;": "&amp;INDEX(Dati!$BN$1:$BN$1000,MATCH($A10,Dati!$A$1:$A$1000,0))&amp;" · ",""))-3)),""))</f>
        <v/>
      </c>
      <c r="S10" s="55" t="str">
        <f aca="false">IF($B10="","",IFERROR(IF((IF(INDEX(Dati!$EQ$1:$EQ$1000,MATCH($A10,Dati!$A$1:$A$1000,0))&gt;0,Dati!$BO$3&amp;": "&amp;INDEX(Dati!$BO$1:$BO$1000,MATCH($A10,Dati!$A$1:$A$1000,0))&amp;" · ","")&amp;IF(INDEX(Dati!$ER$1:$ER$1000,MATCH($A10,Dati!$A$1:$A$1000,0))&gt;0,Dati!$BP$3&amp;": "&amp;INDEX(Dati!$BP$1:$BP$1000,MATCH($A10,Dati!$A$1:$A$1000,0))&amp;" · ","")&amp;IF(INDEX(Dati!$ES$1:$ES$1000,MATCH($A10,Dati!$A$1:$A$1000,0))&gt;0,Dati!$BQ$3&amp;": "&amp;INDEX(Dati!$BQ$1:$BQ$1000,MATCH($A10,Dati!$A$1:$A$1000,0))&amp;" · ","")&amp;IF(INDEX(Dati!$ET$1:$ET$1000,MATCH($A10,Dati!$A$1:$A$1000,0))&gt;0,Dati!$BR$3&amp;": "&amp;INDEX(Dati!$BR$1:$BR$1000,MATCH($A10,Dati!$A$1:$A$1000,0))&amp;" · ",""))="",IF(INDEX(Dati!$FW$1:$FW$1000,MATCH($A10,Dati!$A$1:$A$1000,0))=1,"AS da recuperare",""),LEFT(IF(INDEX(Dati!$EQ$1:$EQ$1000,MATCH($A10,Dati!$A$1:$A$1000,0))&gt;0,Dati!$BO$3&amp;": "&amp;INDEX(Dati!$BO$1:$BO$1000,MATCH($A10,Dati!$A$1:$A$1000,0))&amp;" · ","")&amp;IF(INDEX(Dati!$ER$1:$ER$1000,MATCH($A10,Dati!$A$1:$A$1000,0))&gt;0,Dati!$BP$3&amp;": "&amp;INDEX(Dati!$BP$1:$BP$1000,MATCH($A10,Dati!$A$1:$A$1000,0))&amp;" · ","")&amp;IF(INDEX(Dati!$ES$1:$ES$1000,MATCH($A10,Dati!$A$1:$A$1000,0))&gt;0,Dati!$BQ$3&amp;": "&amp;INDEX(Dati!$BQ$1:$BQ$1000,MATCH($A10,Dati!$A$1:$A$1000,0))&amp;" · ","")&amp;IF(INDEX(Dati!$ET$1:$ET$1000,MATCH($A10,Dati!$A$1:$A$1000,0))&gt;0,Dati!$BR$3&amp;": "&amp;INDEX(Dati!$BR$1:$BR$1000,MATCH($A10,Dati!$A$1:$A$1000,0))&amp;" · ",""),LEN(IF(INDEX(Dati!$EQ$1:$EQ$1000,MATCH($A10,Dati!$A$1:$A$1000,0))&gt;0,Dati!$BO$3&amp;": "&amp;INDEX(Dati!$BO$1:$BO$1000,MATCH($A10,Dati!$A$1:$A$1000,0))&amp;" · ","")&amp;IF(INDEX(Dati!$ER$1:$ER$1000,MATCH($A10,Dati!$A$1:$A$1000,0))&gt;0,Dati!$BP$3&amp;": "&amp;INDEX(Dati!$BP$1:$BP$1000,MATCH($A10,Dati!$A$1:$A$1000,0))&amp;" · ","")&amp;IF(INDEX(Dati!$ES$1:$ES$1000,MATCH($A10,Dati!$A$1:$A$1000,0))&gt;0,Dati!$BQ$3&amp;": "&amp;INDEX(Dati!$BQ$1:$BQ$1000,MATCH($A10,Dati!$A$1:$A$1000,0))&amp;" · ","")&amp;IF(INDEX(Dati!$ET$1:$ET$1000,MATCH($A10,Dati!$A$1:$A$1000,0))&gt;0,Dati!$BR$3&amp;": "&amp;INDEX(Dati!$BR$1:$BR$1000,MATCH($A10,Dati!$A$1:$A$1000,0))&amp;" · ",""))-3)),""))</f>
        <v/>
      </c>
      <c r="T10" s="55" t="str">
        <f aca="false">IF($B10="","",IFERROR(IF((IF(INDEX(Dati!$EU$1:$EU$1000,MATCH($A10,Dati!$A$1:$A$1000,0))&gt;0,Dati!$BS$3&amp;": "&amp;INDEX(Dati!$BS$1:$BS$1000,MATCH($A10,Dati!$A$1:$A$1000,0))&amp;" · ","")&amp;IF(INDEX(Dati!$EV$1:$EV$1000,MATCH($A10,Dati!$A$1:$A$1000,0))&gt;0,Dati!$BT$3&amp;": "&amp;INDEX(Dati!$BT$1:$BT$1000,MATCH($A10,Dati!$A$1:$A$1000,0))&amp;" · ","")&amp;IF(INDEX(Dati!$EW$1:$EW$1000,MATCH($A10,Dati!$A$1:$A$1000,0))&gt;0,Dati!$BU$3&amp;": "&amp;INDEX(Dati!$BU$1:$BU$1000,MATCH($A10,Dati!$A$1:$A$1000,0))&amp;" · ","")&amp;IF(INDEX(Dati!$EX$1:$EX$1000,MATCH($A10,Dati!$A$1:$A$1000,0))&gt;0,Dati!$BV$3&amp;": "&amp;INDEX(Dati!$BV$1:$BV$1000,MATCH($A10,Dati!$A$1:$A$1000,0))&amp;" · ",""))="",IF(INDEX(Dati!$FX$1:$FX$1000,MATCH($A10,Dati!$A$1:$A$1000,0))=1,"AS da recuperare",""),LEFT(IF(INDEX(Dati!$EU$1:$EU$1000,MATCH($A10,Dati!$A$1:$A$1000,0))&gt;0,Dati!$BS$3&amp;": "&amp;INDEX(Dati!$BS$1:$BS$1000,MATCH($A10,Dati!$A$1:$A$1000,0))&amp;" · ","")&amp;IF(INDEX(Dati!$EV$1:$EV$1000,MATCH($A10,Dati!$A$1:$A$1000,0))&gt;0,Dati!$BT$3&amp;": "&amp;INDEX(Dati!$BT$1:$BT$1000,MATCH($A10,Dati!$A$1:$A$1000,0))&amp;" · ","")&amp;IF(INDEX(Dati!$EW$1:$EW$1000,MATCH($A10,Dati!$A$1:$A$1000,0))&gt;0,Dati!$BU$3&amp;": "&amp;INDEX(Dati!$BU$1:$BU$1000,MATCH($A10,Dati!$A$1:$A$1000,0))&amp;" · ","")&amp;IF(INDEX(Dati!$EX$1:$EX$1000,MATCH($A10,Dati!$A$1:$A$1000,0))&gt;0,Dati!$BV$3&amp;": "&amp;INDEX(Dati!$BV$1:$BV$1000,MATCH($A10,Dati!$A$1:$A$1000,0))&amp;" · ",""),LEN(IF(INDEX(Dati!$EU$1:$EU$1000,MATCH($A10,Dati!$A$1:$A$1000,0))&gt;0,Dati!$BS$3&amp;": "&amp;INDEX(Dati!$BS$1:$BS$1000,MATCH($A10,Dati!$A$1:$A$1000,0))&amp;" · ","")&amp;IF(INDEX(Dati!$EV$1:$EV$1000,MATCH($A10,Dati!$A$1:$A$1000,0))&gt;0,Dati!$BT$3&amp;": "&amp;INDEX(Dati!$BT$1:$BT$1000,MATCH($A10,Dati!$A$1:$A$1000,0))&amp;" · ","")&amp;IF(INDEX(Dati!$EW$1:$EW$1000,MATCH($A10,Dati!$A$1:$A$1000,0))&gt;0,Dati!$BU$3&amp;": "&amp;INDEX(Dati!$BU$1:$BU$1000,MATCH($A10,Dati!$A$1:$A$1000,0))&amp;" · ","")&amp;IF(INDEX(Dati!$EX$1:$EX$1000,MATCH($A10,Dati!$A$1:$A$1000,0))&gt;0,Dati!$BV$3&amp;": "&amp;INDEX(Dati!$BV$1:$BV$1000,MATCH($A10,Dati!$A$1:$A$1000,0))&amp;" · ",""))-3)),""))</f>
        <v/>
      </c>
      <c r="U10" s="55" t="str">
        <f aca="false">IF($B10="","",IFERROR(IF((IF(INDEX(Dati!$EY$1:$EY$1000,MATCH($A10,Dati!$A$1:$A$1000,0))&gt;0,Dati!$BW$3&amp;": "&amp;INDEX(Dati!$BW$1:$BW$1000,MATCH($A10,Dati!$A$1:$A$1000,0))&amp;" · ","")&amp;IF(INDEX(Dati!$EZ$1:$EZ$1000,MATCH($A10,Dati!$A$1:$A$1000,0))&gt;0,Dati!$BX$3&amp;": "&amp;INDEX(Dati!$BX$1:$BX$1000,MATCH($A10,Dati!$A$1:$A$1000,0))&amp;" · ","")&amp;IF(INDEX(Dati!$FA$1:$FA$1000,MATCH($A10,Dati!$A$1:$A$1000,0))&gt;0,Dati!$BY$3&amp;": "&amp;INDEX(Dati!$BY$1:$BY$1000,MATCH($A10,Dati!$A$1:$A$1000,0))&amp;" · ","")&amp;IF(INDEX(Dati!$FB$1:$FB$1000,MATCH($A10,Dati!$A$1:$A$1000,0))&gt;0,Dati!$BZ$3&amp;": "&amp;INDEX(Dati!$BZ$1:$BZ$1000,MATCH($A10,Dati!$A$1:$A$1000,0))&amp;" · ",""))="",IF(INDEX(Dati!$FY$1:$FY$1000,MATCH($A10,Dati!$A$1:$A$1000,0))=1,"AS da recuperare",""),LEFT(IF(INDEX(Dati!$EY$1:$EY$1000,MATCH($A10,Dati!$A$1:$A$1000,0))&gt;0,Dati!$BW$3&amp;": "&amp;INDEX(Dati!$BW$1:$BW$1000,MATCH($A10,Dati!$A$1:$A$1000,0))&amp;" · ","")&amp;IF(INDEX(Dati!$EZ$1:$EZ$1000,MATCH($A10,Dati!$A$1:$A$1000,0))&gt;0,Dati!$BX$3&amp;": "&amp;INDEX(Dati!$BX$1:$BX$1000,MATCH($A10,Dati!$A$1:$A$1000,0))&amp;" · ","")&amp;IF(INDEX(Dati!$FA$1:$FA$1000,MATCH($A10,Dati!$A$1:$A$1000,0))&gt;0,Dati!$BY$3&amp;": "&amp;INDEX(Dati!$BY$1:$BY$1000,MATCH($A10,Dati!$A$1:$A$1000,0))&amp;" · ","")&amp;IF(INDEX(Dati!$FB$1:$FB$1000,MATCH($A10,Dati!$A$1:$A$1000,0))&gt;0,Dati!$BZ$3&amp;": "&amp;INDEX(Dati!$BZ$1:$BZ$1000,MATCH($A10,Dati!$A$1:$A$1000,0))&amp;" · ",""),LEN(IF(INDEX(Dati!$EY$1:$EY$1000,MATCH($A10,Dati!$A$1:$A$1000,0))&gt;0,Dati!$BW$3&amp;": "&amp;INDEX(Dati!$BW$1:$BW$1000,MATCH($A10,Dati!$A$1:$A$1000,0))&amp;" · ","")&amp;IF(INDEX(Dati!$EZ$1:$EZ$1000,MATCH($A10,Dati!$A$1:$A$1000,0))&gt;0,Dati!$BX$3&amp;": "&amp;INDEX(Dati!$BX$1:$BX$1000,MATCH($A10,Dati!$A$1:$A$1000,0))&amp;" · ","")&amp;IF(INDEX(Dati!$FA$1:$FA$1000,MATCH($A10,Dati!$A$1:$A$1000,0))&gt;0,Dati!$BY$3&amp;": "&amp;INDEX(Dati!$BY$1:$BY$1000,MATCH($A10,Dati!$A$1:$A$1000,0))&amp;" · ","")&amp;IF(INDEX(Dati!$FB$1:$FB$1000,MATCH($A10,Dati!$A$1:$A$1000,0))&gt;0,Dati!$BZ$3&amp;": "&amp;INDEX(Dati!$BZ$1:$BZ$1000,MATCH($A10,Dati!$A$1:$A$1000,0))&amp;" · ",""))-3)),""))</f>
        <v/>
      </c>
      <c r="V10" s="55" t="str">
        <f aca="false">IF($B10="","",IFERROR(IF((IF(INDEX(Dati!$FC$1:$FC$1000,MATCH($A10,Dati!$A$1:$A$1000,0))&gt;0,Dati!$CA$3&amp;": "&amp;INDEX(Dati!$CA$1:$CA$1000,MATCH($A10,Dati!$A$1:$A$1000,0))&amp;" · ","")&amp;IF(INDEX(Dati!$FD$1:$FD$1000,MATCH($A10,Dati!$A$1:$A$1000,0))&gt;0,Dati!$CB$3&amp;": "&amp;INDEX(Dati!$CB$1:$CB$1000,MATCH($A10,Dati!$A$1:$A$1000,0))&amp;" · ","")&amp;IF(INDEX(Dati!$FE$1:$FE$1000,MATCH($A10,Dati!$A$1:$A$1000,0))&gt;0,Dati!$CC$3&amp;": "&amp;INDEX(Dati!$CC$1:$CC$1000,MATCH($A10,Dati!$A$1:$A$1000,0))&amp;" · ","")&amp;IF(INDEX(Dati!$FF$1:$FF$1000,MATCH($A10,Dati!$A$1:$A$1000,0))&gt;0,Dati!$CD$3&amp;": "&amp;INDEX(Dati!$CD$1:$CD$1000,MATCH($A10,Dati!$A$1:$A$1000,0))&amp;" · ",""))="",IF(INDEX(Dati!$FZ$1:$FZ$1000,MATCH($A10,Dati!$A$1:$A$1000,0))=1,"AS da recuperare",""),LEFT(IF(INDEX(Dati!$FC$1:$FC$1000,MATCH($A10,Dati!$A$1:$A$1000,0))&gt;0,Dati!$CA$3&amp;": "&amp;INDEX(Dati!$CA$1:$CA$1000,MATCH($A10,Dati!$A$1:$A$1000,0))&amp;" · ","")&amp;IF(INDEX(Dati!$FD$1:$FD$1000,MATCH($A10,Dati!$A$1:$A$1000,0))&gt;0,Dati!$CB$3&amp;": "&amp;INDEX(Dati!$CB$1:$CB$1000,MATCH($A10,Dati!$A$1:$A$1000,0))&amp;" · ","")&amp;IF(INDEX(Dati!$FE$1:$FE$1000,MATCH($A10,Dati!$A$1:$A$1000,0))&gt;0,Dati!$CC$3&amp;": "&amp;INDEX(Dati!$CC$1:$CC$1000,MATCH($A10,Dati!$A$1:$A$1000,0))&amp;" · ","")&amp;IF(INDEX(Dati!$FF$1:$FF$1000,MATCH($A10,Dati!$A$1:$A$1000,0))&gt;0,Dati!$CD$3&amp;": "&amp;INDEX(Dati!$CD$1:$CD$1000,MATCH($A10,Dati!$A$1:$A$1000,0))&amp;" · ",""),LEN(IF(INDEX(Dati!$FC$1:$FC$1000,MATCH($A10,Dati!$A$1:$A$1000,0))&gt;0,Dati!$CA$3&amp;": "&amp;INDEX(Dati!$CA$1:$CA$1000,MATCH($A10,Dati!$A$1:$A$1000,0))&amp;" · ","")&amp;IF(INDEX(Dati!$FD$1:$FD$1000,MATCH($A10,Dati!$A$1:$A$1000,0))&gt;0,Dati!$CB$3&amp;": "&amp;INDEX(Dati!$CB$1:$CB$1000,MATCH($A10,Dati!$A$1:$A$1000,0))&amp;" · ","")&amp;IF(INDEX(Dati!$FE$1:$FE$1000,MATCH($A10,Dati!$A$1:$A$1000,0))&gt;0,Dati!$CC$3&amp;": "&amp;INDEX(Dati!$CC$1:$CC$1000,MATCH($A10,Dati!$A$1:$A$1000,0))&amp;" · ","")&amp;IF(INDEX(Dati!$FF$1:$FF$1000,MATCH($A10,Dati!$A$1:$A$1000,0))&gt;0,Dati!$CD$3&amp;": "&amp;INDEX(Dati!$CD$1:$CD$1000,MATCH($A10,Dati!$A$1:$A$1000,0))&amp;" · ",""))-3)),""))</f>
        <v/>
      </c>
    </row>
    <row r="11" customFormat="false" ht="19.5" hidden="false" customHeight="true" outlineLevel="0" collapsed="false">
      <c r="A11" s="10" t="n">
        <v>7</v>
      </c>
      <c r="B11" s="16" t="str">
        <f aca="false">IFERROR(INDEX(Alunni!$C$1:$C$1000,MATCH($A11,Alunni!$A$1:$A$1000,0))&amp;"","")</f>
        <v/>
      </c>
      <c r="C11" s="55" t="str">
        <f aca="false">IF($B11="","",IFERROR(IF((IF(INDEX(Dati!$CE$1:$CE$1000,MATCH($A11,Dati!$A$1:$A$1000,0))&gt;0,Dati!$C$3&amp;": "&amp;INDEX(Dati!$C$1:$C$1000,MATCH($A11,Dati!$A$1:$A$1000,0))&amp;" · ","")&amp;IF(INDEX(Dati!$CF$1:$CF$1000,MATCH($A11,Dati!$A$1:$A$1000,0))&gt;0,Dati!$D$3&amp;": "&amp;INDEX(Dati!$D$1:$D$1000,MATCH($A11,Dati!$A$1:$A$1000,0))&amp;" · ","")&amp;IF(INDEX(Dati!$CG$1:$CG$1000,MATCH($A11,Dati!$A$1:$A$1000,0))&gt;0,Dati!$E$3&amp;": "&amp;INDEX(Dati!$E$1:$E$1000,MATCH($A11,Dati!$A$1:$A$1000,0))&amp;" · ","")&amp;IF(INDEX(Dati!$CH$1:$CH$1000,MATCH($A11,Dati!$A$1:$A$1000,0))&gt;0,Dati!$F$3&amp;": "&amp;INDEX(Dati!$F$1:$F$1000,MATCH($A11,Dati!$A$1:$A$1000,0))&amp;" · ",""))="",IF(INDEX(Dati!$FG$1:$FG$1000,MATCH($A11,Dati!$A$1:$A$1000,0))=1,"AS da recuperare",""),LEFT(IF(INDEX(Dati!$CE$1:$CE$1000,MATCH($A11,Dati!$A$1:$A$1000,0))&gt;0,Dati!$C$3&amp;": "&amp;INDEX(Dati!$C$1:$C$1000,MATCH($A11,Dati!$A$1:$A$1000,0))&amp;" · ","")&amp;IF(INDEX(Dati!$CF$1:$CF$1000,MATCH($A11,Dati!$A$1:$A$1000,0))&gt;0,Dati!$D$3&amp;": "&amp;INDEX(Dati!$D$1:$D$1000,MATCH($A11,Dati!$A$1:$A$1000,0))&amp;" · ","")&amp;IF(INDEX(Dati!$CG$1:$CG$1000,MATCH($A11,Dati!$A$1:$A$1000,0))&gt;0,Dati!$E$3&amp;": "&amp;INDEX(Dati!$E$1:$E$1000,MATCH($A11,Dati!$A$1:$A$1000,0))&amp;" · ","")&amp;IF(INDEX(Dati!$CH$1:$CH$1000,MATCH($A11,Dati!$A$1:$A$1000,0))&gt;0,Dati!$F$3&amp;": "&amp;INDEX(Dati!$F$1:$F$1000,MATCH($A11,Dati!$A$1:$A$1000,0))&amp;" · ",""),LEN(IF(INDEX(Dati!$CE$1:$CE$1000,MATCH($A11,Dati!$A$1:$A$1000,0))&gt;0,Dati!$C$3&amp;": "&amp;INDEX(Dati!$C$1:$C$1000,MATCH($A11,Dati!$A$1:$A$1000,0))&amp;" · ","")&amp;IF(INDEX(Dati!$CF$1:$CF$1000,MATCH($A11,Dati!$A$1:$A$1000,0))&gt;0,Dati!$D$3&amp;": "&amp;INDEX(Dati!$D$1:$D$1000,MATCH($A11,Dati!$A$1:$A$1000,0))&amp;" · ","")&amp;IF(INDEX(Dati!$CG$1:$CG$1000,MATCH($A11,Dati!$A$1:$A$1000,0))&gt;0,Dati!$E$3&amp;": "&amp;INDEX(Dati!$E$1:$E$1000,MATCH($A11,Dati!$A$1:$A$1000,0))&amp;" · ","")&amp;IF(INDEX(Dati!$CH$1:$CH$1000,MATCH($A11,Dati!$A$1:$A$1000,0))&gt;0,Dati!$F$3&amp;": "&amp;INDEX(Dati!$F$1:$F$1000,MATCH($A11,Dati!$A$1:$A$1000,0))&amp;" · ",""))-3)),""))</f>
        <v/>
      </c>
      <c r="D11" s="55" t="str">
        <f aca="false">IF($B11="","",IFERROR(IF((IF(INDEX(Dati!$CI$1:$CI$1000,MATCH($A11,Dati!$A$1:$A$1000,0))&gt;0,Dati!$G$3&amp;": "&amp;INDEX(Dati!$G$1:$G$1000,MATCH($A11,Dati!$A$1:$A$1000,0))&amp;" · ","")&amp;IF(INDEX(Dati!$CJ$1:$CJ$1000,MATCH($A11,Dati!$A$1:$A$1000,0))&gt;0,Dati!$H$3&amp;": "&amp;INDEX(Dati!$H$1:$H$1000,MATCH($A11,Dati!$A$1:$A$1000,0))&amp;" · ","")&amp;IF(INDEX(Dati!$CK$1:$CK$1000,MATCH($A11,Dati!$A$1:$A$1000,0))&gt;0,Dati!$I$3&amp;": "&amp;INDEX(Dati!$I$1:$I$1000,MATCH($A11,Dati!$A$1:$A$1000,0))&amp;" · ","")&amp;IF(INDEX(Dati!$CL$1:$CL$1000,MATCH($A11,Dati!$A$1:$A$1000,0))&gt;0,Dati!$J$3&amp;": "&amp;INDEX(Dati!$J$1:$J$1000,MATCH($A11,Dati!$A$1:$A$1000,0))&amp;" · ",""))="",IF(INDEX(Dati!$FH$1:$FH$1000,MATCH($A11,Dati!$A$1:$A$1000,0))=1,"AS da recuperare",""),LEFT(IF(INDEX(Dati!$CI$1:$CI$1000,MATCH($A11,Dati!$A$1:$A$1000,0))&gt;0,Dati!$G$3&amp;": "&amp;INDEX(Dati!$G$1:$G$1000,MATCH($A11,Dati!$A$1:$A$1000,0))&amp;" · ","")&amp;IF(INDEX(Dati!$CJ$1:$CJ$1000,MATCH($A11,Dati!$A$1:$A$1000,0))&gt;0,Dati!$H$3&amp;": "&amp;INDEX(Dati!$H$1:$H$1000,MATCH($A11,Dati!$A$1:$A$1000,0))&amp;" · ","")&amp;IF(INDEX(Dati!$CK$1:$CK$1000,MATCH($A11,Dati!$A$1:$A$1000,0))&gt;0,Dati!$I$3&amp;": "&amp;INDEX(Dati!$I$1:$I$1000,MATCH($A11,Dati!$A$1:$A$1000,0))&amp;" · ","")&amp;IF(INDEX(Dati!$CL$1:$CL$1000,MATCH($A11,Dati!$A$1:$A$1000,0))&gt;0,Dati!$J$3&amp;": "&amp;INDEX(Dati!$J$1:$J$1000,MATCH($A11,Dati!$A$1:$A$1000,0))&amp;" · ",""),LEN(IF(INDEX(Dati!$CI$1:$CI$1000,MATCH($A11,Dati!$A$1:$A$1000,0))&gt;0,Dati!$G$3&amp;": "&amp;INDEX(Dati!$G$1:$G$1000,MATCH($A11,Dati!$A$1:$A$1000,0))&amp;" · ","")&amp;IF(INDEX(Dati!$CJ$1:$CJ$1000,MATCH($A11,Dati!$A$1:$A$1000,0))&gt;0,Dati!$H$3&amp;": "&amp;INDEX(Dati!$H$1:$H$1000,MATCH($A11,Dati!$A$1:$A$1000,0))&amp;" · ","")&amp;IF(INDEX(Dati!$CK$1:$CK$1000,MATCH($A11,Dati!$A$1:$A$1000,0))&gt;0,Dati!$I$3&amp;": "&amp;INDEX(Dati!$I$1:$I$1000,MATCH($A11,Dati!$A$1:$A$1000,0))&amp;" · ","")&amp;IF(INDEX(Dati!$CL$1:$CL$1000,MATCH($A11,Dati!$A$1:$A$1000,0))&gt;0,Dati!$J$3&amp;": "&amp;INDEX(Dati!$J$1:$J$1000,MATCH($A11,Dati!$A$1:$A$1000,0))&amp;" · ",""))-3)),""))</f>
        <v/>
      </c>
      <c r="E11" s="55" t="str">
        <f aca="false">IF($B11="","",IFERROR(IF((IF(INDEX(Dati!$CM$1:$CM$1000,MATCH($A11,Dati!$A$1:$A$1000,0))&gt;0,Dati!$K$3&amp;": "&amp;INDEX(Dati!$K$1:$K$1000,MATCH($A11,Dati!$A$1:$A$1000,0))&amp;" · ","")&amp;IF(INDEX(Dati!$CN$1:$CN$1000,MATCH($A11,Dati!$A$1:$A$1000,0))&gt;0,Dati!$L$3&amp;": "&amp;INDEX(Dati!$L$1:$L$1000,MATCH($A11,Dati!$A$1:$A$1000,0))&amp;" · ","")&amp;IF(INDEX(Dati!$CO$1:$CO$1000,MATCH($A11,Dati!$A$1:$A$1000,0))&gt;0,Dati!$M$3&amp;": "&amp;INDEX(Dati!$M$1:$M$1000,MATCH($A11,Dati!$A$1:$A$1000,0))&amp;" · ","")&amp;IF(INDEX(Dati!$CP$1:$CP$1000,MATCH($A11,Dati!$A$1:$A$1000,0))&gt;0,Dati!$N$3&amp;": "&amp;INDEX(Dati!$N$1:$N$1000,MATCH($A11,Dati!$A$1:$A$1000,0))&amp;" · ",""))="",IF(INDEX(Dati!$FI$1:$FI$1000,MATCH($A11,Dati!$A$1:$A$1000,0))=1,"AS da recuperare",""),LEFT(IF(INDEX(Dati!$CM$1:$CM$1000,MATCH($A11,Dati!$A$1:$A$1000,0))&gt;0,Dati!$K$3&amp;": "&amp;INDEX(Dati!$K$1:$K$1000,MATCH($A11,Dati!$A$1:$A$1000,0))&amp;" · ","")&amp;IF(INDEX(Dati!$CN$1:$CN$1000,MATCH($A11,Dati!$A$1:$A$1000,0))&gt;0,Dati!$L$3&amp;": "&amp;INDEX(Dati!$L$1:$L$1000,MATCH($A11,Dati!$A$1:$A$1000,0))&amp;" · ","")&amp;IF(INDEX(Dati!$CO$1:$CO$1000,MATCH($A11,Dati!$A$1:$A$1000,0))&gt;0,Dati!$M$3&amp;": "&amp;INDEX(Dati!$M$1:$M$1000,MATCH($A11,Dati!$A$1:$A$1000,0))&amp;" · ","")&amp;IF(INDEX(Dati!$CP$1:$CP$1000,MATCH($A11,Dati!$A$1:$A$1000,0))&gt;0,Dati!$N$3&amp;": "&amp;INDEX(Dati!$N$1:$N$1000,MATCH($A11,Dati!$A$1:$A$1000,0))&amp;" · ",""),LEN(IF(INDEX(Dati!$CM$1:$CM$1000,MATCH($A11,Dati!$A$1:$A$1000,0))&gt;0,Dati!$K$3&amp;": "&amp;INDEX(Dati!$K$1:$K$1000,MATCH($A11,Dati!$A$1:$A$1000,0))&amp;" · ","")&amp;IF(INDEX(Dati!$CN$1:$CN$1000,MATCH($A11,Dati!$A$1:$A$1000,0))&gt;0,Dati!$L$3&amp;": "&amp;INDEX(Dati!$L$1:$L$1000,MATCH($A11,Dati!$A$1:$A$1000,0))&amp;" · ","")&amp;IF(INDEX(Dati!$CO$1:$CO$1000,MATCH($A11,Dati!$A$1:$A$1000,0))&gt;0,Dati!$M$3&amp;": "&amp;INDEX(Dati!$M$1:$M$1000,MATCH($A11,Dati!$A$1:$A$1000,0))&amp;" · ","")&amp;IF(INDEX(Dati!$CP$1:$CP$1000,MATCH($A11,Dati!$A$1:$A$1000,0))&gt;0,Dati!$N$3&amp;": "&amp;INDEX(Dati!$N$1:$N$1000,MATCH($A11,Dati!$A$1:$A$1000,0))&amp;" · ",""))-3)),""))</f>
        <v/>
      </c>
      <c r="F11" s="55" t="str">
        <f aca="false">IF($B11="","",IFERROR(IF((IF(INDEX(Dati!$CQ$1:$CQ$1000,MATCH($A11,Dati!$A$1:$A$1000,0))&gt;0,Dati!$O$3&amp;": "&amp;INDEX(Dati!$O$1:$O$1000,MATCH($A11,Dati!$A$1:$A$1000,0))&amp;" · ","")&amp;IF(INDEX(Dati!$CR$1:$CR$1000,MATCH($A11,Dati!$A$1:$A$1000,0))&gt;0,Dati!$P$3&amp;": "&amp;INDEX(Dati!$P$1:$P$1000,MATCH($A11,Dati!$A$1:$A$1000,0))&amp;" · ","")&amp;IF(INDEX(Dati!$CS$1:$CS$1000,MATCH($A11,Dati!$A$1:$A$1000,0))&gt;0,Dati!$Q$3&amp;": "&amp;INDEX(Dati!$Q$1:$Q$1000,MATCH($A11,Dati!$A$1:$A$1000,0))&amp;" · ","")&amp;IF(INDEX(Dati!$CT$1:$CT$1000,MATCH($A11,Dati!$A$1:$A$1000,0))&gt;0,Dati!$R$3&amp;": "&amp;INDEX(Dati!$R$1:$R$1000,MATCH($A11,Dati!$A$1:$A$1000,0))&amp;" · ",""))="",IF(INDEX(Dati!$FJ$1:$FJ$1000,MATCH($A11,Dati!$A$1:$A$1000,0))=1,"AS da recuperare",""),LEFT(IF(INDEX(Dati!$CQ$1:$CQ$1000,MATCH($A11,Dati!$A$1:$A$1000,0))&gt;0,Dati!$O$3&amp;": "&amp;INDEX(Dati!$O$1:$O$1000,MATCH($A11,Dati!$A$1:$A$1000,0))&amp;" · ","")&amp;IF(INDEX(Dati!$CR$1:$CR$1000,MATCH($A11,Dati!$A$1:$A$1000,0))&gt;0,Dati!$P$3&amp;": "&amp;INDEX(Dati!$P$1:$P$1000,MATCH($A11,Dati!$A$1:$A$1000,0))&amp;" · ","")&amp;IF(INDEX(Dati!$CS$1:$CS$1000,MATCH($A11,Dati!$A$1:$A$1000,0))&gt;0,Dati!$Q$3&amp;": "&amp;INDEX(Dati!$Q$1:$Q$1000,MATCH($A11,Dati!$A$1:$A$1000,0))&amp;" · ","")&amp;IF(INDEX(Dati!$CT$1:$CT$1000,MATCH($A11,Dati!$A$1:$A$1000,0))&gt;0,Dati!$R$3&amp;": "&amp;INDEX(Dati!$R$1:$R$1000,MATCH($A11,Dati!$A$1:$A$1000,0))&amp;" · ",""),LEN(IF(INDEX(Dati!$CQ$1:$CQ$1000,MATCH($A11,Dati!$A$1:$A$1000,0))&gt;0,Dati!$O$3&amp;": "&amp;INDEX(Dati!$O$1:$O$1000,MATCH($A11,Dati!$A$1:$A$1000,0))&amp;" · ","")&amp;IF(INDEX(Dati!$CR$1:$CR$1000,MATCH($A11,Dati!$A$1:$A$1000,0))&gt;0,Dati!$P$3&amp;": "&amp;INDEX(Dati!$P$1:$P$1000,MATCH($A11,Dati!$A$1:$A$1000,0))&amp;" · ","")&amp;IF(INDEX(Dati!$CS$1:$CS$1000,MATCH($A11,Dati!$A$1:$A$1000,0))&gt;0,Dati!$Q$3&amp;": "&amp;INDEX(Dati!$Q$1:$Q$1000,MATCH($A11,Dati!$A$1:$A$1000,0))&amp;" · ","")&amp;IF(INDEX(Dati!$CT$1:$CT$1000,MATCH($A11,Dati!$A$1:$A$1000,0))&gt;0,Dati!$R$3&amp;": "&amp;INDEX(Dati!$R$1:$R$1000,MATCH($A11,Dati!$A$1:$A$1000,0))&amp;" · ",""))-3)),""))</f>
        <v/>
      </c>
      <c r="G11" s="55" t="str">
        <f aca="false">IF($B11="","",IFERROR(IF((IF(INDEX(Dati!$CU$1:$CU$1000,MATCH($A11,Dati!$A$1:$A$1000,0))&gt;0,Dati!$S$3&amp;": "&amp;INDEX(Dati!$S$1:$S$1000,MATCH($A11,Dati!$A$1:$A$1000,0))&amp;" · ","")&amp;IF(INDEX(Dati!$CV$1:$CV$1000,MATCH($A11,Dati!$A$1:$A$1000,0))&gt;0,Dati!$T$3&amp;": "&amp;INDEX(Dati!$T$1:$T$1000,MATCH($A11,Dati!$A$1:$A$1000,0))&amp;" · ","")&amp;IF(INDEX(Dati!$CW$1:$CW$1000,MATCH($A11,Dati!$A$1:$A$1000,0))&gt;0,Dati!$U$3&amp;": "&amp;INDEX(Dati!$U$1:$U$1000,MATCH($A11,Dati!$A$1:$A$1000,0))&amp;" · ","")&amp;IF(INDEX(Dati!$CX$1:$CX$1000,MATCH($A11,Dati!$A$1:$A$1000,0))&gt;0,Dati!$V$3&amp;": "&amp;INDEX(Dati!$V$1:$V$1000,MATCH($A11,Dati!$A$1:$A$1000,0))&amp;" · ",""))="",IF(INDEX(Dati!$FK$1:$FK$1000,MATCH($A11,Dati!$A$1:$A$1000,0))=1,"AS da recuperare",""),LEFT(IF(INDEX(Dati!$CU$1:$CU$1000,MATCH($A11,Dati!$A$1:$A$1000,0))&gt;0,Dati!$S$3&amp;": "&amp;INDEX(Dati!$S$1:$S$1000,MATCH($A11,Dati!$A$1:$A$1000,0))&amp;" · ","")&amp;IF(INDEX(Dati!$CV$1:$CV$1000,MATCH($A11,Dati!$A$1:$A$1000,0))&gt;0,Dati!$T$3&amp;": "&amp;INDEX(Dati!$T$1:$T$1000,MATCH($A11,Dati!$A$1:$A$1000,0))&amp;" · ","")&amp;IF(INDEX(Dati!$CW$1:$CW$1000,MATCH($A11,Dati!$A$1:$A$1000,0))&gt;0,Dati!$U$3&amp;": "&amp;INDEX(Dati!$U$1:$U$1000,MATCH($A11,Dati!$A$1:$A$1000,0))&amp;" · ","")&amp;IF(INDEX(Dati!$CX$1:$CX$1000,MATCH($A11,Dati!$A$1:$A$1000,0))&gt;0,Dati!$V$3&amp;": "&amp;INDEX(Dati!$V$1:$V$1000,MATCH($A11,Dati!$A$1:$A$1000,0))&amp;" · ",""),LEN(IF(INDEX(Dati!$CU$1:$CU$1000,MATCH($A11,Dati!$A$1:$A$1000,0))&gt;0,Dati!$S$3&amp;": "&amp;INDEX(Dati!$S$1:$S$1000,MATCH($A11,Dati!$A$1:$A$1000,0))&amp;" · ","")&amp;IF(INDEX(Dati!$CV$1:$CV$1000,MATCH($A11,Dati!$A$1:$A$1000,0))&gt;0,Dati!$T$3&amp;": "&amp;INDEX(Dati!$T$1:$T$1000,MATCH($A11,Dati!$A$1:$A$1000,0))&amp;" · ","")&amp;IF(INDEX(Dati!$CW$1:$CW$1000,MATCH($A11,Dati!$A$1:$A$1000,0))&gt;0,Dati!$U$3&amp;": "&amp;INDEX(Dati!$U$1:$U$1000,MATCH($A11,Dati!$A$1:$A$1000,0))&amp;" · ","")&amp;IF(INDEX(Dati!$CX$1:$CX$1000,MATCH($A11,Dati!$A$1:$A$1000,0))&gt;0,Dati!$V$3&amp;": "&amp;INDEX(Dati!$V$1:$V$1000,MATCH($A11,Dati!$A$1:$A$1000,0))&amp;" · ",""))-3)),""))</f>
        <v/>
      </c>
      <c r="H11" s="55" t="str">
        <f aca="false">IF($B11="","",IFERROR(IF((IF(INDEX(Dati!$CY$1:$CY$1000,MATCH($A11,Dati!$A$1:$A$1000,0))&gt;0,Dati!$W$3&amp;": "&amp;INDEX(Dati!$W$1:$W$1000,MATCH($A11,Dati!$A$1:$A$1000,0))&amp;" · ","")&amp;IF(INDEX(Dati!$CZ$1:$CZ$1000,MATCH($A11,Dati!$A$1:$A$1000,0))&gt;0,Dati!$X$3&amp;": "&amp;INDEX(Dati!$X$1:$X$1000,MATCH($A11,Dati!$A$1:$A$1000,0))&amp;" · ","")&amp;IF(INDEX(Dati!$DA$1:$DA$1000,MATCH($A11,Dati!$A$1:$A$1000,0))&gt;0,Dati!$Y$3&amp;": "&amp;INDEX(Dati!$Y$1:$Y$1000,MATCH($A11,Dati!$A$1:$A$1000,0))&amp;" · ","")&amp;IF(INDEX(Dati!$DB$1:$DB$1000,MATCH($A11,Dati!$A$1:$A$1000,0))&gt;0,Dati!$Z$3&amp;": "&amp;INDEX(Dati!$Z$1:$Z$1000,MATCH($A11,Dati!$A$1:$A$1000,0))&amp;" · ",""))="",IF(INDEX(Dati!$FL$1:$FL$1000,MATCH($A11,Dati!$A$1:$A$1000,0))=1,"AS da recuperare",""),LEFT(IF(INDEX(Dati!$CY$1:$CY$1000,MATCH($A11,Dati!$A$1:$A$1000,0))&gt;0,Dati!$W$3&amp;": "&amp;INDEX(Dati!$W$1:$W$1000,MATCH($A11,Dati!$A$1:$A$1000,0))&amp;" · ","")&amp;IF(INDEX(Dati!$CZ$1:$CZ$1000,MATCH($A11,Dati!$A$1:$A$1000,0))&gt;0,Dati!$X$3&amp;": "&amp;INDEX(Dati!$X$1:$X$1000,MATCH($A11,Dati!$A$1:$A$1000,0))&amp;" · ","")&amp;IF(INDEX(Dati!$DA$1:$DA$1000,MATCH($A11,Dati!$A$1:$A$1000,0))&gt;0,Dati!$Y$3&amp;": "&amp;INDEX(Dati!$Y$1:$Y$1000,MATCH($A11,Dati!$A$1:$A$1000,0))&amp;" · ","")&amp;IF(INDEX(Dati!$DB$1:$DB$1000,MATCH($A11,Dati!$A$1:$A$1000,0))&gt;0,Dati!$Z$3&amp;": "&amp;INDEX(Dati!$Z$1:$Z$1000,MATCH($A11,Dati!$A$1:$A$1000,0))&amp;" · ",""),LEN(IF(INDEX(Dati!$CY$1:$CY$1000,MATCH($A11,Dati!$A$1:$A$1000,0))&gt;0,Dati!$W$3&amp;": "&amp;INDEX(Dati!$W$1:$W$1000,MATCH($A11,Dati!$A$1:$A$1000,0))&amp;" · ","")&amp;IF(INDEX(Dati!$CZ$1:$CZ$1000,MATCH($A11,Dati!$A$1:$A$1000,0))&gt;0,Dati!$X$3&amp;": "&amp;INDEX(Dati!$X$1:$X$1000,MATCH($A11,Dati!$A$1:$A$1000,0))&amp;" · ","")&amp;IF(INDEX(Dati!$DA$1:$DA$1000,MATCH($A11,Dati!$A$1:$A$1000,0))&gt;0,Dati!$Y$3&amp;": "&amp;INDEX(Dati!$Y$1:$Y$1000,MATCH($A11,Dati!$A$1:$A$1000,0))&amp;" · ","")&amp;IF(INDEX(Dati!$DB$1:$DB$1000,MATCH($A11,Dati!$A$1:$A$1000,0))&gt;0,Dati!$Z$3&amp;": "&amp;INDEX(Dati!$Z$1:$Z$1000,MATCH($A11,Dati!$A$1:$A$1000,0))&amp;" · ",""))-3)),""))</f>
        <v/>
      </c>
      <c r="I11" s="55" t="str">
        <f aca="false">IF($B11="","",IFERROR(IF((IF(INDEX(Dati!$DC$1:$DC$1000,MATCH($A11,Dati!$A$1:$A$1000,0))&gt;0,Dati!$AA$3&amp;": "&amp;INDEX(Dati!$AA$1:$AA$1000,MATCH($A11,Dati!$A$1:$A$1000,0))&amp;" · ","")&amp;IF(INDEX(Dati!$DD$1:$DD$1000,MATCH($A11,Dati!$A$1:$A$1000,0))&gt;0,Dati!$AB$3&amp;": "&amp;INDEX(Dati!$AB$1:$AB$1000,MATCH($A11,Dati!$A$1:$A$1000,0))&amp;" · ","")&amp;IF(INDEX(Dati!$DE$1:$DE$1000,MATCH($A11,Dati!$A$1:$A$1000,0))&gt;0,Dati!$AC$3&amp;": "&amp;INDEX(Dati!$AC$1:$AC$1000,MATCH($A11,Dati!$A$1:$A$1000,0))&amp;" · ","")&amp;IF(INDEX(Dati!$DF$1:$DF$1000,MATCH($A11,Dati!$A$1:$A$1000,0))&gt;0,Dati!$AD$3&amp;": "&amp;INDEX(Dati!$AD$1:$AD$1000,MATCH($A11,Dati!$A$1:$A$1000,0))&amp;" · ",""))="",IF(INDEX(Dati!$FM$1:$FM$1000,MATCH($A11,Dati!$A$1:$A$1000,0))=1,"AS da recuperare",""),LEFT(IF(INDEX(Dati!$DC$1:$DC$1000,MATCH($A11,Dati!$A$1:$A$1000,0))&gt;0,Dati!$AA$3&amp;": "&amp;INDEX(Dati!$AA$1:$AA$1000,MATCH($A11,Dati!$A$1:$A$1000,0))&amp;" · ","")&amp;IF(INDEX(Dati!$DD$1:$DD$1000,MATCH($A11,Dati!$A$1:$A$1000,0))&gt;0,Dati!$AB$3&amp;": "&amp;INDEX(Dati!$AB$1:$AB$1000,MATCH($A11,Dati!$A$1:$A$1000,0))&amp;" · ","")&amp;IF(INDEX(Dati!$DE$1:$DE$1000,MATCH($A11,Dati!$A$1:$A$1000,0))&gt;0,Dati!$AC$3&amp;": "&amp;INDEX(Dati!$AC$1:$AC$1000,MATCH($A11,Dati!$A$1:$A$1000,0))&amp;" · ","")&amp;IF(INDEX(Dati!$DF$1:$DF$1000,MATCH($A11,Dati!$A$1:$A$1000,0))&gt;0,Dati!$AD$3&amp;": "&amp;INDEX(Dati!$AD$1:$AD$1000,MATCH($A11,Dati!$A$1:$A$1000,0))&amp;" · ",""),LEN(IF(INDEX(Dati!$DC$1:$DC$1000,MATCH($A11,Dati!$A$1:$A$1000,0))&gt;0,Dati!$AA$3&amp;": "&amp;INDEX(Dati!$AA$1:$AA$1000,MATCH($A11,Dati!$A$1:$A$1000,0))&amp;" · ","")&amp;IF(INDEX(Dati!$DD$1:$DD$1000,MATCH($A11,Dati!$A$1:$A$1000,0))&gt;0,Dati!$AB$3&amp;": "&amp;INDEX(Dati!$AB$1:$AB$1000,MATCH($A11,Dati!$A$1:$A$1000,0))&amp;" · ","")&amp;IF(INDEX(Dati!$DE$1:$DE$1000,MATCH($A11,Dati!$A$1:$A$1000,0))&gt;0,Dati!$AC$3&amp;": "&amp;INDEX(Dati!$AC$1:$AC$1000,MATCH($A11,Dati!$A$1:$A$1000,0))&amp;" · ","")&amp;IF(INDEX(Dati!$DF$1:$DF$1000,MATCH($A11,Dati!$A$1:$A$1000,0))&gt;0,Dati!$AD$3&amp;": "&amp;INDEX(Dati!$AD$1:$AD$1000,MATCH($A11,Dati!$A$1:$A$1000,0))&amp;" · ",""))-3)),""))</f>
        <v/>
      </c>
      <c r="J11" s="55" t="str">
        <f aca="false">IF($B11="","",IFERROR(IF((IF(INDEX(Dati!$DG$1:$DG$1000,MATCH($A11,Dati!$A$1:$A$1000,0))&gt;0,Dati!$AE$3&amp;": "&amp;INDEX(Dati!$AE$1:$AE$1000,MATCH($A11,Dati!$A$1:$A$1000,0))&amp;" · ","")&amp;IF(INDEX(Dati!$DH$1:$DH$1000,MATCH($A11,Dati!$A$1:$A$1000,0))&gt;0,Dati!$AF$3&amp;": "&amp;INDEX(Dati!$AF$1:$AF$1000,MATCH($A11,Dati!$A$1:$A$1000,0))&amp;" · ","")&amp;IF(INDEX(Dati!$DI$1:$DI$1000,MATCH($A11,Dati!$A$1:$A$1000,0))&gt;0,Dati!$AG$3&amp;": "&amp;INDEX(Dati!$AG$1:$AG$1000,MATCH($A11,Dati!$A$1:$A$1000,0))&amp;" · ","")&amp;IF(INDEX(Dati!$DJ$1:$DJ$1000,MATCH($A11,Dati!$A$1:$A$1000,0))&gt;0,Dati!$AH$3&amp;": "&amp;INDEX(Dati!$AH$1:$AH$1000,MATCH($A11,Dati!$A$1:$A$1000,0))&amp;" · ",""))="",IF(INDEX(Dati!$FN$1:$FN$1000,MATCH($A11,Dati!$A$1:$A$1000,0))=1,"AS da recuperare",""),LEFT(IF(INDEX(Dati!$DG$1:$DG$1000,MATCH($A11,Dati!$A$1:$A$1000,0))&gt;0,Dati!$AE$3&amp;": "&amp;INDEX(Dati!$AE$1:$AE$1000,MATCH($A11,Dati!$A$1:$A$1000,0))&amp;" · ","")&amp;IF(INDEX(Dati!$DH$1:$DH$1000,MATCH($A11,Dati!$A$1:$A$1000,0))&gt;0,Dati!$AF$3&amp;": "&amp;INDEX(Dati!$AF$1:$AF$1000,MATCH($A11,Dati!$A$1:$A$1000,0))&amp;" · ","")&amp;IF(INDEX(Dati!$DI$1:$DI$1000,MATCH($A11,Dati!$A$1:$A$1000,0))&gt;0,Dati!$AG$3&amp;": "&amp;INDEX(Dati!$AG$1:$AG$1000,MATCH($A11,Dati!$A$1:$A$1000,0))&amp;" · ","")&amp;IF(INDEX(Dati!$DJ$1:$DJ$1000,MATCH($A11,Dati!$A$1:$A$1000,0))&gt;0,Dati!$AH$3&amp;": "&amp;INDEX(Dati!$AH$1:$AH$1000,MATCH($A11,Dati!$A$1:$A$1000,0))&amp;" · ",""),LEN(IF(INDEX(Dati!$DG$1:$DG$1000,MATCH($A11,Dati!$A$1:$A$1000,0))&gt;0,Dati!$AE$3&amp;": "&amp;INDEX(Dati!$AE$1:$AE$1000,MATCH($A11,Dati!$A$1:$A$1000,0))&amp;" · ","")&amp;IF(INDEX(Dati!$DH$1:$DH$1000,MATCH($A11,Dati!$A$1:$A$1000,0))&gt;0,Dati!$AF$3&amp;": "&amp;INDEX(Dati!$AF$1:$AF$1000,MATCH($A11,Dati!$A$1:$A$1000,0))&amp;" · ","")&amp;IF(INDEX(Dati!$DI$1:$DI$1000,MATCH($A11,Dati!$A$1:$A$1000,0))&gt;0,Dati!$AG$3&amp;": "&amp;INDEX(Dati!$AG$1:$AG$1000,MATCH($A11,Dati!$A$1:$A$1000,0))&amp;" · ","")&amp;IF(INDEX(Dati!$DJ$1:$DJ$1000,MATCH($A11,Dati!$A$1:$A$1000,0))&gt;0,Dati!$AH$3&amp;": "&amp;INDEX(Dati!$AH$1:$AH$1000,MATCH($A11,Dati!$A$1:$A$1000,0))&amp;" · ",""))-3)),""))</f>
        <v/>
      </c>
      <c r="K11" s="55" t="str">
        <f aca="false">IF($B11="","",IFERROR(IF((IF(INDEX(Dati!$DK$1:$DK$1000,MATCH($A11,Dati!$A$1:$A$1000,0))&gt;0,Dati!$AI$3&amp;": "&amp;INDEX(Dati!$AI$1:$AI$1000,MATCH($A11,Dati!$A$1:$A$1000,0))&amp;" · ","")&amp;IF(INDEX(Dati!$DL$1:$DL$1000,MATCH($A11,Dati!$A$1:$A$1000,0))&gt;0,Dati!$AJ$3&amp;": "&amp;INDEX(Dati!$AJ$1:$AJ$1000,MATCH($A11,Dati!$A$1:$A$1000,0))&amp;" · ","")&amp;IF(INDEX(Dati!$DM$1:$DM$1000,MATCH($A11,Dati!$A$1:$A$1000,0))&gt;0,Dati!$AK$3&amp;": "&amp;INDEX(Dati!$AK$1:$AK$1000,MATCH($A11,Dati!$A$1:$A$1000,0))&amp;" · ","")&amp;IF(INDEX(Dati!$DN$1:$DN$1000,MATCH($A11,Dati!$A$1:$A$1000,0))&gt;0,Dati!$AL$3&amp;": "&amp;INDEX(Dati!$AL$1:$AL$1000,MATCH($A11,Dati!$A$1:$A$1000,0))&amp;" · ",""))="",IF(INDEX(Dati!$FO$1:$FO$1000,MATCH($A11,Dati!$A$1:$A$1000,0))=1,"AS da recuperare",""),LEFT(IF(INDEX(Dati!$DK$1:$DK$1000,MATCH($A11,Dati!$A$1:$A$1000,0))&gt;0,Dati!$AI$3&amp;": "&amp;INDEX(Dati!$AI$1:$AI$1000,MATCH($A11,Dati!$A$1:$A$1000,0))&amp;" · ","")&amp;IF(INDEX(Dati!$DL$1:$DL$1000,MATCH($A11,Dati!$A$1:$A$1000,0))&gt;0,Dati!$AJ$3&amp;": "&amp;INDEX(Dati!$AJ$1:$AJ$1000,MATCH($A11,Dati!$A$1:$A$1000,0))&amp;" · ","")&amp;IF(INDEX(Dati!$DM$1:$DM$1000,MATCH($A11,Dati!$A$1:$A$1000,0))&gt;0,Dati!$AK$3&amp;": "&amp;INDEX(Dati!$AK$1:$AK$1000,MATCH($A11,Dati!$A$1:$A$1000,0))&amp;" · ","")&amp;IF(INDEX(Dati!$DN$1:$DN$1000,MATCH($A11,Dati!$A$1:$A$1000,0))&gt;0,Dati!$AL$3&amp;": "&amp;INDEX(Dati!$AL$1:$AL$1000,MATCH($A11,Dati!$A$1:$A$1000,0))&amp;" · ",""),LEN(IF(INDEX(Dati!$DK$1:$DK$1000,MATCH($A11,Dati!$A$1:$A$1000,0))&gt;0,Dati!$AI$3&amp;": "&amp;INDEX(Dati!$AI$1:$AI$1000,MATCH($A11,Dati!$A$1:$A$1000,0))&amp;" · ","")&amp;IF(INDEX(Dati!$DL$1:$DL$1000,MATCH($A11,Dati!$A$1:$A$1000,0))&gt;0,Dati!$AJ$3&amp;": "&amp;INDEX(Dati!$AJ$1:$AJ$1000,MATCH($A11,Dati!$A$1:$A$1000,0))&amp;" · ","")&amp;IF(INDEX(Dati!$DM$1:$DM$1000,MATCH($A11,Dati!$A$1:$A$1000,0))&gt;0,Dati!$AK$3&amp;": "&amp;INDEX(Dati!$AK$1:$AK$1000,MATCH($A11,Dati!$A$1:$A$1000,0))&amp;" · ","")&amp;IF(INDEX(Dati!$DN$1:$DN$1000,MATCH($A11,Dati!$A$1:$A$1000,0))&gt;0,Dati!$AL$3&amp;": "&amp;INDEX(Dati!$AL$1:$AL$1000,MATCH($A11,Dati!$A$1:$A$1000,0))&amp;" · ",""))-3)),""))</f>
        <v/>
      </c>
      <c r="L11" s="55" t="str">
        <f aca="false">IF($B11="","",IFERROR(IF((IF(INDEX(Dati!$DO$1:$DO$1000,MATCH($A11,Dati!$A$1:$A$1000,0))&gt;0,Dati!$AM$3&amp;": "&amp;INDEX(Dati!$AM$1:$AM$1000,MATCH($A11,Dati!$A$1:$A$1000,0))&amp;" · ","")&amp;IF(INDEX(Dati!$DP$1:$DP$1000,MATCH($A11,Dati!$A$1:$A$1000,0))&gt;0,Dati!$AN$3&amp;": "&amp;INDEX(Dati!$AN$1:$AN$1000,MATCH($A11,Dati!$A$1:$A$1000,0))&amp;" · ","")&amp;IF(INDEX(Dati!$DQ$1:$DQ$1000,MATCH($A11,Dati!$A$1:$A$1000,0))&gt;0,Dati!$AO$3&amp;": "&amp;INDEX(Dati!$AO$1:$AO$1000,MATCH($A11,Dati!$A$1:$A$1000,0))&amp;" · ","")&amp;IF(INDEX(Dati!$DR$1:$DR$1000,MATCH($A11,Dati!$A$1:$A$1000,0))&gt;0,Dati!$AP$3&amp;": "&amp;INDEX(Dati!$AP$1:$AP$1000,MATCH($A11,Dati!$A$1:$A$1000,0))&amp;" · ",""))="",IF(INDEX(Dati!$FP$1:$FP$1000,MATCH($A11,Dati!$A$1:$A$1000,0))=1,"AS da recuperare",""),LEFT(IF(INDEX(Dati!$DO$1:$DO$1000,MATCH($A11,Dati!$A$1:$A$1000,0))&gt;0,Dati!$AM$3&amp;": "&amp;INDEX(Dati!$AM$1:$AM$1000,MATCH($A11,Dati!$A$1:$A$1000,0))&amp;" · ","")&amp;IF(INDEX(Dati!$DP$1:$DP$1000,MATCH($A11,Dati!$A$1:$A$1000,0))&gt;0,Dati!$AN$3&amp;": "&amp;INDEX(Dati!$AN$1:$AN$1000,MATCH($A11,Dati!$A$1:$A$1000,0))&amp;" · ","")&amp;IF(INDEX(Dati!$DQ$1:$DQ$1000,MATCH($A11,Dati!$A$1:$A$1000,0))&gt;0,Dati!$AO$3&amp;": "&amp;INDEX(Dati!$AO$1:$AO$1000,MATCH($A11,Dati!$A$1:$A$1000,0))&amp;" · ","")&amp;IF(INDEX(Dati!$DR$1:$DR$1000,MATCH($A11,Dati!$A$1:$A$1000,0))&gt;0,Dati!$AP$3&amp;": "&amp;INDEX(Dati!$AP$1:$AP$1000,MATCH($A11,Dati!$A$1:$A$1000,0))&amp;" · ",""),LEN(IF(INDEX(Dati!$DO$1:$DO$1000,MATCH($A11,Dati!$A$1:$A$1000,0))&gt;0,Dati!$AM$3&amp;": "&amp;INDEX(Dati!$AM$1:$AM$1000,MATCH($A11,Dati!$A$1:$A$1000,0))&amp;" · ","")&amp;IF(INDEX(Dati!$DP$1:$DP$1000,MATCH($A11,Dati!$A$1:$A$1000,0))&gt;0,Dati!$AN$3&amp;": "&amp;INDEX(Dati!$AN$1:$AN$1000,MATCH($A11,Dati!$A$1:$A$1000,0))&amp;" · ","")&amp;IF(INDEX(Dati!$DQ$1:$DQ$1000,MATCH($A11,Dati!$A$1:$A$1000,0))&gt;0,Dati!$AO$3&amp;": "&amp;INDEX(Dati!$AO$1:$AO$1000,MATCH($A11,Dati!$A$1:$A$1000,0))&amp;" · ","")&amp;IF(INDEX(Dati!$DR$1:$DR$1000,MATCH($A11,Dati!$A$1:$A$1000,0))&gt;0,Dati!$AP$3&amp;": "&amp;INDEX(Dati!$AP$1:$AP$1000,MATCH($A11,Dati!$A$1:$A$1000,0))&amp;" · ",""))-3)),""))</f>
        <v/>
      </c>
      <c r="M11" s="55" t="str">
        <f aca="false">IF($B11="","",IFERROR(IF((IF(INDEX(Dati!$DS$1:$DS$1000,MATCH($A11,Dati!$A$1:$A$1000,0))&gt;0,Dati!$AQ$3&amp;": "&amp;INDEX(Dati!$AQ$1:$AQ$1000,MATCH($A11,Dati!$A$1:$A$1000,0))&amp;" · ","")&amp;IF(INDEX(Dati!$DT$1:$DT$1000,MATCH($A11,Dati!$A$1:$A$1000,0))&gt;0,Dati!$AR$3&amp;": "&amp;INDEX(Dati!$AR$1:$AR$1000,MATCH($A11,Dati!$A$1:$A$1000,0))&amp;" · ","")&amp;IF(INDEX(Dati!$DU$1:$DU$1000,MATCH($A11,Dati!$A$1:$A$1000,0))&gt;0,Dati!$AS$3&amp;": "&amp;INDEX(Dati!$AS$1:$AS$1000,MATCH($A11,Dati!$A$1:$A$1000,0))&amp;" · ","")&amp;IF(INDEX(Dati!$DV$1:$DV$1000,MATCH($A11,Dati!$A$1:$A$1000,0))&gt;0,Dati!$AT$3&amp;": "&amp;INDEX(Dati!$AT$1:$AT$1000,MATCH($A11,Dati!$A$1:$A$1000,0))&amp;" · ",""))="",IF(INDEX(Dati!$FQ$1:$FQ$1000,MATCH($A11,Dati!$A$1:$A$1000,0))=1,"AS da recuperare",""),LEFT(IF(INDEX(Dati!$DS$1:$DS$1000,MATCH($A11,Dati!$A$1:$A$1000,0))&gt;0,Dati!$AQ$3&amp;": "&amp;INDEX(Dati!$AQ$1:$AQ$1000,MATCH($A11,Dati!$A$1:$A$1000,0))&amp;" · ","")&amp;IF(INDEX(Dati!$DT$1:$DT$1000,MATCH($A11,Dati!$A$1:$A$1000,0))&gt;0,Dati!$AR$3&amp;": "&amp;INDEX(Dati!$AR$1:$AR$1000,MATCH($A11,Dati!$A$1:$A$1000,0))&amp;" · ","")&amp;IF(INDEX(Dati!$DU$1:$DU$1000,MATCH($A11,Dati!$A$1:$A$1000,0))&gt;0,Dati!$AS$3&amp;": "&amp;INDEX(Dati!$AS$1:$AS$1000,MATCH($A11,Dati!$A$1:$A$1000,0))&amp;" · ","")&amp;IF(INDEX(Dati!$DV$1:$DV$1000,MATCH($A11,Dati!$A$1:$A$1000,0))&gt;0,Dati!$AT$3&amp;": "&amp;INDEX(Dati!$AT$1:$AT$1000,MATCH($A11,Dati!$A$1:$A$1000,0))&amp;" · ",""),LEN(IF(INDEX(Dati!$DS$1:$DS$1000,MATCH($A11,Dati!$A$1:$A$1000,0))&gt;0,Dati!$AQ$3&amp;": "&amp;INDEX(Dati!$AQ$1:$AQ$1000,MATCH($A11,Dati!$A$1:$A$1000,0))&amp;" · ","")&amp;IF(INDEX(Dati!$DT$1:$DT$1000,MATCH($A11,Dati!$A$1:$A$1000,0))&gt;0,Dati!$AR$3&amp;": "&amp;INDEX(Dati!$AR$1:$AR$1000,MATCH($A11,Dati!$A$1:$A$1000,0))&amp;" · ","")&amp;IF(INDEX(Dati!$DU$1:$DU$1000,MATCH($A11,Dati!$A$1:$A$1000,0))&gt;0,Dati!$AS$3&amp;": "&amp;INDEX(Dati!$AS$1:$AS$1000,MATCH($A11,Dati!$A$1:$A$1000,0))&amp;" · ","")&amp;IF(INDEX(Dati!$DV$1:$DV$1000,MATCH($A11,Dati!$A$1:$A$1000,0))&gt;0,Dati!$AT$3&amp;": "&amp;INDEX(Dati!$AT$1:$AT$1000,MATCH($A11,Dati!$A$1:$A$1000,0))&amp;" · ",""))-3)),""))</f>
        <v/>
      </c>
      <c r="N11" s="55" t="str">
        <f aca="false">IF($B11="","",IFERROR(IF((IF(INDEX(Dati!$DW$1:$DW$1000,MATCH($A11,Dati!$A$1:$A$1000,0))&gt;0,Dati!$AU$3&amp;": "&amp;INDEX(Dati!$AU$1:$AU$1000,MATCH($A11,Dati!$A$1:$A$1000,0))&amp;" · ","")&amp;IF(INDEX(Dati!$DX$1:$DX$1000,MATCH($A11,Dati!$A$1:$A$1000,0))&gt;0,Dati!$AV$3&amp;": "&amp;INDEX(Dati!$AV$1:$AV$1000,MATCH($A11,Dati!$A$1:$A$1000,0))&amp;" · ","")&amp;IF(INDEX(Dati!$DY$1:$DY$1000,MATCH($A11,Dati!$A$1:$A$1000,0))&gt;0,Dati!$AW$3&amp;": "&amp;INDEX(Dati!$AW$1:$AW$1000,MATCH($A11,Dati!$A$1:$A$1000,0))&amp;" · ","")&amp;IF(INDEX(Dati!$DZ$1:$DZ$1000,MATCH($A11,Dati!$A$1:$A$1000,0))&gt;0,Dati!$AX$3&amp;": "&amp;INDEX(Dati!$AX$1:$AX$1000,MATCH($A11,Dati!$A$1:$A$1000,0))&amp;" · ",""))="",IF(INDEX(Dati!$FR$1:$FR$1000,MATCH($A11,Dati!$A$1:$A$1000,0))=1,"AS da recuperare",""),LEFT(IF(INDEX(Dati!$DW$1:$DW$1000,MATCH($A11,Dati!$A$1:$A$1000,0))&gt;0,Dati!$AU$3&amp;": "&amp;INDEX(Dati!$AU$1:$AU$1000,MATCH($A11,Dati!$A$1:$A$1000,0))&amp;" · ","")&amp;IF(INDEX(Dati!$DX$1:$DX$1000,MATCH($A11,Dati!$A$1:$A$1000,0))&gt;0,Dati!$AV$3&amp;": "&amp;INDEX(Dati!$AV$1:$AV$1000,MATCH($A11,Dati!$A$1:$A$1000,0))&amp;" · ","")&amp;IF(INDEX(Dati!$DY$1:$DY$1000,MATCH($A11,Dati!$A$1:$A$1000,0))&gt;0,Dati!$AW$3&amp;": "&amp;INDEX(Dati!$AW$1:$AW$1000,MATCH($A11,Dati!$A$1:$A$1000,0))&amp;" · ","")&amp;IF(INDEX(Dati!$DZ$1:$DZ$1000,MATCH($A11,Dati!$A$1:$A$1000,0))&gt;0,Dati!$AX$3&amp;": "&amp;INDEX(Dati!$AX$1:$AX$1000,MATCH($A11,Dati!$A$1:$A$1000,0))&amp;" · ",""),LEN(IF(INDEX(Dati!$DW$1:$DW$1000,MATCH($A11,Dati!$A$1:$A$1000,0))&gt;0,Dati!$AU$3&amp;": "&amp;INDEX(Dati!$AU$1:$AU$1000,MATCH($A11,Dati!$A$1:$A$1000,0))&amp;" · ","")&amp;IF(INDEX(Dati!$DX$1:$DX$1000,MATCH($A11,Dati!$A$1:$A$1000,0))&gt;0,Dati!$AV$3&amp;": "&amp;INDEX(Dati!$AV$1:$AV$1000,MATCH($A11,Dati!$A$1:$A$1000,0))&amp;" · ","")&amp;IF(INDEX(Dati!$DY$1:$DY$1000,MATCH($A11,Dati!$A$1:$A$1000,0))&gt;0,Dati!$AW$3&amp;": "&amp;INDEX(Dati!$AW$1:$AW$1000,MATCH($A11,Dati!$A$1:$A$1000,0))&amp;" · ","")&amp;IF(INDEX(Dati!$DZ$1:$DZ$1000,MATCH($A11,Dati!$A$1:$A$1000,0))&gt;0,Dati!$AX$3&amp;": "&amp;INDEX(Dati!$AX$1:$AX$1000,MATCH($A11,Dati!$A$1:$A$1000,0))&amp;" · ",""))-3)),""))</f>
        <v/>
      </c>
      <c r="O11" s="55" t="str">
        <f aca="false">IF($B11="","",IFERROR(IF((IF(INDEX(Dati!$EA$1:$EA$1000,MATCH($A11,Dati!$A$1:$A$1000,0))&gt;0,Dati!$AY$3&amp;": "&amp;INDEX(Dati!$AY$1:$AY$1000,MATCH($A11,Dati!$A$1:$A$1000,0))&amp;" · ","")&amp;IF(INDEX(Dati!$EB$1:$EB$1000,MATCH($A11,Dati!$A$1:$A$1000,0))&gt;0,Dati!$AZ$3&amp;": "&amp;INDEX(Dati!$AZ$1:$AZ$1000,MATCH($A11,Dati!$A$1:$A$1000,0))&amp;" · ","")&amp;IF(INDEX(Dati!$EC$1:$EC$1000,MATCH($A11,Dati!$A$1:$A$1000,0))&gt;0,Dati!$BA$3&amp;": "&amp;INDEX(Dati!$BA$1:$BA$1000,MATCH($A11,Dati!$A$1:$A$1000,0))&amp;" · ","")&amp;IF(INDEX(Dati!$ED$1:$ED$1000,MATCH($A11,Dati!$A$1:$A$1000,0))&gt;0,Dati!$BB$3&amp;": "&amp;INDEX(Dati!$BB$1:$BB$1000,MATCH($A11,Dati!$A$1:$A$1000,0))&amp;" · ",""))="",IF(INDEX(Dati!$FS$1:$FS$1000,MATCH($A11,Dati!$A$1:$A$1000,0))=1,"AS da recuperare",""),LEFT(IF(INDEX(Dati!$EA$1:$EA$1000,MATCH($A11,Dati!$A$1:$A$1000,0))&gt;0,Dati!$AY$3&amp;": "&amp;INDEX(Dati!$AY$1:$AY$1000,MATCH($A11,Dati!$A$1:$A$1000,0))&amp;" · ","")&amp;IF(INDEX(Dati!$EB$1:$EB$1000,MATCH($A11,Dati!$A$1:$A$1000,0))&gt;0,Dati!$AZ$3&amp;": "&amp;INDEX(Dati!$AZ$1:$AZ$1000,MATCH($A11,Dati!$A$1:$A$1000,0))&amp;" · ","")&amp;IF(INDEX(Dati!$EC$1:$EC$1000,MATCH($A11,Dati!$A$1:$A$1000,0))&gt;0,Dati!$BA$3&amp;": "&amp;INDEX(Dati!$BA$1:$BA$1000,MATCH($A11,Dati!$A$1:$A$1000,0))&amp;" · ","")&amp;IF(INDEX(Dati!$ED$1:$ED$1000,MATCH($A11,Dati!$A$1:$A$1000,0))&gt;0,Dati!$BB$3&amp;": "&amp;INDEX(Dati!$BB$1:$BB$1000,MATCH($A11,Dati!$A$1:$A$1000,0))&amp;" · ",""),LEN(IF(INDEX(Dati!$EA$1:$EA$1000,MATCH($A11,Dati!$A$1:$A$1000,0))&gt;0,Dati!$AY$3&amp;": "&amp;INDEX(Dati!$AY$1:$AY$1000,MATCH($A11,Dati!$A$1:$A$1000,0))&amp;" · ","")&amp;IF(INDEX(Dati!$EB$1:$EB$1000,MATCH($A11,Dati!$A$1:$A$1000,0))&gt;0,Dati!$AZ$3&amp;": "&amp;INDEX(Dati!$AZ$1:$AZ$1000,MATCH($A11,Dati!$A$1:$A$1000,0))&amp;" · ","")&amp;IF(INDEX(Dati!$EC$1:$EC$1000,MATCH($A11,Dati!$A$1:$A$1000,0))&gt;0,Dati!$BA$3&amp;": "&amp;INDEX(Dati!$BA$1:$BA$1000,MATCH($A11,Dati!$A$1:$A$1000,0))&amp;" · ","")&amp;IF(INDEX(Dati!$ED$1:$ED$1000,MATCH($A11,Dati!$A$1:$A$1000,0))&gt;0,Dati!$BB$3&amp;": "&amp;INDEX(Dati!$BB$1:$BB$1000,MATCH($A11,Dati!$A$1:$A$1000,0))&amp;" · ",""))-3)),""))</f>
        <v/>
      </c>
      <c r="P11" s="55" t="str">
        <f aca="false">IF($B11="","",IFERROR(IF((IF(INDEX(Dati!$EE$1:$EE$1000,MATCH($A11,Dati!$A$1:$A$1000,0))&gt;0,Dati!$BC$3&amp;": "&amp;INDEX(Dati!$BC$1:$BC$1000,MATCH($A11,Dati!$A$1:$A$1000,0))&amp;" · ","")&amp;IF(INDEX(Dati!$EF$1:$EF$1000,MATCH($A11,Dati!$A$1:$A$1000,0))&gt;0,Dati!$BD$3&amp;": "&amp;INDEX(Dati!$BD$1:$BD$1000,MATCH($A11,Dati!$A$1:$A$1000,0))&amp;" · ","")&amp;IF(INDEX(Dati!$EG$1:$EG$1000,MATCH($A11,Dati!$A$1:$A$1000,0))&gt;0,Dati!$BE$3&amp;": "&amp;INDEX(Dati!$BE$1:$BE$1000,MATCH($A11,Dati!$A$1:$A$1000,0))&amp;" · ","")&amp;IF(INDEX(Dati!$EH$1:$EH$1000,MATCH($A11,Dati!$A$1:$A$1000,0))&gt;0,Dati!$BF$3&amp;": "&amp;INDEX(Dati!$BF$1:$BF$1000,MATCH($A11,Dati!$A$1:$A$1000,0))&amp;" · ",""))="",IF(INDEX(Dati!$FT$1:$FT$1000,MATCH($A11,Dati!$A$1:$A$1000,0))=1,"AS da recuperare",""),LEFT(IF(INDEX(Dati!$EE$1:$EE$1000,MATCH($A11,Dati!$A$1:$A$1000,0))&gt;0,Dati!$BC$3&amp;": "&amp;INDEX(Dati!$BC$1:$BC$1000,MATCH($A11,Dati!$A$1:$A$1000,0))&amp;" · ","")&amp;IF(INDEX(Dati!$EF$1:$EF$1000,MATCH($A11,Dati!$A$1:$A$1000,0))&gt;0,Dati!$BD$3&amp;": "&amp;INDEX(Dati!$BD$1:$BD$1000,MATCH($A11,Dati!$A$1:$A$1000,0))&amp;" · ","")&amp;IF(INDEX(Dati!$EG$1:$EG$1000,MATCH($A11,Dati!$A$1:$A$1000,0))&gt;0,Dati!$BE$3&amp;": "&amp;INDEX(Dati!$BE$1:$BE$1000,MATCH($A11,Dati!$A$1:$A$1000,0))&amp;" · ","")&amp;IF(INDEX(Dati!$EH$1:$EH$1000,MATCH($A11,Dati!$A$1:$A$1000,0))&gt;0,Dati!$BF$3&amp;": "&amp;INDEX(Dati!$BF$1:$BF$1000,MATCH($A11,Dati!$A$1:$A$1000,0))&amp;" · ",""),LEN(IF(INDEX(Dati!$EE$1:$EE$1000,MATCH($A11,Dati!$A$1:$A$1000,0))&gt;0,Dati!$BC$3&amp;": "&amp;INDEX(Dati!$BC$1:$BC$1000,MATCH($A11,Dati!$A$1:$A$1000,0))&amp;" · ","")&amp;IF(INDEX(Dati!$EF$1:$EF$1000,MATCH($A11,Dati!$A$1:$A$1000,0))&gt;0,Dati!$BD$3&amp;": "&amp;INDEX(Dati!$BD$1:$BD$1000,MATCH($A11,Dati!$A$1:$A$1000,0))&amp;" · ","")&amp;IF(INDEX(Dati!$EG$1:$EG$1000,MATCH($A11,Dati!$A$1:$A$1000,0))&gt;0,Dati!$BE$3&amp;": "&amp;INDEX(Dati!$BE$1:$BE$1000,MATCH($A11,Dati!$A$1:$A$1000,0))&amp;" · ","")&amp;IF(INDEX(Dati!$EH$1:$EH$1000,MATCH($A11,Dati!$A$1:$A$1000,0))&gt;0,Dati!$BF$3&amp;": "&amp;INDEX(Dati!$BF$1:$BF$1000,MATCH($A11,Dati!$A$1:$A$1000,0))&amp;" · ",""))-3)),""))</f>
        <v/>
      </c>
      <c r="Q11" s="55" t="str">
        <f aca="false">IF($B11="","",IFERROR(IF((IF(INDEX(Dati!$EI$1:$EI$1000,MATCH($A11,Dati!$A$1:$A$1000,0))&gt;0,Dati!$BG$3&amp;": "&amp;INDEX(Dati!$BG$1:$BG$1000,MATCH($A11,Dati!$A$1:$A$1000,0))&amp;" · ","")&amp;IF(INDEX(Dati!$EJ$1:$EJ$1000,MATCH($A11,Dati!$A$1:$A$1000,0))&gt;0,Dati!$BH$3&amp;": "&amp;INDEX(Dati!$BH$1:$BH$1000,MATCH($A11,Dati!$A$1:$A$1000,0))&amp;" · ","")&amp;IF(INDEX(Dati!$EK$1:$EK$1000,MATCH($A11,Dati!$A$1:$A$1000,0))&gt;0,Dati!$BI$3&amp;": "&amp;INDEX(Dati!$BI$1:$BI$1000,MATCH($A11,Dati!$A$1:$A$1000,0))&amp;" · ","")&amp;IF(INDEX(Dati!$EL$1:$EL$1000,MATCH($A11,Dati!$A$1:$A$1000,0))&gt;0,Dati!$BJ$3&amp;": "&amp;INDEX(Dati!$BJ$1:$BJ$1000,MATCH($A11,Dati!$A$1:$A$1000,0))&amp;" · ",""))="",IF(INDEX(Dati!$FU$1:$FU$1000,MATCH($A11,Dati!$A$1:$A$1000,0))=1,"AS da recuperare",""),LEFT(IF(INDEX(Dati!$EI$1:$EI$1000,MATCH($A11,Dati!$A$1:$A$1000,0))&gt;0,Dati!$BG$3&amp;": "&amp;INDEX(Dati!$BG$1:$BG$1000,MATCH($A11,Dati!$A$1:$A$1000,0))&amp;" · ","")&amp;IF(INDEX(Dati!$EJ$1:$EJ$1000,MATCH($A11,Dati!$A$1:$A$1000,0))&gt;0,Dati!$BH$3&amp;": "&amp;INDEX(Dati!$BH$1:$BH$1000,MATCH($A11,Dati!$A$1:$A$1000,0))&amp;" · ","")&amp;IF(INDEX(Dati!$EK$1:$EK$1000,MATCH($A11,Dati!$A$1:$A$1000,0))&gt;0,Dati!$BI$3&amp;": "&amp;INDEX(Dati!$BI$1:$BI$1000,MATCH($A11,Dati!$A$1:$A$1000,0))&amp;" · ","")&amp;IF(INDEX(Dati!$EL$1:$EL$1000,MATCH($A11,Dati!$A$1:$A$1000,0))&gt;0,Dati!$BJ$3&amp;": "&amp;INDEX(Dati!$BJ$1:$BJ$1000,MATCH($A11,Dati!$A$1:$A$1000,0))&amp;" · ",""),LEN(IF(INDEX(Dati!$EI$1:$EI$1000,MATCH($A11,Dati!$A$1:$A$1000,0))&gt;0,Dati!$BG$3&amp;": "&amp;INDEX(Dati!$BG$1:$BG$1000,MATCH($A11,Dati!$A$1:$A$1000,0))&amp;" · ","")&amp;IF(INDEX(Dati!$EJ$1:$EJ$1000,MATCH($A11,Dati!$A$1:$A$1000,0))&gt;0,Dati!$BH$3&amp;": "&amp;INDEX(Dati!$BH$1:$BH$1000,MATCH($A11,Dati!$A$1:$A$1000,0))&amp;" · ","")&amp;IF(INDEX(Dati!$EK$1:$EK$1000,MATCH($A11,Dati!$A$1:$A$1000,0))&gt;0,Dati!$BI$3&amp;": "&amp;INDEX(Dati!$BI$1:$BI$1000,MATCH($A11,Dati!$A$1:$A$1000,0))&amp;" · ","")&amp;IF(INDEX(Dati!$EL$1:$EL$1000,MATCH($A11,Dati!$A$1:$A$1000,0))&gt;0,Dati!$BJ$3&amp;": "&amp;INDEX(Dati!$BJ$1:$BJ$1000,MATCH($A11,Dati!$A$1:$A$1000,0))&amp;" · ",""))-3)),""))</f>
        <v/>
      </c>
      <c r="R11" s="55" t="str">
        <f aca="false">IF($B11="","",IFERROR(IF((IF(INDEX(Dati!$EM$1:$EM$1000,MATCH($A11,Dati!$A$1:$A$1000,0))&gt;0,Dati!$BK$3&amp;": "&amp;INDEX(Dati!$BK$1:$BK$1000,MATCH($A11,Dati!$A$1:$A$1000,0))&amp;" · ","")&amp;IF(INDEX(Dati!$EN$1:$EN$1000,MATCH($A11,Dati!$A$1:$A$1000,0))&gt;0,Dati!$BL$3&amp;": "&amp;INDEX(Dati!$BL$1:$BL$1000,MATCH($A11,Dati!$A$1:$A$1000,0))&amp;" · ","")&amp;IF(INDEX(Dati!$EO$1:$EO$1000,MATCH($A11,Dati!$A$1:$A$1000,0))&gt;0,Dati!$BM$3&amp;": "&amp;INDEX(Dati!$BM$1:$BM$1000,MATCH($A11,Dati!$A$1:$A$1000,0))&amp;" · ","")&amp;IF(INDEX(Dati!$EP$1:$EP$1000,MATCH($A11,Dati!$A$1:$A$1000,0))&gt;0,Dati!$BN$3&amp;": "&amp;INDEX(Dati!$BN$1:$BN$1000,MATCH($A11,Dati!$A$1:$A$1000,0))&amp;" · ",""))="",IF(INDEX(Dati!$FV$1:$FV$1000,MATCH($A11,Dati!$A$1:$A$1000,0))=1,"AS da recuperare",""),LEFT(IF(INDEX(Dati!$EM$1:$EM$1000,MATCH($A11,Dati!$A$1:$A$1000,0))&gt;0,Dati!$BK$3&amp;": "&amp;INDEX(Dati!$BK$1:$BK$1000,MATCH($A11,Dati!$A$1:$A$1000,0))&amp;" · ","")&amp;IF(INDEX(Dati!$EN$1:$EN$1000,MATCH($A11,Dati!$A$1:$A$1000,0))&gt;0,Dati!$BL$3&amp;": "&amp;INDEX(Dati!$BL$1:$BL$1000,MATCH($A11,Dati!$A$1:$A$1000,0))&amp;" · ","")&amp;IF(INDEX(Dati!$EO$1:$EO$1000,MATCH($A11,Dati!$A$1:$A$1000,0))&gt;0,Dati!$BM$3&amp;": "&amp;INDEX(Dati!$BM$1:$BM$1000,MATCH($A11,Dati!$A$1:$A$1000,0))&amp;" · ","")&amp;IF(INDEX(Dati!$EP$1:$EP$1000,MATCH($A11,Dati!$A$1:$A$1000,0))&gt;0,Dati!$BN$3&amp;": "&amp;INDEX(Dati!$BN$1:$BN$1000,MATCH($A11,Dati!$A$1:$A$1000,0))&amp;" · ",""),LEN(IF(INDEX(Dati!$EM$1:$EM$1000,MATCH($A11,Dati!$A$1:$A$1000,0))&gt;0,Dati!$BK$3&amp;": "&amp;INDEX(Dati!$BK$1:$BK$1000,MATCH($A11,Dati!$A$1:$A$1000,0))&amp;" · ","")&amp;IF(INDEX(Dati!$EN$1:$EN$1000,MATCH($A11,Dati!$A$1:$A$1000,0))&gt;0,Dati!$BL$3&amp;": "&amp;INDEX(Dati!$BL$1:$BL$1000,MATCH($A11,Dati!$A$1:$A$1000,0))&amp;" · ","")&amp;IF(INDEX(Dati!$EO$1:$EO$1000,MATCH($A11,Dati!$A$1:$A$1000,0))&gt;0,Dati!$BM$3&amp;": "&amp;INDEX(Dati!$BM$1:$BM$1000,MATCH($A11,Dati!$A$1:$A$1000,0))&amp;" · ","")&amp;IF(INDEX(Dati!$EP$1:$EP$1000,MATCH($A11,Dati!$A$1:$A$1000,0))&gt;0,Dati!$BN$3&amp;": "&amp;INDEX(Dati!$BN$1:$BN$1000,MATCH($A11,Dati!$A$1:$A$1000,0))&amp;" · ",""))-3)),""))</f>
        <v/>
      </c>
      <c r="S11" s="55" t="str">
        <f aca="false">IF($B11="","",IFERROR(IF((IF(INDEX(Dati!$EQ$1:$EQ$1000,MATCH($A11,Dati!$A$1:$A$1000,0))&gt;0,Dati!$BO$3&amp;": "&amp;INDEX(Dati!$BO$1:$BO$1000,MATCH($A11,Dati!$A$1:$A$1000,0))&amp;" · ","")&amp;IF(INDEX(Dati!$ER$1:$ER$1000,MATCH($A11,Dati!$A$1:$A$1000,0))&gt;0,Dati!$BP$3&amp;": "&amp;INDEX(Dati!$BP$1:$BP$1000,MATCH($A11,Dati!$A$1:$A$1000,0))&amp;" · ","")&amp;IF(INDEX(Dati!$ES$1:$ES$1000,MATCH($A11,Dati!$A$1:$A$1000,0))&gt;0,Dati!$BQ$3&amp;": "&amp;INDEX(Dati!$BQ$1:$BQ$1000,MATCH($A11,Dati!$A$1:$A$1000,0))&amp;" · ","")&amp;IF(INDEX(Dati!$ET$1:$ET$1000,MATCH($A11,Dati!$A$1:$A$1000,0))&gt;0,Dati!$BR$3&amp;": "&amp;INDEX(Dati!$BR$1:$BR$1000,MATCH($A11,Dati!$A$1:$A$1000,0))&amp;" · ",""))="",IF(INDEX(Dati!$FW$1:$FW$1000,MATCH($A11,Dati!$A$1:$A$1000,0))=1,"AS da recuperare",""),LEFT(IF(INDEX(Dati!$EQ$1:$EQ$1000,MATCH($A11,Dati!$A$1:$A$1000,0))&gt;0,Dati!$BO$3&amp;": "&amp;INDEX(Dati!$BO$1:$BO$1000,MATCH($A11,Dati!$A$1:$A$1000,0))&amp;" · ","")&amp;IF(INDEX(Dati!$ER$1:$ER$1000,MATCH($A11,Dati!$A$1:$A$1000,0))&gt;0,Dati!$BP$3&amp;": "&amp;INDEX(Dati!$BP$1:$BP$1000,MATCH($A11,Dati!$A$1:$A$1000,0))&amp;" · ","")&amp;IF(INDEX(Dati!$ES$1:$ES$1000,MATCH($A11,Dati!$A$1:$A$1000,0))&gt;0,Dati!$BQ$3&amp;": "&amp;INDEX(Dati!$BQ$1:$BQ$1000,MATCH($A11,Dati!$A$1:$A$1000,0))&amp;" · ","")&amp;IF(INDEX(Dati!$ET$1:$ET$1000,MATCH($A11,Dati!$A$1:$A$1000,0))&gt;0,Dati!$BR$3&amp;": "&amp;INDEX(Dati!$BR$1:$BR$1000,MATCH($A11,Dati!$A$1:$A$1000,0))&amp;" · ",""),LEN(IF(INDEX(Dati!$EQ$1:$EQ$1000,MATCH($A11,Dati!$A$1:$A$1000,0))&gt;0,Dati!$BO$3&amp;": "&amp;INDEX(Dati!$BO$1:$BO$1000,MATCH($A11,Dati!$A$1:$A$1000,0))&amp;" · ","")&amp;IF(INDEX(Dati!$ER$1:$ER$1000,MATCH($A11,Dati!$A$1:$A$1000,0))&gt;0,Dati!$BP$3&amp;": "&amp;INDEX(Dati!$BP$1:$BP$1000,MATCH($A11,Dati!$A$1:$A$1000,0))&amp;" · ","")&amp;IF(INDEX(Dati!$ES$1:$ES$1000,MATCH($A11,Dati!$A$1:$A$1000,0))&gt;0,Dati!$BQ$3&amp;": "&amp;INDEX(Dati!$BQ$1:$BQ$1000,MATCH($A11,Dati!$A$1:$A$1000,0))&amp;" · ","")&amp;IF(INDEX(Dati!$ET$1:$ET$1000,MATCH($A11,Dati!$A$1:$A$1000,0))&gt;0,Dati!$BR$3&amp;": "&amp;INDEX(Dati!$BR$1:$BR$1000,MATCH($A11,Dati!$A$1:$A$1000,0))&amp;" · ",""))-3)),""))</f>
        <v/>
      </c>
      <c r="T11" s="55" t="str">
        <f aca="false">IF($B11="","",IFERROR(IF((IF(INDEX(Dati!$EU$1:$EU$1000,MATCH($A11,Dati!$A$1:$A$1000,0))&gt;0,Dati!$BS$3&amp;": "&amp;INDEX(Dati!$BS$1:$BS$1000,MATCH($A11,Dati!$A$1:$A$1000,0))&amp;" · ","")&amp;IF(INDEX(Dati!$EV$1:$EV$1000,MATCH($A11,Dati!$A$1:$A$1000,0))&gt;0,Dati!$BT$3&amp;": "&amp;INDEX(Dati!$BT$1:$BT$1000,MATCH($A11,Dati!$A$1:$A$1000,0))&amp;" · ","")&amp;IF(INDEX(Dati!$EW$1:$EW$1000,MATCH($A11,Dati!$A$1:$A$1000,0))&gt;0,Dati!$BU$3&amp;": "&amp;INDEX(Dati!$BU$1:$BU$1000,MATCH($A11,Dati!$A$1:$A$1000,0))&amp;" · ","")&amp;IF(INDEX(Dati!$EX$1:$EX$1000,MATCH($A11,Dati!$A$1:$A$1000,0))&gt;0,Dati!$BV$3&amp;": "&amp;INDEX(Dati!$BV$1:$BV$1000,MATCH($A11,Dati!$A$1:$A$1000,0))&amp;" · ",""))="",IF(INDEX(Dati!$FX$1:$FX$1000,MATCH($A11,Dati!$A$1:$A$1000,0))=1,"AS da recuperare",""),LEFT(IF(INDEX(Dati!$EU$1:$EU$1000,MATCH($A11,Dati!$A$1:$A$1000,0))&gt;0,Dati!$BS$3&amp;": "&amp;INDEX(Dati!$BS$1:$BS$1000,MATCH($A11,Dati!$A$1:$A$1000,0))&amp;" · ","")&amp;IF(INDEX(Dati!$EV$1:$EV$1000,MATCH($A11,Dati!$A$1:$A$1000,0))&gt;0,Dati!$BT$3&amp;": "&amp;INDEX(Dati!$BT$1:$BT$1000,MATCH($A11,Dati!$A$1:$A$1000,0))&amp;" · ","")&amp;IF(INDEX(Dati!$EW$1:$EW$1000,MATCH($A11,Dati!$A$1:$A$1000,0))&gt;0,Dati!$BU$3&amp;": "&amp;INDEX(Dati!$BU$1:$BU$1000,MATCH($A11,Dati!$A$1:$A$1000,0))&amp;" · ","")&amp;IF(INDEX(Dati!$EX$1:$EX$1000,MATCH($A11,Dati!$A$1:$A$1000,0))&gt;0,Dati!$BV$3&amp;": "&amp;INDEX(Dati!$BV$1:$BV$1000,MATCH($A11,Dati!$A$1:$A$1000,0))&amp;" · ",""),LEN(IF(INDEX(Dati!$EU$1:$EU$1000,MATCH($A11,Dati!$A$1:$A$1000,0))&gt;0,Dati!$BS$3&amp;": "&amp;INDEX(Dati!$BS$1:$BS$1000,MATCH($A11,Dati!$A$1:$A$1000,0))&amp;" · ","")&amp;IF(INDEX(Dati!$EV$1:$EV$1000,MATCH($A11,Dati!$A$1:$A$1000,0))&gt;0,Dati!$BT$3&amp;": "&amp;INDEX(Dati!$BT$1:$BT$1000,MATCH($A11,Dati!$A$1:$A$1000,0))&amp;" · ","")&amp;IF(INDEX(Dati!$EW$1:$EW$1000,MATCH($A11,Dati!$A$1:$A$1000,0))&gt;0,Dati!$BU$3&amp;": "&amp;INDEX(Dati!$BU$1:$BU$1000,MATCH($A11,Dati!$A$1:$A$1000,0))&amp;" · ","")&amp;IF(INDEX(Dati!$EX$1:$EX$1000,MATCH($A11,Dati!$A$1:$A$1000,0))&gt;0,Dati!$BV$3&amp;": "&amp;INDEX(Dati!$BV$1:$BV$1000,MATCH($A11,Dati!$A$1:$A$1000,0))&amp;" · ",""))-3)),""))</f>
        <v/>
      </c>
      <c r="U11" s="55" t="str">
        <f aca="false">IF($B11="","",IFERROR(IF((IF(INDEX(Dati!$EY$1:$EY$1000,MATCH($A11,Dati!$A$1:$A$1000,0))&gt;0,Dati!$BW$3&amp;": "&amp;INDEX(Dati!$BW$1:$BW$1000,MATCH($A11,Dati!$A$1:$A$1000,0))&amp;" · ","")&amp;IF(INDEX(Dati!$EZ$1:$EZ$1000,MATCH($A11,Dati!$A$1:$A$1000,0))&gt;0,Dati!$BX$3&amp;": "&amp;INDEX(Dati!$BX$1:$BX$1000,MATCH($A11,Dati!$A$1:$A$1000,0))&amp;" · ","")&amp;IF(INDEX(Dati!$FA$1:$FA$1000,MATCH($A11,Dati!$A$1:$A$1000,0))&gt;0,Dati!$BY$3&amp;": "&amp;INDEX(Dati!$BY$1:$BY$1000,MATCH($A11,Dati!$A$1:$A$1000,0))&amp;" · ","")&amp;IF(INDEX(Dati!$FB$1:$FB$1000,MATCH($A11,Dati!$A$1:$A$1000,0))&gt;0,Dati!$BZ$3&amp;": "&amp;INDEX(Dati!$BZ$1:$BZ$1000,MATCH($A11,Dati!$A$1:$A$1000,0))&amp;" · ",""))="",IF(INDEX(Dati!$FY$1:$FY$1000,MATCH($A11,Dati!$A$1:$A$1000,0))=1,"AS da recuperare",""),LEFT(IF(INDEX(Dati!$EY$1:$EY$1000,MATCH($A11,Dati!$A$1:$A$1000,0))&gt;0,Dati!$BW$3&amp;": "&amp;INDEX(Dati!$BW$1:$BW$1000,MATCH($A11,Dati!$A$1:$A$1000,0))&amp;" · ","")&amp;IF(INDEX(Dati!$EZ$1:$EZ$1000,MATCH($A11,Dati!$A$1:$A$1000,0))&gt;0,Dati!$BX$3&amp;": "&amp;INDEX(Dati!$BX$1:$BX$1000,MATCH($A11,Dati!$A$1:$A$1000,0))&amp;" · ","")&amp;IF(INDEX(Dati!$FA$1:$FA$1000,MATCH($A11,Dati!$A$1:$A$1000,0))&gt;0,Dati!$BY$3&amp;": "&amp;INDEX(Dati!$BY$1:$BY$1000,MATCH($A11,Dati!$A$1:$A$1000,0))&amp;" · ","")&amp;IF(INDEX(Dati!$FB$1:$FB$1000,MATCH($A11,Dati!$A$1:$A$1000,0))&gt;0,Dati!$BZ$3&amp;": "&amp;INDEX(Dati!$BZ$1:$BZ$1000,MATCH($A11,Dati!$A$1:$A$1000,0))&amp;" · ",""),LEN(IF(INDEX(Dati!$EY$1:$EY$1000,MATCH($A11,Dati!$A$1:$A$1000,0))&gt;0,Dati!$BW$3&amp;": "&amp;INDEX(Dati!$BW$1:$BW$1000,MATCH($A11,Dati!$A$1:$A$1000,0))&amp;" · ","")&amp;IF(INDEX(Dati!$EZ$1:$EZ$1000,MATCH($A11,Dati!$A$1:$A$1000,0))&gt;0,Dati!$BX$3&amp;": "&amp;INDEX(Dati!$BX$1:$BX$1000,MATCH($A11,Dati!$A$1:$A$1000,0))&amp;" · ","")&amp;IF(INDEX(Dati!$FA$1:$FA$1000,MATCH($A11,Dati!$A$1:$A$1000,0))&gt;0,Dati!$BY$3&amp;": "&amp;INDEX(Dati!$BY$1:$BY$1000,MATCH($A11,Dati!$A$1:$A$1000,0))&amp;" · ","")&amp;IF(INDEX(Dati!$FB$1:$FB$1000,MATCH($A11,Dati!$A$1:$A$1000,0))&gt;0,Dati!$BZ$3&amp;": "&amp;INDEX(Dati!$BZ$1:$BZ$1000,MATCH($A11,Dati!$A$1:$A$1000,0))&amp;" · ",""))-3)),""))</f>
        <v/>
      </c>
      <c r="V11" s="55" t="str">
        <f aca="false">IF($B11="","",IFERROR(IF((IF(INDEX(Dati!$FC$1:$FC$1000,MATCH($A11,Dati!$A$1:$A$1000,0))&gt;0,Dati!$CA$3&amp;": "&amp;INDEX(Dati!$CA$1:$CA$1000,MATCH($A11,Dati!$A$1:$A$1000,0))&amp;" · ","")&amp;IF(INDEX(Dati!$FD$1:$FD$1000,MATCH($A11,Dati!$A$1:$A$1000,0))&gt;0,Dati!$CB$3&amp;": "&amp;INDEX(Dati!$CB$1:$CB$1000,MATCH($A11,Dati!$A$1:$A$1000,0))&amp;" · ","")&amp;IF(INDEX(Dati!$FE$1:$FE$1000,MATCH($A11,Dati!$A$1:$A$1000,0))&gt;0,Dati!$CC$3&amp;": "&amp;INDEX(Dati!$CC$1:$CC$1000,MATCH($A11,Dati!$A$1:$A$1000,0))&amp;" · ","")&amp;IF(INDEX(Dati!$FF$1:$FF$1000,MATCH($A11,Dati!$A$1:$A$1000,0))&gt;0,Dati!$CD$3&amp;": "&amp;INDEX(Dati!$CD$1:$CD$1000,MATCH($A11,Dati!$A$1:$A$1000,0))&amp;" · ",""))="",IF(INDEX(Dati!$FZ$1:$FZ$1000,MATCH($A11,Dati!$A$1:$A$1000,0))=1,"AS da recuperare",""),LEFT(IF(INDEX(Dati!$FC$1:$FC$1000,MATCH($A11,Dati!$A$1:$A$1000,0))&gt;0,Dati!$CA$3&amp;": "&amp;INDEX(Dati!$CA$1:$CA$1000,MATCH($A11,Dati!$A$1:$A$1000,0))&amp;" · ","")&amp;IF(INDEX(Dati!$FD$1:$FD$1000,MATCH($A11,Dati!$A$1:$A$1000,0))&gt;0,Dati!$CB$3&amp;": "&amp;INDEX(Dati!$CB$1:$CB$1000,MATCH($A11,Dati!$A$1:$A$1000,0))&amp;" · ","")&amp;IF(INDEX(Dati!$FE$1:$FE$1000,MATCH($A11,Dati!$A$1:$A$1000,0))&gt;0,Dati!$CC$3&amp;": "&amp;INDEX(Dati!$CC$1:$CC$1000,MATCH($A11,Dati!$A$1:$A$1000,0))&amp;" · ","")&amp;IF(INDEX(Dati!$FF$1:$FF$1000,MATCH($A11,Dati!$A$1:$A$1000,0))&gt;0,Dati!$CD$3&amp;": "&amp;INDEX(Dati!$CD$1:$CD$1000,MATCH($A11,Dati!$A$1:$A$1000,0))&amp;" · ",""),LEN(IF(INDEX(Dati!$FC$1:$FC$1000,MATCH($A11,Dati!$A$1:$A$1000,0))&gt;0,Dati!$CA$3&amp;": "&amp;INDEX(Dati!$CA$1:$CA$1000,MATCH($A11,Dati!$A$1:$A$1000,0))&amp;" · ","")&amp;IF(INDEX(Dati!$FD$1:$FD$1000,MATCH($A11,Dati!$A$1:$A$1000,0))&gt;0,Dati!$CB$3&amp;": "&amp;INDEX(Dati!$CB$1:$CB$1000,MATCH($A11,Dati!$A$1:$A$1000,0))&amp;" · ","")&amp;IF(INDEX(Dati!$FE$1:$FE$1000,MATCH($A11,Dati!$A$1:$A$1000,0))&gt;0,Dati!$CC$3&amp;": "&amp;INDEX(Dati!$CC$1:$CC$1000,MATCH($A11,Dati!$A$1:$A$1000,0))&amp;" · ","")&amp;IF(INDEX(Dati!$FF$1:$FF$1000,MATCH($A11,Dati!$A$1:$A$1000,0))&gt;0,Dati!$CD$3&amp;": "&amp;INDEX(Dati!$CD$1:$CD$1000,MATCH($A11,Dati!$A$1:$A$1000,0))&amp;" · ",""))-3)),""))</f>
        <v/>
      </c>
    </row>
    <row r="12" customFormat="false" ht="19.5" hidden="false" customHeight="true" outlineLevel="0" collapsed="false">
      <c r="A12" s="10" t="n">
        <v>8</v>
      </c>
      <c r="B12" s="16" t="str">
        <f aca="false">IFERROR(INDEX(Alunni!$C$1:$C$1000,MATCH($A12,Alunni!$A$1:$A$1000,0))&amp;"","")</f>
        <v/>
      </c>
      <c r="C12" s="55" t="str">
        <f aca="false">IF($B12="","",IFERROR(IF((IF(INDEX(Dati!$CE$1:$CE$1000,MATCH($A12,Dati!$A$1:$A$1000,0))&gt;0,Dati!$C$3&amp;": "&amp;INDEX(Dati!$C$1:$C$1000,MATCH($A12,Dati!$A$1:$A$1000,0))&amp;" · ","")&amp;IF(INDEX(Dati!$CF$1:$CF$1000,MATCH($A12,Dati!$A$1:$A$1000,0))&gt;0,Dati!$D$3&amp;": "&amp;INDEX(Dati!$D$1:$D$1000,MATCH($A12,Dati!$A$1:$A$1000,0))&amp;" · ","")&amp;IF(INDEX(Dati!$CG$1:$CG$1000,MATCH($A12,Dati!$A$1:$A$1000,0))&gt;0,Dati!$E$3&amp;": "&amp;INDEX(Dati!$E$1:$E$1000,MATCH($A12,Dati!$A$1:$A$1000,0))&amp;" · ","")&amp;IF(INDEX(Dati!$CH$1:$CH$1000,MATCH($A12,Dati!$A$1:$A$1000,0))&gt;0,Dati!$F$3&amp;": "&amp;INDEX(Dati!$F$1:$F$1000,MATCH($A12,Dati!$A$1:$A$1000,0))&amp;" · ",""))="",IF(INDEX(Dati!$FG$1:$FG$1000,MATCH($A12,Dati!$A$1:$A$1000,0))=1,"AS da recuperare",""),LEFT(IF(INDEX(Dati!$CE$1:$CE$1000,MATCH($A12,Dati!$A$1:$A$1000,0))&gt;0,Dati!$C$3&amp;": "&amp;INDEX(Dati!$C$1:$C$1000,MATCH($A12,Dati!$A$1:$A$1000,0))&amp;" · ","")&amp;IF(INDEX(Dati!$CF$1:$CF$1000,MATCH($A12,Dati!$A$1:$A$1000,0))&gt;0,Dati!$D$3&amp;": "&amp;INDEX(Dati!$D$1:$D$1000,MATCH($A12,Dati!$A$1:$A$1000,0))&amp;" · ","")&amp;IF(INDEX(Dati!$CG$1:$CG$1000,MATCH($A12,Dati!$A$1:$A$1000,0))&gt;0,Dati!$E$3&amp;": "&amp;INDEX(Dati!$E$1:$E$1000,MATCH($A12,Dati!$A$1:$A$1000,0))&amp;" · ","")&amp;IF(INDEX(Dati!$CH$1:$CH$1000,MATCH($A12,Dati!$A$1:$A$1000,0))&gt;0,Dati!$F$3&amp;": "&amp;INDEX(Dati!$F$1:$F$1000,MATCH($A12,Dati!$A$1:$A$1000,0))&amp;" · ",""),LEN(IF(INDEX(Dati!$CE$1:$CE$1000,MATCH($A12,Dati!$A$1:$A$1000,0))&gt;0,Dati!$C$3&amp;": "&amp;INDEX(Dati!$C$1:$C$1000,MATCH($A12,Dati!$A$1:$A$1000,0))&amp;" · ","")&amp;IF(INDEX(Dati!$CF$1:$CF$1000,MATCH($A12,Dati!$A$1:$A$1000,0))&gt;0,Dati!$D$3&amp;": "&amp;INDEX(Dati!$D$1:$D$1000,MATCH($A12,Dati!$A$1:$A$1000,0))&amp;" · ","")&amp;IF(INDEX(Dati!$CG$1:$CG$1000,MATCH($A12,Dati!$A$1:$A$1000,0))&gt;0,Dati!$E$3&amp;": "&amp;INDEX(Dati!$E$1:$E$1000,MATCH($A12,Dati!$A$1:$A$1000,0))&amp;" · ","")&amp;IF(INDEX(Dati!$CH$1:$CH$1000,MATCH($A12,Dati!$A$1:$A$1000,0))&gt;0,Dati!$F$3&amp;": "&amp;INDEX(Dati!$F$1:$F$1000,MATCH($A12,Dati!$A$1:$A$1000,0))&amp;" · ",""))-3)),""))</f>
        <v/>
      </c>
      <c r="D12" s="55" t="str">
        <f aca="false">IF($B12="","",IFERROR(IF((IF(INDEX(Dati!$CI$1:$CI$1000,MATCH($A12,Dati!$A$1:$A$1000,0))&gt;0,Dati!$G$3&amp;": "&amp;INDEX(Dati!$G$1:$G$1000,MATCH($A12,Dati!$A$1:$A$1000,0))&amp;" · ","")&amp;IF(INDEX(Dati!$CJ$1:$CJ$1000,MATCH($A12,Dati!$A$1:$A$1000,0))&gt;0,Dati!$H$3&amp;": "&amp;INDEX(Dati!$H$1:$H$1000,MATCH($A12,Dati!$A$1:$A$1000,0))&amp;" · ","")&amp;IF(INDEX(Dati!$CK$1:$CK$1000,MATCH($A12,Dati!$A$1:$A$1000,0))&gt;0,Dati!$I$3&amp;": "&amp;INDEX(Dati!$I$1:$I$1000,MATCH($A12,Dati!$A$1:$A$1000,0))&amp;" · ","")&amp;IF(INDEX(Dati!$CL$1:$CL$1000,MATCH($A12,Dati!$A$1:$A$1000,0))&gt;0,Dati!$J$3&amp;": "&amp;INDEX(Dati!$J$1:$J$1000,MATCH($A12,Dati!$A$1:$A$1000,0))&amp;" · ",""))="",IF(INDEX(Dati!$FH$1:$FH$1000,MATCH($A12,Dati!$A$1:$A$1000,0))=1,"AS da recuperare",""),LEFT(IF(INDEX(Dati!$CI$1:$CI$1000,MATCH($A12,Dati!$A$1:$A$1000,0))&gt;0,Dati!$G$3&amp;": "&amp;INDEX(Dati!$G$1:$G$1000,MATCH($A12,Dati!$A$1:$A$1000,0))&amp;" · ","")&amp;IF(INDEX(Dati!$CJ$1:$CJ$1000,MATCH($A12,Dati!$A$1:$A$1000,0))&gt;0,Dati!$H$3&amp;": "&amp;INDEX(Dati!$H$1:$H$1000,MATCH($A12,Dati!$A$1:$A$1000,0))&amp;" · ","")&amp;IF(INDEX(Dati!$CK$1:$CK$1000,MATCH($A12,Dati!$A$1:$A$1000,0))&gt;0,Dati!$I$3&amp;": "&amp;INDEX(Dati!$I$1:$I$1000,MATCH($A12,Dati!$A$1:$A$1000,0))&amp;" · ","")&amp;IF(INDEX(Dati!$CL$1:$CL$1000,MATCH($A12,Dati!$A$1:$A$1000,0))&gt;0,Dati!$J$3&amp;": "&amp;INDEX(Dati!$J$1:$J$1000,MATCH($A12,Dati!$A$1:$A$1000,0))&amp;" · ",""),LEN(IF(INDEX(Dati!$CI$1:$CI$1000,MATCH($A12,Dati!$A$1:$A$1000,0))&gt;0,Dati!$G$3&amp;": "&amp;INDEX(Dati!$G$1:$G$1000,MATCH($A12,Dati!$A$1:$A$1000,0))&amp;" · ","")&amp;IF(INDEX(Dati!$CJ$1:$CJ$1000,MATCH($A12,Dati!$A$1:$A$1000,0))&gt;0,Dati!$H$3&amp;": "&amp;INDEX(Dati!$H$1:$H$1000,MATCH($A12,Dati!$A$1:$A$1000,0))&amp;" · ","")&amp;IF(INDEX(Dati!$CK$1:$CK$1000,MATCH($A12,Dati!$A$1:$A$1000,0))&gt;0,Dati!$I$3&amp;": "&amp;INDEX(Dati!$I$1:$I$1000,MATCH($A12,Dati!$A$1:$A$1000,0))&amp;" · ","")&amp;IF(INDEX(Dati!$CL$1:$CL$1000,MATCH($A12,Dati!$A$1:$A$1000,0))&gt;0,Dati!$J$3&amp;": "&amp;INDEX(Dati!$J$1:$J$1000,MATCH($A12,Dati!$A$1:$A$1000,0))&amp;" · ",""))-3)),""))</f>
        <v/>
      </c>
      <c r="E12" s="55" t="str">
        <f aca="false">IF($B12="","",IFERROR(IF((IF(INDEX(Dati!$CM$1:$CM$1000,MATCH($A12,Dati!$A$1:$A$1000,0))&gt;0,Dati!$K$3&amp;": "&amp;INDEX(Dati!$K$1:$K$1000,MATCH($A12,Dati!$A$1:$A$1000,0))&amp;" · ","")&amp;IF(INDEX(Dati!$CN$1:$CN$1000,MATCH($A12,Dati!$A$1:$A$1000,0))&gt;0,Dati!$L$3&amp;": "&amp;INDEX(Dati!$L$1:$L$1000,MATCH($A12,Dati!$A$1:$A$1000,0))&amp;" · ","")&amp;IF(INDEX(Dati!$CO$1:$CO$1000,MATCH($A12,Dati!$A$1:$A$1000,0))&gt;0,Dati!$M$3&amp;": "&amp;INDEX(Dati!$M$1:$M$1000,MATCH($A12,Dati!$A$1:$A$1000,0))&amp;" · ","")&amp;IF(INDEX(Dati!$CP$1:$CP$1000,MATCH($A12,Dati!$A$1:$A$1000,0))&gt;0,Dati!$N$3&amp;": "&amp;INDEX(Dati!$N$1:$N$1000,MATCH($A12,Dati!$A$1:$A$1000,0))&amp;" · ",""))="",IF(INDEX(Dati!$FI$1:$FI$1000,MATCH($A12,Dati!$A$1:$A$1000,0))=1,"AS da recuperare",""),LEFT(IF(INDEX(Dati!$CM$1:$CM$1000,MATCH($A12,Dati!$A$1:$A$1000,0))&gt;0,Dati!$K$3&amp;": "&amp;INDEX(Dati!$K$1:$K$1000,MATCH($A12,Dati!$A$1:$A$1000,0))&amp;" · ","")&amp;IF(INDEX(Dati!$CN$1:$CN$1000,MATCH($A12,Dati!$A$1:$A$1000,0))&gt;0,Dati!$L$3&amp;": "&amp;INDEX(Dati!$L$1:$L$1000,MATCH($A12,Dati!$A$1:$A$1000,0))&amp;" · ","")&amp;IF(INDEX(Dati!$CO$1:$CO$1000,MATCH($A12,Dati!$A$1:$A$1000,0))&gt;0,Dati!$M$3&amp;": "&amp;INDEX(Dati!$M$1:$M$1000,MATCH($A12,Dati!$A$1:$A$1000,0))&amp;" · ","")&amp;IF(INDEX(Dati!$CP$1:$CP$1000,MATCH($A12,Dati!$A$1:$A$1000,0))&gt;0,Dati!$N$3&amp;": "&amp;INDEX(Dati!$N$1:$N$1000,MATCH($A12,Dati!$A$1:$A$1000,0))&amp;" · ",""),LEN(IF(INDEX(Dati!$CM$1:$CM$1000,MATCH($A12,Dati!$A$1:$A$1000,0))&gt;0,Dati!$K$3&amp;": "&amp;INDEX(Dati!$K$1:$K$1000,MATCH($A12,Dati!$A$1:$A$1000,0))&amp;" · ","")&amp;IF(INDEX(Dati!$CN$1:$CN$1000,MATCH($A12,Dati!$A$1:$A$1000,0))&gt;0,Dati!$L$3&amp;": "&amp;INDEX(Dati!$L$1:$L$1000,MATCH($A12,Dati!$A$1:$A$1000,0))&amp;" · ","")&amp;IF(INDEX(Dati!$CO$1:$CO$1000,MATCH($A12,Dati!$A$1:$A$1000,0))&gt;0,Dati!$M$3&amp;": "&amp;INDEX(Dati!$M$1:$M$1000,MATCH($A12,Dati!$A$1:$A$1000,0))&amp;" · ","")&amp;IF(INDEX(Dati!$CP$1:$CP$1000,MATCH($A12,Dati!$A$1:$A$1000,0))&gt;0,Dati!$N$3&amp;": "&amp;INDEX(Dati!$N$1:$N$1000,MATCH($A12,Dati!$A$1:$A$1000,0))&amp;" · ",""))-3)),""))</f>
        <v/>
      </c>
      <c r="F12" s="55" t="str">
        <f aca="false">IF($B12="","",IFERROR(IF((IF(INDEX(Dati!$CQ$1:$CQ$1000,MATCH($A12,Dati!$A$1:$A$1000,0))&gt;0,Dati!$O$3&amp;": "&amp;INDEX(Dati!$O$1:$O$1000,MATCH($A12,Dati!$A$1:$A$1000,0))&amp;" · ","")&amp;IF(INDEX(Dati!$CR$1:$CR$1000,MATCH($A12,Dati!$A$1:$A$1000,0))&gt;0,Dati!$P$3&amp;": "&amp;INDEX(Dati!$P$1:$P$1000,MATCH($A12,Dati!$A$1:$A$1000,0))&amp;" · ","")&amp;IF(INDEX(Dati!$CS$1:$CS$1000,MATCH($A12,Dati!$A$1:$A$1000,0))&gt;0,Dati!$Q$3&amp;": "&amp;INDEX(Dati!$Q$1:$Q$1000,MATCH($A12,Dati!$A$1:$A$1000,0))&amp;" · ","")&amp;IF(INDEX(Dati!$CT$1:$CT$1000,MATCH($A12,Dati!$A$1:$A$1000,0))&gt;0,Dati!$R$3&amp;": "&amp;INDEX(Dati!$R$1:$R$1000,MATCH($A12,Dati!$A$1:$A$1000,0))&amp;" · ",""))="",IF(INDEX(Dati!$FJ$1:$FJ$1000,MATCH($A12,Dati!$A$1:$A$1000,0))=1,"AS da recuperare",""),LEFT(IF(INDEX(Dati!$CQ$1:$CQ$1000,MATCH($A12,Dati!$A$1:$A$1000,0))&gt;0,Dati!$O$3&amp;": "&amp;INDEX(Dati!$O$1:$O$1000,MATCH($A12,Dati!$A$1:$A$1000,0))&amp;" · ","")&amp;IF(INDEX(Dati!$CR$1:$CR$1000,MATCH($A12,Dati!$A$1:$A$1000,0))&gt;0,Dati!$P$3&amp;": "&amp;INDEX(Dati!$P$1:$P$1000,MATCH($A12,Dati!$A$1:$A$1000,0))&amp;" · ","")&amp;IF(INDEX(Dati!$CS$1:$CS$1000,MATCH($A12,Dati!$A$1:$A$1000,0))&gt;0,Dati!$Q$3&amp;": "&amp;INDEX(Dati!$Q$1:$Q$1000,MATCH($A12,Dati!$A$1:$A$1000,0))&amp;" · ","")&amp;IF(INDEX(Dati!$CT$1:$CT$1000,MATCH($A12,Dati!$A$1:$A$1000,0))&gt;0,Dati!$R$3&amp;": "&amp;INDEX(Dati!$R$1:$R$1000,MATCH($A12,Dati!$A$1:$A$1000,0))&amp;" · ",""),LEN(IF(INDEX(Dati!$CQ$1:$CQ$1000,MATCH($A12,Dati!$A$1:$A$1000,0))&gt;0,Dati!$O$3&amp;": "&amp;INDEX(Dati!$O$1:$O$1000,MATCH($A12,Dati!$A$1:$A$1000,0))&amp;" · ","")&amp;IF(INDEX(Dati!$CR$1:$CR$1000,MATCH($A12,Dati!$A$1:$A$1000,0))&gt;0,Dati!$P$3&amp;": "&amp;INDEX(Dati!$P$1:$P$1000,MATCH($A12,Dati!$A$1:$A$1000,0))&amp;" · ","")&amp;IF(INDEX(Dati!$CS$1:$CS$1000,MATCH($A12,Dati!$A$1:$A$1000,0))&gt;0,Dati!$Q$3&amp;": "&amp;INDEX(Dati!$Q$1:$Q$1000,MATCH($A12,Dati!$A$1:$A$1000,0))&amp;" · ","")&amp;IF(INDEX(Dati!$CT$1:$CT$1000,MATCH($A12,Dati!$A$1:$A$1000,0))&gt;0,Dati!$R$3&amp;": "&amp;INDEX(Dati!$R$1:$R$1000,MATCH($A12,Dati!$A$1:$A$1000,0))&amp;" · ",""))-3)),""))</f>
        <v/>
      </c>
      <c r="G12" s="55" t="str">
        <f aca="false">IF($B12="","",IFERROR(IF((IF(INDEX(Dati!$CU$1:$CU$1000,MATCH($A12,Dati!$A$1:$A$1000,0))&gt;0,Dati!$S$3&amp;": "&amp;INDEX(Dati!$S$1:$S$1000,MATCH($A12,Dati!$A$1:$A$1000,0))&amp;" · ","")&amp;IF(INDEX(Dati!$CV$1:$CV$1000,MATCH($A12,Dati!$A$1:$A$1000,0))&gt;0,Dati!$T$3&amp;": "&amp;INDEX(Dati!$T$1:$T$1000,MATCH($A12,Dati!$A$1:$A$1000,0))&amp;" · ","")&amp;IF(INDEX(Dati!$CW$1:$CW$1000,MATCH($A12,Dati!$A$1:$A$1000,0))&gt;0,Dati!$U$3&amp;": "&amp;INDEX(Dati!$U$1:$U$1000,MATCH($A12,Dati!$A$1:$A$1000,0))&amp;" · ","")&amp;IF(INDEX(Dati!$CX$1:$CX$1000,MATCH($A12,Dati!$A$1:$A$1000,0))&gt;0,Dati!$V$3&amp;": "&amp;INDEX(Dati!$V$1:$V$1000,MATCH($A12,Dati!$A$1:$A$1000,0))&amp;" · ",""))="",IF(INDEX(Dati!$FK$1:$FK$1000,MATCH($A12,Dati!$A$1:$A$1000,0))=1,"AS da recuperare",""),LEFT(IF(INDEX(Dati!$CU$1:$CU$1000,MATCH($A12,Dati!$A$1:$A$1000,0))&gt;0,Dati!$S$3&amp;": "&amp;INDEX(Dati!$S$1:$S$1000,MATCH($A12,Dati!$A$1:$A$1000,0))&amp;" · ","")&amp;IF(INDEX(Dati!$CV$1:$CV$1000,MATCH($A12,Dati!$A$1:$A$1000,0))&gt;0,Dati!$T$3&amp;": "&amp;INDEX(Dati!$T$1:$T$1000,MATCH($A12,Dati!$A$1:$A$1000,0))&amp;" · ","")&amp;IF(INDEX(Dati!$CW$1:$CW$1000,MATCH($A12,Dati!$A$1:$A$1000,0))&gt;0,Dati!$U$3&amp;": "&amp;INDEX(Dati!$U$1:$U$1000,MATCH($A12,Dati!$A$1:$A$1000,0))&amp;" · ","")&amp;IF(INDEX(Dati!$CX$1:$CX$1000,MATCH($A12,Dati!$A$1:$A$1000,0))&gt;0,Dati!$V$3&amp;": "&amp;INDEX(Dati!$V$1:$V$1000,MATCH($A12,Dati!$A$1:$A$1000,0))&amp;" · ",""),LEN(IF(INDEX(Dati!$CU$1:$CU$1000,MATCH($A12,Dati!$A$1:$A$1000,0))&gt;0,Dati!$S$3&amp;": "&amp;INDEX(Dati!$S$1:$S$1000,MATCH($A12,Dati!$A$1:$A$1000,0))&amp;" · ","")&amp;IF(INDEX(Dati!$CV$1:$CV$1000,MATCH($A12,Dati!$A$1:$A$1000,0))&gt;0,Dati!$T$3&amp;": "&amp;INDEX(Dati!$T$1:$T$1000,MATCH($A12,Dati!$A$1:$A$1000,0))&amp;" · ","")&amp;IF(INDEX(Dati!$CW$1:$CW$1000,MATCH($A12,Dati!$A$1:$A$1000,0))&gt;0,Dati!$U$3&amp;": "&amp;INDEX(Dati!$U$1:$U$1000,MATCH($A12,Dati!$A$1:$A$1000,0))&amp;" · ","")&amp;IF(INDEX(Dati!$CX$1:$CX$1000,MATCH($A12,Dati!$A$1:$A$1000,0))&gt;0,Dati!$V$3&amp;": "&amp;INDEX(Dati!$V$1:$V$1000,MATCH($A12,Dati!$A$1:$A$1000,0))&amp;" · ",""))-3)),""))</f>
        <v/>
      </c>
      <c r="H12" s="55" t="str">
        <f aca="false">IF($B12="","",IFERROR(IF((IF(INDEX(Dati!$CY$1:$CY$1000,MATCH($A12,Dati!$A$1:$A$1000,0))&gt;0,Dati!$W$3&amp;": "&amp;INDEX(Dati!$W$1:$W$1000,MATCH($A12,Dati!$A$1:$A$1000,0))&amp;" · ","")&amp;IF(INDEX(Dati!$CZ$1:$CZ$1000,MATCH($A12,Dati!$A$1:$A$1000,0))&gt;0,Dati!$X$3&amp;": "&amp;INDEX(Dati!$X$1:$X$1000,MATCH($A12,Dati!$A$1:$A$1000,0))&amp;" · ","")&amp;IF(INDEX(Dati!$DA$1:$DA$1000,MATCH($A12,Dati!$A$1:$A$1000,0))&gt;0,Dati!$Y$3&amp;": "&amp;INDEX(Dati!$Y$1:$Y$1000,MATCH($A12,Dati!$A$1:$A$1000,0))&amp;" · ","")&amp;IF(INDEX(Dati!$DB$1:$DB$1000,MATCH($A12,Dati!$A$1:$A$1000,0))&gt;0,Dati!$Z$3&amp;": "&amp;INDEX(Dati!$Z$1:$Z$1000,MATCH($A12,Dati!$A$1:$A$1000,0))&amp;" · ",""))="",IF(INDEX(Dati!$FL$1:$FL$1000,MATCH($A12,Dati!$A$1:$A$1000,0))=1,"AS da recuperare",""),LEFT(IF(INDEX(Dati!$CY$1:$CY$1000,MATCH($A12,Dati!$A$1:$A$1000,0))&gt;0,Dati!$W$3&amp;": "&amp;INDEX(Dati!$W$1:$W$1000,MATCH($A12,Dati!$A$1:$A$1000,0))&amp;" · ","")&amp;IF(INDEX(Dati!$CZ$1:$CZ$1000,MATCH($A12,Dati!$A$1:$A$1000,0))&gt;0,Dati!$X$3&amp;": "&amp;INDEX(Dati!$X$1:$X$1000,MATCH($A12,Dati!$A$1:$A$1000,0))&amp;" · ","")&amp;IF(INDEX(Dati!$DA$1:$DA$1000,MATCH($A12,Dati!$A$1:$A$1000,0))&gt;0,Dati!$Y$3&amp;": "&amp;INDEX(Dati!$Y$1:$Y$1000,MATCH($A12,Dati!$A$1:$A$1000,0))&amp;" · ","")&amp;IF(INDEX(Dati!$DB$1:$DB$1000,MATCH($A12,Dati!$A$1:$A$1000,0))&gt;0,Dati!$Z$3&amp;": "&amp;INDEX(Dati!$Z$1:$Z$1000,MATCH($A12,Dati!$A$1:$A$1000,0))&amp;" · ",""),LEN(IF(INDEX(Dati!$CY$1:$CY$1000,MATCH($A12,Dati!$A$1:$A$1000,0))&gt;0,Dati!$W$3&amp;": "&amp;INDEX(Dati!$W$1:$W$1000,MATCH($A12,Dati!$A$1:$A$1000,0))&amp;" · ","")&amp;IF(INDEX(Dati!$CZ$1:$CZ$1000,MATCH($A12,Dati!$A$1:$A$1000,0))&gt;0,Dati!$X$3&amp;": "&amp;INDEX(Dati!$X$1:$X$1000,MATCH($A12,Dati!$A$1:$A$1000,0))&amp;" · ","")&amp;IF(INDEX(Dati!$DA$1:$DA$1000,MATCH($A12,Dati!$A$1:$A$1000,0))&gt;0,Dati!$Y$3&amp;": "&amp;INDEX(Dati!$Y$1:$Y$1000,MATCH($A12,Dati!$A$1:$A$1000,0))&amp;" · ","")&amp;IF(INDEX(Dati!$DB$1:$DB$1000,MATCH($A12,Dati!$A$1:$A$1000,0))&gt;0,Dati!$Z$3&amp;": "&amp;INDEX(Dati!$Z$1:$Z$1000,MATCH($A12,Dati!$A$1:$A$1000,0))&amp;" · ",""))-3)),""))</f>
        <v/>
      </c>
      <c r="I12" s="55" t="str">
        <f aca="false">IF($B12="","",IFERROR(IF((IF(INDEX(Dati!$DC$1:$DC$1000,MATCH($A12,Dati!$A$1:$A$1000,0))&gt;0,Dati!$AA$3&amp;": "&amp;INDEX(Dati!$AA$1:$AA$1000,MATCH($A12,Dati!$A$1:$A$1000,0))&amp;" · ","")&amp;IF(INDEX(Dati!$DD$1:$DD$1000,MATCH($A12,Dati!$A$1:$A$1000,0))&gt;0,Dati!$AB$3&amp;": "&amp;INDEX(Dati!$AB$1:$AB$1000,MATCH($A12,Dati!$A$1:$A$1000,0))&amp;" · ","")&amp;IF(INDEX(Dati!$DE$1:$DE$1000,MATCH($A12,Dati!$A$1:$A$1000,0))&gt;0,Dati!$AC$3&amp;": "&amp;INDEX(Dati!$AC$1:$AC$1000,MATCH($A12,Dati!$A$1:$A$1000,0))&amp;" · ","")&amp;IF(INDEX(Dati!$DF$1:$DF$1000,MATCH($A12,Dati!$A$1:$A$1000,0))&gt;0,Dati!$AD$3&amp;": "&amp;INDEX(Dati!$AD$1:$AD$1000,MATCH($A12,Dati!$A$1:$A$1000,0))&amp;" · ",""))="",IF(INDEX(Dati!$FM$1:$FM$1000,MATCH($A12,Dati!$A$1:$A$1000,0))=1,"AS da recuperare",""),LEFT(IF(INDEX(Dati!$DC$1:$DC$1000,MATCH($A12,Dati!$A$1:$A$1000,0))&gt;0,Dati!$AA$3&amp;": "&amp;INDEX(Dati!$AA$1:$AA$1000,MATCH($A12,Dati!$A$1:$A$1000,0))&amp;" · ","")&amp;IF(INDEX(Dati!$DD$1:$DD$1000,MATCH($A12,Dati!$A$1:$A$1000,0))&gt;0,Dati!$AB$3&amp;": "&amp;INDEX(Dati!$AB$1:$AB$1000,MATCH($A12,Dati!$A$1:$A$1000,0))&amp;" · ","")&amp;IF(INDEX(Dati!$DE$1:$DE$1000,MATCH($A12,Dati!$A$1:$A$1000,0))&gt;0,Dati!$AC$3&amp;": "&amp;INDEX(Dati!$AC$1:$AC$1000,MATCH($A12,Dati!$A$1:$A$1000,0))&amp;" · ","")&amp;IF(INDEX(Dati!$DF$1:$DF$1000,MATCH($A12,Dati!$A$1:$A$1000,0))&gt;0,Dati!$AD$3&amp;": "&amp;INDEX(Dati!$AD$1:$AD$1000,MATCH($A12,Dati!$A$1:$A$1000,0))&amp;" · ",""),LEN(IF(INDEX(Dati!$DC$1:$DC$1000,MATCH($A12,Dati!$A$1:$A$1000,0))&gt;0,Dati!$AA$3&amp;": "&amp;INDEX(Dati!$AA$1:$AA$1000,MATCH($A12,Dati!$A$1:$A$1000,0))&amp;" · ","")&amp;IF(INDEX(Dati!$DD$1:$DD$1000,MATCH($A12,Dati!$A$1:$A$1000,0))&gt;0,Dati!$AB$3&amp;": "&amp;INDEX(Dati!$AB$1:$AB$1000,MATCH($A12,Dati!$A$1:$A$1000,0))&amp;" · ","")&amp;IF(INDEX(Dati!$DE$1:$DE$1000,MATCH($A12,Dati!$A$1:$A$1000,0))&gt;0,Dati!$AC$3&amp;": "&amp;INDEX(Dati!$AC$1:$AC$1000,MATCH($A12,Dati!$A$1:$A$1000,0))&amp;" · ","")&amp;IF(INDEX(Dati!$DF$1:$DF$1000,MATCH($A12,Dati!$A$1:$A$1000,0))&gt;0,Dati!$AD$3&amp;": "&amp;INDEX(Dati!$AD$1:$AD$1000,MATCH($A12,Dati!$A$1:$A$1000,0))&amp;" · ",""))-3)),""))</f>
        <v/>
      </c>
      <c r="J12" s="55" t="str">
        <f aca="false">IF($B12="","",IFERROR(IF((IF(INDEX(Dati!$DG$1:$DG$1000,MATCH($A12,Dati!$A$1:$A$1000,0))&gt;0,Dati!$AE$3&amp;": "&amp;INDEX(Dati!$AE$1:$AE$1000,MATCH($A12,Dati!$A$1:$A$1000,0))&amp;" · ","")&amp;IF(INDEX(Dati!$DH$1:$DH$1000,MATCH($A12,Dati!$A$1:$A$1000,0))&gt;0,Dati!$AF$3&amp;": "&amp;INDEX(Dati!$AF$1:$AF$1000,MATCH($A12,Dati!$A$1:$A$1000,0))&amp;" · ","")&amp;IF(INDEX(Dati!$DI$1:$DI$1000,MATCH($A12,Dati!$A$1:$A$1000,0))&gt;0,Dati!$AG$3&amp;": "&amp;INDEX(Dati!$AG$1:$AG$1000,MATCH($A12,Dati!$A$1:$A$1000,0))&amp;" · ","")&amp;IF(INDEX(Dati!$DJ$1:$DJ$1000,MATCH($A12,Dati!$A$1:$A$1000,0))&gt;0,Dati!$AH$3&amp;": "&amp;INDEX(Dati!$AH$1:$AH$1000,MATCH($A12,Dati!$A$1:$A$1000,0))&amp;" · ",""))="",IF(INDEX(Dati!$FN$1:$FN$1000,MATCH($A12,Dati!$A$1:$A$1000,0))=1,"AS da recuperare",""),LEFT(IF(INDEX(Dati!$DG$1:$DG$1000,MATCH($A12,Dati!$A$1:$A$1000,0))&gt;0,Dati!$AE$3&amp;": "&amp;INDEX(Dati!$AE$1:$AE$1000,MATCH($A12,Dati!$A$1:$A$1000,0))&amp;" · ","")&amp;IF(INDEX(Dati!$DH$1:$DH$1000,MATCH($A12,Dati!$A$1:$A$1000,0))&gt;0,Dati!$AF$3&amp;": "&amp;INDEX(Dati!$AF$1:$AF$1000,MATCH($A12,Dati!$A$1:$A$1000,0))&amp;" · ","")&amp;IF(INDEX(Dati!$DI$1:$DI$1000,MATCH($A12,Dati!$A$1:$A$1000,0))&gt;0,Dati!$AG$3&amp;": "&amp;INDEX(Dati!$AG$1:$AG$1000,MATCH($A12,Dati!$A$1:$A$1000,0))&amp;" · ","")&amp;IF(INDEX(Dati!$DJ$1:$DJ$1000,MATCH($A12,Dati!$A$1:$A$1000,0))&gt;0,Dati!$AH$3&amp;": "&amp;INDEX(Dati!$AH$1:$AH$1000,MATCH($A12,Dati!$A$1:$A$1000,0))&amp;" · ",""),LEN(IF(INDEX(Dati!$DG$1:$DG$1000,MATCH($A12,Dati!$A$1:$A$1000,0))&gt;0,Dati!$AE$3&amp;": "&amp;INDEX(Dati!$AE$1:$AE$1000,MATCH($A12,Dati!$A$1:$A$1000,0))&amp;" · ","")&amp;IF(INDEX(Dati!$DH$1:$DH$1000,MATCH($A12,Dati!$A$1:$A$1000,0))&gt;0,Dati!$AF$3&amp;": "&amp;INDEX(Dati!$AF$1:$AF$1000,MATCH($A12,Dati!$A$1:$A$1000,0))&amp;" · ","")&amp;IF(INDEX(Dati!$DI$1:$DI$1000,MATCH($A12,Dati!$A$1:$A$1000,0))&gt;0,Dati!$AG$3&amp;": "&amp;INDEX(Dati!$AG$1:$AG$1000,MATCH($A12,Dati!$A$1:$A$1000,0))&amp;" · ","")&amp;IF(INDEX(Dati!$DJ$1:$DJ$1000,MATCH($A12,Dati!$A$1:$A$1000,0))&gt;0,Dati!$AH$3&amp;": "&amp;INDEX(Dati!$AH$1:$AH$1000,MATCH($A12,Dati!$A$1:$A$1000,0))&amp;" · ",""))-3)),""))</f>
        <v/>
      </c>
      <c r="K12" s="55" t="str">
        <f aca="false">IF($B12="","",IFERROR(IF((IF(INDEX(Dati!$DK$1:$DK$1000,MATCH($A12,Dati!$A$1:$A$1000,0))&gt;0,Dati!$AI$3&amp;": "&amp;INDEX(Dati!$AI$1:$AI$1000,MATCH($A12,Dati!$A$1:$A$1000,0))&amp;" · ","")&amp;IF(INDEX(Dati!$DL$1:$DL$1000,MATCH($A12,Dati!$A$1:$A$1000,0))&gt;0,Dati!$AJ$3&amp;": "&amp;INDEX(Dati!$AJ$1:$AJ$1000,MATCH($A12,Dati!$A$1:$A$1000,0))&amp;" · ","")&amp;IF(INDEX(Dati!$DM$1:$DM$1000,MATCH($A12,Dati!$A$1:$A$1000,0))&gt;0,Dati!$AK$3&amp;": "&amp;INDEX(Dati!$AK$1:$AK$1000,MATCH($A12,Dati!$A$1:$A$1000,0))&amp;" · ","")&amp;IF(INDEX(Dati!$DN$1:$DN$1000,MATCH($A12,Dati!$A$1:$A$1000,0))&gt;0,Dati!$AL$3&amp;": "&amp;INDEX(Dati!$AL$1:$AL$1000,MATCH($A12,Dati!$A$1:$A$1000,0))&amp;" · ",""))="",IF(INDEX(Dati!$FO$1:$FO$1000,MATCH($A12,Dati!$A$1:$A$1000,0))=1,"AS da recuperare",""),LEFT(IF(INDEX(Dati!$DK$1:$DK$1000,MATCH($A12,Dati!$A$1:$A$1000,0))&gt;0,Dati!$AI$3&amp;": "&amp;INDEX(Dati!$AI$1:$AI$1000,MATCH($A12,Dati!$A$1:$A$1000,0))&amp;" · ","")&amp;IF(INDEX(Dati!$DL$1:$DL$1000,MATCH($A12,Dati!$A$1:$A$1000,0))&gt;0,Dati!$AJ$3&amp;": "&amp;INDEX(Dati!$AJ$1:$AJ$1000,MATCH($A12,Dati!$A$1:$A$1000,0))&amp;" · ","")&amp;IF(INDEX(Dati!$DM$1:$DM$1000,MATCH($A12,Dati!$A$1:$A$1000,0))&gt;0,Dati!$AK$3&amp;": "&amp;INDEX(Dati!$AK$1:$AK$1000,MATCH($A12,Dati!$A$1:$A$1000,0))&amp;" · ","")&amp;IF(INDEX(Dati!$DN$1:$DN$1000,MATCH($A12,Dati!$A$1:$A$1000,0))&gt;0,Dati!$AL$3&amp;": "&amp;INDEX(Dati!$AL$1:$AL$1000,MATCH($A12,Dati!$A$1:$A$1000,0))&amp;" · ",""),LEN(IF(INDEX(Dati!$DK$1:$DK$1000,MATCH($A12,Dati!$A$1:$A$1000,0))&gt;0,Dati!$AI$3&amp;": "&amp;INDEX(Dati!$AI$1:$AI$1000,MATCH($A12,Dati!$A$1:$A$1000,0))&amp;" · ","")&amp;IF(INDEX(Dati!$DL$1:$DL$1000,MATCH($A12,Dati!$A$1:$A$1000,0))&gt;0,Dati!$AJ$3&amp;": "&amp;INDEX(Dati!$AJ$1:$AJ$1000,MATCH($A12,Dati!$A$1:$A$1000,0))&amp;" · ","")&amp;IF(INDEX(Dati!$DM$1:$DM$1000,MATCH($A12,Dati!$A$1:$A$1000,0))&gt;0,Dati!$AK$3&amp;": "&amp;INDEX(Dati!$AK$1:$AK$1000,MATCH($A12,Dati!$A$1:$A$1000,0))&amp;" · ","")&amp;IF(INDEX(Dati!$DN$1:$DN$1000,MATCH($A12,Dati!$A$1:$A$1000,0))&gt;0,Dati!$AL$3&amp;": "&amp;INDEX(Dati!$AL$1:$AL$1000,MATCH($A12,Dati!$A$1:$A$1000,0))&amp;" · ",""))-3)),""))</f>
        <v/>
      </c>
      <c r="L12" s="55" t="str">
        <f aca="false">IF($B12="","",IFERROR(IF((IF(INDEX(Dati!$DO$1:$DO$1000,MATCH($A12,Dati!$A$1:$A$1000,0))&gt;0,Dati!$AM$3&amp;": "&amp;INDEX(Dati!$AM$1:$AM$1000,MATCH($A12,Dati!$A$1:$A$1000,0))&amp;" · ","")&amp;IF(INDEX(Dati!$DP$1:$DP$1000,MATCH($A12,Dati!$A$1:$A$1000,0))&gt;0,Dati!$AN$3&amp;": "&amp;INDEX(Dati!$AN$1:$AN$1000,MATCH($A12,Dati!$A$1:$A$1000,0))&amp;" · ","")&amp;IF(INDEX(Dati!$DQ$1:$DQ$1000,MATCH($A12,Dati!$A$1:$A$1000,0))&gt;0,Dati!$AO$3&amp;": "&amp;INDEX(Dati!$AO$1:$AO$1000,MATCH($A12,Dati!$A$1:$A$1000,0))&amp;" · ","")&amp;IF(INDEX(Dati!$DR$1:$DR$1000,MATCH($A12,Dati!$A$1:$A$1000,0))&gt;0,Dati!$AP$3&amp;": "&amp;INDEX(Dati!$AP$1:$AP$1000,MATCH($A12,Dati!$A$1:$A$1000,0))&amp;" · ",""))="",IF(INDEX(Dati!$FP$1:$FP$1000,MATCH($A12,Dati!$A$1:$A$1000,0))=1,"AS da recuperare",""),LEFT(IF(INDEX(Dati!$DO$1:$DO$1000,MATCH($A12,Dati!$A$1:$A$1000,0))&gt;0,Dati!$AM$3&amp;": "&amp;INDEX(Dati!$AM$1:$AM$1000,MATCH($A12,Dati!$A$1:$A$1000,0))&amp;" · ","")&amp;IF(INDEX(Dati!$DP$1:$DP$1000,MATCH($A12,Dati!$A$1:$A$1000,0))&gt;0,Dati!$AN$3&amp;": "&amp;INDEX(Dati!$AN$1:$AN$1000,MATCH($A12,Dati!$A$1:$A$1000,0))&amp;" · ","")&amp;IF(INDEX(Dati!$DQ$1:$DQ$1000,MATCH($A12,Dati!$A$1:$A$1000,0))&gt;0,Dati!$AO$3&amp;": "&amp;INDEX(Dati!$AO$1:$AO$1000,MATCH($A12,Dati!$A$1:$A$1000,0))&amp;" · ","")&amp;IF(INDEX(Dati!$DR$1:$DR$1000,MATCH($A12,Dati!$A$1:$A$1000,0))&gt;0,Dati!$AP$3&amp;": "&amp;INDEX(Dati!$AP$1:$AP$1000,MATCH($A12,Dati!$A$1:$A$1000,0))&amp;" · ",""),LEN(IF(INDEX(Dati!$DO$1:$DO$1000,MATCH($A12,Dati!$A$1:$A$1000,0))&gt;0,Dati!$AM$3&amp;": "&amp;INDEX(Dati!$AM$1:$AM$1000,MATCH($A12,Dati!$A$1:$A$1000,0))&amp;" · ","")&amp;IF(INDEX(Dati!$DP$1:$DP$1000,MATCH($A12,Dati!$A$1:$A$1000,0))&gt;0,Dati!$AN$3&amp;": "&amp;INDEX(Dati!$AN$1:$AN$1000,MATCH($A12,Dati!$A$1:$A$1000,0))&amp;" · ","")&amp;IF(INDEX(Dati!$DQ$1:$DQ$1000,MATCH($A12,Dati!$A$1:$A$1000,0))&gt;0,Dati!$AO$3&amp;": "&amp;INDEX(Dati!$AO$1:$AO$1000,MATCH($A12,Dati!$A$1:$A$1000,0))&amp;" · ","")&amp;IF(INDEX(Dati!$DR$1:$DR$1000,MATCH($A12,Dati!$A$1:$A$1000,0))&gt;0,Dati!$AP$3&amp;": "&amp;INDEX(Dati!$AP$1:$AP$1000,MATCH($A12,Dati!$A$1:$A$1000,0))&amp;" · ",""))-3)),""))</f>
        <v/>
      </c>
      <c r="M12" s="55" t="str">
        <f aca="false">IF($B12="","",IFERROR(IF((IF(INDEX(Dati!$DS$1:$DS$1000,MATCH($A12,Dati!$A$1:$A$1000,0))&gt;0,Dati!$AQ$3&amp;": "&amp;INDEX(Dati!$AQ$1:$AQ$1000,MATCH($A12,Dati!$A$1:$A$1000,0))&amp;" · ","")&amp;IF(INDEX(Dati!$DT$1:$DT$1000,MATCH($A12,Dati!$A$1:$A$1000,0))&gt;0,Dati!$AR$3&amp;": "&amp;INDEX(Dati!$AR$1:$AR$1000,MATCH($A12,Dati!$A$1:$A$1000,0))&amp;" · ","")&amp;IF(INDEX(Dati!$DU$1:$DU$1000,MATCH($A12,Dati!$A$1:$A$1000,0))&gt;0,Dati!$AS$3&amp;": "&amp;INDEX(Dati!$AS$1:$AS$1000,MATCH($A12,Dati!$A$1:$A$1000,0))&amp;" · ","")&amp;IF(INDEX(Dati!$DV$1:$DV$1000,MATCH($A12,Dati!$A$1:$A$1000,0))&gt;0,Dati!$AT$3&amp;": "&amp;INDEX(Dati!$AT$1:$AT$1000,MATCH($A12,Dati!$A$1:$A$1000,0))&amp;" · ",""))="",IF(INDEX(Dati!$FQ$1:$FQ$1000,MATCH($A12,Dati!$A$1:$A$1000,0))=1,"AS da recuperare",""),LEFT(IF(INDEX(Dati!$DS$1:$DS$1000,MATCH($A12,Dati!$A$1:$A$1000,0))&gt;0,Dati!$AQ$3&amp;": "&amp;INDEX(Dati!$AQ$1:$AQ$1000,MATCH($A12,Dati!$A$1:$A$1000,0))&amp;" · ","")&amp;IF(INDEX(Dati!$DT$1:$DT$1000,MATCH($A12,Dati!$A$1:$A$1000,0))&gt;0,Dati!$AR$3&amp;": "&amp;INDEX(Dati!$AR$1:$AR$1000,MATCH($A12,Dati!$A$1:$A$1000,0))&amp;" · ","")&amp;IF(INDEX(Dati!$DU$1:$DU$1000,MATCH($A12,Dati!$A$1:$A$1000,0))&gt;0,Dati!$AS$3&amp;": "&amp;INDEX(Dati!$AS$1:$AS$1000,MATCH($A12,Dati!$A$1:$A$1000,0))&amp;" · ","")&amp;IF(INDEX(Dati!$DV$1:$DV$1000,MATCH($A12,Dati!$A$1:$A$1000,0))&gt;0,Dati!$AT$3&amp;": "&amp;INDEX(Dati!$AT$1:$AT$1000,MATCH($A12,Dati!$A$1:$A$1000,0))&amp;" · ",""),LEN(IF(INDEX(Dati!$DS$1:$DS$1000,MATCH($A12,Dati!$A$1:$A$1000,0))&gt;0,Dati!$AQ$3&amp;": "&amp;INDEX(Dati!$AQ$1:$AQ$1000,MATCH($A12,Dati!$A$1:$A$1000,0))&amp;" · ","")&amp;IF(INDEX(Dati!$DT$1:$DT$1000,MATCH($A12,Dati!$A$1:$A$1000,0))&gt;0,Dati!$AR$3&amp;": "&amp;INDEX(Dati!$AR$1:$AR$1000,MATCH($A12,Dati!$A$1:$A$1000,0))&amp;" · ","")&amp;IF(INDEX(Dati!$DU$1:$DU$1000,MATCH($A12,Dati!$A$1:$A$1000,0))&gt;0,Dati!$AS$3&amp;": "&amp;INDEX(Dati!$AS$1:$AS$1000,MATCH($A12,Dati!$A$1:$A$1000,0))&amp;" · ","")&amp;IF(INDEX(Dati!$DV$1:$DV$1000,MATCH($A12,Dati!$A$1:$A$1000,0))&gt;0,Dati!$AT$3&amp;": "&amp;INDEX(Dati!$AT$1:$AT$1000,MATCH($A12,Dati!$A$1:$A$1000,0))&amp;" · ",""))-3)),""))</f>
        <v/>
      </c>
      <c r="N12" s="55" t="str">
        <f aca="false">IF($B12="","",IFERROR(IF((IF(INDEX(Dati!$DW$1:$DW$1000,MATCH($A12,Dati!$A$1:$A$1000,0))&gt;0,Dati!$AU$3&amp;": "&amp;INDEX(Dati!$AU$1:$AU$1000,MATCH($A12,Dati!$A$1:$A$1000,0))&amp;" · ","")&amp;IF(INDEX(Dati!$DX$1:$DX$1000,MATCH($A12,Dati!$A$1:$A$1000,0))&gt;0,Dati!$AV$3&amp;": "&amp;INDEX(Dati!$AV$1:$AV$1000,MATCH($A12,Dati!$A$1:$A$1000,0))&amp;" · ","")&amp;IF(INDEX(Dati!$DY$1:$DY$1000,MATCH($A12,Dati!$A$1:$A$1000,0))&gt;0,Dati!$AW$3&amp;": "&amp;INDEX(Dati!$AW$1:$AW$1000,MATCH($A12,Dati!$A$1:$A$1000,0))&amp;" · ","")&amp;IF(INDEX(Dati!$DZ$1:$DZ$1000,MATCH($A12,Dati!$A$1:$A$1000,0))&gt;0,Dati!$AX$3&amp;": "&amp;INDEX(Dati!$AX$1:$AX$1000,MATCH($A12,Dati!$A$1:$A$1000,0))&amp;" · ",""))="",IF(INDEX(Dati!$FR$1:$FR$1000,MATCH($A12,Dati!$A$1:$A$1000,0))=1,"AS da recuperare",""),LEFT(IF(INDEX(Dati!$DW$1:$DW$1000,MATCH($A12,Dati!$A$1:$A$1000,0))&gt;0,Dati!$AU$3&amp;": "&amp;INDEX(Dati!$AU$1:$AU$1000,MATCH($A12,Dati!$A$1:$A$1000,0))&amp;" · ","")&amp;IF(INDEX(Dati!$DX$1:$DX$1000,MATCH($A12,Dati!$A$1:$A$1000,0))&gt;0,Dati!$AV$3&amp;": "&amp;INDEX(Dati!$AV$1:$AV$1000,MATCH($A12,Dati!$A$1:$A$1000,0))&amp;" · ","")&amp;IF(INDEX(Dati!$DY$1:$DY$1000,MATCH($A12,Dati!$A$1:$A$1000,0))&gt;0,Dati!$AW$3&amp;": "&amp;INDEX(Dati!$AW$1:$AW$1000,MATCH($A12,Dati!$A$1:$A$1000,0))&amp;" · ","")&amp;IF(INDEX(Dati!$DZ$1:$DZ$1000,MATCH($A12,Dati!$A$1:$A$1000,0))&gt;0,Dati!$AX$3&amp;": "&amp;INDEX(Dati!$AX$1:$AX$1000,MATCH($A12,Dati!$A$1:$A$1000,0))&amp;" · ",""),LEN(IF(INDEX(Dati!$DW$1:$DW$1000,MATCH($A12,Dati!$A$1:$A$1000,0))&gt;0,Dati!$AU$3&amp;": "&amp;INDEX(Dati!$AU$1:$AU$1000,MATCH($A12,Dati!$A$1:$A$1000,0))&amp;" · ","")&amp;IF(INDEX(Dati!$DX$1:$DX$1000,MATCH($A12,Dati!$A$1:$A$1000,0))&gt;0,Dati!$AV$3&amp;": "&amp;INDEX(Dati!$AV$1:$AV$1000,MATCH($A12,Dati!$A$1:$A$1000,0))&amp;" · ","")&amp;IF(INDEX(Dati!$DY$1:$DY$1000,MATCH($A12,Dati!$A$1:$A$1000,0))&gt;0,Dati!$AW$3&amp;": "&amp;INDEX(Dati!$AW$1:$AW$1000,MATCH($A12,Dati!$A$1:$A$1000,0))&amp;" · ","")&amp;IF(INDEX(Dati!$DZ$1:$DZ$1000,MATCH($A12,Dati!$A$1:$A$1000,0))&gt;0,Dati!$AX$3&amp;": "&amp;INDEX(Dati!$AX$1:$AX$1000,MATCH($A12,Dati!$A$1:$A$1000,0))&amp;" · ",""))-3)),""))</f>
        <v/>
      </c>
      <c r="O12" s="55" t="str">
        <f aca="false">IF($B12="","",IFERROR(IF((IF(INDEX(Dati!$EA$1:$EA$1000,MATCH($A12,Dati!$A$1:$A$1000,0))&gt;0,Dati!$AY$3&amp;": "&amp;INDEX(Dati!$AY$1:$AY$1000,MATCH($A12,Dati!$A$1:$A$1000,0))&amp;" · ","")&amp;IF(INDEX(Dati!$EB$1:$EB$1000,MATCH($A12,Dati!$A$1:$A$1000,0))&gt;0,Dati!$AZ$3&amp;": "&amp;INDEX(Dati!$AZ$1:$AZ$1000,MATCH($A12,Dati!$A$1:$A$1000,0))&amp;" · ","")&amp;IF(INDEX(Dati!$EC$1:$EC$1000,MATCH($A12,Dati!$A$1:$A$1000,0))&gt;0,Dati!$BA$3&amp;": "&amp;INDEX(Dati!$BA$1:$BA$1000,MATCH($A12,Dati!$A$1:$A$1000,0))&amp;" · ","")&amp;IF(INDEX(Dati!$ED$1:$ED$1000,MATCH($A12,Dati!$A$1:$A$1000,0))&gt;0,Dati!$BB$3&amp;": "&amp;INDEX(Dati!$BB$1:$BB$1000,MATCH($A12,Dati!$A$1:$A$1000,0))&amp;" · ",""))="",IF(INDEX(Dati!$FS$1:$FS$1000,MATCH($A12,Dati!$A$1:$A$1000,0))=1,"AS da recuperare",""),LEFT(IF(INDEX(Dati!$EA$1:$EA$1000,MATCH($A12,Dati!$A$1:$A$1000,0))&gt;0,Dati!$AY$3&amp;": "&amp;INDEX(Dati!$AY$1:$AY$1000,MATCH($A12,Dati!$A$1:$A$1000,0))&amp;" · ","")&amp;IF(INDEX(Dati!$EB$1:$EB$1000,MATCH($A12,Dati!$A$1:$A$1000,0))&gt;0,Dati!$AZ$3&amp;": "&amp;INDEX(Dati!$AZ$1:$AZ$1000,MATCH($A12,Dati!$A$1:$A$1000,0))&amp;" · ","")&amp;IF(INDEX(Dati!$EC$1:$EC$1000,MATCH($A12,Dati!$A$1:$A$1000,0))&gt;0,Dati!$BA$3&amp;": "&amp;INDEX(Dati!$BA$1:$BA$1000,MATCH($A12,Dati!$A$1:$A$1000,0))&amp;" · ","")&amp;IF(INDEX(Dati!$ED$1:$ED$1000,MATCH($A12,Dati!$A$1:$A$1000,0))&gt;0,Dati!$BB$3&amp;": "&amp;INDEX(Dati!$BB$1:$BB$1000,MATCH($A12,Dati!$A$1:$A$1000,0))&amp;" · ",""),LEN(IF(INDEX(Dati!$EA$1:$EA$1000,MATCH($A12,Dati!$A$1:$A$1000,0))&gt;0,Dati!$AY$3&amp;": "&amp;INDEX(Dati!$AY$1:$AY$1000,MATCH($A12,Dati!$A$1:$A$1000,0))&amp;" · ","")&amp;IF(INDEX(Dati!$EB$1:$EB$1000,MATCH($A12,Dati!$A$1:$A$1000,0))&gt;0,Dati!$AZ$3&amp;": "&amp;INDEX(Dati!$AZ$1:$AZ$1000,MATCH($A12,Dati!$A$1:$A$1000,0))&amp;" · ","")&amp;IF(INDEX(Dati!$EC$1:$EC$1000,MATCH($A12,Dati!$A$1:$A$1000,0))&gt;0,Dati!$BA$3&amp;": "&amp;INDEX(Dati!$BA$1:$BA$1000,MATCH($A12,Dati!$A$1:$A$1000,0))&amp;" · ","")&amp;IF(INDEX(Dati!$ED$1:$ED$1000,MATCH($A12,Dati!$A$1:$A$1000,0))&gt;0,Dati!$BB$3&amp;": "&amp;INDEX(Dati!$BB$1:$BB$1000,MATCH($A12,Dati!$A$1:$A$1000,0))&amp;" · ",""))-3)),""))</f>
        <v/>
      </c>
      <c r="P12" s="55" t="str">
        <f aca="false">IF($B12="","",IFERROR(IF((IF(INDEX(Dati!$EE$1:$EE$1000,MATCH($A12,Dati!$A$1:$A$1000,0))&gt;0,Dati!$BC$3&amp;": "&amp;INDEX(Dati!$BC$1:$BC$1000,MATCH($A12,Dati!$A$1:$A$1000,0))&amp;" · ","")&amp;IF(INDEX(Dati!$EF$1:$EF$1000,MATCH($A12,Dati!$A$1:$A$1000,0))&gt;0,Dati!$BD$3&amp;": "&amp;INDEX(Dati!$BD$1:$BD$1000,MATCH($A12,Dati!$A$1:$A$1000,0))&amp;" · ","")&amp;IF(INDEX(Dati!$EG$1:$EG$1000,MATCH($A12,Dati!$A$1:$A$1000,0))&gt;0,Dati!$BE$3&amp;": "&amp;INDEX(Dati!$BE$1:$BE$1000,MATCH($A12,Dati!$A$1:$A$1000,0))&amp;" · ","")&amp;IF(INDEX(Dati!$EH$1:$EH$1000,MATCH($A12,Dati!$A$1:$A$1000,0))&gt;0,Dati!$BF$3&amp;": "&amp;INDEX(Dati!$BF$1:$BF$1000,MATCH($A12,Dati!$A$1:$A$1000,0))&amp;" · ",""))="",IF(INDEX(Dati!$FT$1:$FT$1000,MATCH($A12,Dati!$A$1:$A$1000,0))=1,"AS da recuperare",""),LEFT(IF(INDEX(Dati!$EE$1:$EE$1000,MATCH($A12,Dati!$A$1:$A$1000,0))&gt;0,Dati!$BC$3&amp;": "&amp;INDEX(Dati!$BC$1:$BC$1000,MATCH($A12,Dati!$A$1:$A$1000,0))&amp;" · ","")&amp;IF(INDEX(Dati!$EF$1:$EF$1000,MATCH($A12,Dati!$A$1:$A$1000,0))&gt;0,Dati!$BD$3&amp;": "&amp;INDEX(Dati!$BD$1:$BD$1000,MATCH($A12,Dati!$A$1:$A$1000,0))&amp;" · ","")&amp;IF(INDEX(Dati!$EG$1:$EG$1000,MATCH($A12,Dati!$A$1:$A$1000,0))&gt;0,Dati!$BE$3&amp;": "&amp;INDEX(Dati!$BE$1:$BE$1000,MATCH($A12,Dati!$A$1:$A$1000,0))&amp;" · ","")&amp;IF(INDEX(Dati!$EH$1:$EH$1000,MATCH($A12,Dati!$A$1:$A$1000,0))&gt;0,Dati!$BF$3&amp;": "&amp;INDEX(Dati!$BF$1:$BF$1000,MATCH($A12,Dati!$A$1:$A$1000,0))&amp;" · ",""),LEN(IF(INDEX(Dati!$EE$1:$EE$1000,MATCH($A12,Dati!$A$1:$A$1000,0))&gt;0,Dati!$BC$3&amp;": "&amp;INDEX(Dati!$BC$1:$BC$1000,MATCH($A12,Dati!$A$1:$A$1000,0))&amp;" · ","")&amp;IF(INDEX(Dati!$EF$1:$EF$1000,MATCH($A12,Dati!$A$1:$A$1000,0))&gt;0,Dati!$BD$3&amp;": "&amp;INDEX(Dati!$BD$1:$BD$1000,MATCH($A12,Dati!$A$1:$A$1000,0))&amp;" · ","")&amp;IF(INDEX(Dati!$EG$1:$EG$1000,MATCH($A12,Dati!$A$1:$A$1000,0))&gt;0,Dati!$BE$3&amp;": "&amp;INDEX(Dati!$BE$1:$BE$1000,MATCH($A12,Dati!$A$1:$A$1000,0))&amp;" · ","")&amp;IF(INDEX(Dati!$EH$1:$EH$1000,MATCH($A12,Dati!$A$1:$A$1000,0))&gt;0,Dati!$BF$3&amp;": "&amp;INDEX(Dati!$BF$1:$BF$1000,MATCH($A12,Dati!$A$1:$A$1000,0))&amp;" · ",""))-3)),""))</f>
        <v/>
      </c>
      <c r="Q12" s="55" t="str">
        <f aca="false">IF($B12="","",IFERROR(IF((IF(INDEX(Dati!$EI$1:$EI$1000,MATCH($A12,Dati!$A$1:$A$1000,0))&gt;0,Dati!$BG$3&amp;": "&amp;INDEX(Dati!$BG$1:$BG$1000,MATCH($A12,Dati!$A$1:$A$1000,0))&amp;" · ","")&amp;IF(INDEX(Dati!$EJ$1:$EJ$1000,MATCH($A12,Dati!$A$1:$A$1000,0))&gt;0,Dati!$BH$3&amp;": "&amp;INDEX(Dati!$BH$1:$BH$1000,MATCH($A12,Dati!$A$1:$A$1000,0))&amp;" · ","")&amp;IF(INDEX(Dati!$EK$1:$EK$1000,MATCH($A12,Dati!$A$1:$A$1000,0))&gt;0,Dati!$BI$3&amp;": "&amp;INDEX(Dati!$BI$1:$BI$1000,MATCH($A12,Dati!$A$1:$A$1000,0))&amp;" · ","")&amp;IF(INDEX(Dati!$EL$1:$EL$1000,MATCH($A12,Dati!$A$1:$A$1000,0))&gt;0,Dati!$BJ$3&amp;": "&amp;INDEX(Dati!$BJ$1:$BJ$1000,MATCH($A12,Dati!$A$1:$A$1000,0))&amp;" · ",""))="",IF(INDEX(Dati!$FU$1:$FU$1000,MATCH($A12,Dati!$A$1:$A$1000,0))=1,"AS da recuperare",""),LEFT(IF(INDEX(Dati!$EI$1:$EI$1000,MATCH($A12,Dati!$A$1:$A$1000,0))&gt;0,Dati!$BG$3&amp;": "&amp;INDEX(Dati!$BG$1:$BG$1000,MATCH($A12,Dati!$A$1:$A$1000,0))&amp;" · ","")&amp;IF(INDEX(Dati!$EJ$1:$EJ$1000,MATCH($A12,Dati!$A$1:$A$1000,0))&gt;0,Dati!$BH$3&amp;": "&amp;INDEX(Dati!$BH$1:$BH$1000,MATCH($A12,Dati!$A$1:$A$1000,0))&amp;" · ","")&amp;IF(INDEX(Dati!$EK$1:$EK$1000,MATCH($A12,Dati!$A$1:$A$1000,0))&gt;0,Dati!$BI$3&amp;": "&amp;INDEX(Dati!$BI$1:$BI$1000,MATCH($A12,Dati!$A$1:$A$1000,0))&amp;" · ","")&amp;IF(INDEX(Dati!$EL$1:$EL$1000,MATCH($A12,Dati!$A$1:$A$1000,0))&gt;0,Dati!$BJ$3&amp;": "&amp;INDEX(Dati!$BJ$1:$BJ$1000,MATCH($A12,Dati!$A$1:$A$1000,0))&amp;" · ",""),LEN(IF(INDEX(Dati!$EI$1:$EI$1000,MATCH($A12,Dati!$A$1:$A$1000,0))&gt;0,Dati!$BG$3&amp;": "&amp;INDEX(Dati!$BG$1:$BG$1000,MATCH($A12,Dati!$A$1:$A$1000,0))&amp;" · ","")&amp;IF(INDEX(Dati!$EJ$1:$EJ$1000,MATCH($A12,Dati!$A$1:$A$1000,0))&gt;0,Dati!$BH$3&amp;": "&amp;INDEX(Dati!$BH$1:$BH$1000,MATCH($A12,Dati!$A$1:$A$1000,0))&amp;" · ","")&amp;IF(INDEX(Dati!$EK$1:$EK$1000,MATCH($A12,Dati!$A$1:$A$1000,0))&gt;0,Dati!$BI$3&amp;": "&amp;INDEX(Dati!$BI$1:$BI$1000,MATCH($A12,Dati!$A$1:$A$1000,0))&amp;" · ","")&amp;IF(INDEX(Dati!$EL$1:$EL$1000,MATCH($A12,Dati!$A$1:$A$1000,0))&gt;0,Dati!$BJ$3&amp;": "&amp;INDEX(Dati!$BJ$1:$BJ$1000,MATCH($A12,Dati!$A$1:$A$1000,0))&amp;" · ",""))-3)),""))</f>
        <v/>
      </c>
      <c r="R12" s="55" t="str">
        <f aca="false">IF($B12="","",IFERROR(IF((IF(INDEX(Dati!$EM$1:$EM$1000,MATCH($A12,Dati!$A$1:$A$1000,0))&gt;0,Dati!$BK$3&amp;": "&amp;INDEX(Dati!$BK$1:$BK$1000,MATCH($A12,Dati!$A$1:$A$1000,0))&amp;" · ","")&amp;IF(INDEX(Dati!$EN$1:$EN$1000,MATCH($A12,Dati!$A$1:$A$1000,0))&gt;0,Dati!$BL$3&amp;": "&amp;INDEX(Dati!$BL$1:$BL$1000,MATCH($A12,Dati!$A$1:$A$1000,0))&amp;" · ","")&amp;IF(INDEX(Dati!$EO$1:$EO$1000,MATCH($A12,Dati!$A$1:$A$1000,0))&gt;0,Dati!$BM$3&amp;": "&amp;INDEX(Dati!$BM$1:$BM$1000,MATCH($A12,Dati!$A$1:$A$1000,0))&amp;" · ","")&amp;IF(INDEX(Dati!$EP$1:$EP$1000,MATCH($A12,Dati!$A$1:$A$1000,0))&gt;0,Dati!$BN$3&amp;": "&amp;INDEX(Dati!$BN$1:$BN$1000,MATCH($A12,Dati!$A$1:$A$1000,0))&amp;" · ",""))="",IF(INDEX(Dati!$FV$1:$FV$1000,MATCH($A12,Dati!$A$1:$A$1000,0))=1,"AS da recuperare",""),LEFT(IF(INDEX(Dati!$EM$1:$EM$1000,MATCH($A12,Dati!$A$1:$A$1000,0))&gt;0,Dati!$BK$3&amp;": "&amp;INDEX(Dati!$BK$1:$BK$1000,MATCH($A12,Dati!$A$1:$A$1000,0))&amp;" · ","")&amp;IF(INDEX(Dati!$EN$1:$EN$1000,MATCH($A12,Dati!$A$1:$A$1000,0))&gt;0,Dati!$BL$3&amp;": "&amp;INDEX(Dati!$BL$1:$BL$1000,MATCH($A12,Dati!$A$1:$A$1000,0))&amp;" · ","")&amp;IF(INDEX(Dati!$EO$1:$EO$1000,MATCH($A12,Dati!$A$1:$A$1000,0))&gt;0,Dati!$BM$3&amp;": "&amp;INDEX(Dati!$BM$1:$BM$1000,MATCH($A12,Dati!$A$1:$A$1000,0))&amp;" · ","")&amp;IF(INDEX(Dati!$EP$1:$EP$1000,MATCH($A12,Dati!$A$1:$A$1000,0))&gt;0,Dati!$BN$3&amp;": "&amp;INDEX(Dati!$BN$1:$BN$1000,MATCH($A12,Dati!$A$1:$A$1000,0))&amp;" · ",""),LEN(IF(INDEX(Dati!$EM$1:$EM$1000,MATCH($A12,Dati!$A$1:$A$1000,0))&gt;0,Dati!$BK$3&amp;": "&amp;INDEX(Dati!$BK$1:$BK$1000,MATCH($A12,Dati!$A$1:$A$1000,0))&amp;" · ","")&amp;IF(INDEX(Dati!$EN$1:$EN$1000,MATCH($A12,Dati!$A$1:$A$1000,0))&gt;0,Dati!$BL$3&amp;": "&amp;INDEX(Dati!$BL$1:$BL$1000,MATCH($A12,Dati!$A$1:$A$1000,0))&amp;" · ","")&amp;IF(INDEX(Dati!$EO$1:$EO$1000,MATCH($A12,Dati!$A$1:$A$1000,0))&gt;0,Dati!$BM$3&amp;": "&amp;INDEX(Dati!$BM$1:$BM$1000,MATCH($A12,Dati!$A$1:$A$1000,0))&amp;" · ","")&amp;IF(INDEX(Dati!$EP$1:$EP$1000,MATCH($A12,Dati!$A$1:$A$1000,0))&gt;0,Dati!$BN$3&amp;": "&amp;INDEX(Dati!$BN$1:$BN$1000,MATCH($A12,Dati!$A$1:$A$1000,0))&amp;" · ",""))-3)),""))</f>
        <v/>
      </c>
      <c r="S12" s="55" t="str">
        <f aca="false">IF($B12="","",IFERROR(IF((IF(INDEX(Dati!$EQ$1:$EQ$1000,MATCH($A12,Dati!$A$1:$A$1000,0))&gt;0,Dati!$BO$3&amp;": "&amp;INDEX(Dati!$BO$1:$BO$1000,MATCH($A12,Dati!$A$1:$A$1000,0))&amp;" · ","")&amp;IF(INDEX(Dati!$ER$1:$ER$1000,MATCH($A12,Dati!$A$1:$A$1000,0))&gt;0,Dati!$BP$3&amp;": "&amp;INDEX(Dati!$BP$1:$BP$1000,MATCH($A12,Dati!$A$1:$A$1000,0))&amp;" · ","")&amp;IF(INDEX(Dati!$ES$1:$ES$1000,MATCH($A12,Dati!$A$1:$A$1000,0))&gt;0,Dati!$BQ$3&amp;": "&amp;INDEX(Dati!$BQ$1:$BQ$1000,MATCH($A12,Dati!$A$1:$A$1000,0))&amp;" · ","")&amp;IF(INDEX(Dati!$ET$1:$ET$1000,MATCH($A12,Dati!$A$1:$A$1000,0))&gt;0,Dati!$BR$3&amp;": "&amp;INDEX(Dati!$BR$1:$BR$1000,MATCH($A12,Dati!$A$1:$A$1000,0))&amp;" · ",""))="",IF(INDEX(Dati!$FW$1:$FW$1000,MATCH($A12,Dati!$A$1:$A$1000,0))=1,"AS da recuperare",""),LEFT(IF(INDEX(Dati!$EQ$1:$EQ$1000,MATCH($A12,Dati!$A$1:$A$1000,0))&gt;0,Dati!$BO$3&amp;": "&amp;INDEX(Dati!$BO$1:$BO$1000,MATCH($A12,Dati!$A$1:$A$1000,0))&amp;" · ","")&amp;IF(INDEX(Dati!$ER$1:$ER$1000,MATCH($A12,Dati!$A$1:$A$1000,0))&gt;0,Dati!$BP$3&amp;": "&amp;INDEX(Dati!$BP$1:$BP$1000,MATCH($A12,Dati!$A$1:$A$1000,0))&amp;" · ","")&amp;IF(INDEX(Dati!$ES$1:$ES$1000,MATCH($A12,Dati!$A$1:$A$1000,0))&gt;0,Dati!$BQ$3&amp;": "&amp;INDEX(Dati!$BQ$1:$BQ$1000,MATCH($A12,Dati!$A$1:$A$1000,0))&amp;" · ","")&amp;IF(INDEX(Dati!$ET$1:$ET$1000,MATCH($A12,Dati!$A$1:$A$1000,0))&gt;0,Dati!$BR$3&amp;": "&amp;INDEX(Dati!$BR$1:$BR$1000,MATCH($A12,Dati!$A$1:$A$1000,0))&amp;" · ",""),LEN(IF(INDEX(Dati!$EQ$1:$EQ$1000,MATCH($A12,Dati!$A$1:$A$1000,0))&gt;0,Dati!$BO$3&amp;": "&amp;INDEX(Dati!$BO$1:$BO$1000,MATCH($A12,Dati!$A$1:$A$1000,0))&amp;" · ","")&amp;IF(INDEX(Dati!$ER$1:$ER$1000,MATCH($A12,Dati!$A$1:$A$1000,0))&gt;0,Dati!$BP$3&amp;": "&amp;INDEX(Dati!$BP$1:$BP$1000,MATCH($A12,Dati!$A$1:$A$1000,0))&amp;" · ","")&amp;IF(INDEX(Dati!$ES$1:$ES$1000,MATCH($A12,Dati!$A$1:$A$1000,0))&gt;0,Dati!$BQ$3&amp;": "&amp;INDEX(Dati!$BQ$1:$BQ$1000,MATCH($A12,Dati!$A$1:$A$1000,0))&amp;" · ","")&amp;IF(INDEX(Dati!$ET$1:$ET$1000,MATCH($A12,Dati!$A$1:$A$1000,0))&gt;0,Dati!$BR$3&amp;": "&amp;INDEX(Dati!$BR$1:$BR$1000,MATCH($A12,Dati!$A$1:$A$1000,0))&amp;" · ",""))-3)),""))</f>
        <v/>
      </c>
      <c r="T12" s="55" t="str">
        <f aca="false">IF($B12="","",IFERROR(IF((IF(INDEX(Dati!$EU$1:$EU$1000,MATCH($A12,Dati!$A$1:$A$1000,0))&gt;0,Dati!$BS$3&amp;": "&amp;INDEX(Dati!$BS$1:$BS$1000,MATCH($A12,Dati!$A$1:$A$1000,0))&amp;" · ","")&amp;IF(INDEX(Dati!$EV$1:$EV$1000,MATCH($A12,Dati!$A$1:$A$1000,0))&gt;0,Dati!$BT$3&amp;": "&amp;INDEX(Dati!$BT$1:$BT$1000,MATCH($A12,Dati!$A$1:$A$1000,0))&amp;" · ","")&amp;IF(INDEX(Dati!$EW$1:$EW$1000,MATCH($A12,Dati!$A$1:$A$1000,0))&gt;0,Dati!$BU$3&amp;": "&amp;INDEX(Dati!$BU$1:$BU$1000,MATCH($A12,Dati!$A$1:$A$1000,0))&amp;" · ","")&amp;IF(INDEX(Dati!$EX$1:$EX$1000,MATCH($A12,Dati!$A$1:$A$1000,0))&gt;0,Dati!$BV$3&amp;": "&amp;INDEX(Dati!$BV$1:$BV$1000,MATCH($A12,Dati!$A$1:$A$1000,0))&amp;" · ",""))="",IF(INDEX(Dati!$FX$1:$FX$1000,MATCH($A12,Dati!$A$1:$A$1000,0))=1,"AS da recuperare",""),LEFT(IF(INDEX(Dati!$EU$1:$EU$1000,MATCH($A12,Dati!$A$1:$A$1000,0))&gt;0,Dati!$BS$3&amp;": "&amp;INDEX(Dati!$BS$1:$BS$1000,MATCH($A12,Dati!$A$1:$A$1000,0))&amp;" · ","")&amp;IF(INDEX(Dati!$EV$1:$EV$1000,MATCH($A12,Dati!$A$1:$A$1000,0))&gt;0,Dati!$BT$3&amp;": "&amp;INDEX(Dati!$BT$1:$BT$1000,MATCH($A12,Dati!$A$1:$A$1000,0))&amp;" · ","")&amp;IF(INDEX(Dati!$EW$1:$EW$1000,MATCH($A12,Dati!$A$1:$A$1000,0))&gt;0,Dati!$BU$3&amp;": "&amp;INDEX(Dati!$BU$1:$BU$1000,MATCH($A12,Dati!$A$1:$A$1000,0))&amp;" · ","")&amp;IF(INDEX(Dati!$EX$1:$EX$1000,MATCH($A12,Dati!$A$1:$A$1000,0))&gt;0,Dati!$BV$3&amp;": "&amp;INDEX(Dati!$BV$1:$BV$1000,MATCH($A12,Dati!$A$1:$A$1000,0))&amp;" · ",""),LEN(IF(INDEX(Dati!$EU$1:$EU$1000,MATCH($A12,Dati!$A$1:$A$1000,0))&gt;0,Dati!$BS$3&amp;": "&amp;INDEX(Dati!$BS$1:$BS$1000,MATCH($A12,Dati!$A$1:$A$1000,0))&amp;" · ","")&amp;IF(INDEX(Dati!$EV$1:$EV$1000,MATCH($A12,Dati!$A$1:$A$1000,0))&gt;0,Dati!$BT$3&amp;": "&amp;INDEX(Dati!$BT$1:$BT$1000,MATCH($A12,Dati!$A$1:$A$1000,0))&amp;" · ","")&amp;IF(INDEX(Dati!$EW$1:$EW$1000,MATCH($A12,Dati!$A$1:$A$1000,0))&gt;0,Dati!$BU$3&amp;": "&amp;INDEX(Dati!$BU$1:$BU$1000,MATCH($A12,Dati!$A$1:$A$1000,0))&amp;" · ","")&amp;IF(INDEX(Dati!$EX$1:$EX$1000,MATCH($A12,Dati!$A$1:$A$1000,0))&gt;0,Dati!$BV$3&amp;": "&amp;INDEX(Dati!$BV$1:$BV$1000,MATCH($A12,Dati!$A$1:$A$1000,0))&amp;" · ",""))-3)),""))</f>
        <v/>
      </c>
      <c r="U12" s="55" t="str">
        <f aca="false">IF($B12="","",IFERROR(IF((IF(INDEX(Dati!$EY$1:$EY$1000,MATCH($A12,Dati!$A$1:$A$1000,0))&gt;0,Dati!$BW$3&amp;": "&amp;INDEX(Dati!$BW$1:$BW$1000,MATCH($A12,Dati!$A$1:$A$1000,0))&amp;" · ","")&amp;IF(INDEX(Dati!$EZ$1:$EZ$1000,MATCH($A12,Dati!$A$1:$A$1000,0))&gt;0,Dati!$BX$3&amp;": "&amp;INDEX(Dati!$BX$1:$BX$1000,MATCH($A12,Dati!$A$1:$A$1000,0))&amp;" · ","")&amp;IF(INDEX(Dati!$FA$1:$FA$1000,MATCH($A12,Dati!$A$1:$A$1000,0))&gt;0,Dati!$BY$3&amp;": "&amp;INDEX(Dati!$BY$1:$BY$1000,MATCH($A12,Dati!$A$1:$A$1000,0))&amp;" · ","")&amp;IF(INDEX(Dati!$FB$1:$FB$1000,MATCH($A12,Dati!$A$1:$A$1000,0))&gt;0,Dati!$BZ$3&amp;": "&amp;INDEX(Dati!$BZ$1:$BZ$1000,MATCH($A12,Dati!$A$1:$A$1000,0))&amp;" · ",""))="",IF(INDEX(Dati!$FY$1:$FY$1000,MATCH($A12,Dati!$A$1:$A$1000,0))=1,"AS da recuperare",""),LEFT(IF(INDEX(Dati!$EY$1:$EY$1000,MATCH($A12,Dati!$A$1:$A$1000,0))&gt;0,Dati!$BW$3&amp;": "&amp;INDEX(Dati!$BW$1:$BW$1000,MATCH($A12,Dati!$A$1:$A$1000,0))&amp;" · ","")&amp;IF(INDEX(Dati!$EZ$1:$EZ$1000,MATCH($A12,Dati!$A$1:$A$1000,0))&gt;0,Dati!$BX$3&amp;": "&amp;INDEX(Dati!$BX$1:$BX$1000,MATCH($A12,Dati!$A$1:$A$1000,0))&amp;" · ","")&amp;IF(INDEX(Dati!$FA$1:$FA$1000,MATCH($A12,Dati!$A$1:$A$1000,0))&gt;0,Dati!$BY$3&amp;": "&amp;INDEX(Dati!$BY$1:$BY$1000,MATCH($A12,Dati!$A$1:$A$1000,0))&amp;" · ","")&amp;IF(INDEX(Dati!$FB$1:$FB$1000,MATCH($A12,Dati!$A$1:$A$1000,0))&gt;0,Dati!$BZ$3&amp;": "&amp;INDEX(Dati!$BZ$1:$BZ$1000,MATCH($A12,Dati!$A$1:$A$1000,0))&amp;" · ",""),LEN(IF(INDEX(Dati!$EY$1:$EY$1000,MATCH($A12,Dati!$A$1:$A$1000,0))&gt;0,Dati!$BW$3&amp;": "&amp;INDEX(Dati!$BW$1:$BW$1000,MATCH($A12,Dati!$A$1:$A$1000,0))&amp;" · ","")&amp;IF(INDEX(Dati!$EZ$1:$EZ$1000,MATCH($A12,Dati!$A$1:$A$1000,0))&gt;0,Dati!$BX$3&amp;": "&amp;INDEX(Dati!$BX$1:$BX$1000,MATCH($A12,Dati!$A$1:$A$1000,0))&amp;" · ","")&amp;IF(INDEX(Dati!$FA$1:$FA$1000,MATCH($A12,Dati!$A$1:$A$1000,0))&gt;0,Dati!$BY$3&amp;": "&amp;INDEX(Dati!$BY$1:$BY$1000,MATCH($A12,Dati!$A$1:$A$1000,0))&amp;" · ","")&amp;IF(INDEX(Dati!$FB$1:$FB$1000,MATCH($A12,Dati!$A$1:$A$1000,0))&gt;0,Dati!$BZ$3&amp;": "&amp;INDEX(Dati!$BZ$1:$BZ$1000,MATCH($A12,Dati!$A$1:$A$1000,0))&amp;" · ",""))-3)),""))</f>
        <v/>
      </c>
      <c r="V12" s="55" t="str">
        <f aca="false">IF($B12="","",IFERROR(IF((IF(INDEX(Dati!$FC$1:$FC$1000,MATCH($A12,Dati!$A$1:$A$1000,0))&gt;0,Dati!$CA$3&amp;": "&amp;INDEX(Dati!$CA$1:$CA$1000,MATCH($A12,Dati!$A$1:$A$1000,0))&amp;" · ","")&amp;IF(INDEX(Dati!$FD$1:$FD$1000,MATCH($A12,Dati!$A$1:$A$1000,0))&gt;0,Dati!$CB$3&amp;": "&amp;INDEX(Dati!$CB$1:$CB$1000,MATCH($A12,Dati!$A$1:$A$1000,0))&amp;" · ","")&amp;IF(INDEX(Dati!$FE$1:$FE$1000,MATCH($A12,Dati!$A$1:$A$1000,0))&gt;0,Dati!$CC$3&amp;": "&amp;INDEX(Dati!$CC$1:$CC$1000,MATCH($A12,Dati!$A$1:$A$1000,0))&amp;" · ","")&amp;IF(INDEX(Dati!$FF$1:$FF$1000,MATCH($A12,Dati!$A$1:$A$1000,0))&gt;0,Dati!$CD$3&amp;": "&amp;INDEX(Dati!$CD$1:$CD$1000,MATCH($A12,Dati!$A$1:$A$1000,0))&amp;" · ",""))="",IF(INDEX(Dati!$FZ$1:$FZ$1000,MATCH($A12,Dati!$A$1:$A$1000,0))=1,"AS da recuperare",""),LEFT(IF(INDEX(Dati!$FC$1:$FC$1000,MATCH($A12,Dati!$A$1:$A$1000,0))&gt;0,Dati!$CA$3&amp;": "&amp;INDEX(Dati!$CA$1:$CA$1000,MATCH($A12,Dati!$A$1:$A$1000,0))&amp;" · ","")&amp;IF(INDEX(Dati!$FD$1:$FD$1000,MATCH($A12,Dati!$A$1:$A$1000,0))&gt;0,Dati!$CB$3&amp;": "&amp;INDEX(Dati!$CB$1:$CB$1000,MATCH($A12,Dati!$A$1:$A$1000,0))&amp;" · ","")&amp;IF(INDEX(Dati!$FE$1:$FE$1000,MATCH($A12,Dati!$A$1:$A$1000,0))&gt;0,Dati!$CC$3&amp;": "&amp;INDEX(Dati!$CC$1:$CC$1000,MATCH($A12,Dati!$A$1:$A$1000,0))&amp;" · ","")&amp;IF(INDEX(Dati!$FF$1:$FF$1000,MATCH($A12,Dati!$A$1:$A$1000,0))&gt;0,Dati!$CD$3&amp;": "&amp;INDEX(Dati!$CD$1:$CD$1000,MATCH($A12,Dati!$A$1:$A$1000,0))&amp;" · ",""),LEN(IF(INDEX(Dati!$FC$1:$FC$1000,MATCH($A12,Dati!$A$1:$A$1000,0))&gt;0,Dati!$CA$3&amp;": "&amp;INDEX(Dati!$CA$1:$CA$1000,MATCH($A12,Dati!$A$1:$A$1000,0))&amp;" · ","")&amp;IF(INDEX(Dati!$FD$1:$FD$1000,MATCH($A12,Dati!$A$1:$A$1000,0))&gt;0,Dati!$CB$3&amp;": "&amp;INDEX(Dati!$CB$1:$CB$1000,MATCH($A12,Dati!$A$1:$A$1000,0))&amp;" · ","")&amp;IF(INDEX(Dati!$FE$1:$FE$1000,MATCH($A12,Dati!$A$1:$A$1000,0))&gt;0,Dati!$CC$3&amp;": "&amp;INDEX(Dati!$CC$1:$CC$1000,MATCH($A12,Dati!$A$1:$A$1000,0))&amp;" · ","")&amp;IF(INDEX(Dati!$FF$1:$FF$1000,MATCH($A12,Dati!$A$1:$A$1000,0))&gt;0,Dati!$CD$3&amp;": "&amp;INDEX(Dati!$CD$1:$CD$1000,MATCH($A12,Dati!$A$1:$A$1000,0))&amp;" · ",""))-3)),""))</f>
        <v/>
      </c>
    </row>
    <row r="13" customFormat="false" ht="19.5" hidden="false" customHeight="true" outlineLevel="0" collapsed="false">
      <c r="A13" s="10" t="n">
        <v>9</v>
      </c>
      <c r="B13" s="16" t="str">
        <f aca="false">IFERROR(INDEX(Alunni!$C$1:$C$1000,MATCH($A13,Alunni!$A$1:$A$1000,0))&amp;"","")</f>
        <v/>
      </c>
      <c r="C13" s="55" t="str">
        <f aca="false">IF($B13="","",IFERROR(IF((IF(INDEX(Dati!$CE$1:$CE$1000,MATCH($A13,Dati!$A$1:$A$1000,0))&gt;0,Dati!$C$3&amp;": "&amp;INDEX(Dati!$C$1:$C$1000,MATCH($A13,Dati!$A$1:$A$1000,0))&amp;" · ","")&amp;IF(INDEX(Dati!$CF$1:$CF$1000,MATCH($A13,Dati!$A$1:$A$1000,0))&gt;0,Dati!$D$3&amp;": "&amp;INDEX(Dati!$D$1:$D$1000,MATCH($A13,Dati!$A$1:$A$1000,0))&amp;" · ","")&amp;IF(INDEX(Dati!$CG$1:$CG$1000,MATCH($A13,Dati!$A$1:$A$1000,0))&gt;0,Dati!$E$3&amp;": "&amp;INDEX(Dati!$E$1:$E$1000,MATCH($A13,Dati!$A$1:$A$1000,0))&amp;" · ","")&amp;IF(INDEX(Dati!$CH$1:$CH$1000,MATCH($A13,Dati!$A$1:$A$1000,0))&gt;0,Dati!$F$3&amp;": "&amp;INDEX(Dati!$F$1:$F$1000,MATCH($A13,Dati!$A$1:$A$1000,0))&amp;" · ",""))="",IF(INDEX(Dati!$FG$1:$FG$1000,MATCH($A13,Dati!$A$1:$A$1000,0))=1,"AS da recuperare",""),LEFT(IF(INDEX(Dati!$CE$1:$CE$1000,MATCH($A13,Dati!$A$1:$A$1000,0))&gt;0,Dati!$C$3&amp;": "&amp;INDEX(Dati!$C$1:$C$1000,MATCH($A13,Dati!$A$1:$A$1000,0))&amp;" · ","")&amp;IF(INDEX(Dati!$CF$1:$CF$1000,MATCH($A13,Dati!$A$1:$A$1000,0))&gt;0,Dati!$D$3&amp;": "&amp;INDEX(Dati!$D$1:$D$1000,MATCH($A13,Dati!$A$1:$A$1000,0))&amp;" · ","")&amp;IF(INDEX(Dati!$CG$1:$CG$1000,MATCH($A13,Dati!$A$1:$A$1000,0))&gt;0,Dati!$E$3&amp;": "&amp;INDEX(Dati!$E$1:$E$1000,MATCH($A13,Dati!$A$1:$A$1000,0))&amp;" · ","")&amp;IF(INDEX(Dati!$CH$1:$CH$1000,MATCH($A13,Dati!$A$1:$A$1000,0))&gt;0,Dati!$F$3&amp;": "&amp;INDEX(Dati!$F$1:$F$1000,MATCH($A13,Dati!$A$1:$A$1000,0))&amp;" · ",""),LEN(IF(INDEX(Dati!$CE$1:$CE$1000,MATCH($A13,Dati!$A$1:$A$1000,0))&gt;0,Dati!$C$3&amp;": "&amp;INDEX(Dati!$C$1:$C$1000,MATCH($A13,Dati!$A$1:$A$1000,0))&amp;" · ","")&amp;IF(INDEX(Dati!$CF$1:$CF$1000,MATCH($A13,Dati!$A$1:$A$1000,0))&gt;0,Dati!$D$3&amp;": "&amp;INDEX(Dati!$D$1:$D$1000,MATCH($A13,Dati!$A$1:$A$1000,0))&amp;" · ","")&amp;IF(INDEX(Dati!$CG$1:$CG$1000,MATCH($A13,Dati!$A$1:$A$1000,0))&gt;0,Dati!$E$3&amp;": "&amp;INDEX(Dati!$E$1:$E$1000,MATCH($A13,Dati!$A$1:$A$1000,0))&amp;" · ","")&amp;IF(INDEX(Dati!$CH$1:$CH$1000,MATCH($A13,Dati!$A$1:$A$1000,0))&gt;0,Dati!$F$3&amp;": "&amp;INDEX(Dati!$F$1:$F$1000,MATCH($A13,Dati!$A$1:$A$1000,0))&amp;" · ",""))-3)),""))</f>
        <v/>
      </c>
      <c r="D13" s="55" t="str">
        <f aca="false">IF($B13="","",IFERROR(IF((IF(INDEX(Dati!$CI$1:$CI$1000,MATCH($A13,Dati!$A$1:$A$1000,0))&gt;0,Dati!$G$3&amp;": "&amp;INDEX(Dati!$G$1:$G$1000,MATCH($A13,Dati!$A$1:$A$1000,0))&amp;" · ","")&amp;IF(INDEX(Dati!$CJ$1:$CJ$1000,MATCH($A13,Dati!$A$1:$A$1000,0))&gt;0,Dati!$H$3&amp;": "&amp;INDEX(Dati!$H$1:$H$1000,MATCH($A13,Dati!$A$1:$A$1000,0))&amp;" · ","")&amp;IF(INDEX(Dati!$CK$1:$CK$1000,MATCH($A13,Dati!$A$1:$A$1000,0))&gt;0,Dati!$I$3&amp;": "&amp;INDEX(Dati!$I$1:$I$1000,MATCH($A13,Dati!$A$1:$A$1000,0))&amp;" · ","")&amp;IF(INDEX(Dati!$CL$1:$CL$1000,MATCH($A13,Dati!$A$1:$A$1000,0))&gt;0,Dati!$J$3&amp;": "&amp;INDEX(Dati!$J$1:$J$1000,MATCH($A13,Dati!$A$1:$A$1000,0))&amp;" · ",""))="",IF(INDEX(Dati!$FH$1:$FH$1000,MATCH($A13,Dati!$A$1:$A$1000,0))=1,"AS da recuperare",""),LEFT(IF(INDEX(Dati!$CI$1:$CI$1000,MATCH($A13,Dati!$A$1:$A$1000,0))&gt;0,Dati!$G$3&amp;": "&amp;INDEX(Dati!$G$1:$G$1000,MATCH($A13,Dati!$A$1:$A$1000,0))&amp;" · ","")&amp;IF(INDEX(Dati!$CJ$1:$CJ$1000,MATCH($A13,Dati!$A$1:$A$1000,0))&gt;0,Dati!$H$3&amp;": "&amp;INDEX(Dati!$H$1:$H$1000,MATCH($A13,Dati!$A$1:$A$1000,0))&amp;" · ","")&amp;IF(INDEX(Dati!$CK$1:$CK$1000,MATCH($A13,Dati!$A$1:$A$1000,0))&gt;0,Dati!$I$3&amp;": "&amp;INDEX(Dati!$I$1:$I$1000,MATCH($A13,Dati!$A$1:$A$1000,0))&amp;" · ","")&amp;IF(INDEX(Dati!$CL$1:$CL$1000,MATCH($A13,Dati!$A$1:$A$1000,0))&gt;0,Dati!$J$3&amp;": "&amp;INDEX(Dati!$J$1:$J$1000,MATCH($A13,Dati!$A$1:$A$1000,0))&amp;" · ",""),LEN(IF(INDEX(Dati!$CI$1:$CI$1000,MATCH($A13,Dati!$A$1:$A$1000,0))&gt;0,Dati!$G$3&amp;": "&amp;INDEX(Dati!$G$1:$G$1000,MATCH($A13,Dati!$A$1:$A$1000,0))&amp;" · ","")&amp;IF(INDEX(Dati!$CJ$1:$CJ$1000,MATCH($A13,Dati!$A$1:$A$1000,0))&gt;0,Dati!$H$3&amp;": "&amp;INDEX(Dati!$H$1:$H$1000,MATCH($A13,Dati!$A$1:$A$1000,0))&amp;" · ","")&amp;IF(INDEX(Dati!$CK$1:$CK$1000,MATCH($A13,Dati!$A$1:$A$1000,0))&gt;0,Dati!$I$3&amp;": "&amp;INDEX(Dati!$I$1:$I$1000,MATCH($A13,Dati!$A$1:$A$1000,0))&amp;" · ","")&amp;IF(INDEX(Dati!$CL$1:$CL$1000,MATCH($A13,Dati!$A$1:$A$1000,0))&gt;0,Dati!$J$3&amp;": "&amp;INDEX(Dati!$J$1:$J$1000,MATCH($A13,Dati!$A$1:$A$1000,0))&amp;" · ",""))-3)),""))</f>
        <v/>
      </c>
      <c r="E13" s="55" t="str">
        <f aca="false">IF($B13="","",IFERROR(IF((IF(INDEX(Dati!$CM$1:$CM$1000,MATCH($A13,Dati!$A$1:$A$1000,0))&gt;0,Dati!$K$3&amp;": "&amp;INDEX(Dati!$K$1:$K$1000,MATCH($A13,Dati!$A$1:$A$1000,0))&amp;" · ","")&amp;IF(INDEX(Dati!$CN$1:$CN$1000,MATCH($A13,Dati!$A$1:$A$1000,0))&gt;0,Dati!$L$3&amp;": "&amp;INDEX(Dati!$L$1:$L$1000,MATCH($A13,Dati!$A$1:$A$1000,0))&amp;" · ","")&amp;IF(INDEX(Dati!$CO$1:$CO$1000,MATCH($A13,Dati!$A$1:$A$1000,0))&gt;0,Dati!$M$3&amp;": "&amp;INDEX(Dati!$M$1:$M$1000,MATCH($A13,Dati!$A$1:$A$1000,0))&amp;" · ","")&amp;IF(INDEX(Dati!$CP$1:$CP$1000,MATCH($A13,Dati!$A$1:$A$1000,0))&gt;0,Dati!$N$3&amp;": "&amp;INDEX(Dati!$N$1:$N$1000,MATCH($A13,Dati!$A$1:$A$1000,0))&amp;" · ",""))="",IF(INDEX(Dati!$FI$1:$FI$1000,MATCH($A13,Dati!$A$1:$A$1000,0))=1,"AS da recuperare",""),LEFT(IF(INDEX(Dati!$CM$1:$CM$1000,MATCH($A13,Dati!$A$1:$A$1000,0))&gt;0,Dati!$K$3&amp;": "&amp;INDEX(Dati!$K$1:$K$1000,MATCH($A13,Dati!$A$1:$A$1000,0))&amp;" · ","")&amp;IF(INDEX(Dati!$CN$1:$CN$1000,MATCH($A13,Dati!$A$1:$A$1000,0))&gt;0,Dati!$L$3&amp;": "&amp;INDEX(Dati!$L$1:$L$1000,MATCH($A13,Dati!$A$1:$A$1000,0))&amp;" · ","")&amp;IF(INDEX(Dati!$CO$1:$CO$1000,MATCH($A13,Dati!$A$1:$A$1000,0))&gt;0,Dati!$M$3&amp;": "&amp;INDEX(Dati!$M$1:$M$1000,MATCH($A13,Dati!$A$1:$A$1000,0))&amp;" · ","")&amp;IF(INDEX(Dati!$CP$1:$CP$1000,MATCH($A13,Dati!$A$1:$A$1000,0))&gt;0,Dati!$N$3&amp;": "&amp;INDEX(Dati!$N$1:$N$1000,MATCH($A13,Dati!$A$1:$A$1000,0))&amp;" · ",""),LEN(IF(INDEX(Dati!$CM$1:$CM$1000,MATCH($A13,Dati!$A$1:$A$1000,0))&gt;0,Dati!$K$3&amp;": "&amp;INDEX(Dati!$K$1:$K$1000,MATCH($A13,Dati!$A$1:$A$1000,0))&amp;" · ","")&amp;IF(INDEX(Dati!$CN$1:$CN$1000,MATCH($A13,Dati!$A$1:$A$1000,0))&gt;0,Dati!$L$3&amp;": "&amp;INDEX(Dati!$L$1:$L$1000,MATCH($A13,Dati!$A$1:$A$1000,0))&amp;" · ","")&amp;IF(INDEX(Dati!$CO$1:$CO$1000,MATCH($A13,Dati!$A$1:$A$1000,0))&gt;0,Dati!$M$3&amp;": "&amp;INDEX(Dati!$M$1:$M$1000,MATCH($A13,Dati!$A$1:$A$1000,0))&amp;" · ","")&amp;IF(INDEX(Dati!$CP$1:$CP$1000,MATCH($A13,Dati!$A$1:$A$1000,0))&gt;0,Dati!$N$3&amp;": "&amp;INDEX(Dati!$N$1:$N$1000,MATCH($A13,Dati!$A$1:$A$1000,0))&amp;" · ",""))-3)),""))</f>
        <v/>
      </c>
      <c r="F13" s="55" t="str">
        <f aca="false">IF($B13="","",IFERROR(IF((IF(INDEX(Dati!$CQ$1:$CQ$1000,MATCH($A13,Dati!$A$1:$A$1000,0))&gt;0,Dati!$O$3&amp;": "&amp;INDEX(Dati!$O$1:$O$1000,MATCH($A13,Dati!$A$1:$A$1000,0))&amp;" · ","")&amp;IF(INDEX(Dati!$CR$1:$CR$1000,MATCH($A13,Dati!$A$1:$A$1000,0))&gt;0,Dati!$P$3&amp;": "&amp;INDEX(Dati!$P$1:$P$1000,MATCH($A13,Dati!$A$1:$A$1000,0))&amp;" · ","")&amp;IF(INDEX(Dati!$CS$1:$CS$1000,MATCH($A13,Dati!$A$1:$A$1000,0))&gt;0,Dati!$Q$3&amp;": "&amp;INDEX(Dati!$Q$1:$Q$1000,MATCH($A13,Dati!$A$1:$A$1000,0))&amp;" · ","")&amp;IF(INDEX(Dati!$CT$1:$CT$1000,MATCH($A13,Dati!$A$1:$A$1000,0))&gt;0,Dati!$R$3&amp;": "&amp;INDEX(Dati!$R$1:$R$1000,MATCH($A13,Dati!$A$1:$A$1000,0))&amp;" · ",""))="",IF(INDEX(Dati!$FJ$1:$FJ$1000,MATCH($A13,Dati!$A$1:$A$1000,0))=1,"AS da recuperare",""),LEFT(IF(INDEX(Dati!$CQ$1:$CQ$1000,MATCH($A13,Dati!$A$1:$A$1000,0))&gt;0,Dati!$O$3&amp;": "&amp;INDEX(Dati!$O$1:$O$1000,MATCH($A13,Dati!$A$1:$A$1000,0))&amp;" · ","")&amp;IF(INDEX(Dati!$CR$1:$CR$1000,MATCH($A13,Dati!$A$1:$A$1000,0))&gt;0,Dati!$P$3&amp;": "&amp;INDEX(Dati!$P$1:$P$1000,MATCH($A13,Dati!$A$1:$A$1000,0))&amp;" · ","")&amp;IF(INDEX(Dati!$CS$1:$CS$1000,MATCH($A13,Dati!$A$1:$A$1000,0))&gt;0,Dati!$Q$3&amp;": "&amp;INDEX(Dati!$Q$1:$Q$1000,MATCH($A13,Dati!$A$1:$A$1000,0))&amp;" · ","")&amp;IF(INDEX(Dati!$CT$1:$CT$1000,MATCH($A13,Dati!$A$1:$A$1000,0))&gt;0,Dati!$R$3&amp;": "&amp;INDEX(Dati!$R$1:$R$1000,MATCH($A13,Dati!$A$1:$A$1000,0))&amp;" · ",""),LEN(IF(INDEX(Dati!$CQ$1:$CQ$1000,MATCH($A13,Dati!$A$1:$A$1000,0))&gt;0,Dati!$O$3&amp;": "&amp;INDEX(Dati!$O$1:$O$1000,MATCH($A13,Dati!$A$1:$A$1000,0))&amp;" · ","")&amp;IF(INDEX(Dati!$CR$1:$CR$1000,MATCH($A13,Dati!$A$1:$A$1000,0))&gt;0,Dati!$P$3&amp;": "&amp;INDEX(Dati!$P$1:$P$1000,MATCH($A13,Dati!$A$1:$A$1000,0))&amp;" · ","")&amp;IF(INDEX(Dati!$CS$1:$CS$1000,MATCH($A13,Dati!$A$1:$A$1000,0))&gt;0,Dati!$Q$3&amp;": "&amp;INDEX(Dati!$Q$1:$Q$1000,MATCH($A13,Dati!$A$1:$A$1000,0))&amp;" · ","")&amp;IF(INDEX(Dati!$CT$1:$CT$1000,MATCH($A13,Dati!$A$1:$A$1000,0))&gt;0,Dati!$R$3&amp;": "&amp;INDEX(Dati!$R$1:$R$1000,MATCH($A13,Dati!$A$1:$A$1000,0))&amp;" · ",""))-3)),""))</f>
        <v/>
      </c>
      <c r="G13" s="55" t="str">
        <f aca="false">IF($B13="","",IFERROR(IF((IF(INDEX(Dati!$CU$1:$CU$1000,MATCH($A13,Dati!$A$1:$A$1000,0))&gt;0,Dati!$S$3&amp;": "&amp;INDEX(Dati!$S$1:$S$1000,MATCH($A13,Dati!$A$1:$A$1000,0))&amp;" · ","")&amp;IF(INDEX(Dati!$CV$1:$CV$1000,MATCH($A13,Dati!$A$1:$A$1000,0))&gt;0,Dati!$T$3&amp;": "&amp;INDEX(Dati!$T$1:$T$1000,MATCH($A13,Dati!$A$1:$A$1000,0))&amp;" · ","")&amp;IF(INDEX(Dati!$CW$1:$CW$1000,MATCH($A13,Dati!$A$1:$A$1000,0))&gt;0,Dati!$U$3&amp;": "&amp;INDEX(Dati!$U$1:$U$1000,MATCH($A13,Dati!$A$1:$A$1000,0))&amp;" · ","")&amp;IF(INDEX(Dati!$CX$1:$CX$1000,MATCH($A13,Dati!$A$1:$A$1000,0))&gt;0,Dati!$V$3&amp;": "&amp;INDEX(Dati!$V$1:$V$1000,MATCH($A13,Dati!$A$1:$A$1000,0))&amp;" · ",""))="",IF(INDEX(Dati!$FK$1:$FK$1000,MATCH($A13,Dati!$A$1:$A$1000,0))=1,"AS da recuperare",""),LEFT(IF(INDEX(Dati!$CU$1:$CU$1000,MATCH($A13,Dati!$A$1:$A$1000,0))&gt;0,Dati!$S$3&amp;": "&amp;INDEX(Dati!$S$1:$S$1000,MATCH($A13,Dati!$A$1:$A$1000,0))&amp;" · ","")&amp;IF(INDEX(Dati!$CV$1:$CV$1000,MATCH($A13,Dati!$A$1:$A$1000,0))&gt;0,Dati!$T$3&amp;": "&amp;INDEX(Dati!$T$1:$T$1000,MATCH($A13,Dati!$A$1:$A$1000,0))&amp;" · ","")&amp;IF(INDEX(Dati!$CW$1:$CW$1000,MATCH($A13,Dati!$A$1:$A$1000,0))&gt;0,Dati!$U$3&amp;": "&amp;INDEX(Dati!$U$1:$U$1000,MATCH($A13,Dati!$A$1:$A$1000,0))&amp;" · ","")&amp;IF(INDEX(Dati!$CX$1:$CX$1000,MATCH($A13,Dati!$A$1:$A$1000,0))&gt;0,Dati!$V$3&amp;": "&amp;INDEX(Dati!$V$1:$V$1000,MATCH($A13,Dati!$A$1:$A$1000,0))&amp;" · ",""),LEN(IF(INDEX(Dati!$CU$1:$CU$1000,MATCH($A13,Dati!$A$1:$A$1000,0))&gt;0,Dati!$S$3&amp;": "&amp;INDEX(Dati!$S$1:$S$1000,MATCH($A13,Dati!$A$1:$A$1000,0))&amp;" · ","")&amp;IF(INDEX(Dati!$CV$1:$CV$1000,MATCH($A13,Dati!$A$1:$A$1000,0))&gt;0,Dati!$T$3&amp;": "&amp;INDEX(Dati!$T$1:$T$1000,MATCH($A13,Dati!$A$1:$A$1000,0))&amp;" · ","")&amp;IF(INDEX(Dati!$CW$1:$CW$1000,MATCH($A13,Dati!$A$1:$A$1000,0))&gt;0,Dati!$U$3&amp;": "&amp;INDEX(Dati!$U$1:$U$1000,MATCH($A13,Dati!$A$1:$A$1000,0))&amp;" · ","")&amp;IF(INDEX(Dati!$CX$1:$CX$1000,MATCH($A13,Dati!$A$1:$A$1000,0))&gt;0,Dati!$V$3&amp;": "&amp;INDEX(Dati!$V$1:$V$1000,MATCH($A13,Dati!$A$1:$A$1000,0))&amp;" · ",""))-3)),""))</f>
        <v/>
      </c>
      <c r="H13" s="55" t="str">
        <f aca="false">IF($B13="","",IFERROR(IF((IF(INDEX(Dati!$CY$1:$CY$1000,MATCH($A13,Dati!$A$1:$A$1000,0))&gt;0,Dati!$W$3&amp;": "&amp;INDEX(Dati!$W$1:$W$1000,MATCH($A13,Dati!$A$1:$A$1000,0))&amp;" · ","")&amp;IF(INDEX(Dati!$CZ$1:$CZ$1000,MATCH($A13,Dati!$A$1:$A$1000,0))&gt;0,Dati!$X$3&amp;": "&amp;INDEX(Dati!$X$1:$X$1000,MATCH($A13,Dati!$A$1:$A$1000,0))&amp;" · ","")&amp;IF(INDEX(Dati!$DA$1:$DA$1000,MATCH($A13,Dati!$A$1:$A$1000,0))&gt;0,Dati!$Y$3&amp;": "&amp;INDEX(Dati!$Y$1:$Y$1000,MATCH($A13,Dati!$A$1:$A$1000,0))&amp;" · ","")&amp;IF(INDEX(Dati!$DB$1:$DB$1000,MATCH($A13,Dati!$A$1:$A$1000,0))&gt;0,Dati!$Z$3&amp;": "&amp;INDEX(Dati!$Z$1:$Z$1000,MATCH($A13,Dati!$A$1:$A$1000,0))&amp;" · ",""))="",IF(INDEX(Dati!$FL$1:$FL$1000,MATCH($A13,Dati!$A$1:$A$1000,0))=1,"AS da recuperare",""),LEFT(IF(INDEX(Dati!$CY$1:$CY$1000,MATCH($A13,Dati!$A$1:$A$1000,0))&gt;0,Dati!$W$3&amp;": "&amp;INDEX(Dati!$W$1:$W$1000,MATCH($A13,Dati!$A$1:$A$1000,0))&amp;" · ","")&amp;IF(INDEX(Dati!$CZ$1:$CZ$1000,MATCH($A13,Dati!$A$1:$A$1000,0))&gt;0,Dati!$X$3&amp;": "&amp;INDEX(Dati!$X$1:$X$1000,MATCH($A13,Dati!$A$1:$A$1000,0))&amp;" · ","")&amp;IF(INDEX(Dati!$DA$1:$DA$1000,MATCH($A13,Dati!$A$1:$A$1000,0))&gt;0,Dati!$Y$3&amp;": "&amp;INDEX(Dati!$Y$1:$Y$1000,MATCH($A13,Dati!$A$1:$A$1000,0))&amp;" · ","")&amp;IF(INDEX(Dati!$DB$1:$DB$1000,MATCH($A13,Dati!$A$1:$A$1000,0))&gt;0,Dati!$Z$3&amp;": "&amp;INDEX(Dati!$Z$1:$Z$1000,MATCH($A13,Dati!$A$1:$A$1000,0))&amp;" · ",""),LEN(IF(INDEX(Dati!$CY$1:$CY$1000,MATCH($A13,Dati!$A$1:$A$1000,0))&gt;0,Dati!$W$3&amp;": "&amp;INDEX(Dati!$W$1:$W$1000,MATCH($A13,Dati!$A$1:$A$1000,0))&amp;" · ","")&amp;IF(INDEX(Dati!$CZ$1:$CZ$1000,MATCH($A13,Dati!$A$1:$A$1000,0))&gt;0,Dati!$X$3&amp;": "&amp;INDEX(Dati!$X$1:$X$1000,MATCH($A13,Dati!$A$1:$A$1000,0))&amp;" · ","")&amp;IF(INDEX(Dati!$DA$1:$DA$1000,MATCH($A13,Dati!$A$1:$A$1000,0))&gt;0,Dati!$Y$3&amp;": "&amp;INDEX(Dati!$Y$1:$Y$1000,MATCH($A13,Dati!$A$1:$A$1000,0))&amp;" · ","")&amp;IF(INDEX(Dati!$DB$1:$DB$1000,MATCH($A13,Dati!$A$1:$A$1000,0))&gt;0,Dati!$Z$3&amp;": "&amp;INDEX(Dati!$Z$1:$Z$1000,MATCH($A13,Dati!$A$1:$A$1000,0))&amp;" · ",""))-3)),""))</f>
        <v/>
      </c>
      <c r="I13" s="55" t="str">
        <f aca="false">IF($B13="","",IFERROR(IF((IF(INDEX(Dati!$DC$1:$DC$1000,MATCH($A13,Dati!$A$1:$A$1000,0))&gt;0,Dati!$AA$3&amp;": "&amp;INDEX(Dati!$AA$1:$AA$1000,MATCH($A13,Dati!$A$1:$A$1000,0))&amp;" · ","")&amp;IF(INDEX(Dati!$DD$1:$DD$1000,MATCH($A13,Dati!$A$1:$A$1000,0))&gt;0,Dati!$AB$3&amp;": "&amp;INDEX(Dati!$AB$1:$AB$1000,MATCH($A13,Dati!$A$1:$A$1000,0))&amp;" · ","")&amp;IF(INDEX(Dati!$DE$1:$DE$1000,MATCH($A13,Dati!$A$1:$A$1000,0))&gt;0,Dati!$AC$3&amp;": "&amp;INDEX(Dati!$AC$1:$AC$1000,MATCH($A13,Dati!$A$1:$A$1000,0))&amp;" · ","")&amp;IF(INDEX(Dati!$DF$1:$DF$1000,MATCH($A13,Dati!$A$1:$A$1000,0))&gt;0,Dati!$AD$3&amp;": "&amp;INDEX(Dati!$AD$1:$AD$1000,MATCH($A13,Dati!$A$1:$A$1000,0))&amp;" · ",""))="",IF(INDEX(Dati!$FM$1:$FM$1000,MATCH($A13,Dati!$A$1:$A$1000,0))=1,"AS da recuperare",""),LEFT(IF(INDEX(Dati!$DC$1:$DC$1000,MATCH($A13,Dati!$A$1:$A$1000,0))&gt;0,Dati!$AA$3&amp;": "&amp;INDEX(Dati!$AA$1:$AA$1000,MATCH($A13,Dati!$A$1:$A$1000,0))&amp;" · ","")&amp;IF(INDEX(Dati!$DD$1:$DD$1000,MATCH($A13,Dati!$A$1:$A$1000,0))&gt;0,Dati!$AB$3&amp;": "&amp;INDEX(Dati!$AB$1:$AB$1000,MATCH($A13,Dati!$A$1:$A$1000,0))&amp;" · ","")&amp;IF(INDEX(Dati!$DE$1:$DE$1000,MATCH($A13,Dati!$A$1:$A$1000,0))&gt;0,Dati!$AC$3&amp;": "&amp;INDEX(Dati!$AC$1:$AC$1000,MATCH($A13,Dati!$A$1:$A$1000,0))&amp;" · ","")&amp;IF(INDEX(Dati!$DF$1:$DF$1000,MATCH($A13,Dati!$A$1:$A$1000,0))&gt;0,Dati!$AD$3&amp;": "&amp;INDEX(Dati!$AD$1:$AD$1000,MATCH($A13,Dati!$A$1:$A$1000,0))&amp;" · ",""),LEN(IF(INDEX(Dati!$DC$1:$DC$1000,MATCH($A13,Dati!$A$1:$A$1000,0))&gt;0,Dati!$AA$3&amp;": "&amp;INDEX(Dati!$AA$1:$AA$1000,MATCH($A13,Dati!$A$1:$A$1000,0))&amp;" · ","")&amp;IF(INDEX(Dati!$DD$1:$DD$1000,MATCH($A13,Dati!$A$1:$A$1000,0))&gt;0,Dati!$AB$3&amp;": "&amp;INDEX(Dati!$AB$1:$AB$1000,MATCH($A13,Dati!$A$1:$A$1000,0))&amp;" · ","")&amp;IF(INDEX(Dati!$DE$1:$DE$1000,MATCH($A13,Dati!$A$1:$A$1000,0))&gt;0,Dati!$AC$3&amp;": "&amp;INDEX(Dati!$AC$1:$AC$1000,MATCH($A13,Dati!$A$1:$A$1000,0))&amp;" · ","")&amp;IF(INDEX(Dati!$DF$1:$DF$1000,MATCH($A13,Dati!$A$1:$A$1000,0))&gt;0,Dati!$AD$3&amp;": "&amp;INDEX(Dati!$AD$1:$AD$1000,MATCH($A13,Dati!$A$1:$A$1000,0))&amp;" · ",""))-3)),""))</f>
        <v/>
      </c>
      <c r="J13" s="55" t="str">
        <f aca="false">IF($B13="","",IFERROR(IF((IF(INDEX(Dati!$DG$1:$DG$1000,MATCH($A13,Dati!$A$1:$A$1000,0))&gt;0,Dati!$AE$3&amp;": "&amp;INDEX(Dati!$AE$1:$AE$1000,MATCH($A13,Dati!$A$1:$A$1000,0))&amp;" · ","")&amp;IF(INDEX(Dati!$DH$1:$DH$1000,MATCH($A13,Dati!$A$1:$A$1000,0))&gt;0,Dati!$AF$3&amp;": "&amp;INDEX(Dati!$AF$1:$AF$1000,MATCH($A13,Dati!$A$1:$A$1000,0))&amp;" · ","")&amp;IF(INDEX(Dati!$DI$1:$DI$1000,MATCH($A13,Dati!$A$1:$A$1000,0))&gt;0,Dati!$AG$3&amp;": "&amp;INDEX(Dati!$AG$1:$AG$1000,MATCH($A13,Dati!$A$1:$A$1000,0))&amp;" · ","")&amp;IF(INDEX(Dati!$DJ$1:$DJ$1000,MATCH($A13,Dati!$A$1:$A$1000,0))&gt;0,Dati!$AH$3&amp;": "&amp;INDEX(Dati!$AH$1:$AH$1000,MATCH($A13,Dati!$A$1:$A$1000,0))&amp;" · ",""))="",IF(INDEX(Dati!$FN$1:$FN$1000,MATCH($A13,Dati!$A$1:$A$1000,0))=1,"AS da recuperare",""),LEFT(IF(INDEX(Dati!$DG$1:$DG$1000,MATCH($A13,Dati!$A$1:$A$1000,0))&gt;0,Dati!$AE$3&amp;": "&amp;INDEX(Dati!$AE$1:$AE$1000,MATCH($A13,Dati!$A$1:$A$1000,0))&amp;" · ","")&amp;IF(INDEX(Dati!$DH$1:$DH$1000,MATCH($A13,Dati!$A$1:$A$1000,0))&gt;0,Dati!$AF$3&amp;": "&amp;INDEX(Dati!$AF$1:$AF$1000,MATCH($A13,Dati!$A$1:$A$1000,0))&amp;" · ","")&amp;IF(INDEX(Dati!$DI$1:$DI$1000,MATCH($A13,Dati!$A$1:$A$1000,0))&gt;0,Dati!$AG$3&amp;": "&amp;INDEX(Dati!$AG$1:$AG$1000,MATCH($A13,Dati!$A$1:$A$1000,0))&amp;" · ","")&amp;IF(INDEX(Dati!$DJ$1:$DJ$1000,MATCH($A13,Dati!$A$1:$A$1000,0))&gt;0,Dati!$AH$3&amp;": "&amp;INDEX(Dati!$AH$1:$AH$1000,MATCH($A13,Dati!$A$1:$A$1000,0))&amp;" · ",""),LEN(IF(INDEX(Dati!$DG$1:$DG$1000,MATCH($A13,Dati!$A$1:$A$1000,0))&gt;0,Dati!$AE$3&amp;": "&amp;INDEX(Dati!$AE$1:$AE$1000,MATCH($A13,Dati!$A$1:$A$1000,0))&amp;" · ","")&amp;IF(INDEX(Dati!$DH$1:$DH$1000,MATCH($A13,Dati!$A$1:$A$1000,0))&gt;0,Dati!$AF$3&amp;": "&amp;INDEX(Dati!$AF$1:$AF$1000,MATCH($A13,Dati!$A$1:$A$1000,0))&amp;" · ","")&amp;IF(INDEX(Dati!$DI$1:$DI$1000,MATCH($A13,Dati!$A$1:$A$1000,0))&gt;0,Dati!$AG$3&amp;": "&amp;INDEX(Dati!$AG$1:$AG$1000,MATCH($A13,Dati!$A$1:$A$1000,0))&amp;" · ","")&amp;IF(INDEX(Dati!$DJ$1:$DJ$1000,MATCH($A13,Dati!$A$1:$A$1000,0))&gt;0,Dati!$AH$3&amp;": "&amp;INDEX(Dati!$AH$1:$AH$1000,MATCH($A13,Dati!$A$1:$A$1000,0))&amp;" · ",""))-3)),""))</f>
        <v/>
      </c>
      <c r="K13" s="55" t="str">
        <f aca="false">IF($B13="","",IFERROR(IF((IF(INDEX(Dati!$DK$1:$DK$1000,MATCH($A13,Dati!$A$1:$A$1000,0))&gt;0,Dati!$AI$3&amp;": "&amp;INDEX(Dati!$AI$1:$AI$1000,MATCH($A13,Dati!$A$1:$A$1000,0))&amp;" · ","")&amp;IF(INDEX(Dati!$DL$1:$DL$1000,MATCH($A13,Dati!$A$1:$A$1000,0))&gt;0,Dati!$AJ$3&amp;": "&amp;INDEX(Dati!$AJ$1:$AJ$1000,MATCH($A13,Dati!$A$1:$A$1000,0))&amp;" · ","")&amp;IF(INDEX(Dati!$DM$1:$DM$1000,MATCH($A13,Dati!$A$1:$A$1000,0))&gt;0,Dati!$AK$3&amp;": "&amp;INDEX(Dati!$AK$1:$AK$1000,MATCH($A13,Dati!$A$1:$A$1000,0))&amp;" · ","")&amp;IF(INDEX(Dati!$DN$1:$DN$1000,MATCH($A13,Dati!$A$1:$A$1000,0))&gt;0,Dati!$AL$3&amp;": "&amp;INDEX(Dati!$AL$1:$AL$1000,MATCH($A13,Dati!$A$1:$A$1000,0))&amp;" · ",""))="",IF(INDEX(Dati!$FO$1:$FO$1000,MATCH($A13,Dati!$A$1:$A$1000,0))=1,"AS da recuperare",""),LEFT(IF(INDEX(Dati!$DK$1:$DK$1000,MATCH($A13,Dati!$A$1:$A$1000,0))&gt;0,Dati!$AI$3&amp;": "&amp;INDEX(Dati!$AI$1:$AI$1000,MATCH($A13,Dati!$A$1:$A$1000,0))&amp;" · ","")&amp;IF(INDEX(Dati!$DL$1:$DL$1000,MATCH($A13,Dati!$A$1:$A$1000,0))&gt;0,Dati!$AJ$3&amp;": "&amp;INDEX(Dati!$AJ$1:$AJ$1000,MATCH($A13,Dati!$A$1:$A$1000,0))&amp;" · ","")&amp;IF(INDEX(Dati!$DM$1:$DM$1000,MATCH($A13,Dati!$A$1:$A$1000,0))&gt;0,Dati!$AK$3&amp;": "&amp;INDEX(Dati!$AK$1:$AK$1000,MATCH($A13,Dati!$A$1:$A$1000,0))&amp;" · ","")&amp;IF(INDEX(Dati!$DN$1:$DN$1000,MATCH($A13,Dati!$A$1:$A$1000,0))&gt;0,Dati!$AL$3&amp;": "&amp;INDEX(Dati!$AL$1:$AL$1000,MATCH($A13,Dati!$A$1:$A$1000,0))&amp;" · ",""),LEN(IF(INDEX(Dati!$DK$1:$DK$1000,MATCH($A13,Dati!$A$1:$A$1000,0))&gt;0,Dati!$AI$3&amp;": "&amp;INDEX(Dati!$AI$1:$AI$1000,MATCH($A13,Dati!$A$1:$A$1000,0))&amp;" · ","")&amp;IF(INDEX(Dati!$DL$1:$DL$1000,MATCH($A13,Dati!$A$1:$A$1000,0))&gt;0,Dati!$AJ$3&amp;": "&amp;INDEX(Dati!$AJ$1:$AJ$1000,MATCH($A13,Dati!$A$1:$A$1000,0))&amp;" · ","")&amp;IF(INDEX(Dati!$DM$1:$DM$1000,MATCH($A13,Dati!$A$1:$A$1000,0))&gt;0,Dati!$AK$3&amp;": "&amp;INDEX(Dati!$AK$1:$AK$1000,MATCH($A13,Dati!$A$1:$A$1000,0))&amp;" · ","")&amp;IF(INDEX(Dati!$DN$1:$DN$1000,MATCH($A13,Dati!$A$1:$A$1000,0))&gt;0,Dati!$AL$3&amp;": "&amp;INDEX(Dati!$AL$1:$AL$1000,MATCH($A13,Dati!$A$1:$A$1000,0))&amp;" · ",""))-3)),""))</f>
        <v/>
      </c>
      <c r="L13" s="55" t="str">
        <f aca="false">IF($B13="","",IFERROR(IF((IF(INDEX(Dati!$DO$1:$DO$1000,MATCH($A13,Dati!$A$1:$A$1000,0))&gt;0,Dati!$AM$3&amp;": "&amp;INDEX(Dati!$AM$1:$AM$1000,MATCH($A13,Dati!$A$1:$A$1000,0))&amp;" · ","")&amp;IF(INDEX(Dati!$DP$1:$DP$1000,MATCH($A13,Dati!$A$1:$A$1000,0))&gt;0,Dati!$AN$3&amp;": "&amp;INDEX(Dati!$AN$1:$AN$1000,MATCH($A13,Dati!$A$1:$A$1000,0))&amp;" · ","")&amp;IF(INDEX(Dati!$DQ$1:$DQ$1000,MATCH($A13,Dati!$A$1:$A$1000,0))&gt;0,Dati!$AO$3&amp;": "&amp;INDEX(Dati!$AO$1:$AO$1000,MATCH($A13,Dati!$A$1:$A$1000,0))&amp;" · ","")&amp;IF(INDEX(Dati!$DR$1:$DR$1000,MATCH($A13,Dati!$A$1:$A$1000,0))&gt;0,Dati!$AP$3&amp;": "&amp;INDEX(Dati!$AP$1:$AP$1000,MATCH($A13,Dati!$A$1:$A$1000,0))&amp;" · ",""))="",IF(INDEX(Dati!$FP$1:$FP$1000,MATCH($A13,Dati!$A$1:$A$1000,0))=1,"AS da recuperare",""),LEFT(IF(INDEX(Dati!$DO$1:$DO$1000,MATCH($A13,Dati!$A$1:$A$1000,0))&gt;0,Dati!$AM$3&amp;": "&amp;INDEX(Dati!$AM$1:$AM$1000,MATCH($A13,Dati!$A$1:$A$1000,0))&amp;" · ","")&amp;IF(INDEX(Dati!$DP$1:$DP$1000,MATCH($A13,Dati!$A$1:$A$1000,0))&gt;0,Dati!$AN$3&amp;": "&amp;INDEX(Dati!$AN$1:$AN$1000,MATCH($A13,Dati!$A$1:$A$1000,0))&amp;" · ","")&amp;IF(INDEX(Dati!$DQ$1:$DQ$1000,MATCH($A13,Dati!$A$1:$A$1000,0))&gt;0,Dati!$AO$3&amp;": "&amp;INDEX(Dati!$AO$1:$AO$1000,MATCH($A13,Dati!$A$1:$A$1000,0))&amp;" · ","")&amp;IF(INDEX(Dati!$DR$1:$DR$1000,MATCH($A13,Dati!$A$1:$A$1000,0))&gt;0,Dati!$AP$3&amp;": "&amp;INDEX(Dati!$AP$1:$AP$1000,MATCH($A13,Dati!$A$1:$A$1000,0))&amp;" · ",""),LEN(IF(INDEX(Dati!$DO$1:$DO$1000,MATCH($A13,Dati!$A$1:$A$1000,0))&gt;0,Dati!$AM$3&amp;": "&amp;INDEX(Dati!$AM$1:$AM$1000,MATCH($A13,Dati!$A$1:$A$1000,0))&amp;" · ","")&amp;IF(INDEX(Dati!$DP$1:$DP$1000,MATCH($A13,Dati!$A$1:$A$1000,0))&gt;0,Dati!$AN$3&amp;": "&amp;INDEX(Dati!$AN$1:$AN$1000,MATCH($A13,Dati!$A$1:$A$1000,0))&amp;" · ","")&amp;IF(INDEX(Dati!$DQ$1:$DQ$1000,MATCH($A13,Dati!$A$1:$A$1000,0))&gt;0,Dati!$AO$3&amp;": "&amp;INDEX(Dati!$AO$1:$AO$1000,MATCH($A13,Dati!$A$1:$A$1000,0))&amp;" · ","")&amp;IF(INDEX(Dati!$DR$1:$DR$1000,MATCH($A13,Dati!$A$1:$A$1000,0))&gt;0,Dati!$AP$3&amp;": "&amp;INDEX(Dati!$AP$1:$AP$1000,MATCH($A13,Dati!$A$1:$A$1000,0))&amp;" · ",""))-3)),""))</f>
        <v/>
      </c>
      <c r="M13" s="55" t="str">
        <f aca="false">IF($B13="","",IFERROR(IF((IF(INDEX(Dati!$DS$1:$DS$1000,MATCH($A13,Dati!$A$1:$A$1000,0))&gt;0,Dati!$AQ$3&amp;": "&amp;INDEX(Dati!$AQ$1:$AQ$1000,MATCH($A13,Dati!$A$1:$A$1000,0))&amp;" · ","")&amp;IF(INDEX(Dati!$DT$1:$DT$1000,MATCH($A13,Dati!$A$1:$A$1000,0))&gt;0,Dati!$AR$3&amp;": "&amp;INDEX(Dati!$AR$1:$AR$1000,MATCH($A13,Dati!$A$1:$A$1000,0))&amp;" · ","")&amp;IF(INDEX(Dati!$DU$1:$DU$1000,MATCH($A13,Dati!$A$1:$A$1000,0))&gt;0,Dati!$AS$3&amp;": "&amp;INDEX(Dati!$AS$1:$AS$1000,MATCH($A13,Dati!$A$1:$A$1000,0))&amp;" · ","")&amp;IF(INDEX(Dati!$DV$1:$DV$1000,MATCH($A13,Dati!$A$1:$A$1000,0))&gt;0,Dati!$AT$3&amp;": "&amp;INDEX(Dati!$AT$1:$AT$1000,MATCH($A13,Dati!$A$1:$A$1000,0))&amp;" · ",""))="",IF(INDEX(Dati!$FQ$1:$FQ$1000,MATCH($A13,Dati!$A$1:$A$1000,0))=1,"AS da recuperare",""),LEFT(IF(INDEX(Dati!$DS$1:$DS$1000,MATCH($A13,Dati!$A$1:$A$1000,0))&gt;0,Dati!$AQ$3&amp;": "&amp;INDEX(Dati!$AQ$1:$AQ$1000,MATCH($A13,Dati!$A$1:$A$1000,0))&amp;" · ","")&amp;IF(INDEX(Dati!$DT$1:$DT$1000,MATCH($A13,Dati!$A$1:$A$1000,0))&gt;0,Dati!$AR$3&amp;": "&amp;INDEX(Dati!$AR$1:$AR$1000,MATCH($A13,Dati!$A$1:$A$1000,0))&amp;" · ","")&amp;IF(INDEX(Dati!$DU$1:$DU$1000,MATCH($A13,Dati!$A$1:$A$1000,0))&gt;0,Dati!$AS$3&amp;": "&amp;INDEX(Dati!$AS$1:$AS$1000,MATCH($A13,Dati!$A$1:$A$1000,0))&amp;" · ","")&amp;IF(INDEX(Dati!$DV$1:$DV$1000,MATCH($A13,Dati!$A$1:$A$1000,0))&gt;0,Dati!$AT$3&amp;": "&amp;INDEX(Dati!$AT$1:$AT$1000,MATCH($A13,Dati!$A$1:$A$1000,0))&amp;" · ",""),LEN(IF(INDEX(Dati!$DS$1:$DS$1000,MATCH($A13,Dati!$A$1:$A$1000,0))&gt;0,Dati!$AQ$3&amp;": "&amp;INDEX(Dati!$AQ$1:$AQ$1000,MATCH($A13,Dati!$A$1:$A$1000,0))&amp;" · ","")&amp;IF(INDEX(Dati!$DT$1:$DT$1000,MATCH($A13,Dati!$A$1:$A$1000,0))&gt;0,Dati!$AR$3&amp;": "&amp;INDEX(Dati!$AR$1:$AR$1000,MATCH($A13,Dati!$A$1:$A$1000,0))&amp;" · ","")&amp;IF(INDEX(Dati!$DU$1:$DU$1000,MATCH($A13,Dati!$A$1:$A$1000,0))&gt;0,Dati!$AS$3&amp;": "&amp;INDEX(Dati!$AS$1:$AS$1000,MATCH($A13,Dati!$A$1:$A$1000,0))&amp;" · ","")&amp;IF(INDEX(Dati!$DV$1:$DV$1000,MATCH($A13,Dati!$A$1:$A$1000,0))&gt;0,Dati!$AT$3&amp;": "&amp;INDEX(Dati!$AT$1:$AT$1000,MATCH($A13,Dati!$A$1:$A$1000,0))&amp;" · ",""))-3)),""))</f>
        <v/>
      </c>
      <c r="N13" s="55" t="str">
        <f aca="false">IF($B13="","",IFERROR(IF((IF(INDEX(Dati!$DW$1:$DW$1000,MATCH($A13,Dati!$A$1:$A$1000,0))&gt;0,Dati!$AU$3&amp;": "&amp;INDEX(Dati!$AU$1:$AU$1000,MATCH($A13,Dati!$A$1:$A$1000,0))&amp;" · ","")&amp;IF(INDEX(Dati!$DX$1:$DX$1000,MATCH($A13,Dati!$A$1:$A$1000,0))&gt;0,Dati!$AV$3&amp;": "&amp;INDEX(Dati!$AV$1:$AV$1000,MATCH($A13,Dati!$A$1:$A$1000,0))&amp;" · ","")&amp;IF(INDEX(Dati!$DY$1:$DY$1000,MATCH($A13,Dati!$A$1:$A$1000,0))&gt;0,Dati!$AW$3&amp;": "&amp;INDEX(Dati!$AW$1:$AW$1000,MATCH($A13,Dati!$A$1:$A$1000,0))&amp;" · ","")&amp;IF(INDEX(Dati!$DZ$1:$DZ$1000,MATCH($A13,Dati!$A$1:$A$1000,0))&gt;0,Dati!$AX$3&amp;": "&amp;INDEX(Dati!$AX$1:$AX$1000,MATCH($A13,Dati!$A$1:$A$1000,0))&amp;" · ",""))="",IF(INDEX(Dati!$FR$1:$FR$1000,MATCH($A13,Dati!$A$1:$A$1000,0))=1,"AS da recuperare",""),LEFT(IF(INDEX(Dati!$DW$1:$DW$1000,MATCH($A13,Dati!$A$1:$A$1000,0))&gt;0,Dati!$AU$3&amp;": "&amp;INDEX(Dati!$AU$1:$AU$1000,MATCH($A13,Dati!$A$1:$A$1000,0))&amp;" · ","")&amp;IF(INDEX(Dati!$DX$1:$DX$1000,MATCH($A13,Dati!$A$1:$A$1000,0))&gt;0,Dati!$AV$3&amp;": "&amp;INDEX(Dati!$AV$1:$AV$1000,MATCH($A13,Dati!$A$1:$A$1000,0))&amp;" · ","")&amp;IF(INDEX(Dati!$DY$1:$DY$1000,MATCH($A13,Dati!$A$1:$A$1000,0))&gt;0,Dati!$AW$3&amp;": "&amp;INDEX(Dati!$AW$1:$AW$1000,MATCH($A13,Dati!$A$1:$A$1000,0))&amp;" · ","")&amp;IF(INDEX(Dati!$DZ$1:$DZ$1000,MATCH($A13,Dati!$A$1:$A$1000,0))&gt;0,Dati!$AX$3&amp;": "&amp;INDEX(Dati!$AX$1:$AX$1000,MATCH($A13,Dati!$A$1:$A$1000,0))&amp;" · ",""),LEN(IF(INDEX(Dati!$DW$1:$DW$1000,MATCH($A13,Dati!$A$1:$A$1000,0))&gt;0,Dati!$AU$3&amp;": "&amp;INDEX(Dati!$AU$1:$AU$1000,MATCH($A13,Dati!$A$1:$A$1000,0))&amp;" · ","")&amp;IF(INDEX(Dati!$DX$1:$DX$1000,MATCH($A13,Dati!$A$1:$A$1000,0))&gt;0,Dati!$AV$3&amp;": "&amp;INDEX(Dati!$AV$1:$AV$1000,MATCH($A13,Dati!$A$1:$A$1000,0))&amp;" · ","")&amp;IF(INDEX(Dati!$DY$1:$DY$1000,MATCH($A13,Dati!$A$1:$A$1000,0))&gt;0,Dati!$AW$3&amp;": "&amp;INDEX(Dati!$AW$1:$AW$1000,MATCH($A13,Dati!$A$1:$A$1000,0))&amp;" · ","")&amp;IF(INDEX(Dati!$DZ$1:$DZ$1000,MATCH($A13,Dati!$A$1:$A$1000,0))&gt;0,Dati!$AX$3&amp;": "&amp;INDEX(Dati!$AX$1:$AX$1000,MATCH($A13,Dati!$A$1:$A$1000,0))&amp;" · ",""))-3)),""))</f>
        <v/>
      </c>
      <c r="O13" s="55" t="str">
        <f aca="false">IF($B13="","",IFERROR(IF((IF(INDEX(Dati!$EA$1:$EA$1000,MATCH($A13,Dati!$A$1:$A$1000,0))&gt;0,Dati!$AY$3&amp;": "&amp;INDEX(Dati!$AY$1:$AY$1000,MATCH($A13,Dati!$A$1:$A$1000,0))&amp;" · ","")&amp;IF(INDEX(Dati!$EB$1:$EB$1000,MATCH($A13,Dati!$A$1:$A$1000,0))&gt;0,Dati!$AZ$3&amp;": "&amp;INDEX(Dati!$AZ$1:$AZ$1000,MATCH($A13,Dati!$A$1:$A$1000,0))&amp;" · ","")&amp;IF(INDEX(Dati!$EC$1:$EC$1000,MATCH($A13,Dati!$A$1:$A$1000,0))&gt;0,Dati!$BA$3&amp;": "&amp;INDEX(Dati!$BA$1:$BA$1000,MATCH($A13,Dati!$A$1:$A$1000,0))&amp;" · ","")&amp;IF(INDEX(Dati!$ED$1:$ED$1000,MATCH($A13,Dati!$A$1:$A$1000,0))&gt;0,Dati!$BB$3&amp;": "&amp;INDEX(Dati!$BB$1:$BB$1000,MATCH($A13,Dati!$A$1:$A$1000,0))&amp;" · ",""))="",IF(INDEX(Dati!$FS$1:$FS$1000,MATCH($A13,Dati!$A$1:$A$1000,0))=1,"AS da recuperare",""),LEFT(IF(INDEX(Dati!$EA$1:$EA$1000,MATCH($A13,Dati!$A$1:$A$1000,0))&gt;0,Dati!$AY$3&amp;": "&amp;INDEX(Dati!$AY$1:$AY$1000,MATCH($A13,Dati!$A$1:$A$1000,0))&amp;" · ","")&amp;IF(INDEX(Dati!$EB$1:$EB$1000,MATCH($A13,Dati!$A$1:$A$1000,0))&gt;0,Dati!$AZ$3&amp;": "&amp;INDEX(Dati!$AZ$1:$AZ$1000,MATCH($A13,Dati!$A$1:$A$1000,0))&amp;" · ","")&amp;IF(INDEX(Dati!$EC$1:$EC$1000,MATCH($A13,Dati!$A$1:$A$1000,0))&gt;0,Dati!$BA$3&amp;": "&amp;INDEX(Dati!$BA$1:$BA$1000,MATCH($A13,Dati!$A$1:$A$1000,0))&amp;" · ","")&amp;IF(INDEX(Dati!$ED$1:$ED$1000,MATCH($A13,Dati!$A$1:$A$1000,0))&gt;0,Dati!$BB$3&amp;": "&amp;INDEX(Dati!$BB$1:$BB$1000,MATCH($A13,Dati!$A$1:$A$1000,0))&amp;" · ",""),LEN(IF(INDEX(Dati!$EA$1:$EA$1000,MATCH($A13,Dati!$A$1:$A$1000,0))&gt;0,Dati!$AY$3&amp;": "&amp;INDEX(Dati!$AY$1:$AY$1000,MATCH($A13,Dati!$A$1:$A$1000,0))&amp;" · ","")&amp;IF(INDEX(Dati!$EB$1:$EB$1000,MATCH($A13,Dati!$A$1:$A$1000,0))&gt;0,Dati!$AZ$3&amp;": "&amp;INDEX(Dati!$AZ$1:$AZ$1000,MATCH($A13,Dati!$A$1:$A$1000,0))&amp;" · ","")&amp;IF(INDEX(Dati!$EC$1:$EC$1000,MATCH($A13,Dati!$A$1:$A$1000,0))&gt;0,Dati!$BA$3&amp;": "&amp;INDEX(Dati!$BA$1:$BA$1000,MATCH($A13,Dati!$A$1:$A$1000,0))&amp;" · ","")&amp;IF(INDEX(Dati!$ED$1:$ED$1000,MATCH($A13,Dati!$A$1:$A$1000,0))&gt;0,Dati!$BB$3&amp;": "&amp;INDEX(Dati!$BB$1:$BB$1000,MATCH($A13,Dati!$A$1:$A$1000,0))&amp;" · ",""))-3)),""))</f>
        <v/>
      </c>
      <c r="P13" s="55" t="str">
        <f aca="false">IF($B13="","",IFERROR(IF((IF(INDEX(Dati!$EE$1:$EE$1000,MATCH($A13,Dati!$A$1:$A$1000,0))&gt;0,Dati!$BC$3&amp;": "&amp;INDEX(Dati!$BC$1:$BC$1000,MATCH($A13,Dati!$A$1:$A$1000,0))&amp;" · ","")&amp;IF(INDEX(Dati!$EF$1:$EF$1000,MATCH($A13,Dati!$A$1:$A$1000,0))&gt;0,Dati!$BD$3&amp;": "&amp;INDEX(Dati!$BD$1:$BD$1000,MATCH($A13,Dati!$A$1:$A$1000,0))&amp;" · ","")&amp;IF(INDEX(Dati!$EG$1:$EG$1000,MATCH($A13,Dati!$A$1:$A$1000,0))&gt;0,Dati!$BE$3&amp;": "&amp;INDEX(Dati!$BE$1:$BE$1000,MATCH($A13,Dati!$A$1:$A$1000,0))&amp;" · ","")&amp;IF(INDEX(Dati!$EH$1:$EH$1000,MATCH($A13,Dati!$A$1:$A$1000,0))&gt;0,Dati!$BF$3&amp;": "&amp;INDEX(Dati!$BF$1:$BF$1000,MATCH($A13,Dati!$A$1:$A$1000,0))&amp;" · ",""))="",IF(INDEX(Dati!$FT$1:$FT$1000,MATCH($A13,Dati!$A$1:$A$1000,0))=1,"AS da recuperare",""),LEFT(IF(INDEX(Dati!$EE$1:$EE$1000,MATCH($A13,Dati!$A$1:$A$1000,0))&gt;0,Dati!$BC$3&amp;": "&amp;INDEX(Dati!$BC$1:$BC$1000,MATCH($A13,Dati!$A$1:$A$1000,0))&amp;" · ","")&amp;IF(INDEX(Dati!$EF$1:$EF$1000,MATCH($A13,Dati!$A$1:$A$1000,0))&gt;0,Dati!$BD$3&amp;": "&amp;INDEX(Dati!$BD$1:$BD$1000,MATCH($A13,Dati!$A$1:$A$1000,0))&amp;" · ","")&amp;IF(INDEX(Dati!$EG$1:$EG$1000,MATCH($A13,Dati!$A$1:$A$1000,0))&gt;0,Dati!$BE$3&amp;": "&amp;INDEX(Dati!$BE$1:$BE$1000,MATCH($A13,Dati!$A$1:$A$1000,0))&amp;" · ","")&amp;IF(INDEX(Dati!$EH$1:$EH$1000,MATCH($A13,Dati!$A$1:$A$1000,0))&gt;0,Dati!$BF$3&amp;": "&amp;INDEX(Dati!$BF$1:$BF$1000,MATCH($A13,Dati!$A$1:$A$1000,0))&amp;" · ",""),LEN(IF(INDEX(Dati!$EE$1:$EE$1000,MATCH($A13,Dati!$A$1:$A$1000,0))&gt;0,Dati!$BC$3&amp;": "&amp;INDEX(Dati!$BC$1:$BC$1000,MATCH($A13,Dati!$A$1:$A$1000,0))&amp;" · ","")&amp;IF(INDEX(Dati!$EF$1:$EF$1000,MATCH($A13,Dati!$A$1:$A$1000,0))&gt;0,Dati!$BD$3&amp;": "&amp;INDEX(Dati!$BD$1:$BD$1000,MATCH($A13,Dati!$A$1:$A$1000,0))&amp;" · ","")&amp;IF(INDEX(Dati!$EG$1:$EG$1000,MATCH($A13,Dati!$A$1:$A$1000,0))&gt;0,Dati!$BE$3&amp;": "&amp;INDEX(Dati!$BE$1:$BE$1000,MATCH($A13,Dati!$A$1:$A$1000,0))&amp;" · ","")&amp;IF(INDEX(Dati!$EH$1:$EH$1000,MATCH($A13,Dati!$A$1:$A$1000,0))&gt;0,Dati!$BF$3&amp;": "&amp;INDEX(Dati!$BF$1:$BF$1000,MATCH($A13,Dati!$A$1:$A$1000,0))&amp;" · ",""))-3)),""))</f>
        <v/>
      </c>
      <c r="Q13" s="55" t="str">
        <f aca="false">IF($B13="","",IFERROR(IF((IF(INDEX(Dati!$EI$1:$EI$1000,MATCH($A13,Dati!$A$1:$A$1000,0))&gt;0,Dati!$BG$3&amp;": "&amp;INDEX(Dati!$BG$1:$BG$1000,MATCH($A13,Dati!$A$1:$A$1000,0))&amp;" · ","")&amp;IF(INDEX(Dati!$EJ$1:$EJ$1000,MATCH($A13,Dati!$A$1:$A$1000,0))&gt;0,Dati!$BH$3&amp;": "&amp;INDEX(Dati!$BH$1:$BH$1000,MATCH($A13,Dati!$A$1:$A$1000,0))&amp;" · ","")&amp;IF(INDEX(Dati!$EK$1:$EK$1000,MATCH($A13,Dati!$A$1:$A$1000,0))&gt;0,Dati!$BI$3&amp;": "&amp;INDEX(Dati!$BI$1:$BI$1000,MATCH($A13,Dati!$A$1:$A$1000,0))&amp;" · ","")&amp;IF(INDEX(Dati!$EL$1:$EL$1000,MATCH($A13,Dati!$A$1:$A$1000,0))&gt;0,Dati!$BJ$3&amp;": "&amp;INDEX(Dati!$BJ$1:$BJ$1000,MATCH($A13,Dati!$A$1:$A$1000,0))&amp;" · ",""))="",IF(INDEX(Dati!$FU$1:$FU$1000,MATCH($A13,Dati!$A$1:$A$1000,0))=1,"AS da recuperare",""),LEFT(IF(INDEX(Dati!$EI$1:$EI$1000,MATCH($A13,Dati!$A$1:$A$1000,0))&gt;0,Dati!$BG$3&amp;": "&amp;INDEX(Dati!$BG$1:$BG$1000,MATCH($A13,Dati!$A$1:$A$1000,0))&amp;" · ","")&amp;IF(INDEX(Dati!$EJ$1:$EJ$1000,MATCH($A13,Dati!$A$1:$A$1000,0))&gt;0,Dati!$BH$3&amp;": "&amp;INDEX(Dati!$BH$1:$BH$1000,MATCH($A13,Dati!$A$1:$A$1000,0))&amp;" · ","")&amp;IF(INDEX(Dati!$EK$1:$EK$1000,MATCH($A13,Dati!$A$1:$A$1000,0))&gt;0,Dati!$BI$3&amp;": "&amp;INDEX(Dati!$BI$1:$BI$1000,MATCH($A13,Dati!$A$1:$A$1000,0))&amp;" · ","")&amp;IF(INDEX(Dati!$EL$1:$EL$1000,MATCH($A13,Dati!$A$1:$A$1000,0))&gt;0,Dati!$BJ$3&amp;": "&amp;INDEX(Dati!$BJ$1:$BJ$1000,MATCH($A13,Dati!$A$1:$A$1000,0))&amp;" · ",""),LEN(IF(INDEX(Dati!$EI$1:$EI$1000,MATCH($A13,Dati!$A$1:$A$1000,0))&gt;0,Dati!$BG$3&amp;": "&amp;INDEX(Dati!$BG$1:$BG$1000,MATCH($A13,Dati!$A$1:$A$1000,0))&amp;" · ","")&amp;IF(INDEX(Dati!$EJ$1:$EJ$1000,MATCH($A13,Dati!$A$1:$A$1000,0))&gt;0,Dati!$BH$3&amp;": "&amp;INDEX(Dati!$BH$1:$BH$1000,MATCH($A13,Dati!$A$1:$A$1000,0))&amp;" · ","")&amp;IF(INDEX(Dati!$EK$1:$EK$1000,MATCH($A13,Dati!$A$1:$A$1000,0))&gt;0,Dati!$BI$3&amp;": "&amp;INDEX(Dati!$BI$1:$BI$1000,MATCH($A13,Dati!$A$1:$A$1000,0))&amp;" · ","")&amp;IF(INDEX(Dati!$EL$1:$EL$1000,MATCH($A13,Dati!$A$1:$A$1000,0))&gt;0,Dati!$BJ$3&amp;": "&amp;INDEX(Dati!$BJ$1:$BJ$1000,MATCH($A13,Dati!$A$1:$A$1000,0))&amp;" · ",""))-3)),""))</f>
        <v/>
      </c>
      <c r="R13" s="55" t="str">
        <f aca="false">IF($B13="","",IFERROR(IF((IF(INDEX(Dati!$EM$1:$EM$1000,MATCH($A13,Dati!$A$1:$A$1000,0))&gt;0,Dati!$BK$3&amp;": "&amp;INDEX(Dati!$BK$1:$BK$1000,MATCH($A13,Dati!$A$1:$A$1000,0))&amp;" · ","")&amp;IF(INDEX(Dati!$EN$1:$EN$1000,MATCH($A13,Dati!$A$1:$A$1000,0))&gt;0,Dati!$BL$3&amp;": "&amp;INDEX(Dati!$BL$1:$BL$1000,MATCH($A13,Dati!$A$1:$A$1000,0))&amp;" · ","")&amp;IF(INDEX(Dati!$EO$1:$EO$1000,MATCH($A13,Dati!$A$1:$A$1000,0))&gt;0,Dati!$BM$3&amp;": "&amp;INDEX(Dati!$BM$1:$BM$1000,MATCH($A13,Dati!$A$1:$A$1000,0))&amp;" · ","")&amp;IF(INDEX(Dati!$EP$1:$EP$1000,MATCH($A13,Dati!$A$1:$A$1000,0))&gt;0,Dati!$BN$3&amp;": "&amp;INDEX(Dati!$BN$1:$BN$1000,MATCH($A13,Dati!$A$1:$A$1000,0))&amp;" · ",""))="",IF(INDEX(Dati!$FV$1:$FV$1000,MATCH($A13,Dati!$A$1:$A$1000,0))=1,"AS da recuperare",""),LEFT(IF(INDEX(Dati!$EM$1:$EM$1000,MATCH($A13,Dati!$A$1:$A$1000,0))&gt;0,Dati!$BK$3&amp;": "&amp;INDEX(Dati!$BK$1:$BK$1000,MATCH($A13,Dati!$A$1:$A$1000,0))&amp;" · ","")&amp;IF(INDEX(Dati!$EN$1:$EN$1000,MATCH($A13,Dati!$A$1:$A$1000,0))&gt;0,Dati!$BL$3&amp;": "&amp;INDEX(Dati!$BL$1:$BL$1000,MATCH($A13,Dati!$A$1:$A$1000,0))&amp;" · ","")&amp;IF(INDEX(Dati!$EO$1:$EO$1000,MATCH($A13,Dati!$A$1:$A$1000,0))&gt;0,Dati!$BM$3&amp;": "&amp;INDEX(Dati!$BM$1:$BM$1000,MATCH($A13,Dati!$A$1:$A$1000,0))&amp;" · ","")&amp;IF(INDEX(Dati!$EP$1:$EP$1000,MATCH($A13,Dati!$A$1:$A$1000,0))&gt;0,Dati!$BN$3&amp;": "&amp;INDEX(Dati!$BN$1:$BN$1000,MATCH($A13,Dati!$A$1:$A$1000,0))&amp;" · ",""),LEN(IF(INDEX(Dati!$EM$1:$EM$1000,MATCH($A13,Dati!$A$1:$A$1000,0))&gt;0,Dati!$BK$3&amp;": "&amp;INDEX(Dati!$BK$1:$BK$1000,MATCH($A13,Dati!$A$1:$A$1000,0))&amp;" · ","")&amp;IF(INDEX(Dati!$EN$1:$EN$1000,MATCH($A13,Dati!$A$1:$A$1000,0))&gt;0,Dati!$BL$3&amp;": "&amp;INDEX(Dati!$BL$1:$BL$1000,MATCH($A13,Dati!$A$1:$A$1000,0))&amp;" · ","")&amp;IF(INDEX(Dati!$EO$1:$EO$1000,MATCH($A13,Dati!$A$1:$A$1000,0))&gt;0,Dati!$BM$3&amp;": "&amp;INDEX(Dati!$BM$1:$BM$1000,MATCH($A13,Dati!$A$1:$A$1000,0))&amp;" · ","")&amp;IF(INDEX(Dati!$EP$1:$EP$1000,MATCH($A13,Dati!$A$1:$A$1000,0))&gt;0,Dati!$BN$3&amp;": "&amp;INDEX(Dati!$BN$1:$BN$1000,MATCH($A13,Dati!$A$1:$A$1000,0))&amp;" · ",""))-3)),""))</f>
        <v/>
      </c>
      <c r="S13" s="55" t="str">
        <f aca="false">IF($B13="","",IFERROR(IF((IF(INDEX(Dati!$EQ$1:$EQ$1000,MATCH($A13,Dati!$A$1:$A$1000,0))&gt;0,Dati!$BO$3&amp;": "&amp;INDEX(Dati!$BO$1:$BO$1000,MATCH($A13,Dati!$A$1:$A$1000,0))&amp;" · ","")&amp;IF(INDEX(Dati!$ER$1:$ER$1000,MATCH($A13,Dati!$A$1:$A$1000,0))&gt;0,Dati!$BP$3&amp;": "&amp;INDEX(Dati!$BP$1:$BP$1000,MATCH($A13,Dati!$A$1:$A$1000,0))&amp;" · ","")&amp;IF(INDEX(Dati!$ES$1:$ES$1000,MATCH($A13,Dati!$A$1:$A$1000,0))&gt;0,Dati!$BQ$3&amp;": "&amp;INDEX(Dati!$BQ$1:$BQ$1000,MATCH($A13,Dati!$A$1:$A$1000,0))&amp;" · ","")&amp;IF(INDEX(Dati!$ET$1:$ET$1000,MATCH($A13,Dati!$A$1:$A$1000,0))&gt;0,Dati!$BR$3&amp;": "&amp;INDEX(Dati!$BR$1:$BR$1000,MATCH($A13,Dati!$A$1:$A$1000,0))&amp;" · ",""))="",IF(INDEX(Dati!$FW$1:$FW$1000,MATCH($A13,Dati!$A$1:$A$1000,0))=1,"AS da recuperare",""),LEFT(IF(INDEX(Dati!$EQ$1:$EQ$1000,MATCH($A13,Dati!$A$1:$A$1000,0))&gt;0,Dati!$BO$3&amp;": "&amp;INDEX(Dati!$BO$1:$BO$1000,MATCH($A13,Dati!$A$1:$A$1000,0))&amp;" · ","")&amp;IF(INDEX(Dati!$ER$1:$ER$1000,MATCH($A13,Dati!$A$1:$A$1000,0))&gt;0,Dati!$BP$3&amp;": "&amp;INDEX(Dati!$BP$1:$BP$1000,MATCH($A13,Dati!$A$1:$A$1000,0))&amp;" · ","")&amp;IF(INDEX(Dati!$ES$1:$ES$1000,MATCH($A13,Dati!$A$1:$A$1000,0))&gt;0,Dati!$BQ$3&amp;": "&amp;INDEX(Dati!$BQ$1:$BQ$1000,MATCH($A13,Dati!$A$1:$A$1000,0))&amp;" · ","")&amp;IF(INDEX(Dati!$ET$1:$ET$1000,MATCH($A13,Dati!$A$1:$A$1000,0))&gt;0,Dati!$BR$3&amp;": "&amp;INDEX(Dati!$BR$1:$BR$1000,MATCH($A13,Dati!$A$1:$A$1000,0))&amp;" · ",""),LEN(IF(INDEX(Dati!$EQ$1:$EQ$1000,MATCH($A13,Dati!$A$1:$A$1000,0))&gt;0,Dati!$BO$3&amp;": "&amp;INDEX(Dati!$BO$1:$BO$1000,MATCH($A13,Dati!$A$1:$A$1000,0))&amp;" · ","")&amp;IF(INDEX(Dati!$ER$1:$ER$1000,MATCH($A13,Dati!$A$1:$A$1000,0))&gt;0,Dati!$BP$3&amp;": "&amp;INDEX(Dati!$BP$1:$BP$1000,MATCH($A13,Dati!$A$1:$A$1000,0))&amp;" · ","")&amp;IF(INDEX(Dati!$ES$1:$ES$1000,MATCH($A13,Dati!$A$1:$A$1000,0))&gt;0,Dati!$BQ$3&amp;": "&amp;INDEX(Dati!$BQ$1:$BQ$1000,MATCH($A13,Dati!$A$1:$A$1000,0))&amp;" · ","")&amp;IF(INDEX(Dati!$ET$1:$ET$1000,MATCH($A13,Dati!$A$1:$A$1000,0))&gt;0,Dati!$BR$3&amp;": "&amp;INDEX(Dati!$BR$1:$BR$1000,MATCH($A13,Dati!$A$1:$A$1000,0))&amp;" · ",""))-3)),""))</f>
        <v/>
      </c>
      <c r="T13" s="55" t="str">
        <f aca="false">IF($B13="","",IFERROR(IF((IF(INDEX(Dati!$EU$1:$EU$1000,MATCH($A13,Dati!$A$1:$A$1000,0))&gt;0,Dati!$BS$3&amp;": "&amp;INDEX(Dati!$BS$1:$BS$1000,MATCH($A13,Dati!$A$1:$A$1000,0))&amp;" · ","")&amp;IF(INDEX(Dati!$EV$1:$EV$1000,MATCH($A13,Dati!$A$1:$A$1000,0))&gt;0,Dati!$BT$3&amp;": "&amp;INDEX(Dati!$BT$1:$BT$1000,MATCH($A13,Dati!$A$1:$A$1000,0))&amp;" · ","")&amp;IF(INDEX(Dati!$EW$1:$EW$1000,MATCH($A13,Dati!$A$1:$A$1000,0))&gt;0,Dati!$BU$3&amp;": "&amp;INDEX(Dati!$BU$1:$BU$1000,MATCH($A13,Dati!$A$1:$A$1000,0))&amp;" · ","")&amp;IF(INDEX(Dati!$EX$1:$EX$1000,MATCH($A13,Dati!$A$1:$A$1000,0))&gt;0,Dati!$BV$3&amp;": "&amp;INDEX(Dati!$BV$1:$BV$1000,MATCH($A13,Dati!$A$1:$A$1000,0))&amp;" · ",""))="",IF(INDEX(Dati!$FX$1:$FX$1000,MATCH($A13,Dati!$A$1:$A$1000,0))=1,"AS da recuperare",""),LEFT(IF(INDEX(Dati!$EU$1:$EU$1000,MATCH($A13,Dati!$A$1:$A$1000,0))&gt;0,Dati!$BS$3&amp;": "&amp;INDEX(Dati!$BS$1:$BS$1000,MATCH($A13,Dati!$A$1:$A$1000,0))&amp;" · ","")&amp;IF(INDEX(Dati!$EV$1:$EV$1000,MATCH($A13,Dati!$A$1:$A$1000,0))&gt;0,Dati!$BT$3&amp;": "&amp;INDEX(Dati!$BT$1:$BT$1000,MATCH($A13,Dati!$A$1:$A$1000,0))&amp;" · ","")&amp;IF(INDEX(Dati!$EW$1:$EW$1000,MATCH($A13,Dati!$A$1:$A$1000,0))&gt;0,Dati!$BU$3&amp;": "&amp;INDEX(Dati!$BU$1:$BU$1000,MATCH($A13,Dati!$A$1:$A$1000,0))&amp;" · ","")&amp;IF(INDEX(Dati!$EX$1:$EX$1000,MATCH($A13,Dati!$A$1:$A$1000,0))&gt;0,Dati!$BV$3&amp;": "&amp;INDEX(Dati!$BV$1:$BV$1000,MATCH($A13,Dati!$A$1:$A$1000,0))&amp;" · ",""),LEN(IF(INDEX(Dati!$EU$1:$EU$1000,MATCH($A13,Dati!$A$1:$A$1000,0))&gt;0,Dati!$BS$3&amp;": "&amp;INDEX(Dati!$BS$1:$BS$1000,MATCH($A13,Dati!$A$1:$A$1000,0))&amp;" · ","")&amp;IF(INDEX(Dati!$EV$1:$EV$1000,MATCH($A13,Dati!$A$1:$A$1000,0))&gt;0,Dati!$BT$3&amp;": "&amp;INDEX(Dati!$BT$1:$BT$1000,MATCH($A13,Dati!$A$1:$A$1000,0))&amp;" · ","")&amp;IF(INDEX(Dati!$EW$1:$EW$1000,MATCH($A13,Dati!$A$1:$A$1000,0))&gt;0,Dati!$BU$3&amp;": "&amp;INDEX(Dati!$BU$1:$BU$1000,MATCH($A13,Dati!$A$1:$A$1000,0))&amp;" · ","")&amp;IF(INDEX(Dati!$EX$1:$EX$1000,MATCH($A13,Dati!$A$1:$A$1000,0))&gt;0,Dati!$BV$3&amp;": "&amp;INDEX(Dati!$BV$1:$BV$1000,MATCH($A13,Dati!$A$1:$A$1000,0))&amp;" · ",""))-3)),""))</f>
        <v/>
      </c>
      <c r="U13" s="55" t="str">
        <f aca="false">IF($B13="","",IFERROR(IF((IF(INDEX(Dati!$EY$1:$EY$1000,MATCH($A13,Dati!$A$1:$A$1000,0))&gt;0,Dati!$BW$3&amp;": "&amp;INDEX(Dati!$BW$1:$BW$1000,MATCH($A13,Dati!$A$1:$A$1000,0))&amp;" · ","")&amp;IF(INDEX(Dati!$EZ$1:$EZ$1000,MATCH($A13,Dati!$A$1:$A$1000,0))&gt;0,Dati!$BX$3&amp;": "&amp;INDEX(Dati!$BX$1:$BX$1000,MATCH($A13,Dati!$A$1:$A$1000,0))&amp;" · ","")&amp;IF(INDEX(Dati!$FA$1:$FA$1000,MATCH($A13,Dati!$A$1:$A$1000,0))&gt;0,Dati!$BY$3&amp;": "&amp;INDEX(Dati!$BY$1:$BY$1000,MATCH($A13,Dati!$A$1:$A$1000,0))&amp;" · ","")&amp;IF(INDEX(Dati!$FB$1:$FB$1000,MATCH($A13,Dati!$A$1:$A$1000,0))&gt;0,Dati!$BZ$3&amp;": "&amp;INDEX(Dati!$BZ$1:$BZ$1000,MATCH($A13,Dati!$A$1:$A$1000,0))&amp;" · ",""))="",IF(INDEX(Dati!$FY$1:$FY$1000,MATCH($A13,Dati!$A$1:$A$1000,0))=1,"AS da recuperare",""),LEFT(IF(INDEX(Dati!$EY$1:$EY$1000,MATCH($A13,Dati!$A$1:$A$1000,0))&gt;0,Dati!$BW$3&amp;": "&amp;INDEX(Dati!$BW$1:$BW$1000,MATCH($A13,Dati!$A$1:$A$1000,0))&amp;" · ","")&amp;IF(INDEX(Dati!$EZ$1:$EZ$1000,MATCH($A13,Dati!$A$1:$A$1000,0))&gt;0,Dati!$BX$3&amp;": "&amp;INDEX(Dati!$BX$1:$BX$1000,MATCH($A13,Dati!$A$1:$A$1000,0))&amp;" · ","")&amp;IF(INDEX(Dati!$FA$1:$FA$1000,MATCH($A13,Dati!$A$1:$A$1000,0))&gt;0,Dati!$BY$3&amp;": "&amp;INDEX(Dati!$BY$1:$BY$1000,MATCH($A13,Dati!$A$1:$A$1000,0))&amp;" · ","")&amp;IF(INDEX(Dati!$FB$1:$FB$1000,MATCH($A13,Dati!$A$1:$A$1000,0))&gt;0,Dati!$BZ$3&amp;": "&amp;INDEX(Dati!$BZ$1:$BZ$1000,MATCH($A13,Dati!$A$1:$A$1000,0))&amp;" · ",""),LEN(IF(INDEX(Dati!$EY$1:$EY$1000,MATCH($A13,Dati!$A$1:$A$1000,0))&gt;0,Dati!$BW$3&amp;": "&amp;INDEX(Dati!$BW$1:$BW$1000,MATCH($A13,Dati!$A$1:$A$1000,0))&amp;" · ","")&amp;IF(INDEX(Dati!$EZ$1:$EZ$1000,MATCH($A13,Dati!$A$1:$A$1000,0))&gt;0,Dati!$BX$3&amp;": "&amp;INDEX(Dati!$BX$1:$BX$1000,MATCH($A13,Dati!$A$1:$A$1000,0))&amp;" · ","")&amp;IF(INDEX(Dati!$FA$1:$FA$1000,MATCH($A13,Dati!$A$1:$A$1000,0))&gt;0,Dati!$BY$3&amp;": "&amp;INDEX(Dati!$BY$1:$BY$1000,MATCH($A13,Dati!$A$1:$A$1000,0))&amp;" · ","")&amp;IF(INDEX(Dati!$FB$1:$FB$1000,MATCH($A13,Dati!$A$1:$A$1000,0))&gt;0,Dati!$BZ$3&amp;": "&amp;INDEX(Dati!$BZ$1:$BZ$1000,MATCH($A13,Dati!$A$1:$A$1000,0))&amp;" · ",""))-3)),""))</f>
        <v/>
      </c>
      <c r="V13" s="55" t="str">
        <f aca="false">IF($B13="","",IFERROR(IF((IF(INDEX(Dati!$FC$1:$FC$1000,MATCH($A13,Dati!$A$1:$A$1000,0))&gt;0,Dati!$CA$3&amp;": "&amp;INDEX(Dati!$CA$1:$CA$1000,MATCH($A13,Dati!$A$1:$A$1000,0))&amp;" · ","")&amp;IF(INDEX(Dati!$FD$1:$FD$1000,MATCH($A13,Dati!$A$1:$A$1000,0))&gt;0,Dati!$CB$3&amp;": "&amp;INDEX(Dati!$CB$1:$CB$1000,MATCH($A13,Dati!$A$1:$A$1000,0))&amp;" · ","")&amp;IF(INDEX(Dati!$FE$1:$FE$1000,MATCH($A13,Dati!$A$1:$A$1000,0))&gt;0,Dati!$CC$3&amp;": "&amp;INDEX(Dati!$CC$1:$CC$1000,MATCH($A13,Dati!$A$1:$A$1000,0))&amp;" · ","")&amp;IF(INDEX(Dati!$FF$1:$FF$1000,MATCH($A13,Dati!$A$1:$A$1000,0))&gt;0,Dati!$CD$3&amp;": "&amp;INDEX(Dati!$CD$1:$CD$1000,MATCH($A13,Dati!$A$1:$A$1000,0))&amp;" · ",""))="",IF(INDEX(Dati!$FZ$1:$FZ$1000,MATCH($A13,Dati!$A$1:$A$1000,0))=1,"AS da recuperare",""),LEFT(IF(INDEX(Dati!$FC$1:$FC$1000,MATCH($A13,Dati!$A$1:$A$1000,0))&gt;0,Dati!$CA$3&amp;": "&amp;INDEX(Dati!$CA$1:$CA$1000,MATCH($A13,Dati!$A$1:$A$1000,0))&amp;" · ","")&amp;IF(INDEX(Dati!$FD$1:$FD$1000,MATCH($A13,Dati!$A$1:$A$1000,0))&gt;0,Dati!$CB$3&amp;": "&amp;INDEX(Dati!$CB$1:$CB$1000,MATCH($A13,Dati!$A$1:$A$1000,0))&amp;" · ","")&amp;IF(INDEX(Dati!$FE$1:$FE$1000,MATCH($A13,Dati!$A$1:$A$1000,0))&gt;0,Dati!$CC$3&amp;": "&amp;INDEX(Dati!$CC$1:$CC$1000,MATCH($A13,Dati!$A$1:$A$1000,0))&amp;" · ","")&amp;IF(INDEX(Dati!$FF$1:$FF$1000,MATCH($A13,Dati!$A$1:$A$1000,0))&gt;0,Dati!$CD$3&amp;": "&amp;INDEX(Dati!$CD$1:$CD$1000,MATCH($A13,Dati!$A$1:$A$1000,0))&amp;" · ",""),LEN(IF(INDEX(Dati!$FC$1:$FC$1000,MATCH($A13,Dati!$A$1:$A$1000,0))&gt;0,Dati!$CA$3&amp;": "&amp;INDEX(Dati!$CA$1:$CA$1000,MATCH($A13,Dati!$A$1:$A$1000,0))&amp;" · ","")&amp;IF(INDEX(Dati!$FD$1:$FD$1000,MATCH($A13,Dati!$A$1:$A$1000,0))&gt;0,Dati!$CB$3&amp;": "&amp;INDEX(Dati!$CB$1:$CB$1000,MATCH($A13,Dati!$A$1:$A$1000,0))&amp;" · ","")&amp;IF(INDEX(Dati!$FE$1:$FE$1000,MATCH($A13,Dati!$A$1:$A$1000,0))&gt;0,Dati!$CC$3&amp;": "&amp;INDEX(Dati!$CC$1:$CC$1000,MATCH($A13,Dati!$A$1:$A$1000,0))&amp;" · ","")&amp;IF(INDEX(Dati!$FF$1:$FF$1000,MATCH($A13,Dati!$A$1:$A$1000,0))&gt;0,Dati!$CD$3&amp;": "&amp;INDEX(Dati!$CD$1:$CD$1000,MATCH($A13,Dati!$A$1:$A$1000,0))&amp;" · ",""))-3)),""))</f>
        <v/>
      </c>
    </row>
    <row r="14" customFormat="false" ht="19.5" hidden="false" customHeight="true" outlineLevel="0" collapsed="false">
      <c r="A14" s="10" t="n">
        <v>10</v>
      </c>
      <c r="B14" s="16" t="str">
        <f aca="false">IFERROR(INDEX(Alunni!$C$1:$C$1000,MATCH($A14,Alunni!$A$1:$A$1000,0))&amp;"","")</f>
        <v/>
      </c>
      <c r="C14" s="55" t="str">
        <f aca="false">IF($B14="","",IFERROR(IF((IF(INDEX(Dati!$CE$1:$CE$1000,MATCH($A14,Dati!$A$1:$A$1000,0))&gt;0,Dati!$C$3&amp;": "&amp;INDEX(Dati!$C$1:$C$1000,MATCH($A14,Dati!$A$1:$A$1000,0))&amp;" · ","")&amp;IF(INDEX(Dati!$CF$1:$CF$1000,MATCH($A14,Dati!$A$1:$A$1000,0))&gt;0,Dati!$D$3&amp;": "&amp;INDEX(Dati!$D$1:$D$1000,MATCH($A14,Dati!$A$1:$A$1000,0))&amp;" · ","")&amp;IF(INDEX(Dati!$CG$1:$CG$1000,MATCH($A14,Dati!$A$1:$A$1000,0))&gt;0,Dati!$E$3&amp;": "&amp;INDEX(Dati!$E$1:$E$1000,MATCH($A14,Dati!$A$1:$A$1000,0))&amp;" · ","")&amp;IF(INDEX(Dati!$CH$1:$CH$1000,MATCH($A14,Dati!$A$1:$A$1000,0))&gt;0,Dati!$F$3&amp;": "&amp;INDEX(Dati!$F$1:$F$1000,MATCH($A14,Dati!$A$1:$A$1000,0))&amp;" · ",""))="",IF(INDEX(Dati!$FG$1:$FG$1000,MATCH($A14,Dati!$A$1:$A$1000,0))=1,"AS da recuperare",""),LEFT(IF(INDEX(Dati!$CE$1:$CE$1000,MATCH($A14,Dati!$A$1:$A$1000,0))&gt;0,Dati!$C$3&amp;": "&amp;INDEX(Dati!$C$1:$C$1000,MATCH($A14,Dati!$A$1:$A$1000,0))&amp;" · ","")&amp;IF(INDEX(Dati!$CF$1:$CF$1000,MATCH($A14,Dati!$A$1:$A$1000,0))&gt;0,Dati!$D$3&amp;": "&amp;INDEX(Dati!$D$1:$D$1000,MATCH($A14,Dati!$A$1:$A$1000,0))&amp;" · ","")&amp;IF(INDEX(Dati!$CG$1:$CG$1000,MATCH($A14,Dati!$A$1:$A$1000,0))&gt;0,Dati!$E$3&amp;": "&amp;INDEX(Dati!$E$1:$E$1000,MATCH($A14,Dati!$A$1:$A$1000,0))&amp;" · ","")&amp;IF(INDEX(Dati!$CH$1:$CH$1000,MATCH($A14,Dati!$A$1:$A$1000,0))&gt;0,Dati!$F$3&amp;": "&amp;INDEX(Dati!$F$1:$F$1000,MATCH($A14,Dati!$A$1:$A$1000,0))&amp;" · ",""),LEN(IF(INDEX(Dati!$CE$1:$CE$1000,MATCH($A14,Dati!$A$1:$A$1000,0))&gt;0,Dati!$C$3&amp;": "&amp;INDEX(Dati!$C$1:$C$1000,MATCH($A14,Dati!$A$1:$A$1000,0))&amp;" · ","")&amp;IF(INDEX(Dati!$CF$1:$CF$1000,MATCH($A14,Dati!$A$1:$A$1000,0))&gt;0,Dati!$D$3&amp;": "&amp;INDEX(Dati!$D$1:$D$1000,MATCH($A14,Dati!$A$1:$A$1000,0))&amp;" · ","")&amp;IF(INDEX(Dati!$CG$1:$CG$1000,MATCH($A14,Dati!$A$1:$A$1000,0))&gt;0,Dati!$E$3&amp;": "&amp;INDEX(Dati!$E$1:$E$1000,MATCH($A14,Dati!$A$1:$A$1000,0))&amp;" · ","")&amp;IF(INDEX(Dati!$CH$1:$CH$1000,MATCH($A14,Dati!$A$1:$A$1000,0))&gt;0,Dati!$F$3&amp;": "&amp;INDEX(Dati!$F$1:$F$1000,MATCH($A14,Dati!$A$1:$A$1000,0))&amp;" · ",""))-3)),""))</f>
        <v/>
      </c>
      <c r="D14" s="55" t="str">
        <f aca="false">IF($B14="","",IFERROR(IF((IF(INDEX(Dati!$CI$1:$CI$1000,MATCH($A14,Dati!$A$1:$A$1000,0))&gt;0,Dati!$G$3&amp;": "&amp;INDEX(Dati!$G$1:$G$1000,MATCH($A14,Dati!$A$1:$A$1000,0))&amp;" · ","")&amp;IF(INDEX(Dati!$CJ$1:$CJ$1000,MATCH($A14,Dati!$A$1:$A$1000,0))&gt;0,Dati!$H$3&amp;": "&amp;INDEX(Dati!$H$1:$H$1000,MATCH($A14,Dati!$A$1:$A$1000,0))&amp;" · ","")&amp;IF(INDEX(Dati!$CK$1:$CK$1000,MATCH($A14,Dati!$A$1:$A$1000,0))&gt;0,Dati!$I$3&amp;": "&amp;INDEX(Dati!$I$1:$I$1000,MATCH($A14,Dati!$A$1:$A$1000,0))&amp;" · ","")&amp;IF(INDEX(Dati!$CL$1:$CL$1000,MATCH($A14,Dati!$A$1:$A$1000,0))&gt;0,Dati!$J$3&amp;": "&amp;INDEX(Dati!$J$1:$J$1000,MATCH($A14,Dati!$A$1:$A$1000,0))&amp;" · ",""))="",IF(INDEX(Dati!$FH$1:$FH$1000,MATCH($A14,Dati!$A$1:$A$1000,0))=1,"AS da recuperare",""),LEFT(IF(INDEX(Dati!$CI$1:$CI$1000,MATCH($A14,Dati!$A$1:$A$1000,0))&gt;0,Dati!$G$3&amp;": "&amp;INDEX(Dati!$G$1:$G$1000,MATCH($A14,Dati!$A$1:$A$1000,0))&amp;" · ","")&amp;IF(INDEX(Dati!$CJ$1:$CJ$1000,MATCH($A14,Dati!$A$1:$A$1000,0))&gt;0,Dati!$H$3&amp;": "&amp;INDEX(Dati!$H$1:$H$1000,MATCH($A14,Dati!$A$1:$A$1000,0))&amp;" · ","")&amp;IF(INDEX(Dati!$CK$1:$CK$1000,MATCH($A14,Dati!$A$1:$A$1000,0))&gt;0,Dati!$I$3&amp;": "&amp;INDEX(Dati!$I$1:$I$1000,MATCH($A14,Dati!$A$1:$A$1000,0))&amp;" · ","")&amp;IF(INDEX(Dati!$CL$1:$CL$1000,MATCH($A14,Dati!$A$1:$A$1000,0))&gt;0,Dati!$J$3&amp;": "&amp;INDEX(Dati!$J$1:$J$1000,MATCH($A14,Dati!$A$1:$A$1000,0))&amp;" · ",""),LEN(IF(INDEX(Dati!$CI$1:$CI$1000,MATCH($A14,Dati!$A$1:$A$1000,0))&gt;0,Dati!$G$3&amp;": "&amp;INDEX(Dati!$G$1:$G$1000,MATCH($A14,Dati!$A$1:$A$1000,0))&amp;" · ","")&amp;IF(INDEX(Dati!$CJ$1:$CJ$1000,MATCH($A14,Dati!$A$1:$A$1000,0))&gt;0,Dati!$H$3&amp;": "&amp;INDEX(Dati!$H$1:$H$1000,MATCH($A14,Dati!$A$1:$A$1000,0))&amp;" · ","")&amp;IF(INDEX(Dati!$CK$1:$CK$1000,MATCH($A14,Dati!$A$1:$A$1000,0))&gt;0,Dati!$I$3&amp;": "&amp;INDEX(Dati!$I$1:$I$1000,MATCH($A14,Dati!$A$1:$A$1000,0))&amp;" · ","")&amp;IF(INDEX(Dati!$CL$1:$CL$1000,MATCH($A14,Dati!$A$1:$A$1000,0))&gt;0,Dati!$J$3&amp;": "&amp;INDEX(Dati!$J$1:$J$1000,MATCH($A14,Dati!$A$1:$A$1000,0))&amp;" · ",""))-3)),""))</f>
        <v/>
      </c>
      <c r="E14" s="55" t="str">
        <f aca="false">IF($B14="","",IFERROR(IF((IF(INDEX(Dati!$CM$1:$CM$1000,MATCH($A14,Dati!$A$1:$A$1000,0))&gt;0,Dati!$K$3&amp;": "&amp;INDEX(Dati!$K$1:$K$1000,MATCH($A14,Dati!$A$1:$A$1000,0))&amp;" · ","")&amp;IF(INDEX(Dati!$CN$1:$CN$1000,MATCH($A14,Dati!$A$1:$A$1000,0))&gt;0,Dati!$L$3&amp;": "&amp;INDEX(Dati!$L$1:$L$1000,MATCH($A14,Dati!$A$1:$A$1000,0))&amp;" · ","")&amp;IF(INDEX(Dati!$CO$1:$CO$1000,MATCH($A14,Dati!$A$1:$A$1000,0))&gt;0,Dati!$M$3&amp;": "&amp;INDEX(Dati!$M$1:$M$1000,MATCH($A14,Dati!$A$1:$A$1000,0))&amp;" · ","")&amp;IF(INDEX(Dati!$CP$1:$CP$1000,MATCH($A14,Dati!$A$1:$A$1000,0))&gt;0,Dati!$N$3&amp;": "&amp;INDEX(Dati!$N$1:$N$1000,MATCH($A14,Dati!$A$1:$A$1000,0))&amp;" · ",""))="",IF(INDEX(Dati!$FI$1:$FI$1000,MATCH($A14,Dati!$A$1:$A$1000,0))=1,"AS da recuperare",""),LEFT(IF(INDEX(Dati!$CM$1:$CM$1000,MATCH($A14,Dati!$A$1:$A$1000,0))&gt;0,Dati!$K$3&amp;": "&amp;INDEX(Dati!$K$1:$K$1000,MATCH($A14,Dati!$A$1:$A$1000,0))&amp;" · ","")&amp;IF(INDEX(Dati!$CN$1:$CN$1000,MATCH($A14,Dati!$A$1:$A$1000,0))&gt;0,Dati!$L$3&amp;": "&amp;INDEX(Dati!$L$1:$L$1000,MATCH($A14,Dati!$A$1:$A$1000,0))&amp;" · ","")&amp;IF(INDEX(Dati!$CO$1:$CO$1000,MATCH($A14,Dati!$A$1:$A$1000,0))&gt;0,Dati!$M$3&amp;": "&amp;INDEX(Dati!$M$1:$M$1000,MATCH($A14,Dati!$A$1:$A$1000,0))&amp;" · ","")&amp;IF(INDEX(Dati!$CP$1:$CP$1000,MATCH($A14,Dati!$A$1:$A$1000,0))&gt;0,Dati!$N$3&amp;": "&amp;INDEX(Dati!$N$1:$N$1000,MATCH($A14,Dati!$A$1:$A$1000,0))&amp;" · ",""),LEN(IF(INDEX(Dati!$CM$1:$CM$1000,MATCH($A14,Dati!$A$1:$A$1000,0))&gt;0,Dati!$K$3&amp;": "&amp;INDEX(Dati!$K$1:$K$1000,MATCH($A14,Dati!$A$1:$A$1000,0))&amp;" · ","")&amp;IF(INDEX(Dati!$CN$1:$CN$1000,MATCH($A14,Dati!$A$1:$A$1000,0))&gt;0,Dati!$L$3&amp;": "&amp;INDEX(Dati!$L$1:$L$1000,MATCH($A14,Dati!$A$1:$A$1000,0))&amp;" · ","")&amp;IF(INDEX(Dati!$CO$1:$CO$1000,MATCH($A14,Dati!$A$1:$A$1000,0))&gt;0,Dati!$M$3&amp;": "&amp;INDEX(Dati!$M$1:$M$1000,MATCH($A14,Dati!$A$1:$A$1000,0))&amp;" · ","")&amp;IF(INDEX(Dati!$CP$1:$CP$1000,MATCH($A14,Dati!$A$1:$A$1000,0))&gt;0,Dati!$N$3&amp;": "&amp;INDEX(Dati!$N$1:$N$1000,MATCH($A14,Dati!$A$1:$A$1000,0))&amp;" · ",""))-3)),""))</f>
        <v/>
      </c>
      <c r="F14" s="55" t="str">
        <f aca="false">IF($B14="","",IFERROR(IF((IF(INDEX(Dati!$CQ$1:$CQ$1000,MATCH($A14,Dati!$A$1:$A$1000,0))&gt;0,Dati!$O$3&amp;": "&amp;INDEX(Dati!$O$1:$O$1000,MATCH($A14,Dati!$A$1:$A$1000,0))&amp;" · ","")&amp;IF(INDEX(Dati!$CR$1:$CR$1000,MATCH($A14,Dati!$A$1:$A$1000,0))&gt;0,Dati!$P$3&amp;": "&amp;INDEX(Dati!$P$1:$P$1000,MATCH($A14,Dati!$A$1:$A$1000,0))&amp;" · ","")&amp;IF(INDEX(Dati!$CS$1:$CS$1000,MATCH($A14,Dati!$A$1:$A$1000,0))&gt;0,Dati!$Q$3&amp;": "&amp;INDEX(Dati!$Q$1:$Q$1000,MATCH($A14,Dati!$A$1:$A$1000,0))&amp;" · ","")&amp;IF(INDEX(Dati!$CT$1:$CT$1000,MATCH($A14,Dati!$A$1:$A$1000,0))&gt;0,Dati!$R$3&amp;": "&amp;INDEX(Dati!$R$1:$R$1000,MATCH($A14,Dati!$A$1:$A$1000,0))&amp;" · ",""))="",IF(INDEX(Dati!$FJ$1:$FJ$1000,MATCH($A14,Dati!$A$1:$A$1000,0))=1,"AS da recuperare",""),LEFT(IF(INDEX(Dati!$CQ$1:$CQ$1000,MATCH($A14,Dati!$A$1:$A$1000,0))&gt;0,Dati!$O$3&amp;": "&amp;INDEX(Dati!$O$1:$O$1000,MATCH($A14,Dati!$A$1:$A$1000,0))&amp;" · ","")&amp;IF(INDEX(Dati!$CR$1:$CR$1000,MATCH($A14,Dati!$A$1:$A$1000,0))&gt;0,Dati!$P$3&amp;": "&amp;INDEX(Dati!$P$1:$P$1000,MATCH($A14,Dati!$A$1:$A$1000,0))&amp;" · ","")&amp;IF(INDEX(Dati!$CS$1:$CS$1000,MATCH($A14,Dati!$A$1:$A$1000,0))&gt;0,Dati!$Q$3&amp;": "&amp;INDEX(Dati!$Q$1:$Q$1000,MATCH($A14,Dati!$A$1:$A$1000,0))&amp;" · ","")&amp;IF(INDEX(Dati!$CT$1:$CT$1000,MATCH($A14,Dati!$A$1:$A$1000,0))&gt;0,Dati!$R$3&amp;": "&amp;INDEX(Dati!$R$1:$R$1000,MATCH($A14,Dati!$A$1:$A$1000,0))&amp;" · ",""),LEN(IF(INDEX(Dati!$CQ$1:$CQ$1000,MATCH($A14,Dati!$A$1:$A$1000,0))&gt;0,Dati!$O$3&amp;": "&amp;INDEX(Dati!$O$1:$O$1000,MATCH($A14,Dati!$A$1:$A$1000,0))&amp;" · ","")&amp;IF(INDEX(Dati!$CR$1:$CR$1000,MATCH($A14,Dati!$A$1:$A$1000,0))&gt;0,Dati!$P$3&amp;": "&amp;INDEX(Dati!$P$1:$P$1000,MATCH($A14,Dati!$A$1:$A$1000,0))&amp;" · ","")&amp;IF(INDEX(Dati!$CS$1:$CS$1000,MATCH($A14,Dati!$A$1:$A$1000,0))&gt;0,Dati!$Q$3&amp;": "&amp;INDEX(Dati!$Q$1:$Q$1000,MATCH($A14,Dati!$A$1:$A$1000,0))&amp;" · ","")&amp;IF(INDEX(Dati!$CT$1:$CT$1000,MATCH($A14,Dati!$A$1:$A$1000,0))&gt;0,Dati!$R$3&amp;": "&amp;INDEX(Dati!$R$1:$R$1000,MATCH($A14,Dati!$A$1:$A$1000,0))&amp;" · ",""))-3)),""))</f>
        <v/>
      </c>
      <c r="G14" s="55" t="str">
        <f aca="false">IF($B14="","",IFERROR(IF((IF(INDEX(Dati!$CU$1:$CU$1000,MATCH($A14,Dati!$A$1:$A$1000,0))&gt;0,Dati!$S$3&amp;": "&amp;INDEX(Dati!$S$1:$S$1000,MATCH($A14,Dati!$A$1:$A$1000,0))&amp;" · ","")&amp;IF(INDEX(Dati!$CV$1:$CV$1000,MATCH($A14,Dati!$A$1:$A$1000,0))&gt;0,Dati!$T$3&amp;": "&amp;INDEX(Dati!$T$1:$T$1000,MATCH($A14,Dati!$A$1:$A$1000,0))&amp;" · ","")&amp;IF(INDEX(Dati!$CW$1:$CW$1000,MATCH($A14,Dati!$A$1:$A$1000,0))&gt;0,Dati!$U$3&amp;": "&amp;INDEX(Dati!$U$1:$U$1000,MATCH($A14,Dati!$A$1:$A$1000,0))&amp;" · ","")&amp;IF(INDEX(Dati!$CX$1:$CX$1000,MATCH($A14,Dati!$A$1:$A$1000,0))&gt;0,Dati!$V$3&amp;": "&amp;INDEX(Dati!$V$1:$V$1000,MATCH($A14,Dati!$A$1:$A$1000,0))&amp;" · ",""))="",IF(INDEX(Dati!$FK$1:$FK$1000,MATCH($A14,Dati!$A$1:$A$1000,0))=1,"AS da recuperare",""),LEFT(IF(INDEX(Dati!$CU$1:$CU$1000,MATCH($A14,Dati!$A$1:$A$1000,0))&gt;0,Dati!$S$3&amp;": "&amp;INDEX(Dati!$S$1:$S$1000,MATCH($A14,Dati!$A$1:$A$1000,0))&amp;" · ","")&amp;IF(INDEX(Dati!$CV$1:$CV$1000,MATCH($A14,Dati!$A$1:$A$1000,0))&gt;0,Dati!$T$3&amp;": "&amp;INDEX(Dati!$T$1:$T$1000,MATCH($A14,Dati!$A$1:$A$1000,0))&amp;" · ","")&amp;IF(INDEX(Dati!$CW$1:$CW$1000,MATCH($A14,Dati!$A$1:$A$1000,0))&gt;0,Dati!$U$3&amp;": "&amp;INDEX(Dati!$U$1:$U$1000,MATCH($A14,Dati!$A$1:$A$1000,0))&amp;" · ","")&amp;IF(INDEX(Dati!$CX$1:$CX$1000,MATCH($A14,Dati!$A$1:$A$1000,0))&gt;0,Dati!$V$3&amp;": "&amp;INDEX(Dati!$V$1:$V$1000,MATCH($A14,Dati!$A$1:$A$1000,0))&amp;" · ",""),LEN(IF(INDEX(Dati!$CU$1:$CU$1000,MATCH($A14,Dati!$A$1:$A$1000,0))&gt;0,Dati!$S$3&amp;": "&amp;INDEX(Dati!$S$1:$S$1000,MATCH($A14,Dati!$A$1:$A$1000,0))&amp;" · ","")&amp;IF(INDEX(Dati!$CV$1:$CV$1000,MATCH($A14,Dati!$A$1:$A$1000,0))&gt;0,Dati!$T$3&amp;": "&amp;INDEX(Dati!$T$1:$T$1000,MATCH($A14,Dati!$A$1:$A$1000,0))&amp;" · ","")&amp;IF(INDEX(Dati!$CW$1:$CW$1000,MATCH($A14,Dati!$A$1:$A$1000,0))&gt;0,Dati!$U$3&amp;": "&amp;INDEX(Dati!$U$1:$U$1000,MATCH($A14,Dati!$A$1:$A$1000,0))&amp;" · ","")&amp;IF(INDEX(Dati!$CX$1:$CX$1000,MATCH($A14,Dati!$A$1:$A$1000,0))&gt;0,Dati!$V$3&amp;": "&amp;INDEX(Dati!$V$1:$V$1000,MATCH($A14,Dati!$A$1:$A$1000,0))&amp;" · ",""))-3)),""))</f>
        <v/>
      </c>
      <c r="H14" s="55" t="str">
        <f aca="false">IF($B14="","",IFERROR(IF((IF(INDEX(Dati!$CY$1:$CY$1000,MATCH($A14,Dati!$A$1:$A$1000,0))&gt;0,Dati!$W$3&amp;": "&amp;INDEX(Dati!$W$1:$W$1000,MATCH($A14,Dati!$A$1:$A$1000,0))&amp;" · ","")&amp;IF(INDEX(Dati!$CZ$1:$CZ$1000,MATCH($A14,Dati!$A$1:$A$1000,0))&gt;0,Dati!$X$3&amp;": "&amp;INDEX(Dati!$X$1:$X$1000,MATCH($A14,Dati!$A$1:$A$1000,0))&amp;" · ","")&amp;IF(INDEX(Dati!$DA$1:$DA$1000,MATCH($A14,Dati!$A$1:$A$1000,0))&gt;0,Dati!$Y$3&amp;": "&amp;INDEX(Dati!$Y$1:$Y$1000,MATCH($A14,Dati!$A$1:$A$1000,0))&amp;" · ","")&amp;IF(INDEX(Dati!$DB$1:$DB$1000,MATCH($A14,Dati!$A$1:$A$1000,0))&gt;0,Dati!$Z$3&amp;": "&amp;INDEX(Dati!$Z$1:$Z$1000,MATCH($A14,Dati!$A$1:$A$1000,0))&amp;" · ",""))="",IF(INDEX(Dati!$FL$1:$FL$1000,MATCH($A14,Dati!$A$1:$A$1000,0))=1,"AS da recuperare",""),LEFT(IF(INDEX(Dati!$CY$1:$CY$1000,MATCH($A14,Dati!$A$1:$A$1000,0))&gt;0,Dati!$W$3&amp;": "&amp;INDEX(Dati!$W$1:$W$1000,MATCH($A14,Dati!$A$1:$A$1000,0))&amp;" · ","")&amp;IF(INDEX(Dati!$CZ$1:$CZ$1000,MATCH($A14,Dati!$A$1:$A$1000,0))&gt;0,Dati!$X$3&amp;": "&amp;INDEX(Dati!$X$1:$X$1000,MATCH($A14,Dati!$A$1:$A$1000,0))&amp;" · ","")&amp;IF(INDEX(Dati!$DA$1:$DA$1000,MATCH($A14,Dati!$A$1:$A$1000,0))&gt;0,Dati!$Y$3&amp;": "&amp;INDEX(Dati!$Y$1:$Y$1000,MATCH($A14,Dati!$A$1:$A$1000,0))&amp;" · ","")&amp;IF(INDEX(Dati!$DB$1:$DB$1000,MATCH($A14,Dati!$A$1:$A$1000,0))&gt;0,Dati!$Z$3&amp;": "&amp;INDEX(Dati!$Z$1:$Z$1000,MATCH($A14,Dati!$A$1:$A$1000,0))&amp;" · ",""),LEN(IF(INDEX(Dati!$CY$1:$CY$1000,MATCH($A14,Dati!$A$1:$A$1000,0))&gt;0,Dati!$W$3&amp;": "&amp;INDEX(Dati!$W$1:$W$1000,MATCH($A14,Dati!$A$1:$A$1000,0))&amp;" · ","")&amp;IF(INDEX(Dati!$CZ$1:$CZ$1000,MATCH($A14,Dati!$A$1:$A$1000,0))&gt;0,Dati!$X$3&amp;": "&amp;INDEX(Dati!$X$1:$X$1000,MATCH($A14,Dati!$A$1:$A$1000,0))&amp;" · ","")&amp;IF(INDEX(Dati!$DA$1:$DA$1000,MATCH($A14,Dati!$A$1:$A$1000,0))&gt;0,Dati!$Y$3&amp;": "&amp;INDEX(Dati!$Y$1:$Y$1000,MATCH($A14,Dati!$A$1:$A$1000,0))&amp;" · ","")&amp;IF(INDEX(Dati!$DB$1:$DB$1000,MATCH($A14,Dati!$A$1:$A$1000,0))&gt;0,Dati!$Z$3&amp;": "&amp;INDEX(Dati!$Z$1:$Z$1000,MATCH($A14,Dati!$A$1:$A$1000,0))&amp;" · ",""))-3)),""))</f>
        <v/>
      </c>
      <c r="I14" s="55" t="str">
        <f aca="false">IF($B14="","",IFERROR(IF((IF(INDEX(Dati!$DC$1:$DC$1000,MATCH($A14,Dati!$A$1:$A$1000,0))&gt;0,Dati!$AA$3&amp;": "&amp;INDEX(Dati!$AA$1:$AA$1000,MATCH($A14,Dati!$A$1:$A$1000,0))&amp;" · ","")&amp;IF(INDEX(Dati!$DD$1:$DD$1000,MATCH($A14,Dati!$A$1:$A$1000,0))&gt;0,Dati!$AB$3&amp;": "&amp;INDEX(Dati!$AB$1:$AB$1000,MATCH($A14,Dati!$A$1:$A$1000,0))&amp;" · ","")&amp;IF(INDEX(Dati!$DE$1:$DE$1000,MATCH($A14,Dati!$A$1:$A$1000,0))&gt;0,Dati!$AC$3&amp;": "&amp;INDEX(Dati!$AC$1:$AC$1000,MATCH($A14,Dati!$A$1:$A$1000,0))&amp;" · ","")&amp;IF(INDEX(Dati!$DF$1:$DF$1000,MATCH($A14,Dati!$A$1:$A$1000,0))&gt;0,Dati!$AD$3&amp;": "&amp;INDEX(Dati!$AD$1:$AD$1000,MATCH($A14,Dati!$A$1:$A$1000,0))&amp;" · ",""))="",IF(INDEX(Dati!$FM$1:$FM$1000,MATCH($A14,Dati!$A$1:$A$1000,0))=1,"AS da recuperare",""),LEFT(IF(INDEX(Dati!$DC$1:$DC$1000,MATCH($A14,Dati!$A$1:$A$1000,0))&gt;0,Dati!$AA$3&amp;": "&amp;INDEX(Dati!$AA$1:$AA$1000,MATCH($A14,Dati!$A$1:$A$1000,0))&amp;" · ","")&amp;IF(INDEX(Dati!$DD$1:$DD$1000,MATCH($A14,Dati!$A$1:$A$1000,0))&gt;0,Dati!$AB$3&amp;": "&amp;INDEX(Dati!$AB$1:$AB$1000,MATCH($A14,Dati!$A$1:$A$1000,0))&amp;" · ","")&amp;IF(INDEX(Dati!$DE$1:$DE$1000,MATCH($A14,Dati!$A$1:$A$1000,0))&gt;0,Dati!$AC$3&amp;": "&amp;INDEX(Dati!$AC$1:$AC$1000,MATCH($A14,Dati!$A$1:$A$1000,0))&amp;" · ","")&amp;IF(INDEX(Dati!$DF$1:$DF$1000,MATCH($A14,Dati!$A$1:$A$1000,0))&gt;0,Dati!$AD$3&amp;": "&amp;INDEX(Dati!$AD$1:$AD$1000,MATCH($A14,Dati!$A$1:$A$1000,0))&amp;" · ",""),LEN(IF(INDEX(Dati!$DC$1:$DC$1000,MATCH($A14,Dati!$A$1:$A$1000,0))&gt;0,Dati!$AA$3&amp;": "&amp;INDEX(Dati!$AA$1:$AA$1000,MATCH($A14,Dati!$A$1:$A$1000,0))&amp;" · ","")&amp;IF(INDEX(Dati!$DD$1:$DD$1000,MATCH($A14,Dati!$A$1:$A$1000,0))&gt;0,Dati!$AB$3&amp;": "&amp;INDEX(Dati!$AB$1:$AB$1000,MATCH($A14,Dati!$A$1:$A$1000,0))&amp;" · ","")&amp;IF(INDEX(Dati!$DE$1:$DE$1000,MATCH($A14,Dati!$A$1:$A$1000,0))&gt;0,Dati!$AC$3&amp;": "&amp;INDEX(Dati!$AC$1:$AC$1000,MATCH($A14,Dati!$A$1:$A$1000,0))&amp;" · ","")&amp;IF(INDEX(Dati!$DF$1:$DF$1000,MATCH($A14,Dati!$A$1:$A$1000,0))&gt;0,Dati!$AD$3&amp;": "&amp;INDEX(Dati!$AD$1:$AD$1000,MATCH($A14,Dati!$A$1:$A$1000,0))&amp;" · ",""))-3)),""))</f>
        <v/>
      </c>
      <c r="J14" s="55" t="str">
        <f aca="false">IF($B14="","",IFERROR(IF((IF(INDEX(Dati!$DG$1:$DG$1000,MATCH($A14,Dati!$A$1:$A$1000,0))&gt;0,Dati!$AE$3&amp;": "&amp;INDEX(Dati!$AE$1:$AE$1000,MATCH($A14,Dati!$A$1:$A$1000,0))&amp;" · ","")&amp;IF(INDEX(Dati!$DH$1:$DH$1000,MATCH($A14,Dati!$A$1:$A$1000,0))&gt;0,Dati!$AF$3&amp;": "&amp;INDEX(Dati!$AF$1:$AF$1000,MATCH($A14,Dati!$A$1:$A$1000,0))&amp;" · ","")&amp;IF(INDEX(Dati!$DI$1:$DI$1000,MATCH($A14,Dati!$A$1:$A$1000,0))&gt;0,Dati!$AG$3&amp;": "&amp;INDEX(Dati!$AG$1:$AG$1000,MATCH($A14,Dati!$A$1:$A$1000,0))&amp;" · ","")&amp;IF(INDEX(Dati!$DJ$1:$DJ$1000,MATCH($A14,Dati!$A$1:$A$1000,0))&gt;0,Dati!$AH$3&amp;": "&amp;INDEX(Dati!$AH$1:$AH$1000,MATCH($A14,Dati!$A$1:$A$1000,0))&amp;" · ",""))="",IF(INDEX(Dati!$FN$1:$FN$1000,MATCH($A14,Dati!$A$1:$A$1000,0))=1,"AS da recuperare",""),LEFT(IF(INDEX(Dati!$DG$1:$DG$1000,MATCH($A14,Dati!$A$1:$A$1000,0))&gt;0,Dati!$AE$3&amp;": "&amp;INDEX(Dati!$AE$1:$AE$1000,MATCH($A14,Dati!$A$1:$A$1000,0))&amp;" · ","")&amp;IF(INDEX(Dati!$DH$1:$DH$1000,MATCH($A14,Dati!$A$1:$A$1000,0))&gt;0,Dati!$AF$3&amp;": "&amp;INDEX(Dati!$AF$1:$AF$1000,MATCH($A14,Dati!$A$1:$A$1000,0))&amp;" · ","")&amp;IF(INDEX(Dati!$DI$1:$DI$1000,MATCH($A14,Dati!$A$1:$A$1000,0))&gt;0,Dati!$AG$3&amp;": "&amp;INDEX(Dati!$AG$1:$AG$1000,MATCH($A14,Dati!$A$1:$A$1000,0))&amp;" · ","")&amp;IF(INDEX(Dati!$DJ$1:$DJ$1000,MATCH($A14,Dati!$A$1:$A$1000,0))&gt;0,Dati!$AH$3&amp;": "&amp;INDEX(Dati!$AH$1:$AH$1000,MATCH($A14,Dati!$A$1:$A$1000,0))&amp;" · ",""),LEN(IF(INDEX(Dati!$DG$1:$DG$1000,MATCH($A14,Dati!$A$1:$A$1000,0))&gt;0,Dati!$AE$3&amp;": "&amp;INDEX(Dati!$AE$1:$AE$1000,MATCH($A14,Dati!$A$1:$A$1000,0))&amp;" · ","")&amp;IF(INDEX(Dati!$DH$1:$DH$1000,MATCH($A14,Dati!$A$1:$A$1000,0))&gt;0,Dati!$AF$3&amp;": "&amp;INDEX(Dati!$AF$1:$AF$1000,MATCH($A14,Dati!$A$1:$A$1000,0))&amp;" · ","")&amp;IF(INDEX(Dati!$DI$1:$DI$1000,MATCH($A14,Dati!$A$1:$A$1000,0))&gt;0,Dati!$AG$3&amp;": "&amp;INDEX(Dati!$AG$1:$AG$1000,MATCH($A14,Dati!$A$1:$A$1000,0))&amp;" · ","")&amp;IF(INDEX(Dati!$DJ$1:$DJ$1000,MATCH($A14,Dati!$A$1:$A$1000,0))&gt;0,Dati!$AH$3&amp;": "&amp;INDEX(Dati!$AH$1:$AH$1000,MATCH($A14,Dati!$A$1:$A$1000,0))&amp;" · ",""))-3)),""))</f>
        <v/>
      </c>
      <c r="K14" s="55" t="str">
        <f aca="false">IF($B14="","",IFERROR(IF((IF(INDEX(Dati!$DK$1:$DK$1000,MATCH($A14,Dati!$A$1:$A$1000,0))&gt;0,Dati!$AI$3&amp;": "&amp;INDEX(Dati!$AI$1:$AI$1000,MATCH($A14,Dati!$A$1:$A$1000,0))&amp;" · ","")&amp;IF(INDEX(Dati!$DL$1:$DL$1000,MATCH($A14,Dati!$A$1:$A$1000,0))&gt;0,Dati!$AJ$3&amp;": "&amp;INDEX(Dati!$AJ$1:$AJ$1000,MATCH($A14,Dati!$A$1:$A$1000,0))&amp;" · ","")&amp;IF(INDEX(Dati!$DM$1:$DM$1000,MATCH($A14,Dati!$A$1:$A$1000,0))&gt;0,Dati!$AK$3&amp;": "&amp;INDEX(Dati!$AK$1:$AK$1000,MATCH($A14,Dati!$A$1:$A$1000,0))&amp;" · ","")&amp;IF(INDEX(Dati!$DN$1:$DN$1000,MATCH($A14,Dati!$A$1:$A$1000,0))&gt;0,Dati!$AL$3&amp;": "&amp;INDEX(Dati!$AL$1:$AL$1000,MATCH($A14,Dati!$A$1:$A$1000,0))&amp;" · ",""))="",IF(INDEX(Dati!$FO$1:$FO$1000,MATCH($A14,Dati!$A$1:$A$1000,0))=1,"AS da recuperare",""),LEFT(IF(INDEX(Dati!$DK$1:$DK$1000,MATCH($A14,Dati!$A$1:$A$1000,0))&gt;0,Dati!$AI$3&amp;": "&amp;INDEX(Dati!$AI$1:$AI$1000,MATCH($A14,Dati!$A$1:$A$1000,0))&amp;" · ","")&amp;IF(INDEX(Dati!$DL$1:$DL$1000,MATCH($A14,Dati!$A$1:$A$1000,0))&gt;0,Dati!$AJ$3&amp;": "&amp;INDEX(Dati!$AJ$1:$AJ$1000,MATCH($A14,Dati!$A$1:$A$1000,0))&amp;" · ","")&amp;IF(INDEX(Dati!$DM$1:$DM$1000,MATCH($A14,Dati!$A$1:$A$1000,0))&gt;0,Dati!$AK$3&amp;": "&amp;INDEX(Dati!$AK$1:$AK$1000,MATCH($A14,Dati!$A$1:$A$1000,0))&amp;" · ","")&amp;IF(INDEX(Dati!$DN$1:$DN$1000,MATCH($A14,Dati!$A$1:$A$1000,0))&gt;0,Dati!$AL$3&amp;": "&amp;INDEX(Dati!$AL$1:$AL$1000,MATCH($A14,Dati!$A$1:$A$1000,0))&amp;" · ",""),LEN(IF(INDEX(Dati!$DK$1:$DK$1000,MATCH($A14,Dati!$A$1:$A$1000,0))&gt;0,Dati!$AI$3&amp;": "&amp;INDEX(Dati!$AI$1:$AI$1000,MATCH($A14,Dati!$A$1:$A$1000,0))&amp;" · ","")&amp;IF(INDEX(Dati!$DL$1:$DL$1000,MATCH($A14,Dati!$A$1:$A$1000,0))&gt;0,Dati!$AJ$3&amp;": "&amp;INDEX(Dati!$AJ$1:$AJ$1000,MATCH($A14,Dati!$A$1:$A$1000,0))&amp;" · ","")&amp;IF(INDEX(Dati!$DM$1:$DM$1000,MATCH($A14,Dati!$A$1:$A$1000,0))&gt;0,Dati!$AK$3&amp;": "&amp;INDEX(Dati!$AK$1:$AK$1000,MATCH($A14,Dati!$A$1:$A$1000,0))&amp;" · ","")&amp;IF(INDEX(Dati!$DN$1:$DN$1000,MATCH($A14,Dati!$A$1:$A$1000,0))&gt;0,Dati!$AL$3&amp;": "&amp;INDEX(Dati!$AL$1:$AL$1000,MATCH($A14,Dati!$A$1:$A$1000,0))&amp;" · ",""))-3)),""))</f>
        <v/>
      </c>
      <c r="L14" s="55" t="str">
        <f aca="false">IF($B14="","",IFERROR(IF((IF(INDEX(Dati!$DO$1:$DO$1000,MATCH($A14,Dati!$A$1:$A$1000,0))&gt;0,Dati!$AM$3&amp;": "&amp;INDEX(Dati!$AM$1:$AM$1000,MATCH($A14,Dati!$A$1:$A$1000,0))&amp;" · ","")&amp;IF(INDEX(Dati!$DP$1:$DP$1000,MATCH($A14,Dati!$A$1:$A$1000,0))&gt;0,Dati!$AN$3&amp;": "&amp;INDEX(Dati!$AN$1:$AN$1000,MATCH($A14,Dati!$A$1:$A$1000,0))&amp;" · ","")&amp;IF(INDEX(Dati!$DQ$1:$DQ$1000,MATCH($A14,Dati!$A$1:$A$1000,0))&gt;0,Dati!$AO$3&amp;": "&amp;INDEX(Dati!$AO$1:$AO$1000,MATCH($A14,Dati!$A$1:$A$1000,0))&amp;" · ","")&amp;IF(INDEX(Dati!$DR$1:$DR$1000,MATCH($A14,Dati!$A$1:$A$1000,0))&gt;0,Dati!$AP$3&amp;": "&amp;INDEX(Dati!$AP$1:$AP$1000,MATCH($A14,Dati!$A$1:$A$1000,0))&amp;" · ",""))="",IF(INDEX(Dati!$FP$1:$FP$1000,MATCH($A14,Dati!$A$1:$A$1000,0))=1,"AS da recuperare",""),LEFT(IF(INDEX(Dati!$DO$1:$DO$1000,MATCH($A14,Dati!$A$1:$A$1000,0))&gt;0,Dati!$AM$3&amp;": "&amp;INDEX(Dati!$AM$1:$AM$1000,MATCH($A14,Dati!$A$1:$A$1000,0))&amp;" · ","")&amp;IF(INDEX(Dati!$DP$1:$DP$1000,MATCH($A14,Dati!$A$1:$A$1000,0))&gt;0,Dati!$AN$3&amp;": "&amp;INDEX(Dati!$AN$1:$AN$1000,MATCH($A14,Dati!$A$1:$A$1000,0))&amp;" · ","")&amp;IF(INDEX(Dati!$DQ$1:$DQ$1000,MATCH($A14,Dati!$A$1:$A$1000,0))&gt;0,Dati!$AO$3&amp;": "&amp;INDEX(Dati!$AO$1:$AO$1000,MATCH($A14,Dati!$A$1:$A$1000,0))&amp;" · ","")&amp;IF(INDEX(Dati!$DR$1:$DR$1000,MATCH($A14,Dati!$A$1:$A$1000,0))&gt;0,Dati!$AP$3&amp;": "&amp;INDEX(Dati!$AP$1:$AP$1000,MATCH($A14,Dati!$A$1:$A$1000,0))&amp;" · ",""),LEN(IF(INDEX(Dati!$DO$1:$DO$1000,MATCH($A14,Dati!$A$1:$A$1000,0))&gt;0,Dati!$AM$3&amp;": "&amp;INDEX(Dati!$AM$1:$AM$1000,MATCH($A14,Dati!$A$1:$A$1000,0))&amp;" · ","")&amp;IF(INDEX(Dati!$DP$1:$DP$1000,MATCH($A14,Dati!$A$1:$A$1000,0))&gt;0,Dati!$AN$3&amp;": "&amp;INDEX(Dati!$AN$1:$AN$1000,MATCH($A14,Dati!$A$1:$A$1000,0))&amp;" · ","")&amp;IF(INDEX(Dati!$DQ$1:$DQ$1000,MATCH($A14,Dati!$A$1:$A$1000,0))&gt;0,Dati!$AO$3&amp;": "&amp;INDEX(Dati!$AO$1:$AO$1000,MATCH($A14,Dati!$A$1:$A$1000,0))&amp;" · ","")&amp;IF(INDEX(Dati!$DR$1:$DR$1000,MATCH($A14,Dati!$A$1:$A$1000,0))&gt;0,Dati!$AP$3&amp;": "&amp;INDEX(Dati!$AP$1:$AP$1000,MATCH($A14,Dati!$A$1:$A$1000,0))&amp;" · ",""))-3)),""))</f>
        <v/>
      </c>
      <c r="M14" s="55" t="str">
        <f aca="false">IF($B14="","",IFERROR(IF((IF(INDEX(Dati!$DS$1:$DS$1000,MATCH($A14,Dati!$A$1:$A$1000,0))&gt;0,Dati!$AQ$3&amp;": "&amp;INDEX(Dati!$AQ$1:$AQ$1000,MATCH($A14,Dati!$A$1:$A$1000,0))&amp;" · ","")&amp;IF(INDEX(Dati!$DT$1:$DT$1000,MATCH($A14,Dati!$A$1:$A$1000,0))&gt;0,Dati!$AR$3&amp;": "&amp;INDEX(Dati!$AR$1:$AR$1000,MATCH($A14,Dati!$A$1:$A$1000,0))&amp;" · ","")&amp;IF(INDEX(Dati!$DU$1:$DU$1000,MATCH($A14,Dati!$A$1:$A$1000,0))&gt;0,Dati!$AS$3&amp;": "&amp;INDEX(Dati!$AS$1:$AS$1000,MATCH($A14,Dati!$A$1:$A$1000,0))&amp;" · ","")&amp;IF(INDEX(Dati!$DV$1:$DV$1000,MATCH($A14,Dati!$A$1:$A$1000,0))&gt;0,Dati!$AT$3&amp;": "&amp;INDEX(Dati!$AT$1:$AT$1000,MATCH($A14,Dati!$A$1:$A$1000,0))&amp;" · ",""))="",IF(INDEX(Dati!$FQ$1:$FQ$1000,MATCH($A14,Dati!$A$1:$A$1000,0))=1,"AS da recuperare",""),LEFT(IF(INDEX(Dati!$DS$1:$DS$1000,MATCH($A14,Dati!$A$1:$A$1000,0))&gt;0,Dati!$AQ$3&amp;": "&amp;INDEX(Dati!$AQ$1:$AQ$1000,MATCH($A14,Dati!$A$1:$A$1000,0))&amp;" · ","")&amp;IF(INDEX(Dati!$DT$1:$DT$1000,MATCH($A14,Dati!$A$1:$A$1000,0))&gt;0,Dati!$AR$3&amp;": "&amp;INDEX(Dati!$AR$1:$AR$1000,MATCH($A14,Dati!$A$1:$A$1000,0))&amp;" · ","")&amp;IF(INDEX(Dati!$DU$1:$DU$1000,MATCH($A14,Dati!$A$1:$A$1000,0))&gt;0,Dati!$AS$3&amp;": "&amp;INDEX(Dati!$AS$1:$AS$1000,MATCH($A14,Dati!$A$1:$A$1000,0))&amp;" · ","")&amp;IF(INDEX(Dati!$DV$1:$DV$1000,MATCH($A14,Dati!$A$1:$A$1000,0))&gt;0,Dati!$AT$3&amp;": "&amp;INDEX(Dati!$AT$1:$AT$1000,MATCH($A14,Dati!$A$1:$A$1000,0))&amp;" · ",""),LEN(IF(INDEX(Dati!$DS$1:$DS$1000,MATCH($A14,Dati!$A$1:$A$1000,0))&gt;0,Dati!$AQ$3&amp;": "&amp;INDEX(Dati!$AQ$1:$AQ$1000,MATCH($A14,Dati!$A$1:$A$1000,0))&amp;" · ","")&amp;IF(INDEX(Dati!$DT$1:$DT$1000,MATCH($A14,Dati!$A$1:$A$1000,0))&gt;0,Dati!$AR$3&amp;": "&amp;INDEX(Dati!$AR$1:$AR$1000,MATCH($A14,Dati!$A$1:$A$1000,0))&amp;" · ","")&amp;IF(INDEX(Dati!$DU$1:$DU$1000,MATCH($A14,Dati!$A$1:$A$1000,0))&gt;0,Dati!$AS$3&amp;": "&amp;INDEX(Dati!$AS$1:$AS$1000,MATCH($A14,Dati!$A$1:$A$1000,0))&amp;" · ","")&amp;IF(INDEX(Dati!$DV$1:$DV$1000,MATCH($A14,Dati!$A$1:$A$1000,0))&gt;0,Dati!$AT$3&amp;": "&amp;INDEX(Dati!$AT$1:$AT$1000,MATCH($A14,Dati!$A$1:$A$1000,0))&amp;" · ",""))-3)),""))</f>
        <v/>
      </c>
      <c r="N14" s="55" t="str">
        <f aca="false">IF($B14="","",IFERROR(IF((IF(INDEX(Dati!$DW$1:$DW$1000,MATCH($A14,Dati!$A$1:$A$1000,0))&gt;0,Dati!$AU$3&amp;": "&amp;INDEX(Dati!$AU$1:$AU$1000,MATCH($A14,Dati!$A$1:$A$1000,0))&amp;" · ","")&amp;IF(INDEX(Dati!$DX$1:$DX$1000,MATCH($A14,Dati!$A$1:$A$1000,0))&gt;0,Dati!$AV$3&amp;": "&amp;INDEX(Dati!$AV$1:$AV$1000,MATCH($A14,Dati!$A$1:$A$1000,0))&amp;" · ","")&amp;IF(INDEX(Dati!$DY$1:$DY$1000,MATCH($A14,Dati!$A$1:$A$1000,0))&gt;0,Dati!$AW$3&amp;": "&amp;INDEX(Dati!$AW$1:$AW$1000,MATCH($A14,Dati!$A$1:$A$1000,0))&amp;" · ","")&amp;IF(INDEX(Dati!$DZ$1:$DZ$1000,MATCH($A14,Dati!$A$1:$A$1000,0))&gt;0,Dati!$AX$3&amp;": "&amp;INDEX(Dati!$AX$1:$AX$1000,MATCH($A14,Dati!$A$1:$A$1000,0))&amp;" · ",""))="",IF(INDEX(Dati!$FR$1:$FR$1000,MATCH($A14,Dati!$A$1:$A$1000,0))=1,"AS da recuperare",""),LEFT(IF(INDEX(Dati!$DW$1:$DW$1000,MATCH($A14,Dati!$A$1:$A$1000,0))&gt;0,Dati!$AU$3&amp;": "&amp;INDEX(Dati!$AU$1:$AU$1000,MATCH($A14,Dati!$A$1:$A$1000,0))&amp;" · ","")&amp;IF(INDEX(Dati!$DX$1:$DX$1000,MATCH($A14,Dati!$A$1:$A$1000,0))&gt;0,Dati!$AV$3&amp;": "&amp;INDEX(Dati!$AV$1:$AV$1000,MATCH($A14,Dati!$A$1:$A$1000,0))&amp;" · ","")&amp;IF(INDEX(Dati!$DY$1:$DY$1000,MATCH($A14,Dati!$A$1:$A$1000,0))&gt;0,Dati!$AW$3&amp;": "&amp;INDEX(Dati!$AW$1:$AW$1000,MATCH($A14,Dati!$A$1:$A$1000,0))&amp;" · ","")&amp;IF(INDEX(Dati!$DZ$1:$DZ$1000,MATCH($A14,Dati!$A$1:$A$1000,0))&gt;0,Dati!$AX$3&amp;": "&amp;INDEX(Dati!$AX$1:$AX$1000,MATCH($A14,Dati!$A$1:$A$1000,0))&amp;" · ",""),LEN(IF(INDEX(Dati!$DW$1:$DW$1000,MATCH($A14,Dati!$A$1:$A$1000,0))&gt;0,Dati!$AU$3&amp;": "&amp;INDEX(Dati!$AU$1:$AU$1000,MATCH($A14,Dati!$A$1:$A$1000,0))&amp;" · ","")&amp;IF(INDEX(Dati!$DX$1:$DX$1000,MATCH($A14,Dati!$A$1:$A$1000,0))&gt;0,Dati!$AV$3&amp;": "&amp;INDEX(Dati!$AV$1:$AV$1000,MATCH($A14,Dati!$A$1:$A$1000,0))&amp;" · ","")&amp;IF(INDEX(Dati!$DY$1:$DY$1000,MATCH($A14,Dati!$A$1:$A$1000,0))&gt;0,Dati!$AW$3&amp;": "&amp;INDEX(Dati!$AW$1:$AW$1000,MATCH($A14,Dati!$A$1:$A$1000,0))&amp;" · ","")&amp;IF(INDEX(Dati!$DZ$1:$DZ$1000,MATCH($A14,Dati!$A$1:$A$1000,0))&gt;0,Dati!$AX$3&amp;": "&amp;INDEX(Dati!$AX$1:$AX$1000,MATCH($A14,Dati!$A$1:$A$1000,0))&amp;" · ",""))-3)),""))</f>
        <v/>
      </c>
      <c r="O14" s="55" t="str">
        <f aca="false">IF($B14="","",IFERROR(IF((IF(INDEX(Dati!$EA$1:$EA$1000,MATCH($A14,Dati!$A$1:$A$1000,0))&gt;0,Dati!$AY$3&amp;": "&amp;INDEX(Dati!$AY$1:$AY$1000,MATCH($A14,Dati!$A$1:$A$1000,0))&amp;" · ","")&amp;IF(INDEX(Dati!$EB$1:$EB$1000,MATCH($A14,Dati!$A$1:$A$1000,0))&gt;0,Dati!$AZ$3&amp;": "&amp;INDEX(Dati!$AZ$1:$AZ$1000,MATCH($A14,Dati!$A$1:$A$1000,0))&amp;" · ","")&amp;IF(INDEX(Dati!$EC$1:$EC$1000,MATCH($A14,Dati!$A$1:$A$1000,0))&gt;0,Dati!$BA$3&amp;": "&amp;INDEX(Dati!$BA$1:$BA$1000,MATCH($A14,Dati!$A$1:$A$1000,0))&amp;" · ","")&amp;IF(INDEX(Dati!$ED$1:$ED$1000,MATCH($A14,Dati!$A$1:$A$1000,0))&gt;0,Dati!$BB$3&amp;": "&amp;INDEX(Dati!$BB$1:$BB$1000,MATCH($A14,Dati!$A$1:$A$1000,0))&amp;" · ",""))="",IF(INDEX(Dati!$FS$1:$FS$1000,MATCH($A14,Dati!$A$1:$A$1000,0))=1,"AS da recuperare",""),LEFT(IF(INDEX(Dati!$EA$1:$EA$1000,MATCH($A14,Dati!$A$1:$A$1000,0))&gt;0,Dati!$AY$3&amp;": "&amp;INDEX(Dati!$AY$1:$AY$1000,MATCH($A14,Dati!$A$1:$A$1000,0))&amp;" · ","")&amp;IF(INDEX(Dati!$EB$1:$EB$1000,MATCH($A14,Dati!$A$1:$A$1000,0))&gt;0,Dati!$AZ$3&amp;": "&amp;INDEX(Dati!$AZ$1:$AZ$1000,MATCH($A14,Dati!$A$1:$A$1000,0))&amp;" · ","")&amp;IF(INDEX(Dati!$EC$1:$EC$1000,MATCH($A14,Dati!$A$1:$A$1000,0))&gt;0,Dati!$BA$3&amp;": "&amp;INDEX(Dati!$BA$1:$BA$1000,MATCH($A14,Dati!$A$1:$A$1000,0))&amp;" · ","")&amp;IF(INDEX(Dati!$ED$1:$ED$1000,MATCH($A14,Dati!$A$1:$A$1000,0))&gt;0,Dati!$BB$3&amp;": "&amp;INDEX(Dati!$BB$1:$BB$1000,MATCH($A14,Dati!$A$1:$A$1000,0))&amp;" · ",""),LEN(IF(INDEX(Dati!$EA$1:$EA$1000,MATCH($A14,Dati!$A$1:$A$1000,0))&gt;0,Dati!$AY$3&amp;": "&amp;INDEX(Dati!$AY$1:$AY$1000,MATCH($A14,Dati!$A$1:$A$1000,0))&amp;" · ","")&amp;IF(INDEX(Dati!$EB$1:$EB$1000,MATCH($A14,Dati!$A$1:$A$1000,0))&gt;0,Dati!$AZ$3&amp;": "&amp;INDEX(Dati!$AZ$1:$AZ$1000,MATCH($A14,Dati!$A$1:$A$1000,0))&amp;" · ","")&amp;IF(INDEX(Dati!$EC$1:$EC$1000,MATCH($A14,Dati!$A$1:$A$1000,0))&gt;0,Dati!$BA$3&amp;": "&amp;INDEX(Dati!$BA$1:$BA$1000,MATCH($A14,Dati!$A$1:$A$1000,0))&amp;" · ","")&amp;IF(INDEX(Dati!$ED$1:$ED$1000,MATCH($A14,Dati!$A$1:$A$1000,0))&gt;0,Dati!$BB$3&amp;": "&amp;INDEX(Dati!$BB$1:$BB$1000,MATCH($A14,Dati!$A$1:$A$1000,0))&amp;" · ",""))-3)),""))</f>
        <v/>
      </c>
      <c r="P14" s="55" t="str">
        <f aca="false">IF($B14="","",IFERROR(IF((IF(INDEX(Dati!$EE$1:$EE$1000,MATCH($A14,Dati!$A$1:$A$1000,0))&gt;0,Dati!$BC$3&amp;": "&amp;INDEX(Dati!$BC$1:$BC$1000,MATCH($A14,Dati!$A$1:$A$1000,0))&amp;" · ","")&amp;IF(INDEX(Dati!$EF$1:$EF$1000,MATCH($A14,Dati!$A$1:$A$1000,0))&gt;0,Dati!$BD$3&amp;": "&amp;INDEX(Dati!$BD$1:$BD$1000,MATCH($A14,Dati!$A$1:$A$1000,0))&amp;" · ","")&amp;IF(INDEX(Dati!$EG$1:$EG$1000,MATCH($A14,Dati!$A$1:$A$1000,0))&gt;0,Dati!$BE$3&amp;": "&amp;INDEX(Dati!$BE$1:$BE$1000,MATCH($A14,Dati!$A$1:$A$1000,0))&amp;" · ","")&amp;IF(INDEX(Dati!$EH$1:$EH$1000,MATCH($A14,Dati!$A$1:$A$1000,0))&gt;0,Dati!$BF$3&amp;": "&amp;INDEX(Dati!$BF$1:$BF$1000,MATCH($A14,Dati!$A$1:$A$1000,0))&amp;" · ",""))="",IF(INDEX(Dati!$FT$1:$FT$1000,MATCH($A14,Dati!$A$1:$A$1000,0))=1,"AS da recuperare",""),LEFT(IF(INDEX(Dati!$EE$1:$EE$1000,MATCH($A14,Dati!$A$1:$A$1000,0))&gt;0,Dati!$BC$3&amp;": "&amp;INDEX(Dati!$BC$1:$BC$1000,MATCH($A14,Dati!$A$1:$A$1000,0))&amp;" · ","")&amp;IF(INDEX(Dati!$EF$1:$EF$1000,MATCH($A14,Dati!$A$1:$A$1000,0))&gt;0,Dati!$BD$3&amp;": "&amp;INDEX(Dati!$BD$1:$BD$1000,MATCH($A14,Dati!$A$1:$A$1000,0))&amp;" · ","")&amp;IF(INDEX(Dati!$EG$1:$EG$1000,MATCH($A14,Dati!$A$1:$A$1000,0))&gt;0,Dati!$BE$3&amp;": "&amp;INDEX(Dati!$BE$1:$BE$1000,MATCH($A14,Dati!$A$1:$A$1000,0))&amp;" · ","")&amp;IF(INDEX(Dati!$EH$1:$EH$1000,MATCH($A14,Dati!$A$1:$A$1000,0))&gt;0,Dati!$BF$3&amp;": "&amp;INDEX(Dati!$BF$1:$BF$1000,MATCH($A14,Dati!$A$1:$A$1000,0))&amp;" · ",""),LEN(IF(INDEX(Dati!$EE$1:$EE$1000,MATCH($A14,Dati!$A$1:$A$1000,0))&gt;0,Dati!$BC$3&amp;": "&amp;INDEX(Dati!$BC$1:$BC$1000,MATCH($A14,Dati!$A$1:$A$1000,0))&amp;" · ","")&amp;IF(INDEX(Dati!$EF$1:$EF$1000,MATCH($A14,Dati!$A$1:$A$1000,0))&gt;0,Dati!$BD$3&amp;": "&amp;INDEX(Dati!$BD$1:$BD$1000,MATCH($A14,Dati!$A$1:$A$1000,0))&amp;" · ","")&amp;IF(INDEX(Dati!$EG$1:$EG$1000,MATCH($A14,Dati!$A$1:$A$1000,0))&gt;0,Dati!$BE$3&amp;": "&amp;INDEX(Dati!$BE$1:$BE$1000,MATCH($A14,Dati!$A$1:$A$1000,0))&amp;" · ","")&amp;IF(INDEX(Dati!$EH$1:$EH$1000,MATCH($A14,Dati!$A$1:$A$1000,0))&gt;0,Dati!$BF$3&amp;": "&amp;INDEX(Dati!$BF$1:$BF$1000,MATCH($A14,Dati!$A$1:$A$1000,0))&amp;" · ",""))-3)),""))</f>
        <v/>
      </c>
      <c r="Q14" s="55" t="str">
        <f aca="false">IF($B14="","",IFERROR(IF((IF(INDEX(Dati!$EI$1:$EI$1000,MATCH($A14,Dati!$A$1:$A$1000,0))&gt;0,Dati!$BG$3&amp;": "&amp;INDEX(Dati!$BG$1:$BG$1000,MATCH($A14,Dati!$A$1:$A$1000,0))&amp;" · ","")&amp;IF(INDEX(Dati!$EJ$1:$EJ$1000,MATCH($A14,Dati!$A$1:$A$1000,0))&gt;0,Dati!$BH$3&amp;": "&amp;INDEX(Dati!$BH$1:$BH$1000,MATCH($A14,Dati!$A$1:$A$1000,0))&amp;" · ","")&amp;IF(INDEX(Dati!$EK$1:$EK$1000,MATCH($A14,Dati!$A$1:$A$1000,0))&gt;0,Dati!$BI$3&amp;": "&amp;INDEX(Dati!$BI$1:$BI$1000,MATCH($A14,Dati!$A$1:$A$1000,0))&amp;" · ","")&amp;IF(INDEX(Dati!$EL$1:$EL$1000,MATCH($A14,Dati!$A$1:$A$1000,0))&gt;0,Dati!$BJ$3&amp;": "&amp;INDEX(Dati!$BJ$1:$BJ$1000,MATCH($A14,Dati!$A$1:$A$1000,0))&amp;" · ",""))="",IF(INDEX(Dati!$FU$1:$FU$1000,MATCH($A14,Dati!$A$1:$A$1000,0))=1,"AS da recuperare",""),LEFT(IF(INDEX(Dati!$EI$1:$EI$1000,MATCH($A14,Dati!$A$1:$A$1000,0))&gt;0,Dati!$BG$3&amp;": "&amp;INDEX(Dati!$BG$1:$BG$1000,MATCH($A14,Dati!$A$1:$A$1000,0))&amp;" · ","")&amp;IF(INDEX(Dati!$EJ$1:$EJ$1000,MATCH($A14,Dati!$A$1:$A$1000,0))&gt;0,Dati!$BH$3&amp;": "&amp;INDEX(Dati!$BH$1:$BH$1000,MATCH($A14,Dati!$A$1:$A$1000,0))&amp;" · ","")&amp;IF(INDEX(Dati!$EK$1:$EK$1000,MATCH($A14,Dati!$A$1:$A$1000,0))&gt;0,Dati!$BI$3&amp;": "&amp;INDEX(Dati!$BI$1:$BI$1000,MATCH($A14,Dati!$A$1:$A$1000,0))&amp;" · ","")&amp;IF(INDEX(Dati!$EL$1:$EL$1000,MATCH($A14,Dati!$A$1:$A$1000,0))&gt;0,Dati!$BJ$3&amp;": "&amp;INDEX(Dati!$BJ$1:$BJ$1000,MATCH($A14,Dati!$A$1:$A$1000,0))&amp;" · ",""),LEN(IF(INDEX(Dati!$EI$1:$EI$1000,MATCH($A14,Dati!$A$1:$A$1000,0))&gt;0,Dati!$BG$3&amp;": "&amp;INDEX(Dati!$BG$1:$BG$1000,MATCH($A14,Dati!$A$1:$A$1000,0))&amp;" · ","")&amp;IF(INDEX(Dati!$EJ$1:$EJ$1000,MATCH($A14,Dati!$A$1:$A$1000,0))&gt;0,Dati!$BH$3&amp;": "&amp;INDEX(Dati!$BH$1:$BH$1000,MATCH($A14,Dati!$A$1:$A$1000,0))&amp;" · ","")&amp;IF(INDEX(Dati!$EK$1:$EK$1000,MATCH($A14,Dati!$A$1:$A$1000,0))&gt;0,Dati!$BI$3&amp;": "&amp;INDEX(Dati!$BI$1:$BI$1000,MATCH($A14,Dati!$A$1:$A$1000,0))&amp;" · ","")&amp;IF(INDEX(Dati!$EL$1:$EL$1000,MATCH($A14,Dati!$A$1:$A$1000,0))&gt;0,Dati!$BJ$3&amp;": "&amp;INDEX(Dati!$BJ$1:$BJ$1000,MATCH($A14,Dati!$A$1:$A$1000,0))&amp;" · ",""))-3)),""))</f>
        <v/>
      </c>
      <c r="R14" s="55" t="str">
        <f aca="false">IF($B14="","",IFERROR(IF((IF(INDEX(Dati!$EM$1:$EM$1000,MATCH($A14,Dati!$A$1:$A$1000,0))&gt;0,Dati!$BK$3&amp;": "&amp;INDEX(Dati!$BK$1:$BK$1000,MATCH($A14,Dati!$A$1:$A$1000,0))&amp;" · ","")&amp;IF(INDEX(Dati!$EN$1:$EN$1000,MATCH($A14,Dati!$A$1:$A$1000,0))&gt;0,Dati!$BL$3&amp;": "&amp;INDEX(Dati!$BL$1:$BL$1000,MATCH($A14,Dati!$A$1:$A$1000,0))&amp;" · ","")&amp;IF(INDEX(Dati!$EO$1:$EO$1000,MATCH($A14,Dati!$A$1:$A$1000,0))&gt;0,Dati!$BM$3&amp;": "&amp;INDEX(Dati!$BM$1:$BM$1000,MATCH($A14,Dati!$A$1:$A$1000,0))&amp;" · ","")&amp;IF(INDEX(Dati!$EP$1:$EP$1000,MATCH($A14,Dati!$A$1:$A$1000,0))&gt;0,Dati!$BN$3&amp;": "&amp;INDEX(Dati!$BN$1:$BN$1000,MATCH($A14,Dati!$A$1:$A$1000,0))&amp;" · ",""))="",IF(INDEX(Dati!$FV$1:$FV$1000,MATCH($A14,Dati!$A$1:$A$1000,0))=1,"AS da recuperare",""),LEFT(IF(INDEX(Dati!$EM$1:$EM$1000,MATCH($A14,Dati!$A$1:$A$1000,0))&gt;0,Dati!$BK$3&amp;": "&amp;INDEX(Dati!$BK$1:$BK$1000,MATCH($A14,Dati!$A$1:$A$1000,0))&amp;" · ","")&amp;IF(INDEX(Dati!$EN$1:$EN$1000,MATCH($A14,Dati!$A$1:$A$1000,0))&gt;0,Dati!$BL$3&amp;": "&amp;INDEX(Dati!$BL$1:$BL$1000,MATCH($A14,Dati!$A$1:$A$1000,0))&amp;" · ","")&amp;IF(INDEX(Dati!$EO$1:$EO$1000,MATCH($A14,Dati!$A$1:$A$1000,0))&gt;0,Dati!$BM$3&amp;": "&amp;INDEX(Dati!$BM$1:$BM$1000,MATCH($A14,Dati!$A$1:$A$1000,0))&amp;" · ","")&amp;IF(INDEX(Dati!$EP$1:$EP$1000,MATCH($A14,Dati!$A$1:$A$1000,0))&gt;0,Dati!$BN$3&amp;": "&amp;INDEX(Dati!$BN$1:$BN$1000,MATCH($A14,Dati!$A$1:$A$1000,0))&amp;" · ",""),LEN(IF(INDEX(Dati!$EM$1:$EM$1000,MATCH($A14,Dati!$A$1:$A$1000,0))&gt;0,Dati!$BK$3&amp;": "&amp;INDEX(Dati!$BK$1:$BK$1000,MATCH($A14,Dati!$A$1:$A$1000,0))&amp;" · ","")&amp;IF(INDEX(Dati!$EN$1:$EN$1000,MATCH($A14,Dati!$A$1:$A$1000,0))&gt;0,Dati!$BL$3&amp;": "&amp;INDEX(Dati!$BL$1:$BL$1000,MATCH($A14,Dati!$A$1:$A$1000,0))&amp;" · ","")&amp;IF(INDEX(Dati!$EO$1:$EO$1000,MATCH($A14,Dati!$A$1:$A$1000,0))&gt;0,Dati!$BM$3&amp;": "&amp;INDEX(Dati!$BM$1:$BM$1000,MATCH($A14,Dati!$A$1:$A$1000,0))&amp;" · ","")&amp;IF(INDEX(Dati!$EP$1:$EP$1000,MATCH($A14,Dati!$A$1:$A$1000,0))&gt;0,Dati!$BN$3&amp;": "&amp;INDEX(Dati!$BN$1:$BN$1000,MATCH($A14,Dati!$A$1:$A$1000,0))&amp;" · ",""))-3)),""))</f>
        <v/>
      </c>
      <c r="S14" s="55" t="str">
        <f aca="false">IF($B14="","",IFERROR(IF((IF(INDEX(Dati!$EQ$1:$EQ$1000,MATCH($A14,Dati!$A$1:$A$1000,0))&gt;0,Dati!$BO$3&amp;": "&amp;INDEX(Dati!$BO$1:$BO$1000,MATCH($A14,Dati!$A$1:$A$1000,0))&amp;" · ","")&amp;IF(INDEX(Dati!$ER$1:$ER$1000,MATCH($A14,Dati!$A$1:$A$1000,0))&gt;0,Dati!$BP$3&amp;": "&amp;INDEX(Dati!$BP$1:$BP$1000,MATCH($A14,Dati!$A$1:$A$1000,0))&amp;" · ","")&amp;IF(INDEX(Dati!$ES$1:$ES$1000,MATCH($A14,Dati!$A$1:$A$1000,0))&gt;0,Dati!$BQ$3&amp;": "&amp;INDEX(Dati!$BQ$1:$BQ$1000,MATCH($A14,Dati!$A$1:$A$1000,0))&amp;" · ","")&amp;IF(INDEX(Dati!$ET$1:$ET$1000,MATCH($A14,Dati!$A$1:$A$1000,0))&gt;0,Dati!$BR$3&amp;": "&amp;INDEX(Dati!$BR$1:$BR$1000,MATCH($A14,Dati!$A$1:$A$1000,0))&amp;" · ",""))="",IF(INDEX(Dati!$FW$1:$FW$1000,MATCH($A14,Dati!$A$1:$A$1000,0))=1,"AS da recuperare",""),LEFT(IF(INDEX(Dati!$EQ$1:$EQ$1000,MATCH($A14,Dati!$A$1:$A$1000,0))&gt;0,Dati!$BO$3&amp;": "&amp;INDEX(Dati!$BO$1:$BO$1000,MATCH($A14,Dati!$A$1:$A$1000,0))&amp;" · ","")&amp;IF(INDEX(Dati!$ER$1:$ER$1000,MATCH($A14,Dati!$A$1:$A$1000,0))&gt;0,Dati!$BP$3&amp;": "&amp;INDEX(Dati!$BP$1:$BP$1000,MATCH($A14,Dati!$A$1:$A$1000,0))&amp;" · ","")&amp;IF(INDEX(Dati!$ES$1:$ES$1000,MATCH($A14,Dati!$A$1:$A$1000,0))&gt;0,Dati!$BQ$3&amp;": "&amp;INDEX(Dati!$BQ$1:$BQ$1000,MATCH($A14,Dati!$A$1:$A$1000,0))&amp;" · ","")&amp;IF(INDEX(Dati!$ET$1:$ET$1000,MATCH($A14,Dati!$A$1:$A$1000,0))&gt;0,Dati!$BR$3&amp;": "&amp;INDEX(Dati!$BR$1:$BR$1000,MATCH($A14,Dati!$A$1:$A$1000,0))&amp;" · ",""),LEN(IF(INDEX(Dati!$EQ$1:$EQ$1000,MATCH($A14,Dati!$A$1:$A$1000,0))&gt;0,Dati!$BO$3&amp;": "&amp;INDEX(Dati!$BO$1:$BO$1000,MATCH($A14,Dati!$A$1:$A$1000,0))&amp;" · ","")&amp;IF(INDEX(Dati!$ER$1:$ER$1000,MATCH($A14,Dati!$A$1:$A$1000,0))&gt;0,Dati!$BP$3&amp;": "&amp;INDEX(Dati!$BP$1:$BP$1000,MATCH($A14,Dati!$A$1:$A$1000,0))&amp;" · ","")&amp;IF(INDEX(Dati!$ES$1:$ES$1000,MATCH($A14,Dati!$A$1:$A$1000,0))&gt;0,Dati!$BQ$3&amp;": "&amp;INDEX(Dati!$BQ$1:$BQ$1000,MATCH($A14,Dati!$A$1:$A$1000,0))&amp;" · ","")&amp;IF(INDEX(Dati!$ET$1:$ET$1000,MATCH($A14,Dati!$A$1:$A$1000,0))&gt;0,Dati!$BR$3&amp;": "&amp;INDEX(Dati!$BR$1:$BR$1000,MATCH($A14,Dati!$A$1:$A$1000,0))&amp;" · ",""))-3)),""))</f>
        <v/>
      </c>
      <c r="T14" s="55" t="str">
        <f aca="false">IF($B14="","",IFERROR(IF((IF(INDEX(Dati!$EU$1:$EU$1000,MATCH($A14,Dati!$A$1:$A$1000,0))&gt;0,Dati!$BS$3&amp;": "&amp;INDEX(Dati!$BS$1:$BS$1000,MATCH($A14,Dati!$A$1:$A$1000,0))&amp;" · ","")&amp;IF(INDEX(Dati!$EV$1:$EV$1000,MATCH($A14,Dati!$A$1:$A$1000,0))&gt;0,Dati!$BT$3&amp;": "&amp;INDEX(Dati!$BT$1:$BT$1000,MATCH($A14,Dati!$A$1:$A$1000,0))&amp;" · ","")&amp;IF(INDEX(Dati!$EW$1:$EW$1000,MATCH($A14,Dati!$A$1:$A$1000,0))&gt;0,Dati!$BU$3&amp;": "&amp;INDEX(Dati!$BU$1:$BU$1000,MATCH($A14,Dati!$A$1:$A$1000,0))&amp;" · ","")&amp;IF(INDEX(Dati!$EX$1:$EX$1000,MATCH($A14,Dati!$A$1:$A$1000,0))&gt;0,Dati!$BV$3&amp;": "&amp;INDEX(Dati!$BV$1:$BV$1000,MATCH($A14,Dati!$A$1:$A$1000,0))&amp;" · ",""))="",IF(INDEX(Dati!$FX$1:$FX$1000,MATCH($A14,Dati!$A$1:$A$1000,0))=1,"AS da recuperare",""),LEFT(IF(INDEX(Dati!$EU$1:$EU$1000,MATCH($A14,Dati!$A$1:$A$1000,0))&gt;0,Dati!$BS$3&amp;": "&amp;INDEX(Dati!$BS$1:$BS$1000,MATCH($A14,Dati!$A$1:$A$1000,0))&amp;" · ","")&amp;IF(INDEX(Dati!$EV$1:$EV$1000,MATCH($A14,Dati!$A$1:$A$1000,0))&gt;0,Dati!$BT$3&amp;": "&amp;INDEX(Dati!$BT$1:$BT$1000,MATCH($A14,Dati!$A$1:$A$1000,0))&amp;" · ","")&amp;IF(INDEX(Dati!$EW$1:$EW$1000,MATCH($A14,Dati!$A$1:$A$1000,0))&gt;0,Dati!$BU$3&amp;": "&amp;INDEX(Dati!$BU$1:$BU$1000,MATCH($A14,Dati!$A$1:$A$1000,0))&amp;" · ","")&amp;IF(INDEX(Dati!$EX$1:$EX$1000,MATCH($A14,Dati!$A$1:$A$1000,0))&gt;0,Dati!$BV$3&amp;": "&amp;INDEX(Dati!$BV$1:$BV$1000,MATCH($A14,Dati!$A$1:$A$1000,0))&amp;" · ",""),LEN(IF(INDEX(Dati!$EU$1:$EU$1000,MATCH($A14,Dati!$A$1:$A$1000,0))&gt;0,Dati!$BS$3&amp;": "&amp;INDEX(Dati!$BS$1:$BS$1000,MATCH($A14,Dati!$A$1:$A$1000,0))&amp;" · ","")&amp;IF(INDEX(Dati!$EV$1:$EV$1000,MATCH($A14,Dati!$A$1:$A$1000,0))&gt;0,Dati!$BT$3&amp;": "&amp;INDEX(Dati!$BT$1:$BT$1000,MATCH($A14,Dati!$A$1:$A$1000,0))&amp;" · ","")&amp;IF(INDEX(Dati!$EW$1:$EW$1000,MATCH($A14,Dati!$A$1:$A$1000,0))&gt;0,Dati!$BU$3&amp;": "&amp;INDEX(Dati!$BU$1:$BU$1000,MATCH($A14,Dati!$A$1:$A$1000,0))&amp;" · ","")&amp;IF(INDEX(Dati!$EX$1:$EX$1000,MATCH($A14,Dati!$A$1:$A$1000,0))&gt;0,Dati!$BV$3&amp;": "&amp;INDEX(Dati!$BV$1:$BV$1000,MATCH($A14,Dati!$A$1:$A$1000,0))&amp;" · ",""))-3)),""))</f>
        <v/>
      </c>
      <c r="U14" s="55" t="str">
        <f aca="false">IF($B14="","",IFERROR(IF((IF(INDEX(Dati!$EY$1:$EY$1000,MATCH($A14,Dati!$A$1:$A$1000,0))&gt;0,Dati!$BW$3&amp;": "&amp;INDEX(Dati!$BW$1:$BW$1000,MATCH($A14,Dati!$A$1:$A$1000,0))&amp;" · ","")&amp;IF(INDEX(Dati!$EZ$1:$EZ$1000,MATCH($A14,Dati!$A$1:$A$1000,0))&gt;0,Dati!$BX$3&amp;": "&amp;INDEX(Dati!$BX$1:$BX$1000,MATCH($A14,Dati!$A$1:$A$1000,0))&amp;" · ","")&amp;IF(INDEX(Dati!$FA$1:$FA$1000,MATCH($A14,Dati!$A$1:$A$1000,0))&gt;0,Dati!$BY$3&amp;": "&amp;INDEX(Dati!$BY$1:$BY$1000,MATCH($A14,Dati!$A$1:$A$1000,0))&amp;" · ","")&amp;IF(INDEX(Dati!$FB$1:$FB$1000,MATCH($A14,Dati!$A$1:$A$1000,0))&gt;0,Dati!$BZ$3&amp;": "&amp;INDEX(Dati!$BZ$1:$BZ$1000,MATCH($A14,Dati!$A$1:$A$1000,0))&amp;" · ",""))="",IF(INDEX(Dati!$FY$1:$FY$1000,MATCH($A14,Dati!$A$1:$A$1000,0))=1,"AS da recuperare",""),LEFT(IF(INDEX(Dati!$EY$1:$EY$1000,MATCH($A14,Dati!$A$1:$A$1000,0))&gt;0,Dati!$BW$3&amp;": "&amp;INDEX(Dati!$BW$1:$BW$1000,MATCH($A14,Dati!$A$1:$A$1000,0))&amp;" · ","")&amp;IF(INDEX(Dati!$EZ$1:$EZ$1000,MATCH($A14,Dati!$A$1:$A$1000,0))&gt;0,Dati!$BX$3&amp;": "&amp;INDEX(Dati!$BX$1:$BX$1000,MATCH($A14,Dati!$A$1:$A$1000,0))&amp;" · ","")&amp;IF(INDEX(Dati!$FA$1:$FA$1000,MATCH($A14,Dati!$A$1:$A$1000,0))&gt;0,Dati!$BY$3&amp;": "&amp;INDEX(Dati!$BY$1:$BY$1000,MATCH($A14,Dati!$A$1:$A$1000,0))&amp;" · ","")&amp;IF(INDEX(Dati!$FB$1:$FB$1000,MATCH($A14,Dati!$A$1:$A$1000,0))&gt;0,Dati!$BZ$3&amp;": "&amp;INDEX(Dati!$BZ$1:$BZ$1000,MATCH($A14,Dati!$A$1:$A$1000,0))&amp;" · ",""),LEN(IF(INDEX(Dati!$EY$1:$EY$1000,MATCH($A14,Dati!$A$1:$A$1000,0))&gt;0,Dati!$BW$3&amp;": "&amp;INDEX(Dati!$BW$1:$BW$1000,MATCH($A14,Dati!$A$1:$A$1000,0))&amp;" · ","")&amp;IF(INDEX(Dati!$EZ$1:$EZ$1000,MATCH($A14,Dati!$A$1:$A$1000,0))&gt;0,Dati!$BX$3&amp;": "&amp;INDEX(Dati!$BX$1:$BX$1000,MATCH($A14,Dati!$A$1:$A$1000,0))&amp;" · ","")&amp;IF(INDEX(Dati!$FA$1:$FA$1000,MATCH($A14,Dati!$A$1:$A$1000,0))&gt;0,Dati!$BY$3&amp;": "&amp;INDEX(Dati!$BY$1:$BY$1000,MATCH($A14,Dati!$A$1:$A$1000,0))&amp;" · ","")&amp;IF(INDEX(Dati!$FB$1:$FB$1000,MATCH($A14,Dati!$A$1:$A$1000,0))&gt;0,Dati!$BZ$3&amp;": "&amp;INDEX(Dati!$BZ$1:$BZ$1000,MATCH($A14,Dati!$A$1:$A$1000,0))&amp;" · ",""))-3)),""))</f>
        <v/>
      </c>
      <c r="V14" s="55" t="str">
        <f aca="false">IF($B14="","",IFERROR(IF((IF(INDEX(Dati!$FC$1:$FC$1000,MATCH($A14,Dati!$A$1:$A$1000,0))&gt;0,Dati!$CA$3&amp;": "&amp;INDEX(Dati!$CA$1:$CA$1000,MATCH($A14,Dati!$A$1:$A$1000,0))&amp;" · ","")&amp;IF(INDEX(Dati!$FD$1:$FD$1000,MATCH($A14,Dati!$A$1:$A$1000,0))&gt;0,Dati!$CB$3&amp;": "&amp;INDEX(Dati!$CB$1:$CB$1000,MATCH($A14,Dati!$A$1:$A$1000,0))&amp;" · ","")&amp;IF(INDEX(Dati!$FE$1:$FE$1000,MATCH($A14,Dati!$A$1:$A$1000,0))&gt;0,Dati!$CC$3&amp;": "&amp;INDEX(Dati!$CC$1:$CC$1000,MATCH($A14,Dati!$A$1:$A$1000,0))&amp;" · ","")&amp;IF(INDEX(Dati!$FF$1:$FF$1000,MATCH($A14,Dati!$A$1:$A$1000,0))&gt;0,Dati!$CD$3&amp;": "&amp;INDEX(Dati!$CD$1:$CD$1000,MATCH($A14,Dati!$A$1:$A$1000,0))&amp;" · ",""))="",IF(INDEX(Dati!$FZ$1:$FZ$1000,MATCH($A14,Dati!$A$1:$A$1000,0))=1,"AS da recuperare",""),LEFT(IF(INDEX(Dati!$FC$1:$FC$1000,MATCH($A14,Dati!$A$1:$A$1000,0))&gt;0,Dati!$CA$3&amp;": "&amp;INDEX(Dati!$CA$1:$CA$1000,MATCH($A14,Dati!$A$1:$A$1000,0))&amp;" · ","")&amp;IF(INDEX(Dati!$FD$1:$FD$1000,MATCH($A14,Dati!$A$1:$A$1000,0))&gt;0,Dati!$CB$3&amp;": "&amp;INDEX(Dati!$CB$1:$CB$1000,MATCH($A14,Dati!$A$1:$A$1000,0))&amp;" · ","")&amp;IF(INDEX(Dati!$FE$1:$FE$1000,MATCH($A14,Dati!$A$1:$A$1000,0))&gt;0,Dati!$CC$3&amp;": "&amp;INDEX(Dati!$CC$1:$CC$1000,MATCH($A14,Dati!$A$1:$A$1000,0))&amp;" · ","")&amp;IF(INDEX(Dati!$FF$1:$FF$1000,MATCH($A14,Dati!$A$1:$A$1000,0))&gt;0,Dati!$CD$3&amp;": "&amp;INDEX(Dati!$CD$1:$CD$1000,MATCH($A14,Dati!$A$1:$A$1000,0))&amp;" · ",""),LEN(IF(INDEX(Dati!$FC$1:$FC$1000,MATCH($A14,Dati!$A$1:$A$1000,0))&gt;0,Dati!$CA$3&amp;": "&amp;INDEX(Dati!$CA$1:$CA$1000,MATCH($A14,Dati!$A$1:$A$1000,0))&amp;" · ","")&amp;IF(INDEX(Dati!$FD$1:$FD$1000,MATCH($A14,Dati!$A$1:$A$1000,0))&gt;0,Dati!$CB$3&amp;": "&amp;INDEX(Dati!$CB$1:$CB$1000,MATCH($A14,Dati!$A$1:$A$1000,0))&amp;" · ","")&amp;IF(INDEX(Dati!$FE$1:$FE$1000,MATCH($A14,Dati!$A$1:$A$1000,0))&gt;0,Dati!$CC$3&amp;": "&amp;INDEX(Dati!$CC$1:$CC$1000,MATCH($A14,Dati!$A$1:$A$1000,0))&amp;" · ","")&amp;IF(INDEX(Dati!$FF$1:$FF$1000,MATCH($A14,Dati!$A$1:$A$1000,0))&gt;0,Dati!$CD$3&amp;": "&amp;INDEX(Dati!$CD$1:$CD$1000,MATCH($A14,Dati!$A$1:$A$1000,0))&amp;" · ",""))-3)),""))</f>
        <v/>
      </c>
    </row>
    <row r="15" customFormat="false" ht="19.5" hidden="false" customHeight="true" outlineLevel="0" collapsed="false">
      <c r="A15" s="10" t="n">
        <v>11</v>
      </c>
      <c r="B15" s="16" t="str">
        <f aca="false">IFERROR(INDEX(Alunni!$C$1:$C$1000,MATCH($A15,Alunni!$A$1:$A$1000,0))&amp;"","")</f>
        <v/>
      </c>
      <c r="C15" s="55" t="str">
        <f aca="false">IF($B15="","",IFERROR(IF((IF(INDEX(Dati!$CE$1:$CE$1000,MATCH($A15,Dati!$A$1:$A$1000,0))&gt;0,Dati!$C$3&amp;": "&amp;INDEX(Dati!$C$1:$C$1000,MATCH($A15,Dati!$A$1:$A$1000,0))&amp;" · ","")&amp;IF(INDEX(Dati!$CF$1:$CF$1000,MATCH($A15,Dati!$A$1:$A$1000,0))&gt;0,Dati!$D$3&amp;": "&amp;INDEX(Dati!$D$1:$D$1000,MATCH($A15,Dati!$A$1:$A$1000,0))&amp;" · ","")&amp;IF(INDEX(Dati!$CG$1:$CG$1000,MATCH($A15,Dati!$A$1:$A$1000,0))&gt;0,Dati!$E$3&amp;": "&amp;INDEX(Dati!$E$1:$E$1000,MATCH($A15,Dati!$A$1:$A$1000,0))&amp;" · ","")&amp;IF(INDEX(Dati!$CH$1:$CH$1000,MATCH($A15,Dati!$A$1:$A$1000,0))&gt;0,Dati!$F$3&amp;": "&amp;INDEX(Dati!$F$1:$F$1000,MATCH($A15,Dati!$A$1:$A$1000,0))&amp;" · ",""))="",IF(INDEX(Dati!$FG$1:$FG$1000,MATCH($A15,Dati!$A$1:$A$1000,0))=1,"AS da recuperare",""),LEFT(IF(INDEX(Dati!$CE$1:$CE$1000,MATCH($A15,Dati!$A$1:$A$1000,0))&gt;0,Dati!$C$3&amp;": "&amp;INDEX(Dati!$C$1:$C$1000,MATCH($A15,Dati!$A$1:$A$1000,0))&amp;" · ","")&amp;IF(INDEX(Dati!$CF$1:$CF$1000,MATCH($A15,Dati!$A$1:$A$1000,0))&gt;0,Dati!$D$3&amp;": "&amp;INDEX(Dati!$D$1:$D$1000,MATCH($A15,Dati!$A$1:$A$1000,0))&amp;" · ","")&amp;IF(INDEX(Dati!$CG$1:$CG$1000,MATCH($A15,Dati!$A$1:$A$1000,0))&gt;0,Dati!$E$3&amp;": "&amp;INDEX(Dati!$E$1:$E$1000,MATCH($A15,Dati!$A$1:$A$1000,0))&amp;" · ","")&amp;IF(INDEX(Dati!$CH$1:$CH$1000,MATCH($A15,Dati!$A$1:$A$1000,0))&gt;0,Dati!$F$3&amp;": "&amp;INDEX(Dati!$F$1:$F$1000,MATCH($A15,Dati!$A$1:$A$1000,0))&amp;" · ",""),LEN(IF(INDEX(Dati!$CE$1:$CE$1000,MATCH($A15,Dati!$A$1:$A$1000,0))&gt;0,Dati!$C$3&amp;": "&amp;INDEX(Dati!$C$1:$C$1000,MATCH($A15,Dati!$A$1:$A$1000,0))&amp;" · ","")&amp;IF(INDEX(Dati!$CF$1:$CF$1000,MATCH($A15,Dati!$A$1:$A$1000,0))&gt;0,Dati!$D$3&amp;": "&amp;INDEX(Dati!$D$1:$D$1000,MATCH($A15,Dati!$A$1:$A$1000,0))&amp;" · ","")&amp;IF(INDEX(Dati!$CG$1:$CG$1000,MATCH($A15,Dati!$A$1:$A$1000,0))&gt;0,Dati!$E$3&amp;": "&amp;INDEX(Dati!$E$1:$E$1000,MATCH($A15,Dati!$A$1:$A$1000,0))&amp;" · ","")&amp;IF(INDEX(Dati!$CH$1:$CH$1000,MATCH($A15,Dati!$A$1:$A$1000,0))&gt;0,Dati!$F$3&amp;": "&amp;INDEX(Dati!$F$1:$F$1000,MATCH($A15,Dati!$A$1:$A$1000,0))&amp;" · ",""))-3)),""))</f>
        <v/>
      </c>
      <c r="D15" s="55" t="str">
        <f aca="false">IF($B15="","",IFERROR(IF((IF(INDEX(Dati!$CI$1:$CI$1000,MATCH($A15,Dati!$A$1:$A$1000,0))&gt;0,Dati!$G$3&amp;": "&amp;INDEX(Dati!$G$1:$G$1000,MATCH($A15,Dati!$A$1:$A$1000,0))&amp;" · ","")&amp;IF(INDEX(Dati!$CJ$1:$CJ$1000,MATCH($A15,Dati!$A$1:$A$1000,0))&gt;0,Dati!$H$3&amp;": "&amp;INDEX(Dati!$H$1:$H$1000,MATCH($A15,Dati!$A$1:$A$1000,0))&amp;" · ","")&amp;IF(INDEX(Dati!$CK$1:$CK$1000,MATCH($A15,Dati!$A$1:$A$1000,0))&gt;0,Dati!$I$3&amp;": "&amp;INDEX(Dati!$I$1:$I$1000,MATCH($A15,Dati!$A$1:$A$1000,0))&amp;" · ","")&amp;IF(INDEX(Dati!$CL$1:$CL$1000,MATCH($A15,Dati!$A$1:$A$1000,0))&gt;0,Dati!$J$3&amp;": "&amp;INDEX(Dati!$J$1:$J$1000,MATCH($A15,Dati!$A$1:$A$1000,0))&amp;" · ",""))="",IF(INDEX(Dati!$FH$1:$FH$1000,MATCH($A15,Dati!$A$1:$A$1000,0))=1,"AS da recuperare",""),LEFT(IF(INDEX(Dati!$CI$1:$CI$1000,MATCH($A15,Dati!$A$1:$A$1000,0))&gt;0,Dati!$G$3&amp;": "&amp;INDEX(Dati!$G$1:$G$1000,MATCH($A15,Dati!$A$1:$A$1000,0))&amp;" · ","")&amp;IF(INDEX(Dati!$CJ$1:$CJ$1000,MATCH($A15,Dati!$A$1:$A$1000,0))&gt;0,Dati!$H$3&amp;": "&amp;INDEX(Dati!$H$1:$H$1000,MATCH($A15,Dati!$A$1:$A$1000,0))&amp;" · ","")&amp;IF(INDEX(Dati!$CK$1:$CK$1000,MATCH($A15,Dati!$A$1:$A$1000,0))&gt;0,Dati!$I$3&amp;": "&amp;INDEX(Dati!$I$1:$I$1000,MATCH($A15,Dati!$A$1:$A$1000,0))&amp;" · ","")&amp;IF(INDEX(Dati!$CL$1:$CL$1000,MATCH($A15,Dati!$A$1:$A$1000,0))&gt;0,Dati!$J$3&amp;": "&amp;INDEX(Dati!$J$1:$J$1000,MATCH($A15,Dati!$A$1:$A$1000,0))&amp;" · ",""),LEN(IF(INDEX(Dati!$CI$1:$CI$1000,MATCH($A15,Dati!$A$1:$A$1000,0))&gt;0,Dati!$G$3&amp;": "&amp;INDEX(Dati!$G$1:$G$1000,MATCH($A15,Dati!$A$1:$A$1000,0))&amp;" · ","")&amp;IF(INDEX(Dati!$CJ$1:$CJ$1000,MATCH($A15,Dati!$A$1:$A$1000,0))&gt;0,Dati!$H$3&amp;": "&amp;INDEX(Dati!$H$1:$H$1000,MATCH($A15,Dati!$A$1:$A$1000,0))&amp;" · ","")&amp;IF(INDEX(Dati!$CK$1:$CK$1000,MATCH($A15,Dati!$A$1:$A$1000,0))&gt;0,Dati!$I$3&amp;": "&amp;INDEX(Dati!$I$1:$I$1000,MATCH($A15,Dati!$A$1:$A$1000,0))&amp;" · ","")&amp;IF(INDEX(Dati!$CL$1:$CL$1000,MATCH($A15,Dati!$A$1:$A$1000,0))&gt;0,Dati!$J$3&amp;": "&amp;INDEX(Dati!$J$1:$J$1000,MATCH($A15,Dati!$A$1:$A$1000,0))&amp;" · ",""))-3)),""))</f>
        <v/>
      </c>
      <c r="E15" s="55" t="str">
        <f aca="false">IF($B15="","",IFERROR(IF((IF(INDEX(Dati!$CM$1:$CM$1000,MATCH($A15,Dati!$A$1:$A$1000,0))&gt;0,Dati!$K$3&amp;": "&amp;INDEX(Dati!$K$1:$K$1000,MATCH($A15,Dati!$A$1:$A$1000,0))&amp;" · ","")&amp;IF(INDEX(Dati!$CN$1:$CN$1000,MATCH($A15,Dati!$A$1:$A$1000,0))&gt;0,Dati!$L$3&amp;": "&amp;INDEX(Dati!$L$1:$L$1000,MATCH($A15,Dati!$A$1:$A$1000,0))&amp;" · ","")&amp;IF(INDEX(Dati!$CO$1:$CO$1000,MATCH($A15,Dati!$A$1:$A$1000,0))&gt;0,Dati!$M$3&amp;": "&amp;INDEX(Dati!$M$1:$M$1000,MATCH($A15,Dati!$A$1:$A$1000,0))&amp;" · ","")&amp;IF(INDEX(Dati!$CP$1:$CP$1000,MATCH($A15,Dati!$A$1:$A$1000,0))&gt;0,Dati!$N$3&amp;": "&amp;INDEX(Dati!$N$1:$N$1000,MATCH($A15,Dati!$A$1:$A$1000,0))&amp;" · ",""))="",IF(INDEX(Dati!$FI$1:$FI$1000,MATCH($A15,Dati!$A$1:$A$1000,0))=1,"AS da recuperare",""),LEFT(IF(INDEX(Dati!$CM$1:$CM$1000,MATCH($A15,Dati!$A$1:$A$1000,0))&gt;0,Dati!$K$3&amp;": "&amp;INDEX(Dati!$K$1:$K$1000,MATCH($A15,Dati!$A$1:$A$1000,0))&amp;" · ","")&amp;IF(INDEX(Dati!$CN$1:$CN$1000,MATCH($A15,Dati!$A$1:$A$1000,0))&gt;0,Dati!$L$3&amp;": "&amp;INDEX(Dati!$L$1:$L$1000,MATCH($A15,Dati!$A$1:$A$1000,0))&amp;" · ","")&amp;IF(INDEX(Dati!$CO$1:$CO$1000,MATCH($A15,Dati!$A$1:$A$1000,0))&gt;0,Dati!$M$3&amp;": "&amp;INDEX(Dati!$M$1:$M$1000,MATCH($A15,Dati!$A$1:$A$1000,0))&amp;" · ","")&amp;IF(INDEX(Dati!$CP$1:$CP$1000,MATCH($A15,Dati!$A$1:$A$1000,0))&gt;0,Dati!$N$3&amp;": "&amp;INDEX(Dati!$N$1:$N$1000,MATCH($A15,Dati!$A$1:$A$1000,0))&amp;" · ",""),LEN(IF(INDEX(Dati!$CM$1:$CM$1000,MATCH($A15,Dati!$A$1:$A$1000,0))&gt;0,Dati!$K$3&amp;": "&amp;INDEX(Dati!$K$1:$K$1000,MATCH($A15,Dati!$A$1:$A$1000,0))&amp;" · ","")&amp;IF(INDEX(Dati!$CN$1:$CN$1000,MATCH($A15,Dati!$A$1:$A$1000,0))&gt;0,Dati!$L$3&amp;": "&amp;INDEX(Dati!$L$1:$L$1000,MATCH($A15,Dati!$A$1:$A$1000,0))&amp;" · ","")&amp;IF(INDEX(Dati!$CO$1:$CO$1000,MATCH($A15,Dati!$A$1:$A$1000,0))&gt;0,Dati!$M$3&amp;": "&amp;INDEX(Dati!$M$1:$M$1000,MATCH($A15,Dati!$A$1:$A$1000,0))&amp;" · ","")&amp;IF(INDEX(Dati!$CP$1:$CP$1000,MATCH($A15,Dati!$A$1:$A$1000,0))&gt;0,Dati!$N$3&amp;": "&amp;INDEX(Dati!$N$1:$N$1000,MATCH($A15,Dati!$A$1:$A$1000,0))&amp;" · ",""))-3)),""))</f>
        <v/>
      </c>
      <c r="F15" s="55" t="str">
        <f aca="false">IF($B15="","",IFERROR(IF((IF(INDEX(Dati!$CQ$1:$CQ$1000,MATCH($A15,Dati!$A$1:$A$1000,0))&gt;0,Dati!$O$3&amp;": "&amp;INDEX(Dati!$O$1:$O$1000,MATCH($A15,Dati!$A$1:$A$1000,0))&amp;" · ","")&amp;IF(INDEX(Dati!$CR$1:$CR$1000,MATCH($A15,Dati!$A$1:$A$1000,0))&gt;0,Dati!$P$3&amp;": "&amp;INDEX(Dati!$P$1:$P$1000,MATCH($A15,Dati!$A$1:$A$1000,0))&amp;" · ","")&amp;IF(INDEX(Dati!$CS$1:$CS$1000,MATCH($A15,Dati!$A$1:$A$1000,0))&gt;0,Dati!$Q$3&amp;": "&amp;INDEX(Dati!$Q$1:$Q$1000,MATCH($A15,Dati!$A$1:$A$1000,0))&amp;" · ","")&amp;IF(INDEX(Dati!$CT$1:$CT$1000,MATCH($A15,Dati!$A$1:$A$1000,0))&gt;0,Dati!$R$3&amp;": "&amp;INDEX(Dati!$R$1:$R$1000,MATCH($A15,Dati!$A$1:$A$1000,0))&amp;" · ",""))="",IF(INDEX(Dati!$FJ$1:$FJ$1000,MATCH($A15,Dati!$A$1:$A$1000,0))=1,"AS da recuperare",""),LEFT(IF(INDEX(Dati!$CQ$1:$CQ$1000,MATCH($A15,Dati!$A$1:$A$1000,0))&gt;0,Dati!$O$3&amp;": "&amp;INDEX(Dati!$O$1:$O$1000,MATCH($A15,Dati!$A$1:$A$1000,0))&amp;" · ","")&amp;IF(INDEX(Dati!$CR$1:$CR$1000,MATCH($A15,Dati!$A$1:$A$1000,0))&gt;0,Dati!$P$3&amp;": "&amp;INDEX(Dati!$P$1:$P$1000,MATCH($A15,Dati!$A$1:$A$1000,0))&amp;" · ","")&amp;IF(INDEX(Dati!$CS$1:$CS$1000,MATCH($A15,Dati!$A$1:$A$1000,0))&gt;0,Dati!$Q$3&amp;": "&amp;INDEX(Dati!$Q$1:$Q$1000,MATCH($A15,Dati!$A$1:$A$1000,0))&amp;" · ","")&amp;IF(INDEX(Dati!$CT$1:$CT$1000,MATCH($A15,Dati!$A$1:$A$1000,0))&gt;0,Dati!$R$3&amp;": "&amp;INDEX(Dati!$R$1:$R$1000,MATCH($A15,Dati!$A$1:$A$1000,0))&amp;" · ",""),LEN(IF(INDEX(Dati!$CQ$1:$CQ$1000,MATCH($A15,Dati!$A$1:$A$1000,0))&gt;0,Dati!$O$3&amp;": "&amp;INDEX(Dati!$O$1:$O$1000,MATCH($A15,Dati!$A$1:$A$1000,0))&amp;" · ","")&amp;IF(INDEX(Dati!$CR$1:$CR$1000,MATCH($A15,Dati!$A$1:$A$1000,0))&gt;0,Dati!$P$3&amp;": "&amp;INDEX(Dati!$P$1:$P$1000,MATCH($A15,Dati!$A$1:$A$1000,0))&amp;" · ","")&amp;IF(INDEX(Dati!$CS$1:$CS$1000,MATCH($A15,Dati!$A$1:$A$1000,0))&gt;0,Dati!$Q$3&amp;": "&amp;INDEX(Dati!$Q$1:$Q$1000,MATCH($A15,Dati!$A$1:$A$1000,0))&amp;" · ","")&amp;IF(INDEX(Dati!$CT$1:$CT$1000,MATCH($A15,Dati!$A$1:$A$1000,0))&gt;0,Dati!$R$3&amp;": "&amp;INDEX(Dati!$R$1:$R$1000,MATCH($A15,Dati!$A$1:$A$1000,0))&amp;" · ",""))-3)),""))</f>
        <v/>
      </c>
      <c r="G15" s="55" t="str">
        <f aca="false">IF($B15="","",IFERROR(IF((IF(INDEX(Dati!$CU$1:$CU$1000,MATCH($A15,Dati!$A$1:$A$1000,0))&gt;0,Dati!$S$3&amp;": "&amp;INDEX(Dati!$S$1:$S$1000,MATCH($A15,Dati!$A$1:$A$1000,0))&amp;" · ","")&amp;IF(INDEX(Dati!$CV$1:$CV$1000,MATCH($A15,Dati!$A$1:$A$1000,0))&gt;0,Dati!$T$3&amp;": "&amp;INDEX(Dati!$T$1:$T$1000,MATCH($A15,Dati!$A$1:$A$1000,0))&amp;" · ","")&amp;IF(INDEX(Dati!$CW$1:$CW$1000,MATCH($A15,Dati!$A$1:$A$1000,0))&gt;0,Dati!$U$3&amp;": "&amp;INDEX(Dati!$U$1:$U$1000,MATCH($A15,Dati!$A$1:$A$1000,0))&amp;" · ","")&amp;IF(INDEX(Dati!$CX$1:$CX$1000,MATCH($A15,Dati!$A$1:$A$1000,0))&gt;0,Dati!$V$3&amp;": "&amp;INDEX(Dati!$V$1:$V$1000,MATCH($A15,Dati!$A$1:$A$1000,0))&amp;" · ",""))="",IF(INDEX(Dati!$FK$1:$FK$1000,MATCH($A15,Dati!$A$1:$A$1000,0))=1,"AS da recuperare",""),LEFT(IF(INDEX(Dati!$CU$1:$CU$1000,MATCH($A15,Dati!$A$1:$A$1000,0))&gt;0,Dati!$S$3&amp;": "&amp;INDEX(Dati!$S$1:$S$1000,MATCH($A15,Dati!$A$1:$A$1000,0))&amp;" · ","")&amp;IF(INDEX(Dati!$CV$1:$CV$1000,MATCH($A15,Dati!$A$1:$A$1000,0))&gt;0,Dati!$T$3&amp;": "&amp;INDEX(Dati!$T$1:$T$1000,MATCH($A15,Dati!$A$1:$A$1000,0))&amp;" · ","")&amp;IF(INDEX(Dati!$CW$1:$CW$1000,MATCH($A15,Dati!$A$1:$A$1000,0))&gt;0,Dati!$U$3&amp;": "&amp;INDEX(Dati!$U$1:$U$1000,MATCH($A15,Dati!$A$1:$A$1000,0))&amp;" · ","")&amp;IF(INDEX(Dati!$CX$1:$CX$1000,MATCH($A15,Dati!$A$1:$A$1000,0))&gt;0,Dati!$V$3&amp;": "&amp;INDEX(Dati!$V$1:$V$1000,MATCH($A15,Dati!$A$1:$A$1000,0))&amp;" · ",""),LEN(IF(INDEX(Dati!$CU$1:$CU$1000,MATCH($A15,Dati!$A$1:$A$1000,0))&gt;0,Dati!$S$3&amp;": "&amp;INDEX(Dati!$S$1:$S$1000,MATCH($A15,Dati!$A$1:$A$1000,0))&amp;" · ","")&amp;IF(INDEX(Dati!$CV$1:$CV$1000,MATCH($A15,Dati!$A$1:$A$1000,0))&gt;0,Dati!$T$3&amp;": "&amp;INDEX(Dati!$T$1:$T$1000,MATCH($A15,Dati!$A$1:$A$1000,0))&amp;" · ","")&amp;IF(INDEX(Dati!$CW$1:$CW$1000,MATCH($A15,Dati!$A$1:$A$1000,0))&gt;0,Dati!$U$3&amp;": "&amp;INDEX(Dati!$U$1:$U$1000,MATCH($A15,Dati!$A$1:$A$1000,0))&amp;" · ","")&amp;IF(INDEX(Dati!$CX$1:$CX$1000,MATCH($A15,Dati!$A$1:$A$1000,0))&gt;0,Dati!$V$3&amp;": "&amp;INDEX(Dati!$V$1:$V$1000,MATCH($A15,Dati!$A$1:$A$1000,0))&amp;" · ",""))-3)),""))</f>
        <v/>
      </c>
      <c r="H15" s="55" t="str">
        <f aca="false">IF($B15="","",IFERROR(IF((IF(INDEX(Dati!$CY$1:$CY$1000,MATCH($A15,Dati!$A$1:$A$1000,0))&gt;0,Dati!$W$3&amp;": "&amp;INDEX(Dati!$W$1:$W$1000,MATCH($A15,Dati!$A$1:$A$1000,0))&amp;" · ","")&amp;IF(INDEX(Dati!$CZ$1:$CZ$1000,MATCH($A15,Dati!$A$1:$A$1000,0))&gt;0,Dati!$X$3&amp;": "&amp;INDEX(Dati!$X$1:$X$1000,MATCH($A15,Dati!$A$1:$A$1000,0))&amp;" · ","")&amp;IF(INDEX(Dati!$DA$1:$DA$1000,MATCH($A15,Dati!$A$1:$A$1000,0))&gt;0,Dati!$Y$3&amp;": "&amp;INDEX(Dati!$Y$1:$Y$1000,MATCH($A15,Dati!$A$1:$A$1000,0))&amp;" · ","")&amp;IF(INDEX(Dati!$DB$1:$DB$1000,MATCH($A15,Dati!$A$1:$A$1000,0))&gt;0,Dati!$Z$3&amp;": "&amp;INDEX(Dati!$Z$1:$Z$1000,MATCH($A15,Dati!$A$1:$A$1000,0))&amp;" · ",""))="",IF(INDEX(Dati!$FL$1:$FL$1000,MATCH($A15,Dati!$A$1:$A$1000,0))=1,"AS da recuperare",""),LEFT(IF(INDEX(Dati!$CY$1:$CY$1000,MATCH($A15,Dati!$A$1:$A$1000,0))&gt;0,Dati!$W$3&amp;": "&amp;INDEX(Dati!$W$1:$W$1000,MATCH($A15,Dati!$A$1:$A$1000,0))&amp;" · ","")&amp;IF(INDEX(Dati!$CZ$1:$CZ$1000,MATCH($A15,Dati!$A$1:$A$1000,0))&gt;0,Dati!$X$3&amp;": "&amp;INDEX(Dati!$X$1:$X$1000,MATCH($A15,Dati!$A$1:$A$1000,0))&amp;" · ","")&amp;IF(INDEX(Dati!$DA$1:$DA$1000,MATCH($A15,Dati!$A$1:$A$1000,0))&gt;0,Dati!$Y$3&amp;": "&amp;INDEX(Dati!$Y$1:$Y$1000,MATCH($A15,Dati!$A$1:$A$1000,0))&amp;" · ","")&amp;IF(INDEX(Dati!$DB$1:$DB$1000,MATCH($A15,Dati!$A$1:$A$1000,0))&gt;0,Dati!$Z$3&amp;": "&amp;INDEX(Dati!$Z$1:$Z$1000,MATCH($A15,Dati!$A$1:$A$1000,0))&amp;" · ",""),LEN(IF(INDEX(Dati!$CY$1:$CY$1000,MATCH($A15,Dati!$A$1:$A$1000,0))&gt;0,Dati!$W$3&amp;": "&amp;INDEX(Dati!$W$1:$W$1000,MATCH($A15,Dati!$A$1:$A$1000,0))&amp;" · ","")&amp;IF(INDEX(Dati!$CZ$1:$CZ$1000,MATCH($A15,Dati!$A$1:$A$1000,0))&gt;0,Dati!$X$3&amp;": "&amp;INDEX(Dati!$X$1:$X$1000,MATCH($A15,Dati!$A$1:$A$1000,0))&amp;" · ","")&amp;IF(INDEX(Dati!$DA$1:$DA$1000,MATCH($A15,Dati!$A$1:$A$1000,0))&gt;0,Dati!$Y$3&amp;": "&amp;INDEX(Dati!$Y$1:$Y$1000,MATCH($A15,Dati!$A$1:$A$1000,0))&amp;" · ","")&amp;IF(INDEX(Dati!$DB$1:$DB$1000,MATCH($A15,Dati!$A$1:$A$1000,0))&gt;0,Dati!$Z$3&amp;": "&amp;INDEX(Dati!$Z$1:$Z$1000,MATCH($A15,Dati!$A$1:$A$1000,0))&amp;" · ",""))-3)),""))</f>
        <v/>
      </c>
      <c r="I15" s="55" t="str">
        <f aca="false">IF($B15="","",IFERROR(IF((IF(INDEX(Dati!$DC$1:$DC$1000,MATCH($A15,Dati!$A$1:$A$1000,0))&gt;0,Dati!$AA$3&amp;": "&amp;INDEX(Dati!$AA$1:$AA$1000,MATCH($A15,Dati!$A$1:$A$1000,0))&amp;" · ","")&amp;IF(INDEX(Dati!$DD$1:$DD$1000,MATCH($A15,Dati!$A$1:$A$1000,0))&gt;0,Dati!$AB$3&amp;": "&amp;INDEX(Dati!$AB$1:$AB$1000,MATCH($A15,Dati!$A$1:$A$1000,0))&amp;" · ","")&amp;IF(INDEX(Dati!$DE$1:$DE$1000,MATCH($A15,Dati!$A$1:$A$1000,0))&gt;0,Dati!$AC$3&amp;": "&amp;INDEX(Dati!$AC$1:$AC$1000,MATCH($A15,Dati!$A$1:$A$1000,0))&amp;" · ","")&amp;IF(INDEX(Dati!$DF$1:$DF$1000,MATCH($A15,Dati!$A$1:$A$1000,0))&gt;0,Dati!$AD$3&amp;": "&amp;INDEX(Dati!$AD$1:$AD$1000,MATCH($A15,Dati!$A$1:$A$1000,0))&amp;" · ",""))="",IF(INDEX(Dati!$FM$1:$FM$1000,MATCH($A15,Dati!$A$1:$A$1000,0))=1,"AS da recuperare",""),LEFT(IF(INDEX(Dati!$DC$1:$DC$1000,MATCH($A15,Dati!$A$1:$A$1000,0))&gt;0,Dati!$AA$3&amp;": "&amp;INDEX(Dati!$AA$1:$AA$1000,MATCH($A15,Dati!$A$1:$A$1000,0))&amp;" · ","")&amp;IF(INDEX(Dati!$DD$1:$DD$1000,MATCH($A15,Dati!$A$1:$A$1000,0))&gt;0,Dati!$AB$3&amp;": "&amp;INDEX(Dati!$AB$1:$AB$1000,MATCH($A15,Dati!$A$1:$A$1000,0))&amp;" · ","")&amp;IF(INDEX(Dati!$DE$1:$DE$1000,MATCH($A15,Dati!$A$1:$A$1000,0))&gt;0,Dati!$AC$3&amp;": "&amp;INDEX(Dati!$AC$1:$AC$1000,MATCH($A15,Dati!$A$1:$A$1000,0))&amp;" · ","")&amp;IF(INDEX(Dati!$DF$1:$DF$1000,MATCH($A15,Dati!$A$1:$A$1000,0))&gt;0,Dati!$AD$3&amp;": "&amp;INDEX(Dati!$AD$1:$AD$1000,MATCH($A15,Dati!$A$1:$A$1000,0))&amp;" · ",""),LEN(IF(INDEX(Dati!$DC$1:$DC$1000,MATCH($A15,Dati!$A$1:$A$1000,0))&gt;0,Dati!$AA$3&amp;": "&amp;INDEX(Dati!$AA$1:$AA$1000,MATCH($A15,Dati!$A$1:$A$1000,0))&amp;" · ","")&amp;IF(INDEX(Dati!$DD$1:$DD$1000,MATCH($A15,Dati!$A$1:$A$1000,0))&gt;0,Dati!$AB$3&amp;": "&amp;INDEX(Dati!$AB$1:$AB$1000,MATCH($A15,Dati!$A$1:$A$1000,0))&amp;" · ","")&amp;IF(INDEX(Dati!$DE$1:$DE$1000,MATCH($A15,Dati!$A$1:$A$1000,0))&gt;0,Dati!$AC$3&amp;": "&amp;INDEX(Dati!$AC$1:$AC$1000,MATCH($A15,Dati!$A$1:$A$1000,0))&amp;" · ","")&amp;IF(INDEX(Dati!$DF$1:$DF$1000,MATCH($A15,Dati!$A$1:$A$1000,0))&gt;0,Dati!$AD$3&amp;": "&amp;INDEX(Dati!$AD$1:$AD$1000,MATCH($A15,Dati!$A$1:$A$1000,0))&amp;" · ",""))-3)),""))</f>
        <v/>
      </c>
      <c r="J15" s="55" t="str">
        <f aca="false">IF($B15="","",IFERROR(IF((IF(INDEX(Dati!$DG$1:$DG$1000,MATCH($A15,Dati!$A$1:$A$1000,0))&gt;0,Dati!$AE$3&amp;": "&amp;INDEX(Dati!$AE$1:$AE$1000,MATCH($A15,Dati!$A$1:$A$1000,0))&amp;" · ","")&amp;IF(INDEX(Dati!$DH$1:$DH$1000,MATCH($A15,Dati!$A$1:$A$1000,0))&gt;0,Dati!$AF$3&amp;": "&amp;INDEX(Dati!$AF$1:$AF$1000,MATCH($A15,Dati!$A$1:$A$1000,0))&amp;" · ","")&amp;IF(INDEX(Dati!$DI$1:$DI$1000,MATCH($A15,Dati!$A$1:$A$1000,0))&gt;0,Dati!$AG$3&amp;": "&amp;INDEX(Dati!$AG$1:$AG$1000,MATCH($A15,Dati!$A$1:$A$1000,0))&amp;" · ","")&amp;IF(INDEX(Dati!$DJ$1:$DJ$1000,MATCH($A15,Dati!$A$1:$A$1000,0))&gt;0,Dati!$AH$3&amp;": "&amp;INDEX(Dati!$AH$1:$AH$1000,MATCH($A15,Dati!$A$1:$A$1000,0))&amp;" · ",""))="",IF(INDEX(Dati!$FN$1:$FN$1000,MATCH($A15,Dati!$A$1:$A$1000,0))=1,"AS da recuperare",""),LEFT(IF(INDEX(Dati!$DG$1:$DG$1000,MATCH($A15,Dati!$A$1:$A$1000,0))&gt;0,Dati!$AE$3&amp;": "&amp;INDEX(Dati!$AE$1:$AE$1000,MATCH($A15,Dati!$A$1:$A$1000,0))&amp;" · ","")&amp;IF(INDEX(Dati!$DH$1:$DH$1000,MATCH($A15,Dati!$A$1:$A$1000,0))&gt;0,Dati!$AF$3&amp;": "&amp;INDEX(Dati!$AF$1:$AF$1000,MATCH($A15,Dati!$A$1:$A$1000,0))&amp;" · ","")&amp;IF(INDEX(Dati!$DI$1:$DI$1000,MATCH($A15,Dati!$A$1:$A$1000,0))&gt;0,Dati!$AG$3&amp;": "&amp;INDEX(Dati!$AG$1:$AG$1000,MATCH($A15,Dati!$A$1:$A$1000,0))&amp;" · ","")&amp;IF(INDEX(Dati!$DJ$1:$DJ$1000,MATCH($A15,Dati!$A$1:$A$1000,0))&gt;0,Dati!$AH$3&amp;": "&amp;INDEX(Dati!$AH$1:$AH$1000,MATCH($A15,Dati!$A$1:$A$1000,0))&amp;" · ",""),LEN(IF(INDEX(Dati!$DG$1:$DG$1000,MATCH($A15,Dati!$A$1:$A$1000,0))&gt;0,Dati!$AE$3&amp;": "&amp;INDEX(Dati!$AE$1:$AE$1000,MATCH($A15,Dati!$A$1:$A$1000,0))&amp;" · ","")&amp;IF(INDEX(Dati!$DH$1:$DH$1000,MATCH($A15,Dati!$A$1:$A$1000,0))&gt;0,Dati!$AF$3&amp;": "&amp;INDEX(Dati!$AF$1:$AF$1000,MATCH($A15,Dati!$A$1:$A$1000,0))&amp;" · ","")&amp;IF(INDEX(Dati!$DI$1:$DI$1000,MATCH($A15,Dati!$A$1:$A$1000,0))&gt;0,Dati!$AG$3&amp;": "&amp;INDEX(Dati!$AG$1:$AG$1000,MATCH($A15,Dati!$A$1:$A$1000,0))&amp;" · ","")&amp;IF(INDEX(Dati!$DJ$1:$DJ$1000,MATCH($A15,Dati!$A$1:$A$1000,0))&gt;0,Dati!$AH$3&amp;": "&amp;INDEX(Dati!$AH$1:$AH$1000,MATCH($A15,Dati!$A$1:$A$1000,0))&amp;" · ",""))-3)),""))</f>
        <v/>
      </c>
      <c r="K15" s="55" t="str">
        <f aca="false">IF($B15="","",IFERROR(IF((IF(INDEX(Dati!$DK$1:$DK$1000,MATCH($A15,Dati!$A$1:$A$1000,0))&gt;0,Dati!$AI$3&amp;": "&amp;INDEX(Dati!$AI$1:$AI$1000,MATCH($A15,Dati!$A$1:$A$1000,0))&amp;" · ","")&amp;IF(INDEX(Dati!$DL$1:$DL$1000,MATCH($A15,Dati!$A$1:$A$1000,0))&gt;0,Dati!$AJ$3&amp;": "&amp;INDEX(Dati!$AJ$1:$AJ$1000,MATCH($A15,Dati!$A$1:$A$1000,0))&amp;" · ","")&amp;IF(INDEX(Dati!$DM$1:$DM$1000,MATCH($A15,Dati!$A$1:$A$1000,0))&gt;0,Dati!$AK$3&amp;": "&amp;INDEX(Dati!$AK$1:$AK$1000,MATCH($A15,Dati!$A$1:$A$1000,0))&amp;" · ","")&amp;IF(INDEX(Dati!$DN$1:$DN$1000,MATCH($A15,Dati!$A$1:$A$1000,0))&gt;0,Dati!$AL$3&amp;": "&amp;INDEX(Dati!$AL$1:$AL$1000,MATCH($A15,Dati!$A$1:$A$1000,0))&amp;" · ",""))="",IF(INDEX(Dati!$FO$1:$FO$1000,MATCH($A15,Dati!$A$1:$A$1000,0))=1,"AS da recuperare",""),LEFT(IF(INDEX(Dati!$DK$1:$DK$1000,MATCH($A15,Dati!$A$1:$A$1000,0))&gt;0,Dati!$AI$3&amp;": "&amp;INDEX(Dati!$AI$1:$AI$1000,MATCH($A15,Dati!$A$1:$A$1000,0))&amp;" · ","")&amp;IF(INDEX(Dati!$DL$1:$DL$1000,MATCH($A15,Dati!$A$1:$A$1000,0))&gt;0,Dati!$AJ$3&amp;": "&amp;INDEX(Dati!$AJ$1:$AJ$1000,MATCH($A15,Dati!$A$1:$A$1000,0))&amp;" · ","")&amp;IF(INDEX(Dati!$DM$1:$DM$1000,MATCH($A15,Dati!$A$1:$A$1000,0))&gt;0,Dati!$AK$3&amp;": "&amp;INDEX(Dati!$AK$1:$AK$1000,MATCH($A15,Dati!$A$1:$A$1000,0))&amp;" · ","")&amp;IF(INDEX(Dati!$DN$1:$DN$1000,MATCH($A15,Dati!$A$1:$A$1000,0))&gt;0,Dati!$AL$3&amp;": "&amp;INDEX(Dati!$AL$1:$AL$1000,MATCH($A15,Dati!$A$1:$A$1000,0))&amp;" · ",""),LEN(IF(INDEX(Dati!$DK$1:$DK$1000,MATCH($A15,Dati!$A$1:$A$1000,0))&gt;0,Dati!$AI$3&amp;": "&amp;INDEX(Dati!$AI$1:$AI$1000,MATCH($A15,Dati!$A$1:$A$1000,0))&amp;" · ","")&amp;IF(INDEX(Dati!$DL$1:$DL$1000,MATCH($A15,Dati!$A$1:$A$1000,0))&gt;0,Dati!$AJ$3&amp;": "&amp;INDEX(Dati!$AJ$1:$AJ$1000,MATCH($A15,Dati!$A$1:$A$1000,0))&amp;" · ","")&amp;IF(INDEX(Dati!$DM$1:$DM$1000,MATCH($A15,Dati!$A$1:$A$1000,0))&gt;0,Dati!$AK$3&amp;": "&amp;INDEX(Dati!$AK$1:$AK$1000,MATCH($A15,Dati!$A$1:$A$1000,0))&amp;" · ","")&amp;IF(INDEX(Dati!$DN$1:$DN$1000,MATCH($A15,Dati!$A$1:$A$1000,0))&gt;0,Dati!$AL$3&amp;": "&amp;INDEX(Dati!$AL$1:$AL$1000,MATCH($A15,Dati!$A$1:$A$1000,0))&amp;" · ",""))-3)),""))</f>
        <v/>
      </c>
      <c r="L15" s="55" t="str">
        <f aca="false">IF($B15="","",IFERROR(IF((IF(INDEX(Dati!$DO$1:$DO$1000,MATCH($A15,Dati!$A$1:$A$1000,0))&gt;0,Dati!$AM$3&amp;": "&amp;INDEX(Dati!$AM$1:$AM$1000,MATCH($A15,Dati!$A$1:$A$1000,0))&amp;" · ","")&amp;IF(INDEX(Dati!$DP$1:$DP$1000,MATCH($A15,Dati!$A$1:$A$1000,0))&gt;0,Dati!$AN$3&amp;": "&amp;INDEX(Dati!$AN$1:$AN$1000,MATCH($A15,Dati!$A$1:$A$1000,0))&amp;" · ","")&amp;IF(INDEX(Dati!$DQ$1:$DQ$1000,MATCH($A15,Dati!$A$1:$A$1000,0))&gt;0,Dati!$AO$3&amp;": "&amp;INDEX(Dati!$AO$1:$AO$1000,MATCH($A15,Dati!$A$1:$A$1000,0))&amp;" · ","")&amp;IF(INDEX(Dati!$DR$1:$DR$1000,MATCH($A15,Dati!$A$1:$A$1000,0))&gt;0,Dati!$AP$3&amp;": "&amp;INDEX(Dati!$AP$1:$AP$1000,MATCH($A15,Dati!$A$1:$A$1000,0))&amp;" · ",""))="",IF(INDEX(Dati!$FP$1:$FP$1000,MATCH($A15,Dati!$A$1:$A$1000,0))=1,"AS da recuperare",""),LEFT(IF(INDEX(Dati!$DO$1:$DO$1000,MATCH($A15,Dati!$A$1:$A$1000,0))&gt;0,Dati!$AM$3&amp;": "&amp;INDEX(Dati!$AM$1:$AM$1000,MATCH($A15,Dati!$A$1:$A$1000,0))&amp;" · ","")&amp;IF(INDEX(Dati!$DP$1:$DP$1000,MATCH($A15,Dati!$A$1:$A$1000,0))&gt;0,Dati!$AN$3&amp;": "&amp;INDEX(Dati!$AN$1:$AN$1000,MATCH($A15,Dati!$A$1:$A$1000,0))&amp;" · ","")&amp;IF(INDEX(Dati!$DQ$1:$DQ$1000,MATCH($A15,Dati!$A$1:$A$1000,0))&gt;0,Dati!$AO$3&amp;": "&amp;INDEX(Dati!$AO$1:$AO$1000,MATCH($A15,Dati!$A$1:$A$1000,0))&amp;" · ","")&amp;IF(INDEX(Dati!$DR$1:$DR$1000,MATCH($A15,Dati!$A$1:$A$1000,0))&gt;0,Dati!$AP$3&amp;": "&amp;INDEX(Dati!$AP$1:$AP$1000,MATCH($A15,Dati!$A$1:$A$1000,0))&amp;" · ",""),LEN(IF(INDEX(Dati!$DO$1:$DO$1000,MATCH($A15,Dati!$A$1:$A$1000,0))&gt;0,Dati!$AM$3&amp;": "&amp;INDEX(Dati!$AM$1:$AM$1000,MATCH($A15,Dati!$A$1:$A$1000,0))&amp;" · ","")&amp;IF(INDEX(Dati!$DP$1:$DP$1000,MATCH($A15,Dati!$A$1:$A$1000,0))&gt;0,Dati!$AN$3&amp;": "&amp;INDEX(Dati!$AN$1:$AN$1000,MATCH($A15,Dati!$A$1:$A$1000,0))&amp;" · ","")&amp;IF(INDEX(Dati!$DQ$1:$DQ$1000,MATCH($A15,Dati!$A$1:$A$1000,0))&gt;0,Dati!$AO$3&amp;": "&amp;INDEX(Dati!$AO$1:$AO$1000,MATCH($A15,Dati!$A$1:$A$1000,0))&amp;" · ","")&amp;IF(INDEX(Dati!$DR$1:$DR$1000,MATCH($A15,Dati!$A$1:$A$1000,0))&gt;0,Dati!$AP$3&amp;": "&amp;INDEX(Dati!$AP$1:$AP$1000,MATCH($A15,Dati!$A$1:$A$1000,0))&amp;" · ",""))-3)),""))</f>
        <v/>
      </c>
      <c r="M15" s="55" t="str">
        <f aca="false">IF($B15="","",IFERROR(IF((IF(INDEX(Dati!$DS$1:$DS$1000,MATCH($A15,Dati!$A$1:$A$1000,0))&gt;0,Dati!$AQ$3&amp;": "&amp;INDEX(Dati!$AQ$1:$AQ$1000,MATCH($A15,Dati!$A$1:$A$1000,0))&amp;" · ","")&amp;IF(INDEX(Dati!$DT$1:$DT$1000,MATCH($A15,Dati!$A$1:$A$1000,0))&gt;0,Dati!$AR$3&amp;": "&amp;INDEX(Dati!$AR$1:$AR$1000,MATCH($A15,Dati!$A$1:$A$1000,0))&amp;" · ","")&amp;IF(INDEX(Dati!$DU$1:$DU$1000,MATCH($A15,Dati!$A$1:$A$1000,0))&gt;0,Dati!$AS$3&amp;": "&amp;INDEX(Dati!$AS$1:$AS$1000,MATCH($A15,Dati!$A$1:$A$1000,0))&amp;" · ","")&amp;IF(INDEX(Dati!$DV$1:$DV$1000,MATCH($A15,Dati!$A$1:$A$1000,0))&gt;0,Dati!$AT$3&amp;": "&amp;INDEX(Dati!$AT$1:$AT$1000,MATCH($A15,Dati!$A$1:$A$1000,0))&amp;" · ",""))="",IF(INDEX(Dati!$FQ$1:$FQ$1000,MATCH($A15,Dati!$A$1:$A$1000,0))=1,"AS da recuperare",""),LEFT(IF(INDEX(Dati!$DS$1:$DS$1000,MATCH($A15,Dati!$A$1:$A$1000,0))&gt;0,Dati!$AQ$3&amp;": "&amp;INDEX(Dati!$AQ$1:$AQ$1000,MATCH($A15,Dati!$A$1:$A$1000,0))&amp;" · ","")&amp;IF(INDEX(Dati!$DT$1:$DT$1000,MATCH($A15,Dati!$A$1:$A$1000,0))&gt;0,Dati!$AR$3&amp;": "&amp;INDEX(Dati!$AR$1:$AR$1000,MATCH($A15,Dati!$A$1:$A$1000,0))&amp;" · ","")&amp;IF(INDEX(Dati!$DU$1:$DU$1000,MATCH($A15,Dati!$A$1:$A$1000,0))&gt;0,Dati!$AS$3&amp;": "&amp;INDEX(Dati!$AS$1:$AS$1000,MATCH($A15,Dati!$A$1:$A$1000,0))&amp;" · ","")&amp;IF(INDEX(Dati!$DV$1:$DV$1000,MATCH($A15,Dati!$A$1:$A$1000,0))&gt;0,Dati!$AT$3&amp;": "&amp;INDEX(Dati!$AT$1:$AT$1000,MATCH($A15,Dati!$A$1:$A$1000,0))&amp;" · ",""),LEN(IF(INDEX(Dati!$DS$1:$DS$1000,MATCH($A15,Dati!$A$1:$A$1000,0))&gt;0,Dati!$AQ$3&amp;": "&amp;INDEX(Dati!$AQ$1:$AQ$1000,MATCH($A15,Dati!$A$1:$A$1000,0))&amp;" · ","")&amp;IF(INDEX(Dati!$DT$1:$DT$1000,MATCH($A15,Dati!$A$1:$A$1000,0))&gt;0,Dati!$AR$3&amp;": "&amp;INDEX(Dati!$AR$1:$AR$1000,MATCH($A15,Dati!$A$1:$A$1000,0))&amp;" · ","")&amp;IF(INDEX(Dati!$DU$1:$DU$1000,MATCH($A15,Dati!$A$1:$A$1000,0))&gt;0,Dati!$AS$3&amp;": "&amp;INDEX(Dati!$AS$1:$AS$1000,MATCH($A15,Dati!$A$1:$A$1000,0))&amp;" · ","")&amp;IF(INDEX(Dati!$DV$1:$DV$1000,MATCH($A15,Dati!$A$1:$A$1000,0))&gt;0,Dati!$AT$3&amp;": "&amp;INDEX(Dati!$AT$1:$AT$1000,MATCH($A15,Dati!$A$1:$A$1000,0))&amp;" · ",""))-3)),""))</f>
        <v/>
      </c>
      <c r="N15" s="55" t="str">
        <f aca="false">IF($B15="","",IFERROR(IF((IF(INDEX(Dati!$DW$1:$DW$1000,MATCH($A15,Dati!$A$1:$A$1000,0))&gt;0,Dati!$AU$3&amp;": "&amp;INDEX(Dati!$AU$1:$AU$1000,MATCH($A15,Dati!$A$1:$A$1000,0))&amp;" · ","")&amp;IF(INDEX(Dati!$DX$1:$DX$1000,MATCH($A15,Dati!$A$1:$A$1000,0))&gt;0,Dati!$AV$3&amp;": "&amp;INDEX(Dati!$AV$1:$AV$1000,MATCH($A15,Dati!$A$1:$A$1000,0))&amp;" · ","")&amp;IF(INDEX(Dati!$DY$1:$DY$1000,MATCH($A15,Dati!$A$1:$A$1000,0))&gt;0,Dati!$AW$3&amp;": "&amp;INDEX(Dati!$AW$1:$AW$1000,MATCH($A15,Dati!$A$1:$A$1000,0))&amp;" · ","")&amp;IF(INDEX(Dati!$DZ$1:$DZ$1000,MATCH($A15,Dati!$A$1:$A$1000,0))&gt;0,Dati!$AX$3&amp;": "&amp;INDEX(Dati!$AX$1:$AX$1000,MATCH($A15,Dati!$A$1:$A$1000,0))&amp;" · ",""))="",IF(INDEX(Dati!$FR$1:$FR$1000,MATCH($A15,Dati!$A$1:$A$1000,0))=1,"AS da recuperare",""),LEFT(IF(INDEX(Dati!$DW$1:$DW$1000,MATCH($A15,Dati!$A$1:$A$1000,0))&gt;0,Dati!$AU$3&amp;": "&amp;INDEX(Dati!$AU$1:$AU$1000,MATCH($A15,Dati!$A$1:$A$1000,0))&amp;" · ","")&amp;IF(INDEX(Dati!$DX$1:$DX$1000,MATCH($A15,Dati!$A$1:$A$1000,0))&gt;0,Dati!$AV$3&amp;": "&amp;INDEX(Dati!$AV$1:$AV$1000,MATCH($A15,Dati!$A$1:$A$1000,0))&amp;" · ","")&amp;IF(INDEX(Dati!$DY$1:$DY$1000,MATCH($A15,Dati!$A$1:$A$1000,0))&gt;0,Dati!$AW$3&amp;": "&amp;INDEX(Dati!$AW$1:$AW$1000,MATCH($A15,Dati!$A$1:$A$1000,0))&amp;" · ","")&amp;IF(INDEX(Dati!$DZ$1:$DZ$1000,MATCH($A15,Dati!$A$1:$A$1000,0))&gt;0,Dati!$AX$3&amp;": "&amp;INDEX(Dati!$AX$1:$AX$1000,MATCH($A15,Dati!$A$1:$A$1000,0))&amp;" · ",""),LEN(IF(INDEX(Dati!$DW$1:$DW$1000,MATCH($A15,Dati!$A$1:$A$1000,0))&gt;0,Dati!$AU$3&amp;": "&amp;INDEX(Dati!$AU$1:$AU$1000,MATCH($A15,Dati!$A$1:$A$1000,0))&amp;" · ","")&amp;IF(INDEX(Dati!$DX$1:$DX$1000,MATCH($A15,Dati!$A$1:$A$1000,0))&gt;0,Dati!$AV$3&amp;": "&amp;INDEX(Dati!$AV$1:$AV$1000,MATCH($A15,Dati!$A$1:$A$1000,0))&amp;" · ","")&amp;IF(INDEX(Dati!$DY$1:$DY$1000,MATCH($A15,Dati!$A$1:$A$1000,0))&gt;0,Dati!$AW$3&amp;": "&amp;INDEX(Dati!$AW$1:$AW$1000,MATCH($A15,Dati!$A$1:$A$1000,0))&amp;" · ","")&amp;IF(INDEX(Dati!$DZ$1:$DZ$1000,MATCH($A15,Dati!$A$1:$A$1000,0))&gt;0,Dati!$AX$3&amp;": "&amp;INDEX(Dati!$AX$1:$AX$1000,MATCH($A15,Dati!$A$1:$A$1000,0))&amp;" · ",""))-3)),""))</f>
        <v/>
      </c>
      <c r="O15" s="55" t="str">
        <f aca="false">IF($B15="","",IFERROR(IF((IF(INDEX(Dati!$EA$1:$EA$1000,MATCH($A15,Dati!$A$1:$A$1000,0))&gt;0,Dati!$AY$3&amp;": "&amp;INDEX(Dati!$AY$1:$AY$1000,MATCH($A15,Dati!$A$1:$A$1000,0))&amp;" · ","")&amp;IF(INDEX(Dati!$EB$1:$EB$1000,MATCH($A15,Dati!$A$1:$A$1000,0))&gt;0,Dati!$AZ$3&amp;": "&amp;INDEX(Dati!$AZ$1:$AZ$1000,MATCH($A15,Dati!$A$1:$A$1000,0))&amp;" · ","")&amp;IF(INDEX(Dati!$EC$1:$EC$1000,MATCH($A15,Dati!$A$1:$A$1000,0))&gt;0,Dati!$BA$3&amp;": "&amp;INDEX(Dati!$BA$1:$BA$1000,MATCH($A15,Dati!$A$1:$A$1000,0))&amp;" · ","")&amp;IF(INDEX(Dati!$ED$1:$ED$1000,MATCH($A15,Dati!$A$1:$A$1000,0))&gt;0,Dati!$BB$3&amp;": "&amp;INDEX(Dati!$BB$1:$BB$1000,MATCH($A15,Dati!$A$1:$A$1000,0))&amp;" · ",""))="",IF(INDEX(Dati!$FS$1:$FS$1000,MATCH($A15,Dati!$A$1:$A$1000,0))=1,"AS da recuperare",""),LEFT(IF(INDEX(Dati!$EA$1:$EA$1000,MATCH($A15,Dati!$A$1:$A$1000,0))&gt;0,Dati!$AY$3&amp;": "&amp;INDEX(Dati!$AY$1:$AY$1000,MATCH($A15,Dati!$A$1:$A$1000,0))&amp;" · ","")&amp;IF(INDEX(Dati!$EB$1:$EB$1000,MATCH($A15,Dati!$A$1:$A$1000,0))&gt;0,Dati!$AZ$3&amp;": "&amp;INDEX(Dati!$AZ$1:$AZ$1000,MATCH($A15,Dati!$A$1:$A$1000,0))&amp;" · ","")&amp;IF(INDEX(Dati!$EC$1:$EC$1000,MATCH($A15,Dati!$A$1:$A$1000,0))&gt;0,Dati!$BA$3&amp;": "&amp;INDEX(Dati!$BA$1:$BA$1000,MATCH($A15,Dati!$A$1:$A$1000,0))&amp;" · ","")&amp;IF(INDEX(Dati!$ED$1:$ED$1000,MATCH($A15,Dati!$A$1:$A$1000,0))&gt;0,Dati!$BB$3&amp;": "&amp;INDEX(Dati!$BB$1:$BB$1000,MATCH($A15,Dati!$A$1:$A$1000,0))&amp;" · ",""),LEN(IF(INDEX(Dati!$EA$1:$EA$1000,MATCH($A15,Dati!$A$1:$A$1000,0))&gt;0,Dati!$AY$3&amp;": "&amp;INDEX(Dati!$AY$1:$AY$1000,MATCH($A15,Dati!$A$1:$A$1000,0))&amp;" · ","")&amp;IF(INDEX(Dati!$EB$1:$EB$1000,MATCH($A15,Dati!$A$1:$A$1000,0))&gt;0,Dati!$AZ$3&amp;": "&amp;INDEX(Dati!$AZ$1:$AZ$1000,MATCH($A15,Dati!$A$1:$A$1000,0))&amp;" · ","")&amp;IF(INDEX(Dati!$EC$1:$EC$1000,MATCH($A15,Dati!$A$1:$A$1000,0))&gt;0,Dati!$BA$3&amp;": "&amp;INDEX(Dati!$BA$1:$BA$1000,MATCH($A15,Dati!$A$1:$A$1000,0))&amp;" · ","")&amp;IF(INDEX(Dati!$ED$1:$ED$1000,MATCH($A15,Dati!$A$1:$A$1000,0))&gt;0,Dati!$BB$3&amp;": "&amp;INDEX(Dati!$BB$1:$BB$1000,MATCH($A15,Dati!$A$1:$A$1000,0))&amp;" · ",""))-3)),""))</f>
        <v/>
      </c>
      <c r="P15" s="55" t="str">
        <f aca="false">IF($B15="","",IFERROR(IF((IF(INDEX(Dati!$EE$1:$EE$1000,MATCH($A15,Dati!$A$1:$A$1000,0))&gt;0,Dati!$BC$3&amp;": "&amp;INDEX(Dati!$BC$1:$BC$1000,MATCH($A15,Dati!$A$1:$A$1000,0))&amp;" · ","")&amp;IF(INDEX(Dati!$EF$1:$EF$1000,MATCH($A15,Dati!$A$1:$A$1000,0))&gt;0,Dati!$BD$3&amp;": "&amp;INDEX(Dati!$BD$1:$BD$1000,MATCH($A15,Dati!$A$1:$A$1000,0))&amp;" · ","")&amp;IF(INDEX(Dati!$EG$1:$EG$1000,MATCH($A15,Dati!$A$1:$A$1000,0))&gt;0,Dati!$BE$3&amp;": "&amp;INDEX(Dati!$BE$1:$BE$1000,MATCH($A15,Dati!$A$1:$A$1000,0))&amp;" · ","")&amp;IF(INDEX(Dati!$EH$1:$EH$1000,MATCH($A15,Dati!$A$1:$A$1000,0))&gt;0,Dati!$BF$3&amp;": "&amp;INDEX(Dati!$BF$1:$BF$1000,MATCH($A15,Dati!$A$1:$A$1000,0))&amp;" · ",""))="",IF(INDEX(Dati!$FT$1:$FT$1000,MATCH($A15,Dati!$A$1:$A$1000,0))=1,"AS da recuperare",""),LEFT(IF(INDEX(Dati!$EE$1:$EE$1000,MATCH($A15,Dati!$A$1:$A$1000,0))&gt;0,Dati!$BC$3&amp;": "&amp;INDEX(Dati!$BC$1:$BC$1000,MATCH($A15,Dati!$A$1:$A$1000,0))&amp;" · ","")&amp;IF(INDEX(Dati!$EF$1:$EF$1000,MATCH($A15,Dati!$A$1:$A$1000,0))&gt;0,Dati!$BD$3&amp;": "&amp;INDEX(Dati!$BD$1:$BD$1000,MATCH($A15,Dati!$A$1:$A$1000,0))&amp;" · ","")&amp;IF(INDEX(Dati!$EG$1:$EG$1000,MATCH($A15,Dati!$A$1:$A$1000,0))&gt;0,Dati!$BE$3&amp;": "&amp;INDEX(Dati!$BE$1:$BE$1000,MATCH($A15,Dati!$A$1:$A$1000,0))&amp;" · ","")&amp;IF(INDEX(Dati!$EH$1:$EH$1000,MATCH($A15,Dati!$A$1:$A$1000,0))&gt;0,Dati!$BF$3&amp;": "&amp;INDEX(Dati!$BF$1:$BF$1000,MATCH($A15,Dati!$A$1:$A$1000,0))&amp;" · ",""),LEN(IF(INDEX(Dati!$EE$1:$EE$1000,MATCH($A15,Dati!$A$1:$A$1000,0))&gt;0,Dati!$BC$3&amp;": "&amp;INDEX(Dati!$BC$1:$BC$1000,MATCH($A15,Dati!$A$1:$A$1000,0))&amp;" · ","")&amp;IF(INDEX(Dati!$EF$1:$EF$1000,MATCH($A15,Dati!$A$1:$A$1000,0))&gt;0,Dati!$BD$3&amp;": "&amp;INDEX(Dati!$BD$1:$BD$1000,MATCH($A15,Dati!$A$1:$A$1000,0))&amp;" · ","")&amp;IF(INDEX(Dati!$EG$1:$EG$1000,MATCH($A15,Dati!$A$1:$A$1000,0))&gt;0,Dati!$BE$3&amp;": "&amp;INDEX(Dati!$BE$1:$BE$1000,MATCH($A15,Dati!$A$1:$A$1000,0))&amp;" · ","")&amp;IF(INDEX(Dati!$EH$1:$EH$1000,MATCH($A15,Dati!$A$1:$A$1000,0))&gt;0,Dati!$BF$3&amp;": "&amp;INDEX(Dati!$BF$1:$BF$1000,MATCH($A15,Dati!$A$1:$A$1000,0))&amp;" · ",""))-3)),""))</f>
        <v/>
      </c>
      <c r="Q15" s="55" t="str">
        <f aca="false">IF($B15="","",IFERROR(IF((IF(INDEX(Dati!$EI$1:$EI$1000,MATCH($A15,Dati!$A$1:$A$1000,0))&gt;0,Dati!$BG$3&amp;": "&amp;INDEX(Dati!$BG$1:$BG$1000,MATCH($A15,Dati!$A$1:$A$1000,0))&amp;" · ","")&amp;IF(INDEX(Dati!$EJ$1:$EJ$1000,MATCH($A15,Dati!$A$1:$A$1000,0))&gt;0,Dati!$BH$3&amp;": "&amp;INDEX(Dati!$BH$1:$BH$1000,MATCH($A15,Dati!$A$1:$A$1000,0))&amp;" · ","")&amp;IF(INDEX(Dati!$EK$1:$EK$1000,MATCH($A15,Dati!$A$1:$A$1000,0))&gt;0,Dati!$BI$3&amp;": "&amp;INDEX(Dati!$BI$1:$BI$1000,MATCH($A15,Dati!$A$1:$A$1000,0))&amp;" · ","")&amp;IF(INDEX(Dati!$EL$1:$EL$1000,MATCH($A15,Dati!$A$1:$A$1000,0))&gt;0,Dati!$BJ$3&amp;": "&amp;INDEX(Dati!$BJ$1:$BJ$1000,MATCH($A15,Dati!$A$1:$A$1000,0))&amp;" · ",""))="",IF(INDEX(Dati!$FU$1:$FU$1000,MATCH($A15,Dati!$A$1:$A$1000,0))=1,"AS da recuperare",""),LEFT(IF(INDEX(Dati!$EI$1:$EI$1000,MATCH($A15,Dati!$A$1:$A$1000,0))&gt;0,Dati!$BG$3&amp;": "&amp;INDEX(Dati!$BG$1:$BG$1000,MATCH($A15,Dati!$A$1:$A$1000,0))&amp;" · ","")&amp;IF(INDEX(Dati!$EJ$1:$EJ$1000,MATCH($A15,Dati!$A$1:$A$1000,0))&gt;0,Dati!$BH$3&amp;": "&amp;INDEX(Dati!$BH$1:$BH$1000,MATCH($A15,Dati!$A$1:$A$1000,0))&amp;" · ","")&amp;IF(INDEX(Dati!$EK$1:$EK$1000,MATCH($A15,Dati!$A$1:$A$1000,0))&gt;0,Dati!$BI$3&amp;": "&amp;INDEX(Dati!$BI$1:$BI$1000,MATCH($A15,Dati!$A$1:$A$1000,0))&amp;" · ","")&amp;IF(INDEX(Dati!$EL$1:$EL$1000,MATCH($A15,Dati!$A$1:$A$1000,0))&gt;0,Dati!$BJ$3&amp;": "&amp;INDEX(Dati!$BJ$1:$BJ$1000,MATCH($A15,Dati!$A$1:$A$1000,0))&amp;" · ",""),LEN(IF(INDEX(Dati!$EI$1:$EI$1000,MATCH($A15,Dati!$A$1:$A$1000,0))&gt;0,Dati!$BG$3&amp;": "&amp;INDEX(Dati!$BG$1:$BG$1000,MATCH($A15,Dati!$A$1:$A$1000,0))&amp;" · ","")&amp;IF(INDEX(Dati!$EJ$1:$EJ$1000,MATCH($A15,Dati!$A$1:$A$1000,0))&gt;0,Dati!$BH$3&amp;": "&amp;INDEX(Dati!$BH$1:$BH$1000,MATCH($A15,Dati!$A$1:$A$1000,0))&amp;" · ","")&amp;IF(INDEX(Dati!$EK$1:$EK$1000,MATCH($A15,Dati!$A$1:$A$1000,0))&gt;0,Dati!$BI$3&amp;": "&amp;INDEX(Dati!$BI$1:$BI$1000,MATCH($A15,Dati!$A$1:$A$1000,0))&amp;" · ","")&amp;IF(INDEX(Dati!$EL$1:$EL$1000,MATCH($A15,Dati!$A$1:$A$1000,0))&gt;0,Dati!$BJ$3&amp;": "&amp;INDEX(Dati!$BJ$1:$BJ$1000,MATCH($A15,Dati!$A$1:$A$1000,0))&amp;" · ",""))-3)),""))</f>
        <v/>
      </c>
      <c r="R15" s="55" t="str">
        <f aca="false">IF($B15="","",IFERROR(IF((IF(INDEX(Dati!$EM$1:$EM$1000,MATCH($A15,Dati!$A$1:$A$1000,0))&gt;0,Dati!$BK$3&amp;": "&amp;INDEX(Dati!$BK$1:$BK$1000,MATCH($A15,Dati!$A$1:$A$1000,0))&amp;" · ","")&amp;IF(INDEX(Dati!$EN$1:$EN$1000,MATCH($A15,Dati!$A$1:$A$1000,0))&gt;0,Dati!$BL$3&amp;": "&amp;INDEX(Dati!$BL$1:$BL$1000,MATCH($A15,Dati!$A$1:$A$1000,0))&amp;" · ","")&amp;IF(INDEX(Dati!$EO$1:$EO$1000,MATCH($A15,Dati!$A$1:$A$1000,0))&gt;0,Dati!$BM$3&amp;": "&amp;INDEX(Dati!$BM$1:$BM$1000,MATCH($A15,Dati!$A$1:$A$1000,0))&amp;" · ","")&amp;IF(INDEX(Dati!$EP$1:$EP$1000,MATCH($A15,Dati!$A$1:$A$1000,0))&gt;0,Dati!$BN$3&amp;": "&amp;INDEX(Dati!$BN$1:$BN$1000,MATCH($A15,Dati!$A$1:$A$1000,0))&amp;" · ",""))="",IF(INDEX(Dati!$FV$1:$FV$1000,MATCH($A15,Dati!$A$1:$A$1000,0))=1,"AS da recuperare",""),LEFT(IF(INDEX(Dati!$EM$1:$EM$1000,MATCH($A15,Dati!$A$1:$A$1000,0))&gt;0,Dati!$BK$3&amp;": "&amp;INDEX(Dati!$BK$1:$BK$1000,MATCH($A15,Dati!$A$1:$A$1000,0))&amp;" · ","")&amp;IF(INDEX(Dati!$EN$1:$EN$1000,MATCH($A15,Dati!$A$1:$A$1000,0))&gt;0,Dati!$BL$3&amp;": "&amp;INDEX(Dati!$BL$1:$BL$1000,MATCH($A15,Dati!$A$1:$A$1000,0))&amp;" · ","")&amp;IF(INDEX(Dati!$EO$1:$EO$1000,MATCH($A15,Dati!$A$1:$A$1000,0))&gt;0,Dati!$BM$3&amp;": "&amp;INDEX(Dati!$BM$1:$BM$1000,MATCH($A15,Dati!$A$1:$A$1000,0))&amp;" · ","")&amp;IF(INDEX(Dati!$EP$1:$EP$1000,MATCH($A15,Dati!$A$1:$A$1000,0))&gt;0,Dati!$BN$3&amp;": "&amp;INDEX(Dati!$BN$1:$BN$1000,MATCH($A15,Dati!$A$1:$A$1000,0))&amp;" · ",""),LEN(IF(INDEX(Dati!$EM$1:$EM$1000,MATCH($A15,Dati!$A$1:$A$1000,0))&gt;0,Dati!$BK$3&amp;": "&amp;INDEX(Dati!$BK$1:$BK$1000,MATCH($A15,Dati!$A$1:$A$1000,0))&amp;" · ","")&amp;IF(INDEX(Dati!$EN$1:$EN$1000,MATCH($A15,Dati!$A$1:$A$1000,0))&gt;0,Dati!$BL$3&amp;": "&amp;INDEX(Dati!$BL$1:$BL$1000,MATCH($A15,Dati!$A$1:$A$1000,0))&amp;" · ","")&amp;IF(INDEX(Dati!$EO$1:$EO$1000,MATCH($A15,Dati!$A$1:$A$1000,0))&gt;0,Dati!$BM$3&amp;": "&amp;INDEX(Dati!$BM$1:$BM$1000,MATCH($A15,Dati!$A$1:$A$1000,0))&amp;" · ","")&amp;IF(INDEX(Dati!$EP$1:$EP$1000,MATCH($A15,Dati!$A$1:$A$1000,0))&gt;0,Dati!$BN$3&amp;": "&amp;INDEX(Dati!$BN$1:$BN$1000,MATCH($A15,Dati!$A$1:$A$1000,0))&amp;" · ",""))-3)),""))</f>
        <v/>
      </c>
      <c r="S15" s="55" t="str">
        <f aca="false">IF($B15="","",IFERROR(IF((IF(INDEX(Dati!$EQ$1:$EQ$1000,MATCH($A15,Dati!$A$1:$A$1000,0))&gt;0,Dati!$BO$3&amp;": "&amp;INDEX(Dati!$BO$1:$BO$1000,MATCH($A15,Dati!$A$1:$A$1000,0))&amp;" · ","")&amp;IF(INDEX(Dati!$ER$1:$ER$1000,MATCH($A15,Dati!$A$1:$A$1000,0))&gt;0,Dati!$BP$3&amp;": "&amp;INDEX(Dati!$BP$1:$BP$1000,MATCH($A15,Dati!$A$1:$A$1000,0))&amp;" · ","")&amp;IF(INDEX(Dati!$ES$1:$ES$1000,MATCH($A15,Dati!$A$1:$A$1000,0))&gt;0,Dati!$BQ$3&amp;": "&amp;INDEX(Dati!$BQ$1:$BQ$1000,MATCH($A15,Dati!$A$1:$A$1000,0))&amp;" · ","")&amp;IF(INDEX(Dati!$ET$1:$ET$1000,MATCH($A15,Dati!$A$1:$A$1000,0))&gt;0,Dati!$BR$3&amp;": "&amp;INDEX(Dati!$BR$1:$BR$1000,MATCH($A15,Dati!$A$1:$A$1000,0))&amp;" · ",""))="",IF(INDEX(Dati!$FW$1:$FW$1000,MATCH($A15,Dati!$A$1:$A$1000,0))=1,"AS da recuperare",""),LEFT(IF(INDEX(Dati!$EQ$1:$EQ$1000,MATCH($A15,Dati!$A$1:$A$1000,0))&gt;0,Dati!$BO$3&amp;": "&amp;INDEX(Dati!$BO$1:$BO$1000,MATCH($A15,Dati!$A$1:$A$1000,0))&amp;" · ","")&amp;IF(INDEX(Dati!$ER$1:$ER$1000,MATCH($A15,Dati!$A$1:$A$1000,0))&gt;0,Dati!$BP$3&amp;": "&amp;INDEX(Dati!$BP$1:$BP$1000,MATCH($A15,Dati!$A$1:$A$1000,0))&amp;" · ","")&amp;IF(INDEX(Dati!$ES$1:$ES$1000,MATCH($A15,Dati!$A$1:$A$1000,0))&gt;0,Dati!$BQ$3&amp;": "&amp;INDEX(Dati!$BQ$1:$BQ$1000,MATCH($A15,Dati!$A$1:$A$1000,0))&amp;" · ","")&amp;IF(INDEX(Dati!$ET$1:$ET$1000,MATCH($A15,Dati!$A$1:$A$1000,0))&gt;0,Dati!$BR$3&amp;": "&amp;INDEX(Dati!$BR$1:$BR$1000,MATCH($A15,Dati!$A$1:$A$1000,0))&amp;" · ",""),LEN(IF(INDEX(Dati!$EQ$1:$EQ$1000,MATCH($A15,Dati!$A$1:$A$1000,0))&gt;0,Dati!$BO$3&amp;": "&amp;INDEX(Dati!$BO$1:$BO$1000,MATCH($A15,Dati!$A$1:$A$1000,0))&amp;" · ","")&amp;IF(INDEX(Dati!$ER$1:$ER$1000,MATCH($A15,Dati!$A$1:$A$1000,0))&gt;0,Dati!$BP$3&amp;": "&amp;INDEX(Dati!$BP$1:$BP$1000,MATCH($A15,Dati!$A$1:$A$1000,0))&amp;" · ","")&amp;IF(INDEX(Dati!$ES$1:$ES$1000,MATCH($A15,Dati!$A$1:$A$1000,0))&gt;0,Dati!$BQ$3&amp;": "&amp;INDEX(Dati!$BQ$1:$BQ$1000,MATCH($A15,Dati!$A$1:$A$1000,0))&amp;" · ","")&amp;IF(INDEX(Dati!$ET$1:$ET$1000,MATCH($A15,Dati!$A$1:$A$1000,0))&gt;0,Dati!$BR$3&amp;": "&amp;INDEX(Dati!$BR$1:$BR$1000,MATCH($A15,Dati!$A$1:$A$1000,0))&amp;" · ",""))-3)),""))</f>
        <v/>
      </c>
      <c r="T15" s="55" t="str">
        <f aca="false">IF($B15="","",IFERROR(IF((IF(INDEX(Dati!$EU$1:$EU$1000,MATCH($A15,Dati!$A$1:$A$1000,0))&gt;0,Dati!$BS$3&amp;": "&amp;INDEX(Dati!$BS$1:$BS$1000,MATCH($A15,Dati!$A$1:$A$1000,0))&amp;" · ","")&amp;IF(INDEX(Dati!$EV$1:$EV$1000,MATCH($A15,Dati!$A$1:$A$1000,0))&gt;0,Dati!$BT$3&amp;": "&amp;INDEX(Dati!$BT$1:$BT$1000,MATCH($A15,Dati!$A$1:$A$1000,0))&amp;" · ","")&amp;IF(INDEX(Dati!$EW$1:$EW$1000,MATCH($A15,Dati!$A$1:$A$1000,0))&gt;0,Dati!$BU$3&amp;": "&amp;INDEX(Dati!$BU$1:$BU$1000,MATCH($A15,Dati!$A$1:$A$1000,0))&amp;" · ","")&amp;IF(INDEX(Dati!$EX$1:$EX$1000,MATCH($A15,Dati!$A$1:$A$1000,0))&gt;0,Dati!$BV$3&amp;": "&amp;INDEX(Dati!$BV$1:$BV$1000,MATCH($A15,Dati!$A$1:$A$1000,0))&amp;" · ",""))="",IF(INDEX(Dati!$FX$1:$FX$1000,MATCH($A15,Dati!$A$1:$A$1000,0))=1,"AS da recuperare",""),LEFT(IF(INDEX(Dati!$EU$1:$EU$1000,MATCH($A15,Dati!$A$1:$A$1000,0))&gt;0,Dati!$BS$3&amp;": "&amp;INDEX(Dati!$BS$1:$BS$1000,MATCH($A15,Dati!$A$1:$A$1000,0))&amp;" · ","")&amp;IF(INDEX(Dati!$EV$1:$EV$1000,MATCH($A15,Dati!$A$1:$A$1000,0))&gt;0,Dati!$BT$3&amp;": "&amp;INDEX(Dati!$BT$1:$BT$1000,MATCH($A15,Dati!$A$1:$A$1000,0))&amp;" · ","")&amp;IF(INDEX(Dati!$EW$1:$EW$1000,MATCH($A15,Dati!$A$1:$A$1000,0))&gt;0,Dati!$BU$3&amp;": "&amp;INDEX(Dati!$BU$1:$BU$1000,MATCH($A15,Dati!$A$1:$A$1000,0))&amp;" · ","")&amp;IF(INDEX(Dati!$EX$1:$EX$1000,MATCH($A15,Dati!$A$1:$A$1000,0))&gt;0,Dati!$BV$3&amp;": "&amp;INDEX(Dati!$BV$1:$BV$1000,MATCH($A15,Dati!$A$1:$A$1000,0))&amp;" · ",""),LEN(IF(INDEX(Dati!$EU$1:$EU$1000,MATCH($A15,Dati!$A$1:$A$1000,0))&gt;0,Dati!$BS$3&amp;": "&amp;INDEX(Dati!$BS$1:$BS$1000,MATCH($A15,Dati!$A$1:$A$1000,0))&amp;" · ","")&amp;IF(INDEX(Dati!$EV$1:$EV$1000,MATCH($A15,Dati!$A$1:$A$1000,0))&gt;0,Dati!$BT$3&amp;": "&amp;INDEX(Dati!$BT$1:$BT$1000,MATCH($A15,Dati!$A$1:$A$1000,0))&amp;" · ","")&amp;IF(INDEX(Dati!$EW$1:$EW$1000,MATCH($A15,Dati!$A$1:$A$1000,0))&gt;0,Dati!$BU$3&amp;": "&amp;INDEX(Dati!$BU$1:$BU$1000,MATCH($A15,Dati!$A$1:$A$1000,0))&amp;" · ","")&amp;IF(INDEX(Dati!$EX$1:$EX$1000,MATCH($A15,Dati!$A$1:$A$1000,0))&gt;0,Dati!$BV$3&amp;": "&amp;INDEX(Dati!$BV$1:$BV$1000,MATCH($A15,Dati!$A$1:$A$1000,0))&amp;" · ",""))-3)),""))</f>
        <v/>
      </c>
      <c r="U15" s="55" t="str">
        <f aca="false">IF($B15="","",IFERROR(IF((IF(INDEX(Dati!$EY$1:$EY$1000,MATCH($A15,Dati!$A$1:$A$1000,0))&gt;0,Dati!$BW$3&amp;": "&amp;INDEX(Dati!$BW$1:$BW$1000,MATCH($A15,Dati!$A$1:$A$1000,0))&amp;" · ","")&amp;IF(INDEX(Dati!$EZ$1:$EZ$1000,MATCH($A15,Dati!$A$1:$A$1000,0))&gt;0,Dati!$BX$3&amp;": "&amp;INDEX(Dati!$BX$1:$BX$1000,MATCH($A15,Dati!$A$1:$A$1000,0))&amp;" · ","")&amp;IF(INDEX(Dati!$FA$1:$FA$1000,MATCH($A15,Dati!$A$1:$A$1000,0))&gt;0,Dati!$BY$3&amp;": "&amp;INDEX(Dati!$BY$1:$BY$1000,MATCH($A15,Dati!$A$1:$A$1000,0))&amp;" · ","")&amp;IF(INDEX(Dati!$FB$1:$FB$1000,MATCH($A15,Dati!$A$1:$A$1000,0))&gt;0,Dati!$BZ$3&amp;": "&amp;INDEX(Dati!$BZ$1:$BZ$1000,MATCH($A15,Dati!$A$1:$A$1000,0))&amp;" · ",""))="",IF(INDEX(Dati!$FY$1:$FY$1000,MATCH($A15,Dati!$A$1:$A$1000,0))=1,"AS da recuperare",""),LEFT(IF(INDEX(Dati!$EY$1:$EY$1000,MATCH($A15,Dati!$A$1:$A$1000,0))&gt;0,Dati!$BW$3&amp;": "&amp;INDEX(Dati!$BW$1:$BW$1000,MATCH($A15,Dati!$A$1:$A$1000,0))&amp;" · ","")&amp;IF(INDEX(Dati!$EZ$1:$EZ$1000,MATCH($A15,Dati!$A$1:$A$1000,0))&gt;0,Dati!$BX$3&amp;": "&amp;INDEX(Dati!$BX$1:$BX$1000,MATCH($A15,Dati!$A$1:$A$1000,0))&amp;" · ","")&amp;IF(INDEX(Dati!$FA$1:$FA$1000,MATCH($A15,Dati!$A$1:$A$1000,0))&gt;0,Dati!$BY$3&amp;": "&amp;INDEX(Dati!$BY$1:$BY$1000,MATCH($A15,Dati!$A$1:$A$1000,0))&amp;" · ","")&amp;IF(INDEX(Dati!$FB$1:$FB$1000,MATCH($A15,Dati!$A$1:$A$1000,0))&gt;0,Dati!$BZ$3&amp;": "&amp;INDEX(Dati!$BZ$1:$BZ$1000,MATCH($A15,Dati!$A$1:$A$1000,0))&amp;" · ",""),LEN(IF(INDEX(Dati!$EY$1:$EY$1000,MATCH($A15,Dati!$A$1:$A$1000,0))&gt;0,Dati!$BW$3&amp;": "&amp;INDEX(Dati!$BW$1:$BW$1000,MATCH($A15,Dati!$A$1:$A$1000,0))&amp;" · ","")&amp;IF(INDEX(Dati!$EZ$1:$EZ$1000,MATCH($A15,Dati!$A$1:$A$1000,0))&gt;0,Dati!$BX$3&amp;": "&amp;INDEX(Dati!$BX$1:$BX$1000,MATCH($A15,Dati!$A$1:$A$1000,0))&amp;" · ","")&amp;IF(INDEX(Dati!$FA$1:$FA$1000,MATCH($A15,Dati!$A$1:$A$1000,0))&gt;0,Dati!$BY$3&amp;": "&amp;INDEX(Dati!$BY$1:$BY$1000,MATCH($A15,Dati!$A$1:$A$1000,0))&amp;" · ","")&amp;IF(INDEX(Dati!$FB$1:$FB$1000,MATCH($A15,Dati!$A$1:$A$1000,0))&gt;0,Dati!$BZ$3&amp;": "&amp;INDEX(Dati!$BZ$1:$BZ$1000,MATCH($A15,Dati!$A$1:$A$1000,0))&amp;" · ",""))-3)),""))</f>
        <v/>
      </c>
      <c r="V15" s="55" t="str">
        <f aca="false">IF($B15="","",IFERROR(IF((IF(INDEX(Dati!$FC$1:$FC$1000,MATCH($A15,Dati!$A$1:$A$1000,0))&gt;0,Dati!$CA$3&amp;": "&amp;INDEX(Dati!$CA$1:$CA$1000,MATCH($A15,Dati!$A$1:$A$1000,0))&amp;" · ","")&amp;IF(INDEX(Dati!$FD$1:$FD$1000,MATCH($A15,Dati!$A$1:$A$1000,0))&gt;0,Dati!$CB$3&amp;": "&amp;INDEX(Dati!$CB$1:$CB$1000,MATCH($A15,Dati!$A$1:$A$1000,0))&amp;" · ","")&amp;IF(INDEX(Dati!$FE$1:$FE$1000,MATCH($A15,Dati!$A$1:$A$1000,0))&gt;0,Dati!$CC$3&amp;": "&amp;INDEX(Dati!$CC$1:$CC$1000,MATCH($A15,Dati!$A$1:$A$1000,0))&amp;" · ","")&amp;IF(INDEX(Dati!$FF$1:$FF$1000,MATCH($A15,Dati!$A$1:$A$1000,0))&gt;0,Dati!$CD$3&amp;": "&amp;INDEX(Dati!$CD$1:$CD$1000,MATCH($A15,Dati!$A$1:$A$1000,0))&amp;" · ",""))="",IF(INDEX(Dati!$FZ$1:$FZ$1000,MATCH($A15,Dati!$A$1:$A$1000,0))=1,"AS da recuperare",""),LEFT(IF(INDEX(Dati!$FC$1:$FC$1000,MATCH($A15,Dati!$A$1:$A$1000,0))&gt;0,Dati!$CA$3&amp;": "&amp;INDEX(Dati!$CA$1:$CA$1000,MATCH($A15,Dati!$A$1:$A$1000,0))&amp;" · ","")&amp;IF(INDEX(Dati!$FD$1:$FD$1000,MATCH($A15,Dati!$A$1:$A$1000,0))&gt;0,Dati!$CB$3&amp;": "&amp;INDEX(Dati!$CB$1:$CB$1000,MATCH($A15,Dati!$A$1:$A$1000,0))&amp;" · ","")&amp;IF(INDEX(Dati!$FE$1:$FE$1000,MATCH($A15,Dati!$A$1:$A$1000,0))&gt;0,Dati!$CC$3&amp;": "&amp;INDEX(Dati!$CC$1:$CC$1000,MATCH($A15,Dati!$A$1:$A$1000,0))&amp;" · ","")&amp;IF(INDEX(Dati!$FF$1:$FF$1000,MATCH($A15,Dati!$A$1:$A$1000,0))&gt;0,Dati!$CD$3&amp;": "&amp;INDEX(Dati!$CD$1:$CD$1000,MATCH($A15,Dati!$A$1:$A$1000,0))&amp;" · ",""),LEN(IF(INDEX(Dati!$FC$1:$FC$1000,MATCH($A15,Dati!$A$1:$A$1000,0))&gt;0,Dati!$CA$3&amp;": "&amp;INDEX(Dati!$CA$1:$CA$1000,MATCH($A15,Dati!$A$1:$A$1000,0))&amp;" · ","")&amp;IF(INDEX(Dati!$FD$1:$FD$1000,MATCH($A15,Dati!$A$1:$A$1000,0))&gt;0,Dati!$CB$3&amp;": "&amp;INDEX(Dati!$CB$1:$CB$1000,MATCH($A15,Dati!$A$1:$A$1000,0))&amp;" · ","")&amp;IF(INDEX(Dati!$FE$1:$FE$1000,MATCH($A15,Dati!$A$1:$A$1000,0))&gt;0,Dati!$CC$3&amp;": "&amp;INDEX(Dati!$CC$1:$CC$1000,MATCH($A15,Dati!$A$1:$A$1000,0))&amp;" · ","")&amp;IF(INDEX(Dati!$FF$1:$FF$1000,MATCH($A15,Dati!$A$1:$A$1000,0))&gt;0,Dati!$CD$3&amp;": "&amp;INDEX(Dati!$CD$1:$CD$1000,MATCH($A15,Dati!$A$1:$A$1000,0))&amp;" · ",""))-3)),""))</f>
        <v/>
      </c>
    </row>
    <row r="16" customFormat="false" ht="19.5" hidden="false" customHeight="true" outlineLevel="0" collapsed="false">
      <c r="A16" s="10" t="n">
        <v>12</v>
      </c>
      <c r="B16" s="16" t="str">
        <f aca="false">IFERROR(INDEX(Alunni!$C$1:$C$1000,MATCH($A16,Alunni!$A$1:$A$1000,0))&amp;"","")</f>
        <v/>
      </c>
      <c r="C16" s="55" t="str">
        <f aca="false">IF($B16="","",IFERROR(IF((IF(INDEX(Dati!$CE$1:$CE$1000,MATCH($A16,Dati!$A$1:$A$1000,0))&gt;0,Dati!$C$3&amp;": "&amp;INDEX(Dati!$C$1:$C$1000,MATCH($A16,Dati!$A$1:$A$1000,0))&amp;" · ","")&amp;IF(INDEX(Dati!$CF$1:$CF$1000,MATCH($A16,Dati!$A$1:$A$1000,0))&gt;0,Dati!$D$3&amp;": "&amp;INDEX(Dati!$D$1:$D$1000,MATCH($A16,Dati!$A$1:$A$1000,0))&amp;" · ","")&amp;IF(INDEX(Dati!$CG$1:$CG$1000,MATCH($A16,Dati!$A$1:$A$1000,0))&gt;0,Dati!$E$3&amp;": "&amp;INDEX(Dati!$E$1:$E$1000,MATCH($A16,Dati!$A$1:$A$1000,0))&amp;" · ","")&amp;IF(INDEX(Dati!$CH$1:$CH$1000,MATCH($A16,Dati!$A$1:$A$1000,0))&gt;0,Dati!$F$3&amp;": "&amp;INDEX(Dati!$F$1:$F$1000,MATCH($A16,Dati!$A$1:$A$1000,0))&amp;" · ",""))="",IF(INDEX(Dati!$FG$1:$FG$1000,MATCH($A16,Dati!$A$1:$A$1000,0))=1,"AS da recuperare",""),LEFT(IF(INDEX(Dati!$CE$1:$CE$1000,MATCH($A16,Dati!$A$1:$A$1000,0))&gt;0,Dati!$C$3&amp;": "&amp;INDEX(Dati!$C$1:$C$1000,MATCH($A16,Dati!$A$1:$A$1000,0))&amp;" · ","")&amp;IF(INDEX(Dati!$CF$1:$CF$1000,MATCH($A16,Dati!$A$1:$A$1000,0))&gt;0,Dati!$D$3&amp;": "&amp;INDEX(Dati!$D$1:$D$1000,MATCH($A16,Dati!$A$1:$A$1000,0))&amp;" · ","")&amp;IF(INDEX(Dati!$CG$1:$CG$1000,MATCH($A16,Dati!$A$1:$A$1000,0))&gt;0,Dati!$E$3&amp;": "&amp;INDEX(Dati!$E$1:$E$1000,MATCH($A16,Dati!$A$1:$A$1000,0))&amp;" · ","")&amp;IF(INDEX(Dati!$CH$1:$CH$1000,MATCH($A16,Dati!$A$1:$A$1000,0))&gt;0,Dati!$F$3&amp;": "&amp;INDEX(Dati!$F$1:$F$1000,MATCH($A16,Dati!$A$1:$A$1000,0))&amp;" · ",""),LEN(IF(INDEX(Dati!$CE$1:$CE$1000,MATCH($A16,Dati!$A$1:$A$1000,0))&gt;0,Dati!$C$3&amp;": "&amp;INDEX(Dati!$C$1:$C$1000,MATCH($A16,Dati!$A$1:$A$1000,0))&amp;" · ","")&amp;IF(INDEX(Dati!$CF$1:$CF$1000,MATCH($A16,Dati!$A$1:$A$1000,0))&gt;0,Dati!$D$3&amp;": "&amp;INDEX(Dati!$D$1:$D$1000,MATCH($A16,Dati!$A$1:$A$1000,0))&amp;" · ","")&amp;IF(INDEX(Dati!$CG$1:$CG$1000,MATCH($A16,Dati!$A$1:$A$1000,0))&gt;0,Dati!$E$3&amp;": "&amp;INDEX(Dati!$E$1:$E$1000,MATCH($A16,Dati!$A$1:$A$1000,0))&amp;" · ","")&amp;IF(INDEX(Dati!$CH$1:$CH$1000,MATCH($A16,Dati!$A$1:$A$1000,0))&gt;0,Dati!$F$3&amp;": "&amp;INDEX(Dati!$F$1:$F$1000,MATCH($A16,Dati!$A$1:$A$1000,0))&amp;" · ",""))-3)),""))</f>
        <v/>
      </c>
      <c r="D16" s="55" t="str">
        <f aca="false">IF($B16="","",IFERROR(IF((IF(INDEX(Dati!$CI$1:$CI$1000,MATCH($A16,Dati!$A$1:$A$1000,0))&gt;0,Dati!$G$3&amp;": "&amp;INDEX(Dati!$G$1:$G$1000,MATCH($A16,Dati!$A$1:$A$1000,0))&amp;" · ","")&amp;IF(INDEX(Dati!$CJ$1:$CJ$1000,MATCH($A16,Dati!$A$1:$A$1000,0))&gt;0,Dati!$H$3&amp;": "&amp;INDEX(Dati!$H$1:$H$1000,MATCH($A16,Dati!$A$1:$A$1000,0))&amp;" · ","")&amp;IF(INDEX(Dati!$CK$1:$CK$1000,MATCH($A16,Dati!$A$1:$A$1000,0))&gt;0,Dati!$I$3&amp;": "&amp;INDEX(Dati!$I$1:$I$1000,MATCH($A16,Dati!$A$1:$A$1000,0))&amp;" · ","")&amp;IF(INDEX(Dati!$CL$1:$CL$1000,MATCH($A16,Dati!$A$1:$A$1000,0))&gt;0,Dati!$J$3&amp;": "&amp;INDEX(Dati!$J$1:$J$1000,MATCH($A16,Dati!$A$1:$A$1000,0))&amp;" · ",""))="",IF(INDEX(Dati!$FH$1:$FH$1000,MATCH($A16,Dati!$A$1:$A$1000,0))=1,"AS da recuperare",""),LEFT(IF(INDEX(Dati!$CI$1:$CI$1000,MATCH($A16,Dati!$A$1:$A$1000,0))&gt;0,Dati!$G$3&amp;": "&amp;INDEX(Dati!$G$1:$G$1000,MATCH($A16,Dati!$A$1:$A$1000,0))&amp;" · ","")&amp;IF(INDEX(Dati!$CJ$1:$CJ$1000,MATCH($A16,Dati!$A$1:$A$1000,0))&gt;0,Dati!$H$3&amp;": "&amp;INDEX(Dati!$H$1:$H$1000,MATCH($A16,Dati!$A$1:$A$1000,0))&amp;" · ","")&amp;IF(INDEX(Dati!$CK$1:$CK$1000,MATCH($A16,Dati!$A$1:$A$1000,0))&gt;0,Dati!$I$3&amp;": "&amp;INDEX(Dati!$I$1:$I$1000,MATCH($A16,Dati!$A$1:$A$1000,0))&amp;" · ","")&amp;IF(INDEX(Dati!$CL$1:$CL$1000,MATCH($A16,Dati!$A$1:$A$1000,0))&gt;0,Dati!$J$3&amp;": "&amp;INDEX(Dati!$J$1:$J$1000,MATCH($A16,Dati!$A$1:$A$1000,0))&amp;" · ",""),LEN(IF(INDEX(Dati!$CI$1:$CI$1000,MATCH($A16,Dati!$A$1:$A$1000,0))&gt;0,Dati!$G$3&amp;": "&amp;INDEX(Dati!$G$1:$G$1000,MATCH($A16,Dati!$A$1:$A$1000,0))&amp;" · ","")&amp;IF(INDEX(Dati!$CJ$1:$CJ$1000,MATCH($A16,Dati!$A$1:$A$1000,0))&gt;0,Dati!$H$3&amp;": "&amp;INDEX(Dati!$H$1:$H$1000,MATCH($A16,Dati!$A$1:$A$1000,0))&amp;" · ","")&amp;IF(INDEX(Dati!$CK$1:$CK$1000,MATCH($A16,Dati!$A$1:$A$1000,0))&gt;0,Dati!$I$3&amp;": "&amp;INDEX(Dati!$I$1:$I$1000,MATCH($A16,Dati!$A$1:$A$1000,0))&amp;" · ","")&amp;IF(INDEX(Dati!$CL$1:$CL$1000,MATCH($A16,Dati!$A$1:$A$1000,0))&gt;0,Dati!$J$3&amp;": "&amp;INDEX(Dati!$J$1:$J$1000,MATCH($A16,Dati!$A$1:$A$1000,0))&amp;" · ",""))-3)),""))</f>
        <v/>
      </c>
      <c r="E16" s="55" t="str">
        <f aca="false">IF($B16="","",IFERROR(IF((IF(INDEX(Dati!$CM$1:$CM$1000,MATCH($A16,Dati!$A$1:$A$1000,0))&gt;0,Dati!$K$3&amp;": "&amp;INDEX(Dati!$K$1:$K$1000,MATCH($A16,Dati!$A$1:$A$1000,0))&amp;" · ","")&amp;IF(INDEX(Dati!$CN$1:$CN$1000,MATCH($A16,Dati!$A$1:$A$1000,0))&gt;0,Dati!$L$3&amp;": "&amp;INDEX(Dati!$L$1:$L$1000,MATCH($A16,Dati!$A$1:$A$1000,0))&amp;" · ","")&amp;IF(INDEX(Dati!$CO$1:$CO$1000,MATCH($A16,Dati!$A$1:$A$1000,0))&gt;0,Dati!$M$3&amp;": "&amp;INDEX(Dati!$M$1:$M$1000,MATCH($A16,Dati!$A$1:$A$1000,0))&amp;" · ","")&amp;IF(INDEX(Dati!$CP$1:$CP$1000,MATCH($A16,Dati!$A$1:$A$1000,0))&gt;0,Dati!$N$3&amp;": "&amp;INDEX(Dati!$N$1:$N$1000,MATCH($A16,Dati!$A$1:$A$1000,0))&amp;" · ",""))="",IF(INDEX(Dati!$FI$1:$FI$1000,MATCH($A16,Dati!$A$1:$A$1000,0))=1,"AS da recuperare",""),LEFT(IF(INDEX(Dati!$CM$1:$CM$1000,MATCH($A16,Dati!$A$1:$A$1000,0))&gt;0,Dati!$K$3&amp;": "&amp;INDEX(Dati!$K$1:$K$1000,MATCH($A16,Dati!$A$1:$A$1000,0))&amp;" · ","")&amp;IF(INDEX(Dati!$CN$1:$CN$1000,MATCH($A16,Dati!$A$1:$A$1000,0))&gt;0,Dati!$L$3&amp;": "&amp;INDEX(Dati!$L$1:$L$1000,MATCH($A16,Dati!$A$1:$A$1000,0))&amp;" · ","")&amp;IF(INDEX(Dati!$CO$1:$CO$1000,MATCH($A16,Dati!$A$1:$A$1000,0))&gt;0,Dati!$M$3&amp;": "&amp;INDEX(Dati!$M$1:$M$1000,MATCH($A16,Dati!$A$1:$A$1000,0))&amp;" · ","")&amp;IF(INDEX(Dati!$CP$1:$CP$1000,MATCH($A16,Dati!$A$1:$A$1000,0))&gt;0,Dati!$N$3&amp;": "&amp;INDEX(Dati!$N$1:$N$1000,MATCH($A16,Dati!$A$1:$A$1000,0))&amp;" · ",""),LEN(IF(INDEX(Dati!$CM$1:$CM$1000,MATCH($A16,Dati!$A$1:$A$1000,0))&gt;0,Dati!$K$3&amp;": "&amp;INDEX(Dati!$K$1:$K$1000,MATCH($A16,Dati!$A$1:$A$1000,0))&amp;" · ","")&amp;IF(INDEX(Dati!$CN$1:$CN$1000,MATCH($A16,Dati!$A$1:$A$1000,0))&gt;0,Dati!$L$3&amp;": "&amp;INDEX(Dati!$L$1:$L$1000,MATCH($A16,Dati!$A$1:$A$1000,0))&amp;" · ","")&amp;IF(INDEX(Dati!$CO$1:$CO$1000,MATCH($A16,Dati!$A$1:$A$1000,0))&gt;0,Dati!$M$3&amp;": "&amp;INDEX(Dati!$M$1:$M$1000,MATCH($A16,Dati!$A$1:$A$1000,0))&amp;" · ","")&amp;IF(INDEX(Dati!$CP$1:$CP$1000,MATCH($A16,Dati!$A$1:$A$1000,0))&gt;0,Dati!$N$3&amp;": "&amp;INDEX(Dati!$N$1:$N$1000,MATCH($A16,Dati!$A$1:$A$1000,0))&amp;" · ",""))-3)),""))</f>
        <v/>
      </c>
      <c r="F16" s="55" t="str">
        <f aca="false">IF($B16="","",IFERROR(IF((IF(INDEX(Dati!$CQ$1:$CQ$1000,MATCH($A16,Dati!$A$1:$A$1000,0))&gt;0,Dati!$O$3&amp;": "&amp;INDEX(Dati!$O$1:$O$1000,MATCH($A16,Dati!$A$1:$A$1000,0))&amp;" · ","")&amp;IF(INDEX(Dati!$CR$1:$CR$1000,MATCH($A16,Dati!$A$1:$A$1000,0))&gt;0,Dati!$P$3&amp;": "&amp;INDEX(Dati!$P$1:$P$1000,MATCH($A16,Dati!$A$1:$A$1000,0))&amp;" · ","")&amp;IF(INDEX(Dati!$CS$1:$CS$1000,MATCH($A16,Dati!$A$1:$A$1000,0))&gt;0,Dati!$Q$3&amp;": "&amp;INDEX(Dati!$Q$1:$Q$1000,MATCH($A16,Dati!$A$1:$A$1000,0))&amp;" · ","")&amp;IF(INDEX(Dati!$CT$1:$CT$1000,MATCH($A16,Dati!$A$1:$A$1000,0))&gt;0,Dati!$R$3&amp;": "&amp;INDEX(Dati!$R$1:$R$1000,MATCH($A16,Dati!$A$1:$A$1000,0))&amp;" · ",""))="",IF(INDEX(Dati!$FJ$1:$FJ$1000,MATCH($A16,Dati!$A$1:$A$1000,0))=1,"AS da recuperare",""),LEFT(IF(INDEX(Dati!$CQ$1:$CQ$1000,MATCH($A16,Dati!$A$1:$A$1000,0))&gt;0,Dati!$O$3&amp;": "&amp;INDEX(Dati!$O$1:$O$1000,MATCH($A16,Dati!$A$1:$A$1000,0))&amp;" · ","")&amp;IF(INDEX(Dati!$CR$1:$CR$1000,MATCH($A16,Dati!$A$1:$A$1000,0))&gt;0,Dati!$P$3&amp;": "&amp;INDEX(Dati!$P$1:$P$1000,MATCH($A16,Dati!$A$1:$A$1000,0))&amp;" · ","")&amp;IF(INDEX(Dati!$CS$1:$CS$1000,MATCH($A16,Dati!$A$1:$A$1000,0))&gt;0,Dati!$Q$3&amp;": "&amp;INDEX(Dati!$Q$1:$Q$1000,MATCH($A16,Dati!$A$1:$A$1000,0))&amp;" · ","")&amp;IF(INDEX(Dati!$CT$1:$CT$1000,MATCH($A16,Dati!$A$1:$A$1000,0))&gt;0,Dati!$R$3&amp;": "&amp;INDEX(Dati!$R$1:$R$1000,MATCH($A16,Dati!$A$1:$A$1000,0))&amp;" · ",""),LEN(IF(INDEX(Dati!$CQ$1:$CQ$1000,MATCH($A16,Dati!$A$1:$A$1000,0))&gt;0,Dati!$O$3&amp;": "&amp;INDEX(Dati!$O$1:$O$1000,MATCH($A16,Dati!$A$1:$A$1000,0))&amp;" · ","")&amp;IF(INDEX(Dati!$CR$1:$CR$1000,MATCH($A16,Dati!$A$1:$A$1000,0))&gt;0,Dati!$P$3&amp;": "&amp;INDEX(Dati!$P$1:$P$1000,MATCH($A16,Dati!$A$1:$A$1000,0))&amp;" · ","")&amp;IF(INDEX(Dati!$CS$1:$CS$1000,MATCH($A16,Dati!$A$1:$A$1000,0))&gt;0,Dati!$Q$3&amp;": "&amp;INDEX(Dati!$Q$1:$Q$1000,MATCH($A16,Dati!$A$1:$A$1000,0))&amp;" · ","")&amp;IF(INDEX(Dati!$CT$1:$CT$1000,MATCH($A16,Dati!$A$1:$A$1000,0))&gt;0,Dati!$R$3&amp;": "&amp;INDEX(Dati!$R$1:$R$1000,MATCH($A16,Dati!$A$1:$A$1000,0))&amp;" · ",""))-3)),""))</f>
        <v/>
      </c>
      <c r="G16" s="55" t="str">
        <f aca="false">IF($B16="","",IFERROR(IF((IF(INDEX(Dati!$CU$1:$CU$1000,MATCH($A16,Dati!$A$1:$A$1000,0))&gt;0,Dati!$S$3&amp;": "&amp;INDEX(Dati!$S$1:$S$1000,MATCH($A16,Dati!$A$1:$A$1000,0))&amp;" · ","")&amp;IF(INDEX(Dati!$CV$1:$CV$1000,MATCH($A16,Dati!$A$1:$A$1000,0))&gt;0,Dati!$T$3&amp;": "&amp;INDEX(Dati!$T$1:$T$1000,MATCH($A16,Dati!$A$1:$A$1000,0))&amp;" · ","")&amp;IF(INDEX(Dati!$CW$1:$CW$1000,MATCH($A16,Dati!$A$1:$A$1000,0))&gt;0,Dati!$U$3&amp;": "&amp;INDEX(Dati!$U$1:$U$1000,MATCH($A16,Dati!$A$1:$A$1000,0))&amp;" · ","")&amp;IF(INDEX(Dati!$CX$1:$CX$1000,MATCH($A16,Dati!$A$1:$A$1000,0))&gt;0,Dati!$V$3&amp;": "&amp;INDEX(Dati!$V$1:$V$1000,MATCH($A16,Dati!$A$1:$A$1000,0))&amp;" · ",""))="",IF(INDEX(Dati!$FK$1:$FK$1000,MATCH($A16,Dati!$A$1:$A$1000,0))=1,"AS da recuperare",""),LEFT(IF(INDEX(Dati!$CU$1:$CU$1000,MATCH($A16,Dati!$A$1:$A$1000,0))&gt;0,Dati!$S$3&amp;": "&amp;INDEX(Dati!$S$1:$S$1000,MATCH($A16,Dati!$A$1:$A$1000,0))&amp;" · ","")&amp;IF(INDEX(Dati!$CV$1:$CV$1000,MATCH($A16,Dati!$A$1:$A$1000,0))&gt;0,Dati!$T$3&amp;": "&amp;INDEX(Dati!$T$1:$T$1000,MATCH($A16,Dati!$A$1:$A$1000,0))&amp;" · ","")&amp;IF(INDEX(Dati!$CW$1:$CW$1000,MATCH($A16,Dati!$A$1:$A$1000,0))&gt;0,Dati!$U$3&amp;": "&amp;INDEX(Dati!$U$1:$U$1000,MATCH($A16,Dati!$A$1:$A$1000,0))&amp;" · ","")&amp;IF(INDEX(Dati!$CX$1:$CX$1000,MATCH($A16,Dati!$A$1:$A$1000,0))&gt;0,Dati!$V$3&amp;": "&amp;INDEX(Dati!$V$1:$V$1000,MATCH($A16,Dati!$A$1:$A$1000,0))&amp;" · ",""),LEN(IF(INDEX(Dati!$CU$1:$CU$1000,MATCH($A16,Dati!$A$1:$A$1000,0))&gt;0,Dati!$S$3&amp;": "&amp;INDEX(Dati!$S$1:$S$1000,MATCH($A16,Dati!$A$1:$A$1000,0))&amp;" · ","")&amp;IF(INDEX(Dati!$CV$1:$CV$1000,MATCH($A16,Dati!$A$1:$A$1000,0))&gt;0,Dati!$T$3&amp;": "&amp;INDEX(Dati!$T$1:$T$1000,MATCH($A16,Dati!$A$1:$A$1000,0))&amp;" · ","")&amp;IF(INDEX(Dati!$CW$1:$CW$1000,MATCH($A16,Dati!$A$1:$A$1000,0))&gt;0,Dati!$U$3&amp;": "&amp;INDEX(Dati!$U$1:$U$1000,MATCH($A16,Dati!$A$1:$A$1000,0))&amp;" · ","")&amp;IF(INDEX(Dati!$CX$1:$CX$1000,MATCH($A16,Dati!$A$1:$A$1000,0))&gt;0,Dati!$V$3&amp;": "&amp;INDEX(Dati!$V$1:$V$1000,MATCH($A16,Dati!$A$1:$A$1000,0))&amp;" · ",""))-3)),""))</f>
        <v/>
      </c>
      <c r="H16" s="55" t="str">
        <f aca="false">IF($B16="","",IFERROR(IF((IF(INDEX(Dati!$CY$1:$CY$1000,MATCH($A16,Dati!$A$1:$A$1000,0))&gt;0,Dati!$W$3&amp;": "&amp;INDEX(Dati!$W$1:$W$1000,MATCH($A16,Dati!$A$1:$A$1000,0))&amp;" · ","")&amp;IF(INDEX(Dati!$CZ$1:$CZ$1000,MATCH($A16,Dati!$A$1:$A$1000,0))&gt;0,Dati!$X$3&amp;": "&amp;INDEX(Dati!$X$1:$X$1000,MATCH($A16,Dati!$A$1:$A$1000,0))&amp;" · ","")&amp;IF(INDEX(Dati!$DA$1:$DA$1000,MATCH($A16,Dati!$A$1:$A$1000,0))&gt;0,Dati!$Y$3&amp;": "&amp;INDEX(Dati!$Y$1:$Y$1000,MATCH($A16,Dati!$A$1:$A$1000,0))&amp;" · ","")&amp;IF(INDEX(Dati!$DB$1:$DB$1000,MATCH($A16,Dati!$A$1:$A$1000,0))&gt;0,Dati!$Z$3&amp;": "&amp;INDEX(Dati!$Z$1:$Z$1000,MATCH($A16,Dati!$A$1:$A$1000,0))&amp;" · ",""))="",IF(INDEX(Dati!$FL$1:$FL$1000,MATCH($A16,Dati!$A$1:$A$1000,0))=1,"AS da recuperare",""),LEFT(IF(INDEX(Dati!$CY$1:$CY$1000,MATCH($A16,Dati!$A$1:$A$1000,0))&gt;0,Dati!$W$3&amp;": "&amp;INDEX(Dati!$W$1:$W$1000,MATCH($A16,Dati!$A$1:$A$1000,0))&amp;" · ","")&amp;IF(INDEX(Dati!$CZ$1:$CZ$1000,MATCH($A16,Dati!$A$1:$A$1000,0))&gt;0,Dati!$X$3&amp;": "&amp;INDEX(Dati!$X$1:$X$1000,MATCH($A16,Dati!$A$1:$A$1000,0))&amp;" · ","")&amp;IF(INDEX(Dati!$DA$1:$DA$1000,MATCH($A16,Dati!$A$1:$A$1000,0))&gt;0,Dati!$Y$3&amp;": "&amp;INDEX(Dati!$Y$1:$Y$1000,MATCH($A16,Dati!$A$1:$A$1000,0))&amp;" · ","")&amp;IF(INDEX(Dati!$DB$1:$DB$1000,MATCH($A16,Dati!$A$1:$A$1000,0))&gt;0,Dati!$Z$3&amp;": "&amp;INDEX(Dati!$Z$1:$Z$1000,MATCH($A16,Dati!$A$1:$A$1000,0))&amp;" · ",""),LEN(IF(INDEX(Dati!$CY$1:$CY$1000,MATCH($A16,Dati!$A$1:$A$1000,0))&gt;0,Dati!$W$3&amp;": "&amp;INDEX(Dati!$W$1:$W$1000,MATCH($A16,Dati!$A$1:$A$1000,0))&amp;" · ","")&amp;IF(INDEX(Dati!$CZ$1:$CZ$1000,MATCH($A16,Dati!$A$1:$A$1000,0))&gt;0,Dati!$X$3&amp;": "&amp;INDEX(Dati!$X$1:$X$1000,MATCH($A16,Dati!$A$1:$A$1000,0))&amp;" · ","")&amp;IF(INDEX(Dati!$DA$1:$DA$1000,MATCH($A16,Dati!$A$1:$A$1000,0))&gt;0,Dati!$Y$3&amp;": "&amp;INDEX(Dati!$Y$1:$Y$1000,MATCH($A16,Dati!$A$1:$A$1000,0))&amp;" · ","")&amp;IF(INDEX(Dati!$DB$1:$DB$1000,MATCH($A16,Dati!$A$1:$A$1000,0))&gt;0,Dati!$Z$3&amp;": "&amp;INDEX(Dati!$Z$1:$Z$1000,MATCH($A16,Dati!$A$1:$A$1000,0))&amp;" · ",""))-3)),""))</f>
        <v/>
      </c>
      <c r="I16" s="55" t="str">
        <f aca="false">IF($B16="","",IFERROR(IF((IF(INDEX(Dati!$DC$1:$DC$1000,MATCH($A16,Dati!$A$1:$A$1000,0))&gt;0,Dati!$AA$3&amp;": "&amp;INDEX(Dati!$AA$1:$AA$1000,MATCH($A16,Dati!$A$1:$A$1000,0))&amp;" · ","")&amp;IF(INDEX(Dati!$DD$1:$DD$1000,MATCH($A16,Dati!$A$1:$A$1000,0))&gt;0,Dati!$AB$3&amp;": "&amp;INDEX(Dati!$AB$1:$AB$1000,MATCH($A16,Dati!$A$1:$A$1000,0))&amp;" · ","")&amp;IF(INDEX(Dati!$DE$1:$DE$1000,MATCH($A16,Dati!$A$1:$A$1000,0))&gt;0,Dati!$AC$3&amp;": "&amp;INDEX(Dati!$AC$1:$AC$1000,MATCH($A16,Dati!$A$1:$A$1000,0))&amp;" · ","")&amp;IF(INDEX(Dati!$DF$1:$DF$1000,MATCH($A16,Dati!$A$1:$A$1000,0))&gt;0,Dati!$AD$3&amp;": "&amp;INDEX(Dati!$AD$1:$AD$1000,MATCH($A16,Dati!$A$1:$A$1000,0))&amp;" · ",""))="",IF(INDEX(Dati!$FM$1:$FM$1000,MATCH($A16,Dati!$A$1:$A$1000,0))=1,"AS da recuperare",""),LEFT(IF(INDEX(Dati!$DC$1:$DC$1000,MATCH($A16,Dati!$A$1:$A$1000,0))&gt;0,Dati!$AA$3&amp;": "&amp;INDEX(Dati!$AA$1:$AA$1000,MATCH($A16,Dati!$A$1:$A$1000,0))&amp;" · ","")&amp;IF(INDEX(Dati!$DD$1:$DD$1000,MATCH($A16,Dati!$A$1:$A$1000,0))&gt;0,Dati!$AB$3&amp;": "&amp;INDEX(Dati!$AB$1:$AB$1000,MATCH($A16,Dati!$A$1:$A$1000,0))&amp;" · ","")&amp;IF(INDEX(Dati!$DE$1:$DE$1000,MATCH($A16,Dati!$A$1:$A$1000,0))&gt;0,Dati!$AC$3&amp;": "&amp;INDEX(Dati!$AC$1:$AC$1000,MATCH($A16,Dati!$A$1:$A$1000,0))&amp;" · ","")&amp;IF(INDEX(Dati!$DF$1:$DF$1000,MATCH($A16,Dati!$A$1:$A$1000,0))&gt;0,Dati!$AD$3&amp;": "&amp;INDEX(Dati!$AD$1:$AD$1000,MATCH($A16,Dati!$A$1:$A$1000,0))&amp;" · ",""),LEN(IF(INDEX(Dati!$DC$1:$DC$1000,MATCH($A16,Dati!$A$1:$A$1000,0))&gt;0,Dati!$AA$3&amp;": "&amp;INDEX(Dati!$AA$1:$AA$1000,MATCH($A16,Dati!$A$1:$A$1000,0))&amp;" · ","")&amp;IF(INDEX(Dati!$DD$1:$DD$1000,MATCH($A16,Dati!$A$1:$A$1000,0))&gt;0,Dati!$AB$3&amp;": "&amp;INDEX(Dati!$AB$1:$AB$1000,MATCH($A16,Dati!$A$1:$A$1000,0))&amp;" · ","")&amp;IF(INDEX(Dati!$DE$1:$DE$1000,MATCH($A16,Dati!$A$1:$A$1000,0))&gt;0,Dati!$AC$3&amp;": "&amp;INDEX(Dati!$AC$1:$AC$1000,MATCH($A16,Dati!$A$1:$A$1000,0))&amp;" · ","")&amp;IF(INDEX(Dati!$DF$1:$DF$1000,MATCH($A16,Dati!$A$1:$A$1000,0))&gt;0,Dati!$AD$3&amp;": "&amp;INDEX(Dati!$AD$1:$AD$1000,MATCH($A16,Dati!$A$1:$A$1000,0))&amp;" · ",""))-3)),""))</f>
        <v/>
      </c>
      <c r="J16" s="55" t="str">
        <f aca="false">IF($B16="","",IFERROR(IF((IF(INDEX(Dati!$DG$1:$DG$1000,MATCH($A16,Dati!$A$1:$A$1000,0))&gt;0,Dati!$AE$3&amp;": "&amp;INDEX(Dati!$AE$1:$AE$1000,MATCH($A16,Dati!$A$1:$A$1000,0))&amp;" · ","")&amp;IF(INDEX(Dati!$DH$1:$DH$1000,MATCH($A16,Dati!$A$1:$A$1000,0))&gt;0,Dati!$AF$3&amp;": "&amp;INDEX(Dati!$AF$1:$AF$1000,MATCH($A16,Dati!$A$1:$A$1000,0))&amp;" · ","")&amp;IF(INDEX(Dati!$DI$1:$DI$1000,MATCH($A16,Dati!$A$1:$A$1000,0))&gt;0,Dati!$AG$3&amp;": "&amp;INDEX(Dati!$AG$1:$AG$1000,MATCH($A16,Dati!$A$1:$A$1000,0))&amp;" · ","")&amp;IF(INDEX(Dati!$DJ$1:$DJ$1000,MATCH($A16,Dati!$A$1:$A$1000,0))&gt;0,Dati!$AH$3&amp;": "&amp;INDEX(Dati!$AH$1:$AH$1000,MATCH($A16,Dati!$A$1:$A$1000,0))&amp;" · ",""))="",IF(INDEX(Dati!$FN$1:$FN$1000,MATCH($A16,Dati!$A$1:$A$1000,0))=1,"AS da recuperare",""),LEFT(IF(INDEX(Dati!$DG$1:$DG$1000,MATCH($A16,Dati!$A$1:$A$1000,0))&gt;0,Dati!$AE$3&amp;": "&amp;INDEX(Dati!$AE$1:$AE$1000,MATCH($A16,Dati!$A$1:$A$1000,0))&amp;" · ","")&amp;IF(INDEX(Dati!$DH$1:$DH$1000,MATCH($A16,Dati!$A$1:$A$1000,0))&gt;0,Dati!$AF$3&amp;": "&amp;INDEX(Dati!$AF$1:$AF$1000,MATCH($A16,Dati!$A$1:$A$1000,0))&amp;" · ","")&amp;IF(INDEX(Dati!$DI$1:$DI$1000,MATCH($A16,Dati!$A$1:$A$1000,0))&gt;0,Dati!$AG$3&amp;": "&amp;INDEX(Dati!$AG$1:$AG$1000,MATCH($A16,Dati!$A$1:$A$1000,0))&amp;" · ","")&amp;IF(INDEX(Dati!$DJ$1:$DJ$1000,MATCH($A16,Dati!$A$1:$A$1000,0))&gt;0,Dati!$AH$3&amp;": "&amp;INDEX(Dati!$AH$1:$AH$1000,MATCH($A16,Dati!$A$1:$A$1000,0))&amp;" · ",""),LEN(IF(INDEX(Dati!$DG$1:$DG$1000,MATCH($A16,Dati!$A$1:$A$1000,0))&gt;0,Dati!$AE$3&amp;": "&amp;INDEX(Dati!$AE$1:$AE$1000,MATCH($A16,Dati!$A$1:$A$1000,0))&amp;" · ","")&amp;IF(INDEX(Dati!$DH$1:$DH$1000,MATCH($A16,Dati!$A$1:$A$1000,0))&gt;0,Dati!$AF$3&amp;": "&amp;INDEX(Dati!$AF$1:$AF$1000,MATCH($A16,Dati!$A$1:$A$1000,0))&amp;" · ","")&amp;IF(INDEX(Dati!$DI$1:$DI$1000,MATCH($A16,Dati!$A$1:$A$1000,0))&gt;0,Dati!$AG$3&amp;": "&amp;INDEX(Dati!$AG$1:$AG$1000,MATCH($A16,Dati!$A$1:$A$1000,0))&amp;" · ","")&amp;IF(INDEX(Dati!$DJ$1:$DJ$1000,MATCH($A16,Dati!$A$1:$A$1000,0))&gt;0,Dati!$AH$3&amp;": "&amp;INDEX(Dati!$AH$1:$AH$1000,MATCH($A16,Dati!$A$1:$A$1000,0))&amp;" · ",""))-3)),""))</f>
        <v/>
      </c>
      <c r="K16" s="55" t="str">
        <f aca="false">IF($B16="","",IFERROR(IF((IF(INDEX(Dati!$DK$1:$DK$1000,MATCH($A16,Dati!$A$1:$A$1000,0))&gt;0,Dati!$AI$3&amp;": "&amp;INDEX(Dati!$AI$1:$AI$1000,MATCH($A16,Dati!$A$1:$A$1000,0))&amp;" · ","")&amp;IF(INDEX(Dati!$DL$1:$DL$1000,MATCH($A16,Dati!$A$1:$A$1000,0))&gt;0,Dati!$AJ$3&amp;": "&amp;INDEX(Dati!$AJ$1:$AJ$1000,MATCH($A16,Dati!$A$1:$A$1000,0))&amp;" · ","")&amp;IF(INDEX(Dati!$DM$1:$DM$1000,MATCH($A16,Dati!$A$1:$A$1000,0))&gt;0,Dati!$AK$3&amp;": "&amp;INDEX(Dati!$AK$1:$AK$1000,MATCH($A16,Dati!$A$1:$A$1000,0))&amp;" · ","")&amp;IF(INDEX(Dati!$DN$1:$DN$1000,MATCH($A16,Dati!$A$1:$A$1000,0))&gt;0,Dati!$AL$3&amp;": "&amp;INDEX(Dati!$AL$1:$AL$1000,MATCH($A16,Dati!$A$1:$A$1000,0))&amp;" · ",""))="",IF(INDEX(Dati!$FO$1:$FO$1000,MATCH($A16,Dati!$A$1:$A$1000,0))=1,"AS da recuperare",""),LEFT(IF(INDEX(Dati!$DK$1:$DK$1000,MATCH($A16,Dati!$A$1:$A$1000,0))&gt;0,Dati!$AI$3&amp;": "&amp;INDEX(Dati!$AI$1:$AI$1000,MATCH($A16,Dati!$A$1:$A$1000,0))&amp;" · ","")&amp;IF(INDEX(Dati!$DL$1:$DL$1000,MATCH($A16,Dati!$A$1:$A$1000,0))&gt;0,Dati!$AJ$3&amp;": "&amp;INDEX(Dati!$AJ$1:$AJ$1000,MATCH($A16,Dati!$A$1:$A$1000,0))&amp;" · ","")&amp;IF(INDEX(Dati!$DM$1:$DM$1000,MATCH($A16,Dati!$A$1:$A$1000,0))&gt;0,Dati!$AK$3&amp;": "&amp;INDEX(Dati!$AK$1:$AK$1000,MATCH($A16,Dati!$A$1:$A$1000,0))&amp;" · ","")&amp;IF(INDEX(Dati!$DN$1:$DN$1000,MATCH($A16,Dati!$A$1:$A$1000,0))&gt;0,Dati!$AL$3&amp;": "&amp;INDEX(Dati!$AL$1:$AL$1000,MATCH($A16,Dati!$A$1:$A$1000,0))&amp;" · ",""),LEN(IF(INDEX(Dati!$DK$1:$DK$1000,MATCH($A16,Dati!$A$1:$A$1000,0))&gt;0,Dati!$AI$3&amp;": "&amp;INDEX(Dati!$AI$1:$AI$1000,MATCH($A16,Dati!$A$1:$A$1000,0))&amp;" · ","")&amp;IF(INDEX(Dati!$DL$1:$DL$1000,MATCH($A16,Dati!$A$1:$A$1000,0))&gt;0,Dati!$AJ$3&amp;": "&amp;INDEX(Dati!$AJ$1:$AJ$1000,MATCH($A16,Dati!$A$1:$A$1000,0))&amp;" · ","")&amp;IF(INDEX(Dati!$DM$1:$DM$1000,MATCH($A16,Dati!$A$1:$A$1000,0))&gt;0,Dati!$AK$3&amp;": "&amp;INDEX(Dati!$AK$1:$AK$1000,MATCH($A16,Dati!$A$1:$A$1000,0))&amp;" · ","")&amp;IF(INDEX(Dati!$DN$1:$DN$1000,MATCH($A16,Dati!$A$1:$A$1000,0))&gt;0,Dati!$AL$3&amp;": "&amp;INDEX(Dati!$AL$1:$AL$1000,MATCH($A16,Dati!$A$1:$A$1000,0))&amp;" · ",""))-3)),""))</f>
        <v/>
      </c>
      <c r="L16" s="55" t="str">
        <f aca="false">IF($B16="","",IFERROR(IF((IF(INDEX(Dati!$DO$1:$DO$1000,MATCH($A16,Dati!$A$1:$A$1000,0))&gt;0,Dati!$AM$3&amp;": "&amp;INDEX(Dati!$AM$1:$AM$1000,MATCH($A16,Dati!$A$1:$A$1000,0))&amp;" · ","")&amp;IF(INDEX(Dati!$DP$1:$DP$1000,MATCH($A16,Dati!$A$1:$A$1000,0))&gt;0,Dati!$AN$3&amp;": "&amp;INDEX(Dati!$AN$1:$AN$1000,MATCH($A16,Dati!$A$1:$A$1000,0))&amp;" · ","")&amp;IF(INDEX(Dati!$DQ$1:$DQ$1000,MATCH($A16,Dati!$A$1:$A$1000,0))&gt;0,Dati!$AO$3&amp;": "&amp;INDEX(Dati!$AO$1:$AO$1000,MATCH($A16,Dati!$A$1:$A$1000,0))&amp;" · ","")&amp;IF(INDEX(Dati!$DR$1:$DR$1000,MATCH($A16,Dati!$A$1:$A$1000,0))&gt;0,Dati!$AP$3&amp;": "&amp;INDEX(Dati!$AP$1:$AP$1000,MATCH($A16,Dati!$A$1:$A$1000,0))&amp;" · ",""))="",IF(INDEX(Dati!$FP$1:$FP$1000,MATCH($A16,Dati!$A$1:$A$1000,0))=1,"AS da recuperare",""),LEFT(IF(INDEX(Dati!$DO$1:$DO$1000,MATCH($A16,Dati!$A$1:$A$1000,0))&gt;0,Dati!$AM$3&amp;": "&amp;INDEX(Dati!$AM$1:$AM$1000,MATCH($A16,Dati!$A$1:$A$1000,0))&amp;" · ","")&amp;IF(INDEX(Dati!$DP$1:$DP$1000,MATCH($A16,Dati!$A$1:$A$1000,0))&gt;0,Dati!$AN$3&amp;": "&amp;INDEX(Dati!$AN$1:$AN$1000,MATCH($A16,Dati!$A$1:$A$1000,0))&amp;" · ","")&amp;IF(INDEX(Dati!$DQ$1:$DQ$1000,MATCH($A16,Dati!$A$1:$A$1000,0))&gt;0,Dati!$AO$3&amp;": "&amp;INDEX(Dati!$AO$1:$AO$1000,MATCH($A16,Dati!$A$1:$A$1000,0))&amp;" · ","")&amp;IF(INDEX(Dati!$DR$1:$DR$1000,MATCH($A16,Dati!$A$1:$A$1000,0))&gt;0,Dati!$AP$3&amp;": "&amp;INDEX(Dati!$AP$1:$AP$1000,MATCH($A16,Dati!$A$1:$A$1000,0))&amp;" · ",""),LEN(IF(INDEX(Dati!$DO$1:$DO$1000,MATCH($A16,Dati!$A$1:$A$1000,0))&gt;0,Dati!$AM$3&amp;": "&amp;INDEX(Dati!$AM$1:$AM$1000,MATCH($A16,Dati!$A$1:$A$1000,0))&amp;" · ","")&amp;IF(INDEX(Dati!$DP$1:$DP$1000,MATCH($A16,Dati!$A$1:$A$1000,0))&gt;0,Dati!$AN$3&amp;": "&amp;INDEX(Dati!$AN$1:$AN$1000,MATCH($A16,Dati!$A$1:$A$1000,0))&amp;" · ","")&amp;IF(INDEX(Dati!$DQ$1:$DQ$1000,MATCH($A16,Dati!$A$1:$A$1000,0))&gt;0,Dati!$AO$3&amp;": "&amp;INDEX(Dati!$AO$1:$AO$1000,MATCH($A16,Dati!$A$1:$A$1000,0))&amp;" · ","")&amp;IF(INDEX(Dati!$DR$1:$DR$1000,MATCH($A16,Dati!$A$1:$A$1000,0))&gt;0,Dati!$AP$3&amp;": "&amp;INDEX(Dati!$AP$1:$AP$1000,MATCH($A16,Dati!$A$1:$A$1000,0))&amp;" · ",""))-3)),""))</f>
        <v/>
      </c>
      <c r="M16" s="55" t="str">
        <f aca="false">IF($B16="","",IFERROR(IF((IF(INDEX(Dati!$DS$1:$DS$1000,MATCH($A16,Dati!$A$1:$A$1000,0))&gt;0,Dati!$AQ$3&amp;": "&amp;INDEX(Dati!$AQ$1:$AQ$1000,MATCH($A16,Dati!$A$1:$A$1000,0))&amp;" · ","")&amp;IF(INDEX(Dati!$DT$1:$DT$1000,MATCH($A16,Dati!$A$1:$A$1000,0))&gt;0,Dati!$AR$3&amp;": "&amp;INDEX(Dati!$AR$1:$AR$1000,MATCH($A16,Dati!$A$1:$A$1000,0))&amp;" · ","")&amp;IF(INDEX(Dati!$DU$1:$DU$1000,MATCH($A16,Dati!$A$1:$A$1000,0))&gt;0,Dati!$AS$3&amp;": "&amp;INDEX(Dati!$AS$1:$AS$1000,MATCH($A16,Dati!$A$1:$A$1000,0))&amp;" · ","")&amp;IF(INDEX(Dati!$DV$1:$DV$1000,MATCH($A16,Dati!$A$1:$A$1000,0))&gt;0,Dati!$AT$3&amp;": "&amp;INDEX(Dati!$AT$1:$AT$1000,MATCH($A16,Dati!$A$1:$A$1000,0))&amp;" · ",""))="",IF(INDEX(Dati!$FQ$1:$FQ$1000,MATCH($A16,Dati!$A$1:$A$1000,0))=1,"AS da recuperare",""),LEFT(IF(INDEX(Dati!$DS$1:$DS$1000,MATCH($A16,Dati!$A$1:$A$1000,0))&gt;0,Dati!$AQ$3&amp;": "&amp;INDEX(Dati!$AQ$1:$AQ$1000,MATCH($A16,Dati!$A$1:$A$1000,0))&amp;" · ","")&amp;IF(INDEX(Dati!$DT$1:$DT$1000,MATCH($A16,Dati!$A$1:$A$1000,0))&gt;0,Dati!$AR$3&amp;": "&amp;INDEX(Dati!$AR$1:$AR$1000,MATCH($A16,Dati!$A$1:$A$1000,0))&amp;" · ","")&amp;IF(INDEX(Dati!$DU$1:$DU$1000,MATCH($A16,Dati!$A$1:$A$1000,0))&gt;0,Dati!$AS$3&amp;": "&amp;INDEX(Dati!$AS$1:$AS$1000,MATCH($A16,Dati!$A$1:$A$1000,0))&amp;" · ","")&amp;IF(INDEX(Dati!$DV$1:$DV$1000,MATCH($A16,Dati!$A$1:$A$1000,0))&gt;0,Dati!$AT$3&amp;": "&amp;INDEX(Dati!$AT$1:$AT$1000,MATCH($A16,Dati!$A$1:$A$1000,0))&amp;" · ",""),LEN(IF(INDEX(Dati!$DS$1:$DS$1000,MATCH($A16,Dati!$A$1:$A$1000,0))&gt;0,Dati!$AQ$3&amp;": "&amp;INDEX(Dati!$AQ$1:$AQ$1000,MATCH($A16,Dati!$A$1:$A$1000,0))&amp;" · ","")&amp;IF(INDEX(Dati!$DT$1:$DT$1000,MATCH($A16,Dati!$A$1:$A$1000,0))&gt;0,Dati!$AR$3&amp;": "&amp;INDEX(Dati!$AR$1:$AR$1000,MATCH($A16,Dati!$A$1:$A$1000,0))&amp;" · ","")&amp;IF(INDEX(Dati!$DU$1:$DU$1000,MATCH($A16,Dati!$A$1:$A$1000,0))&gt;0,Dati!$AS$3&amp;": "&amp;INDEX(Dati!$AS$1:$AS$1000,MATCH($A16,Dati!$A$1:$A$1000,0))&amp;" · ","")&amp;IF(INDEX(Dati!$DV$1:$DV$1000,MATCH($A16,Dati!$A$1:$A$1000,0))&gt;0,Dati!$AT$3&amp;": "&amp;INDEX(Dati!$AT$1:$AT$1000,MATCH($A16,Dati!$A$1:$A$1000,0))&amp;" · ",""))-3)),""))</f>
        <v/>
      </c>
      <c r="N16" s="55" t="str">
        <f aca="false">IF($B16="","",IFERROR(IF((IF(INDEX(Dati!$DW$1:$DW$1000,MATCH($A16,Dati!$A$1:$A$1000,0))&gt;0,Dati!$AU$3&amp;": "&amp;INDEX(Dati!$AU$1:$AU$1000,MATCH($A16,Dati!$A$1:$A$1000,0))&amp;" · ","")&amp;IF(INDEX(Dati!$DX$1:$DX$1000,MATCH($A16,Dati!$A$1:$A$1000,0))&gt;0,Dati!$AV$3&amp;": "&amp;INDEX(Dati!$AV$1:$AV$1000,MATCH($A16,Dati!$A$1:$A$1000,0))&amp;" · ","")&amp;IF(INDEX(Dati!$DY$1:$DY$1000,MATCH($A16,Dati!$A$1:$A$1000,0))&gt;0,Dati!$AW$3&amp;": "&amp;INDEX(Dati!$AW$1:$AW$1000,MATCH($A16,Dati!$A$1:$A$1000,0))&amp;" · ","")&amp;IF(INDEX(Dati!$DZ$1:$DZ$1000,MATCH($A16,Dati!$A$1:$A$1000,0))&gt;0,Dati!$AX$3&amp;": "&amp;INDEX(Dati!$AX$1:$AX$1000,MATCH($A16,Dati!$A$1:$A$1000,0))&amp;" · ",""))="",IF(INDEX(Dati!$FR$1:$FR$1000,MATCH($A16,Dati!$A$1:$A$1000,0))=1,"AS da recuperare",""),LEFT(IF(INDEX(Dati!$DW$1:$DW$1000,MATCH($A16,Dati!$A$1:$A$1000,0))&gt;0,Dati!$AU$3&amp;": "&amp;INDEX(Dati!$AU$1:$AU$1000,MATCH($A16,Dati!$A$1:$A$1000,0))&amp;" · ","")&amp;IF(INDEX(Dati!$DX$1:$DX$1000,MATCH($A16,Dati!$A$1:$A$1000,0))&gt;0,Dati!$AV$3&amp;": "&amp;INDEX(Dati!$AV$1:$AV$1000,MATCH($A16,Dati!$A$1:$A$1000,0))&amp;" · ","")&amp;IF(INDEX(Dati!$DY$1:$DY$1000,MATCH($A16,Dati!$A$1:$A$1000,0))&gt;0,Dati!$AW$3&amp;": "&amp;INDEX(Dati!$AW$1:$AW$1000,MATCH($A16,Dati!$A$1:$A$1000,0))&amp;" · ","")&amp;IF(INDEX(Dati!$DZ$1:$DZ$1000,MATCH($A16,Dati!$A$1:$A$1000,0))&gt;0,Dati!$AX$3&amp;": "&amp;INDEX(Dati!$AX$1:$AX$1000,MATCH($A16,Dati!$A$1:$A$1000,0))&amp;" · ",""),LEN(IF(INDEX(Dati!$DW$1:$DW$1000,MATCH($A16,Dati!$A$1:$A$1000,0))&gt;0,Dati!$AU$3&amp;": "&amp;INDEX(Dati!$AU$1:$AU$1000,MATCH($A16,Dati!$A$1:$A$1000,0))&amp;" · ","")&amp;IF(INDEX(Dati!$DX$1:$DX$1000,MATCH($A16,Dati!$A$1:$A$1000,0))&gt;0,Dati!$AV$3&amp;": "&amp;INDEX(Dati!$AV$1:$AV$1000,MATCH($A16,Dati!$A$1:$A$1000,0))&amp;" · ","")&amp;IF(INDEX(Dati!$DY$1:$DY$1000,MATCH($A16,Dati!$A$1:$A$1000,0))&gt;0,Dati!$AW$3&amp;": "&amp;INDEX(Dati!$AW$1:$AW$1000,MATCH($A16,Dati!$A$1:$A$1000,0))&amp;" · ","")&amp;IF(INDEX(Dati!$DZ$1:$DZ$1000,MATCH($A16,Dati!$A$1:$A$1000,0))&gt;0,Dati!$AX$3&amp;": "&amp;INDEX(Dati!$AX$1:$AX$1000,MATCH($A16,Dati!$A$1:$A$1000,0))&amp;" · ",""))-3)),""))</f>
        <v/>
      </c>
      <c r="O16" s="55" t="str">
        <f aca="false">IF($B16="","",IFERROR(IF((IF(INDEX(Dati!$EA$1:$EA$1000,MATCH($A16,Dati!$A$1:$A$1000,0))&gt;0,Dati!$AY$3&amp;": "&amp;INDEX(Dati!$AY$1:$AY$1000,MATCH($A16,Dati!$A$1:$A$1000,0))&amp;" · ","")&amp;IF(INDEX(Dati!$EB$1:$EB$1000,MATCH($A16,Dati!$A$1:$A$1000,0))&gt;0,Dati!$AZ$3&amp;": "&amp;INDEX(Dati!$AZ$1:$AZ$1000,MATCH($A16,Dati!$A$1:$A$1000,0))&amp;" · ","")&amp;IF(INDEX(Dati!$EC$1:$EC$1000,MATCH($A16,Dati!$A$1:$A$1000,0))&gt;0,Dati!$BA$3&amp;": "&amp;INDEX(Dati!$BA$1:$BA$1000,MATCH($A16,Dati!$A$1:$A$1000,0))&amp;" · ","")&amp;IF(INDEX(Dati!$ED$1:$ED$1000,MATCH($A16,Dati!$A$1:$A$1000,0))&gt;0,Dati!$BB$3&amp;": "&amp;INDEX(Dati!$BB$1:$BB$1000,MATCH($A16,Dati!$A$1:$A$1000,0))&amp;" · ",""))="",IF(INDEX(Dati!$FS$1:$FS$1000,MATCH($A16,Dati!$A$1:$A$1000,0))=1,"AS da recuperare",""),LEFT(IF(INDEX(Dati!$EA$1:$EA$1000,MATCH($A16,Dati!$A$1:$A$1000,0))&gt;0,Dati!$AY$3&amp;": "&amp;INDEX(Dati!$AY$1:$AY$1000,MATCH($A16,Dati!$A$1:$A$1000,0))&amp;" · ","")&amp;IF(INDEX(Dati!$EB$1:$EB$1000,MATCH($A16,Dati!$A$1:$A$1000,0))&gt;0,Dati!$AZ$3&amp;": "&amp;INDEX(Dati!$AZ$1:$AZ$1000,MATCH($A16,Dati!$A$1:$A$1000,0))&amp;" · ","")&amp;IF(INDEX(Dati!$EC$1:$EC$1000,MATCH($A16,Dati!$A$1:$A$1000,0))&gt;0,Dati!$BA$3&amp;": "&amp;INDEX(Dati!$BA$1:$BA$1000,MATCH($A16,Dati!$A$1:$A$1000,0))&amp;" · ","")&amp;IF(INDEX(Dati!$ED$1:$ED$1000,MATCH($A16,Dati!$A$1:$A$1000,0))&gt;0,Dati!$BB$3&amp;": "&amp;INDEX(Dati!$BB$1:$BB$1000,MATCH($A16,Dati!$A$1:$A$1000,0))&amp;" · ",""),LEN(IF(INDEX(Dati!$EA$1:$EA$1000,MATCH($A16,Dati!$A$1:$A$1000,0))&gt;0,Dati!$AY$3&amp;": "&amp;INDEX(Dati!$AY$1:$AY$1000,MATCH($A16,Dati!$A$1:$A$1000,0))&amp;" · ","")&amp;IF(INDEX(Dati!$EB$1:$EB$1000,MATCH($A16,Dati!$A$1:$A$1000,0))&gt;0,Dati!$AZ$3&amp;": "&amp;INDEX(Dati!$AZ$1:$AZ$1000,MATCH($A16,Dati!$A$1:$A$1000,0))&amp;" · ","")&amp;IF(INDEX(Dati!$EC$1:$EC$1000,MATCH($A16,Dati!$A$1:$A$1000,0))&gt;0,Dati!$BA$3&amp;": "&amp;INDEX(Dati!$BA$1:$BA$1000,MATCH($A16,Dati!$A$1:$A$1000,0))&amp;" · ","")&amp;IF(INDEX(Dati!$ED$1:$ED$1000,MATCH($A16,Dati!$A$1:$A$1000,0))&gt;0,Dati!$BB$3&amp;": "&amp;INDEX(Dati!$BB$1:$BB$1000,MATCH($A16,Dati!$A$1:$A$1000,0))&amp;" · ",""))-3)),""))</f>
        <v/>
      </c>
      <c r="P16" s="55" t="str">
        <f aca="false">IF($B16="","",IFERROR(IF((IF(INDEX(Dati!$EE$1:$EE$1000,MATCH($A16,Dati!$A$1:$A$1000,0))&gt;0,Dati!$BC$3&amp;": "&amp;INDEX(Dati!$BC$1:$BC$1000,MATCH($A16,Dati!$A$1:$A$1000,0))&amp;" · ","")&amp;IF(INDEX(Dati!$EF$1:$EF$1000,MATCH($A16,Dati!$A$1:$A$1000,0))&gt;0,Dati!$BD$3&amp;": "&amp;INDEX(Dati!$BD$1:$BD$1000,MATCH($A16,Dati!$A$1:$A$1000,0))&amp;" · ","")&amp;IF(INDEX(Dati!$EG$1:$EG$1000,MATCH($A16,Dati!$A$1:$A$1000,0))&gt;0,Dati!$BE$3&amp;": "&amp;INDEX(Dati!$BE$1:$BE$1000,MATCH($A16,Dati!$A$1:$A$1000,0))&amp;" · ","")&amp;IF(INDEX(Dati!$EH$1:$EH$1000,MATCH($A16,Dati!$A$1:$A$1000,0))&gt;0,Dati!$BF$3&amp;": "&amp;INDEX(Dati!$BF$1:$BF$1000,MATCH($A16,Dati!$A$1:$A$1000,0))&amp;" · ",""))="",IF(INDEX(Dati!$FT$1:$FT$1000,MATCH($A16,Dati!$A$1:$A$1000,0))=1,"AS da recuperare",""),LEFT(IF(INDEX(Dati!$EE$1:$EE$1000,MATCH($A16,Dati!$A$1:$A$1000,0))&gt;0,Dati!$BC$3&amp;": "&amp;INDEX(Dati!$BC$1:$BC$1000,MATCH($A16,Dati!$A$1:$A$1000,0))&amp;" · ","")&amp;IF(INDEX(Dati!$EF$1:$EF$1000,MATCH($A16,Dati!$A$1:$A$1000,0))&gt;0,Dati!$BD$3&amp;": "&amp;INDEX(Dati!$BD$1:$BD$1000,MATCH($A16,Dati!$A$1:$A$1000,0))&amp;" · ","")&amp;IF(INDEX(Dati!$EG$1:$EG$1000,MATCH($A16,Dati!$A$1:$A$1000,0))&gt;0,Dati!$BE$3&amp;": "&amp;INDEX(Dati!$BE$1:$BE$1000,MATCH($A16,Dati!$A$1:$A$1000,0))&amp;" · ","")&amp;IF(INDEX(Dati!$EH$1:$EH$1000,MATCH($A16,Dati!$A$1:$A$1000,0))&gt;0,Dati!$BF$3&amp;": "&amp;INDEX(Dati!$BF$1:$BF$1000,MATCH($A16,Dati!$A$1:$A$1000,0))&amp;" · ",""),LEN(IF(INDEX(Dati!$EE$1:$EE$1000,MATCH($A16,Dati!$A$1:$A$1000,0))&gt;0,Dati!$BC$3&amp;": "&amp;INDEX(Dati!$BC$1:$BC$1000,MATCH($A16,Dati!$A$1:$A$1000,0))&amp;" · ","")&amp;IF(INDEX(Dati!$EF$1:$EF$1000,MATCH($A16,Dati!$A$1:$A$1000,0))&gt;0,Dati!$BD$3&amp;": "&amp;INDEX(Dati!$BD$1:$BD$1000,MATCH($A16,Dati!$A$1:$A$1000,0))&amp;" · ","")&amp;IF(INDEX(Dati!$EG$1:$EG$1000,MATCH($A16,Dati!$A$1:$A$1000,0))&gt;0,Dati!$BE$3&amp;": "&amp;INDEX(Dati!$BE$1:$BE$1000,MATCH($A16,Dati!$A$1:$A$1000,0))&amp;" · ","")&amp;IF(INDEX(Dati!$EH$1:$EH$1000,MATCH($A16,Dati!$A$1:$A$1000,0))&gt;0,Dati!$BF$3&amp;": "&amp;INDEX(Dati!$BF$1:$BF$1000,MATCH($A16,Dati!$A$1:$A$1000,0))&amp;" · ",""))-3)),""))</f>
        <v/>
      </c>
      <c r="Q16" s="55" t="str">
        <f aca="false">IF($B16="","",IFERROR(IF((IF(INDEX(Dati!$EI$1:$EI$1000,MATCH($A16,Dati!$A$1:$A$1000,0))&gt;0,Dati!$BG$3&amp;": "&amp;INDEX(Dati!$BG$1:$BG$1000,MATCH($A16,Dati!$A$1:$A$1000,0))&amp;" · ","")&amp;IF(INDEX(Dati!$EJ$1:$EJ$1000,MATCH($A16,Dati!$A$1:$A$1000,0))&gt;0,Dati!$BH$3&amp;": "&amp;INDEX(Dati!$BH$1:$BH$1000,MATCH($A16,Dati!$A$1:$A$1000,0))&amp;" · ","")&amp;IF(INDEX(Dati!$EK$1:$EK$1000,MATCH($A16,Dati!$A$1:$A$1000,0))&gt;0,Dati!$BI$3&amp;": "&amp;INDEX(Dati!$BI$1:$BI$1000,MATCH($A16,Dati!$A$1:$A$1000,0))&amp;" · ","")&amp;IF(INDEX(Dati!$EL$1:$EL$1000,MATCH($A16,Dati!$A$1:$A$1000,0))&gt;0,Dati!$BJ$3&amp;": "&amp;INDEX(Dati!$BJ$1:$BJ$1000,MATCH($A16,Dati!$A$1:$A$1000,0))&amp;" · ",""))="",IF(INDEX(Dati!$FU$1:$FU$1000,MATCH($A16,Dati!$A$1:$A$1000,0))=1,"AS da recuperare",""),LEFT(IF(INDEX(Dati!$EI$1:$EI$1000,MATCH($A16,Dati!$A$1:$A$1000,0))&gt;0,Dati!$BG$3&amp;": "&amp;INDEX(Dati!$BG$1:$BG$1000,MATCH($A16,Dati!$A$1:$A$1000,0))&amp;" · ","")&amp;IF(INDEX(Dati!$EJ$1:$EJ$1000,MATCH($A16,Dati!$A$1:$A$1000,0))&gt;0,Dati!$BH$3&amp;": "&amp;INDEX(Dati!$BH$1:$BH$1000,MATCH($A16,Dati!$A$1:$A$1000,0))&amp;" · ","")&amp;IF(INDEX(Dati!$EK$1:$EK$1000,MATCH($A16,Dati!$A$1:$A$1000,0))&gt;0,Dati!$BI$3&amp;": "&amp;INDEX(Dati!$BI$1:$BI$1000,MATCH($A16,Dati!$A$1:$A$1000,0))&amp;" · ","")&amp;IF(INDEX(Dati!$EL$1:$EL$1000,MATCH($A16,Dati!$A$1:$A$1000,0))&gt;0,Dati!$BJ$3&amp;": "&amp;INDEX(Dati!$BJ$1:$BJ$1000,MATCH($A16,Dati!$A$1:$A$1000,0))&amp;" · ",""),LEN(IF(INDEX(Dati!$EI$1:$EI$1000,MATCH($A16,Dati!$A$1:$A$1000,0))&gt;0,Dati!$BG$3&amp;": "&amp;INDEX(Dati!$BG$1:$BG$1000,MATCH($A16,Dati!$A$1:$A$1000,0))&amp;" · ","")&amp;IF(INDEX(Dati!$EJ$1:$EJ$1000,MATCH($A16,Dati!$A$1:$A$1000,0))&gt;0,Dati!$BH$3&amp;": "&amp;INDEX(Dati!$BH$1:$BH$1000,MATCH($A16,Dati!$A$1:$A$1000,0))&amp;" · ","")&amp;IF(INDEX(Dati!$EK$1:$EK$1000,MATCH($A16,Dati!$A$1:$A$1000,0))&gt;0,Dati!$BI$3&amp;": "&amp;INDEX(Dati!$BI$1:$BI$1000,MATCH($A16,Dati!$A$1:$A$1000,0))&amp;" · ","")&amp;IF(INDEX(Dati!$EL$1:$EL$1000,MATCH($A16,Dati!$A$1:$A$1000,0))&gt;0,Dati!$BJ$3&amp;": "&amp;INDEX(Dati!$BJ$1:$BJ$1000,MATCH($A16,Dati!$A$1:$A$1000,0))&amp;" · ",""))-3)),""))</f>
        <v/>
      </c>
      <c r="R16" s="55" t="str">
        <f aca="false">IF($B16="","",IFERROR(IF((IF(INDEX(Dati!$EM$1:$EM$1000,MATCH($A16,Dati!$A$1:$A$1000,0))&gt;0,Dati!$BK$3&amp;": "&amp;INDEX(Dati!$BK$1:$BK$1000,MATCH($A16,Dati!$A$1:$A$1000,0))&amp;" · ","")&amp;IF(INDEX(Dati!$EN$1:$EN$1000,MATCH($A16,Dati!$A$1:$A$1000,0))&gt;0,Dati!$BL$3&amp;": "&amp;INDEX(Dati!$BL$1:$BL$1000,MATCH($A16,Dati!$A$1:$A$1000,0))&amp;" · ","")&amp;IF(INDEX(Dati!$EO$1:$EO$1000,MATCH($A16,Dati!$A$1:$A$1000,0))&gt;0,Dati!$BM$3&amp;": "&amp;INDEX(Dati!$BM$1:$BM$1000,MATCH($A16,Dati!$A$1:$A$1000,0))&amp;" · ","")&amp;IF(INDEX(Dati!$EP$1:$EP$1000,MATCH($A16,Dati!$A$1:$A$1000,0))&gt;0,Dati!$BN$3&amp;": "&amp;INDEX(Dati!$BN$1:$BN$1000,MATCH($A16,Dati!$A$1:$A$1000,0))&amp;" · ",""))="",IF(INDEX(Dati!$FV$1:$FV$1000,MATCH($A16,Dati!$A$1:$A$1000,0))=1,"AS da recuperare",""),LEFT(IF(INDEX(Dati!$EM$1:$EM$1000,MATCH($A16,Dati!$A$1:$A$1000,0))&gt;0,Dati!$BK$3&amp;": "&amp;INDEX(Dati!$BK$1:$BK$1000,MATCH($A16,Dati!$A$1:$A$1000,0))&amp;" · ","")&amp;IF(INDEX(Dati!$EN$1:$EN$1000,MATCH($A16,Dati!$A$1:$A$1000,0))&gt;0,Dati!$BL$3&amp;": "&amp;INDEX(Dati!$BL$1:$BL$1000,MATCH($A16,Dati!$A$1:$A$1000,0))&amp;" · ","")&amp;IF(INDEX(Dati!$EO$1:$EO$1000,MATCH($A16,Dati!$A$1:$A$1000,0))&gt;0,Dati!$BM$3&amp;": "&amp;INDEX(Dati!$BM$1:$BM$1000,MATCH($A16,Dati!$A$1:$A$1000,0))&amp;" · ","")&amp;IF(INDEX(Dati!$EP$1:$EP$1000,MATCH($A16,Dati!$A$1:$A$1000,0))&gt;0,Dati!$BN$3&amp;": "&amp;INDEX(Dati!$BN$1:$BN$1000,MATCH($A16,Dati!$A$1:$A$1000,0))&amp;" · ",""),LEN(IF(INDEX(Dati!$EM$1:$EM$1000,MATCH($A16,Dati!$A$1:$A$1000,0))&gt;0,Dati!$BK$3&amp;": "&amp;INDEX(Dati!$BK$1:$BK$1000,MATCH($A16,Dati!$A$1:$A$1000,0))&amp;" · ","")&amp;IF(INDEX(Dati!$EN$1:$EN$1000,MATCH($A16,Dati!$A$1:$A$1000,0))&gt;0,Dati!$BL$3&amp;": "&amp;INDEX(Dati!$BL$1:$BL$1000,MATCH($A16,Dati!$A$1:$A$1000,0))&amp;" · ","")&amp;IF(INDEX(Dati!$EO$1:$EO$1000,MATCH($A16,Dati!$A$1:$A$1000,0))&gt;0,Dati!$BM$3&amp;": "&amp;INDEX(Dati!$BM$1:$BM$1000,MATCH($A16,Dati!$A$1:$A$1000,0))&amp;" · ","")&amp;IF(INDEX(Dati!$EP$1:$EP$1000,MATCH($A16,Dati!$A$1:$A$1000,0))&gt;0,Dati!$BN$3&amp;": "&amp;INDEX(Dati!$BN$1:$BN$1000,MATCH($A16,Dati!$A$1:$A$1000,0))&amp;" · ",""))-3)),""))</f>
        <v/>
      </c>
      <c r="S16" s="55" t="str">
        <f aca="false">IF($B16="","",IFERROR(IF((IF(INDEX(Dati!$EQ$1:$EQ$1000,MATCH($A16,Dati!$A$1:$A$1000,0))&gt;0,Dati!$BO$3&amp;": "&amp;INDEX(Dati!$BO$1:$BO$1000,MATCH($A16,Dati!$A$1:$A$1000,0))&amp;" · ","")&amp;IF(INDEX(Dati!$ER$1:$ER$1000,MATCH($A16,Dati!$A$1:$A$1000,0))&gt;0,Dati!$BP$3&amp;": "&amp;INDEX(Dati!$BP$1:$BP$1000,MATCH($A16,Dati!$A$1:$A$1000,0))&amp;" · ","")&amp;IF(INDEX(Dati!$ES$1:$ES$1000,MATCH($A16,Dati!$A$1:$A$1000,0))&gt;0,Dati!$BQ$3&amp;": "&amp;INDEX(Dati!$BQ$1:$BQ$1000,MATCH($A16,Dati!$A$1:$A$1000,0))&amp;" · ","")&amp;IF(INDEX(Dati!$ET$1:$ET$1000,MATCH($A16,Dati!$A$1:$A$1000,0))&gt;0,Dati!$BR$3&amp;": "&amp;INDEX(Dati!$BR$1:$BR$1000,MATCH($A16,Dati!$A$1:$A$1000,0))&amp;" · ",""))="",IF(INDEX(Dati!$FW$1:$FW$1000,MATCH($A16,Dati!$A$1:$A$1000,0))=1,"AS da recuperare",""),LEFT(IF(INDEX(Dati!$EQ$1:$EQ$1000,MATCH($A16,Dati!$A$1:$A$1000,0))&gt;0,Dati!$BO$3&amp;": "&amp;INDEX(Dati!$BO$1:$BO$1000,MATCH($A16,Dati!$A$1:$A$1000,0))&amp;" · ","")&amp;IF(INDEX(Dati!$ER$1:$ER$1000,MATCH($A16,Dati!$A$1:$A$1000,0))&gt;0,Dati!$BP$3&amp;": "&amp;INDEX(Dati!$BP$1:$BP$1000,MATCH($A16,Dati!$A$1:$A$1000,0))&amp;" · ","")&amp;IF(INDEX(Dati!$ES$1:$ES$1000,MATCH($A16,Dati!$A$1:$A$1000,0))&gt;0,Dati!$BQ$3&amp;": "&amp;INDEX(Dati!$BQ$1:$BQ$1000,MATCH($A16,Dati!$A$1:$A$1000,0))&amp;" · ","")&amp;IF(INDEX(Dati!$ET$1:$ET$1000,MATCH($A16,Dati!$A$1:$A$1000,0))&gt;0,Dati!$BR$3&amp;": "&amp;INDEX(Dati!$BR$1:$BR$1000,MATCH($A16,Dati!$A$1:$A$1000,0))&amp;" · ",""),LEN(IF(INDEX(Dati!$EQ$1:$EQ$1000,MATCH($A16,Dati!$A$1:$A$1000,0))&gt;0,Dati!$BO$3&amp;": "&amp;INDEX(Dati!$BO$1:$BO$1000,MATCH($A16,Dati!$A$1:$A$1000,0))&amp;" · ","")&amp;IF(INDEX(Dati!$ER$1:$ER$1000,MATCH($A16,Dati!$A$1:$A$1000,0))&gt;0,Dati!$BP$3&amp;": "&amp;INDEX(Dati!$BP$1:$BP$1000,MATCH($A16,Dati!$A$1:$A$1000,0))&amp;" · ","")&amp;IF(INDEX(Dati!$ES$1:$ES$1000,MATCH($A16,Dati!$A$1:$A$1000,0))&gt;0,Dati!$BQ$3&amp;": "&amp;INDEX(Dati!$BQ$1:$BQ$1000,MATCH($A16,Dati!$A$1:$A$1000,0))&amp;" · ","")&amp;IF(INDEX(Dati!$ET$1:$ET$1000,MATCH($A16,Dati!$A$1:$A$1000,0))&gt;0,Dati!$BR$3&amp;": "&amp;INDEX(Dati!$BR$1:$BR$1000,MATCH($A16,Dati!$A$1:$A$1000,0))&amp;" · ",""))-3)),""))</f>
        <v/>
      </c>
      <c r="T16" s="55" t="str">
        <f aca="false">IF($B16="","",IFERROR(IF((IF(INDEX(Dati!$EU$1:$EU$1000,MATCH($A16,Dati!$A$1:$A$1000,0))&gt;0,Dati!$BS$3&amp;": "&amp;INDEX(Dati!$BS$1:$BS$1000,MATCH($A16,Dati!$A$1:$A$1000,0))&amp;" · ","")&amp;IF(INDEX(Dati!$EV$1:$EV$1000,MATCH($A16,Dati!$A$1:$A$1000,0))&gt;0,Dati!$BT$3&amp;": "&amp;INDEX(Dati!$BT$1:$BT$1000,MATCH($A16,Dati!$A$1:$A$1000,0))&amp;" · ","")&amp;IF(INDEX(Dati!$EW$1:$EW$1000,MATCH($A16,Dati!$A$1:$A$1000,0))&gt;0,Dati!$BU$3&amp;": "&amp;INDEX(Dati!$BU$1:$BU$1000,MATCH($A16,Dati!$A$1:$A$1000,0))&amp;" · ","")&amp;IF(INDEX(Dati!$EX$1:$EX$1000,MATCH($A16,Dati!$A$1:$A$1000,0))&gt;0,Dati!$BV$3&amp;": "&amp;INDEX(Dati!$BV$1:$BV$1000,MATCH($A16,Dati!$A$1:$A$1000,0))&amp;" · ",""))="",IF(INDEX(Dati!$FX$1:$FX$1000,MATCH($A16,Dati!$A$1:$A$1000,0))=1,"AS da recuperare",""),LEFT(IF(INDEX(Dati!$EU$1:$EU$1000,MATCH($A16,Dati!$A$1:$A$1000,0))&gt;0,Dati!$BS$3&amp;": "&amp;INDEX(Dati!$BS$1:$BS$1000,MATCH($A16,Dati!$A$1:$A$1000,0))&amp;" · ","")&amp;IF(INDEX(Dati!$EV$1:$EV$1000,MATCH($A16,Dati!$A$1:$A$1000,0))&gt;0,Dati!$BT$3&amp;": "&amp;INDEX(Dati!$BT$1:$BT$1000,MATCH($A16,Dati!$A$1:$A$1000,0))&amp;" · ","")&amp;IF(INDEX(Dati!$EW$1:$EW$1000,MATCH($A16,Dati!$A$1:$A$1000,0))&gt;0,Dati!$BU$3&amp;": "&amp;INDEX(Dati!$BU$1:$BU$1000,MATCH($A16,Dati!$A$1:$A$1000,0))&amp;" · ","")&amp;IF(INDEX(Dati!$EX$1:$EX$1000,MATCH($A16,Dati!$A$1:$A$1000,0))&gt;0,Dati!$BV$3&amp;": "&amp;INDEX(Dati!$BV$1:$BV$1000,MATCH($A16,Dati!$A$1:$A$1000,0))&amp;" · ",""),LEN(IF(INDEX(Dati!$EU$1:$EU$1000,MATCH($A16,Dati!$A$1:$A$1000,0))&gt;0,Dati!$BS$3&amp;": "&amp;INDEX(Dati!$BS$1:$BS$1000,MATCH($A16,Dati!$A$1:$A$1000,0))&amp;" · ","")&amp;IF(INDEX(Dati!$EV$1:$EV$1000,MATCH($A16,Dati!$A$1:$A$1000,0))&gt;0,Dati!$BT$3&amp;": "&amp;INDEX(Dati!$BT$1:$BT$1000,MATCH($A16,Dati!$A$1:$A$1000,0))&amp;" · ","")&amp;IF(INDEX(Dati!$EW$1:$EW$1000,MATCH($A16,Dati!$A$1:$A$1000,0))&gt;0,Dati!$BU$3&amp;": "&amp;INDEX(Dati!$BU$1:$BU$1000,MATCH($A16,Dati!$A$1:$A$1000,0))&amp;" · ","")&amp;IF(INDEX(Dati!$EX$1:$EX$1000,MATCH($A16,Dati!$A$1:$A$1000,0))&gt;0,Dati!$BV$3&amp;": "&amp;INDEX(Dati!$BV$1:$BV$1000,MATCH($A16,Dati!$A$1:$A$1000,0))&amp;" · ",""))-3)),""))</f>
        <v/>
      </c>
      <c r="U16" s="55" t="str">
        <f aca="false">IF($B16="","",IFERROR(IF((IF(INDEX(Dati!$EY$1:$EY$1000,MATCH($A16,Dati!$A$1:$A$1000,0))&gt;0,Dati!$BW$3&amp;": "&amp;INDEX(Dati!$BW$1:$BW$1000,MATCH($A16,Dati!$A$1:$A$1000,0))&amp;" · ","")&amp;IF(INDEX(Dati!$EZ$1:$EZ$1000,MATCH($A16,Dati!$A$1:$A$1000,0))&gt;0,Dati!$BX$3&amp;": "&amp;INDEX(Dati!$BX$1:$BX$1000,MATCH($A16,Dati!$A$1:$A$1000,0))&amp;" · ","")&amp;IF(INDEX(Dati!$FA$1:$FA$1000,MATCH($A16,Dati!$A$1:$A$1000,0))&gt;0,Dati!$BY$3&amp;": "&amp;INDEX(Dati!$BY$1:$BY$1000,MATCH($A16,Dati!$A$1:$A$1000,0))&amp;" · ","")&amp;IF(INDEX(Dati!$FB$1:$FB$1000,MATCH($A16,Dati!$A$1:$A$1000,0))&gt;0,Dati!$BZ$3&amp;": "&amp;INDEX(Dati!$BZ$1:$BZ$1000,MATCH($A16,Dati!$A$1:$A$1000,0))&amp;" · ",""))="",IF(INDEX(Dati!$FY$1:$FY$1000,MATCH($A16,Dati!$A$1:$A$1000,0))=1,"AS da recuperare",""),LEFT(IF(INDEX(Dati!$EY$1:$EY$1000,MATCH($A16,Dati!$A$1:$A$1000,0))&gt;0,Dati!$BW$3&amp;": "&amp;INDEX(Dati!$BW$1:$BW$1000,MATCH($A16,Dati!$A$1:$A$1000,0))&amp;" · ","")&amp;IF(INDEX(Dati!$EZ$1:$EZ$1000,MATCH($A16,Dati!$A$1:$A$1000,0))&gt;0,Dati!$BX$3&amp;": "&amp;INDEX(Dati!$BX$1:$BX$1000,MATCH($A16,Dati!$A$1:$A$1000,0))&amp;" · ","")&amp;IF(INDEX(Dati!$FA$1:$FA$1000,MATCH($A16,Dati!$A$1:$A$1000,0))&gt;0,Dati!$BY$3&amp;": "&amp;INDEX(Dati!$BY$1:$BY$1000,MATCH($A16,Dati!$A$1:$A$1000,0))&amp;" · ","")&amp;IF(INDEX(Dati!$FB$1:$FB$1000,MATCH($A16,Dati!$A$1:$A$1000,0))&gt;0,Dati!$BZ$3&amp;": "&amp;INDEX(Dati!$BZ$1:$BZ$1000,MATCH($A16,Dati!$A$1:$A$1000,0))&amp;" · ",""),LEN(IF(INDEX(Dati!$EY$1:$EY$1000,MATCH($A16,Dati!$A$1:$A$1000,0))&gt;0,Dati!$BW$3&amp;": "&amp;INDEX(Dati!$BW$1:$BW$1000,MATCH($A16,Dati!$A$1:$A$1000,0))&amp;" · ","")&amp;IF(INDEX(Dati!$EZ$1:$EZ$1000,MATCH($A16,Dati!$A$1:$A$1000,0))&gt;0,Dati!$BX$3&amp;": "&amp;INDEX(Dati!$BX$1:$BX$1000,MATCH($A16,Dati!$A$1:$A$1000,0))&amp;" · ","")&amp;IF(INDEX(Dati!$FA$1:$FA$1000,MATCH($A16,Dati!$A$1:$A$1000,0))&gt;0,Dati!$BY$3&amp;": "&amp;INDEX(Dati!$BY$1:$BY$1000,MATCH($A16,Dati!$A$1:$A$1000,0))&amp;" · ","")&amp;IF(INDEX(Dati!$FB$1:$FB$1000,MATCH($A16,Dati!$A$1:$A$1000,0))&gt;0,Dati!$BZ$3&amp;": "&amp;INDEX(Dati!$BZ$1:$BZ$1000,MATCH($A16,Dati!$A$1:$A$1000,0))&amp;" · ",""))-3)),""))</f>
        <v/>
      </c>
      <c r="V16" s="55" t="str">
        <f aca="false">IF($B16="","",IFERROR(IF((IF(INDEX(Dati!$FC$1:$FC$1000,MATCH($A16,Dati!$A$1:$A$1000,0))&gt;0,Dati!$CA$3&amp;": "&amp;INDEX(Dati!$CA$1:$CA$1000,MATCH($A16,Dati!$A$1:$A$1000,0))&amp;" · ","")&amp;IF(INDEX(Dati!$FD$1:$FD$1000,MATCH($A16,Dati!$A$1:$A$1000,0))&gt;0,Dati!$CB$3&amp;": "&amp;INDEX(Dati!$CB$1:$CB$1000,MATCH($A16,Dati!$A$1:$A$1000,0))&amp;" · ","")&amp;IF(INDEX(Dati!$FE$1:$FE$1000,MATCH($A16,Dati!$A$1:$A$1000,0))&gt;0,Dati!$CC$3&amp;": "&amp;INDEX(Dati!$CC$1:$CC$1000,MATCH($A16,Dati!$A$1:$A$1000,0))&amp;" · ","")&amp;IF(INDEX(Dati!$FF$1:$FF$1000,MATCH($A16,Dati!$A$1:$A$1000,0))&gt;0,Dati!$CD$3&amp;": "&amp;INDEX(Dati!$CD$1:$CD$1000,MATCH($A16,Dati!$A$1:$A$1000,0))&amp;" · ",""))="",IF(INDEX(Dati!$FZ$1:$FZ$1000,MATCH($A16,Dati!$A$1:$A$1000,0))=1,"AS da recuperare",""),LEFT(IF(INDEX(Dati!$FC$1:$FC$1000,MATCH($A16,Dati!$A$1:$A$1000,0))&gt;0,Dati!$CA$3&amp;": "&amp;INDEX(Dati!$CA$1:$CA$1000,MATCH($A16,Dati!$A$1:$A$1000,0))&amp;" · ","")&amp;IF(INDEX(Dati!$FD$1:$FD$1000,MATCH($A16,Dati!$A$1:$A$1000,0))&gt;0,Dati!$CB$3&amp;": "&amp;INDEX(Dati!$CB$1:$CB$1000,MATCH($A16,Dati!$A$1:$A$1000,0))&amp;" · ","")&amp;IF(INDEX(Dati!$FE$1:$FE$1000,MATCH($A16,Dati!$A$1:$A$1000,0))&gt;0,Dati!$CC$3&amp;": "&amp;INDEX(Dati!$CC$1:$CC$1000,MATCH($A16,Dati!$A$1:$A$1000,0))&amp;" · ","")&amp;IF(INDEX(Dati!$FF$1:$FF$1000,MATCH($A16,Dati!$A$1:$A$1000,0))&gt;0,Dati!$CD$3&amp;": "&amp;INDEX(Dati!$CD$1:$CD$1000,MATCH($A16,Dati!$A$1:$A$1000,0))&amp;" · ",""),LEN(IF(INDEX(Dati!$FC$1:$FC$1000,MATCH($A16,Dati!$A$1:$A$1000,0))&gt;0,Dati!$CA$3&amp;": "&amp;INDEX(Dati!$CA$1:$CA$1000,MATCH($A16,Dati!$A$1:$A$1000,0))&amp;" · ","")&amp;IF(INDEX(Dati!$FD$1:$FD$1000,MATCH($A16,Dati!$A$1:$A$1000,0))&gt;0,Dati!$CB$3&amp;": "&amp;INDEX(Dati!$CB$1:$CB$1000,MATCH($A16,Dati!$A$1:$A$1000,0))&amp;" · ","")&amp;IF(INDEX(Dati!$FE$1:$FE$1000,MATCH($A16,Dati!$A$1:$A$1000,0))&gt;0,Dati!$CC$3&amp;": "&amp;INDEX(Dati!$CC$1:$CC$1000,MATCH($A16,Dati!$A$1:$A$1000,0))&amp;" · ","")&amp;IF(INDEX(Dati!$FF$1:$FF$1000,MATCH($A16,Dati!$A$1:$A$1000,0))&gt;0,Dati!$CD$3&amp;": "&amp;INDEX(Dati!$CD$1:$CD$1000,MATCH($A16,Dati!$A$1:$A$1000,0))&amp;" · ",""))-3)),""))</f>
        <v/>
      </c>
    </row>
    <row r="17" customFormat="false" ht="19.5" hidden="false" customHeight="true" outlineLevel="0" collapsed="false">
      <c r="A17" s="10" t="n">
        <v>13</v>
      </c>
      <c r="B17" s="16" t="str">
        <f aca="false">IFERROR(INDEX(Alunni!$C$1:$C$1000,MATCH($A17,Alunni!$A$1:$A$1000,0))&amp;"","")</f>
        <v/>
      </c>
      <c r="C17" s="55" t="str">
        <f aca="false">IF($B17="","",IFERROR(IF((IF(INDEX(Dati!$CE$1:$CE$1000,MATCH($A17,Dati!$A$1:$A$1000,0))&gt;0,Dati!$C$3&amp;": "&amp;INDEX(Dati!$C$1:$C$1000,MATCH($A17,Dati!$A$1:$A$1000,0))&amp;" · ","")&amp;IF(INDEX(Dati!$CF$1:$CF$1000,MATCH($A17,Dati!$A$1:$A$1000,0))&gt;0,Dati!$D$3&amp;": "&amp;INDEX(Dati!$D$1:$D$1000,MATCH($A17,Dati!$A$1:$A$1000,0))&amp;" · ","")&amp;IF(INDEX(Dati!$CG$1:$CG$1000,MATCH($A17,Dati!$A$1:$A$1000,0))&gt;0,Dati!$E$3&amp;": "&amp;INDEX(Dati!$E$1:$E$1000,MATCH($A17,Dati!$A$1:$A$1000,0))&amp;" · ","")&amp;IF(INDEX(Dati!$CH$1:$CH$1000,MATCH($A17,Dati!$A$1:$A$1000,0))&gt;0,Dati!$F$3&amp;": "&amp;INDEX(Dati!$F$1:$F$1000,MATCH($A17,Dati!$A$1:$A$1000,0))&amp;" · ",""))="",IF(INDEX(Dati!$FG$1:$FG$1000,MATCH($A17,Dati!$A$1:$A$1000,0))=1,"AS da recuperare",""),LEFT(IF(INDEX(Dati!$CE$1:$CE$1000,MATCH($A17,Dati!$A$1:$A$1000,0))&gt;0,Dati!$C$3&amp;": "&amp;INDEX(Dati!$C$1:$C$1000,MATCH($A17,Dati!$A$1:$A$1000,0))&amp;" · ","")&amp;IF(INDEX(Dati!$CF$1:$CF$1000,MATCH($A17,Dati!$A$1:$A$1000,0))&gt;0,Dati!$D$3&amp;": "&amp;INDEX(Dati!$D$1:$D$1000,MATCH($A17,Dati!$A$1:$A$1000,0))&amp;" · ","")&amp;IF(INDEX(Dati!$CG$1:$CG$1000,MATCH($A17,Dati!$A$1:$A$1000,0))&gt;0,Dati!$E$3&amp;": "&amp;INDEX(Dati!$E$1:$E$1000,MATCH($A17,Dati!$A$1:$A$1000,0))&amp;" · ","")&amp;IF(INDEX(Dati!$CH$1:$CH$1000,MATCH($A17,Dati!$A$1:$A$1000,0))&gt;0,Dati!$F$3&amp;": "&amp;INDEX(Dati!$F$1:$F$1000,MATCH($A17,Dati!$A$1:$A$1000,0))&amp;" · ",""),LEN(IF(INDEX(Dati!$CE$1:$CE$1000,MATCH($A17,Dati!$A$1:$A$1000,0))&gt;0,Dati!$C$3&amp;": "&amp;INDEX(Dati!$C$1:$C$1000,MATCH($A17,Dati!$A$1:$A$1000,0))&amp;" · ","")&amp;IF(INDEX(Dati!$CF$1:$CF$1000,MATCH($A17,Dati!$A$1:$A$1000,0))&gt;0,Dati!$D$3&amp;": "&amp;INDEX(Dati!$D$1:$D$1000,MATCH($A17,Dati!$A$1:$A$1000,0))&amp;" · ","")&amp;IF(INDEX(Dati!$CG$1:$CG$1000,MATCH($A17,Dati!$A$1:$A$1000,0))&gt;0,Dati!$E$3&amp;": "&amp;INDEX(Dati!$E$1:$E$1000,MATCH($A17,Dati!$A$1:$A$1000,0))&amp;" · ","")&amp;IF(INDEX(Dati!$CH$1:$CH$1000,MATCH($A17,Dati!$A$1:$A$1000,0))&gt;0,Dati!$F$3&amp;": "&amp;INDEX(Dati!$F$1:$F$1000,MATCH($A17,Dati!$A$1:$A$1000,0))&amp;" · ",""))-3)),""))</f>
        <v/>
      </c>
      <c r="D17" s="55" t="str">
        <f aca="false">IF($B17="","",IFERROR(IF((IF(INDEX(Dati!$CI$1:$CI$1000,MATCH($A17,Dati!$A$1:$A$1000,0))&gt;0,Dati!$G$3&amp;": "&amp;INDEX(Dati!$G$1:$G$1000,MATCH($A17,Dati!$A$1:$A$1000,0))&amp;" · ","")&amp;IF(INDEX(Dati!$CJ$1:$CJ$1000,MATCH($A17,Dati!$A$1:$A$1000,0))&gt;0,Dati!$H$3&amp;": "&amp;INDEX(Dati!$H$1:$H$1000,MATCH($A17,Dati!$A$1:$A$1000,0))&amp;" · ","")&amp;IF(INDEX(Dati!$CK$1:$CK$1000,MATCH($A17,Dati!$A$1:$A$1000,0))&gt;0,Dati!$I$3&amp;": "&amp;INDEX(Dati!$I$1:$I$1000,MATCH($A17,Dati!$A$1:$A$1000,0))&amp;" · ","")&amp;IF(INDEX(Dati!$CL$1:$CL$1000,MATCH($A17,Dati!$A$1:$A$1000,0))&gt;0,Dati!$J$3&amp;": "&amp;INDEX(Dati!$J$1:$J$1000,MATCH($A17,Dati!$A$1:$A$1000,0))&amp;" · ",""))="",IF(INDEX(Dati!$FH$1:$FH$1000,MATCH($A17,Dati!$A$1:$A$1000,0))=1,"AS da recuperare",""),LEFT(IF(INDEX(Dati!$CI$1:$CI$1000,MATCH($A17,Dati!$A$1:$A$1000,0))&gt;0,Dati!$G$3&amp;": "&amp;INDEX(Dati!$G$1:$G$1000,MATCH($A17,Dati!$A$1:$A$1000,0))&amp;" · ","")&amp;IF(INDEX(Dati!$CJ$1:$CJ$1000,MATCH($A17,Dati!$A$1:$A$1000,0))&gt;0,Dati!$H$3&amp;": "&amp;INDEX(Dati!$H$1:$H$1000,MATCH($A17,Dati!$A$1:$A$1000,0))&amp;" · ","")&amp;IF(INDEX(Dati!$CK$1:$CK$1000,MATCH($A17,Dati!$A$1:$A$1000,0))&gt;0,Dati!$I$3&amp;": "&amp;INDEX(Dati!$I$1:$I$1000,MATCH($A17,Dati!$A$1:$A$1000,0))&amp;" · ","")&amp;IF(INDEX(Dati!$CL$1:$CL$1000,MATCH($A17,Dati!$A$1:$A$1000,0))&gt;0,Dati!$J$3&amp;": "&amp;INDEX(Dati!$J$1:$J$1000,MATCH($A17,Dati!$A$1:$A$1000,0))&amp;" · ",""),LEN(IF(INDEX(Dati!$CI$1:$CI$1000,MATCH($A17,Dati!$A$1:$A$1000,0))&gt;0,Dati!$G$3&amp;": "&amp;INDEX(Dati!$G$1:$G$1000,MATCH($A17,Dati!$A$1:$A$1000,0))&amp;" · ","")&amp;IF(INDEX(Dati!$CJ$1:$CJ$1000,MATCH($A17,Dati!$A$1:$A$1000,0))&gt;0,Dati!$H$3&amp;": "&amp;INDEX(Dati!$H$1:$H$1000,MATCH($A17,Dati!$A$1:$A$1000,0))&amp;" · ","")&amp;IF(INDEX(Dati!$CK$1:$CK$1000,MATCH($A17,Dati!$A$1:$A$1000,0))&gt;0,Dati!$I$3&amp;": "&amp;INDEX(Dati!$I$1:$I$1000,MATCH($A17,Dati!$A$1:$A$1000,0))&amp;" · ","")&amp;IF(INDEX(Dati!$CL$1:$CL$1000,MATCH($A17,Dati!$A$1:$A$1000,0))&gt;0,Dati!$J$3&amp;": "&amp;INDEX(Dati!$J$1:$J$1000,MATCH($A17,Dati!$A$1:$A$1000,0))&amp;" · ",""))-3)),""))</f>
        <v/>
      </c>
      <c r="E17" s="55" t="str">
        <f aca="false">IF($B17="","",IFERROR(IF((IF(INDEX(Dati!$CM$1:$CM$1000,MATCH($A17,Dati!$A$1:$A$1000,0))&gt;0,Dati!$K$3&amp;": "&amp;INDEX(Dati!$K$1:$K$1000,MATCH($A17,Dati!$A$1:$A$1000,0))&amp;" · ","")&amp;IF(INDEX(Dati!$CN$1:$CN$1000,MATCH($A17,Dati!$A$1:$A$1000,0))&gt;0,Dati!$L$3&amp;": "&amp;INDEX(Dati!$L$1:$L$1000,MATCH($A17,Dati!$A$1:$A$1000,0))&amp;" · ","")&amp;IF(INDEX(Dati!$CO$1:$CO$1000,MATCH($A17,Dati!$A$1:$A$1000,0))&gt;0,Dati!$M$3&amp;": "&amp;INDEX(Dati!$M$1:$M$1000,MATCH($A17,Dati!$A$1:$A$1000,0))&amp;" · ","")&amp;IF(INDEX(Dati!$CP$1:$CP$1000,MATCH($A17,Dati!$A$1:$A$1000,0))&gt;0,Dati!$N$3&amp;": "&amp;INDEX(Dati!$N$1:$N$1000,MATCH($A17,Dati!$A$1:$A$1000,0))&amp;" · ",""))="",IF(INDEX(Dati!$FI$1:$FI$1000,MATCH($A17,Dati!$A$1:$A$1000,0))=1,"AS da recuperare",""),LEFT(IF(INDEX(Dati!$CM$1:$CM$1000,MATCH($A17,Dati!$A$1:$A$1000,0))&gt;0,Dati!$K$3&amp;": "&amp;INDEX(Dati!$K$1:$K$1000,MATCH($A17,Dati!$A$1:$A$1000,0))&amp;" · ","")&amp;IF(INDEX(Dati!$CN$1:$CN$1000,MATCH($A17,Dati!$A$1:$A$1000,0))&gt;0,Dati!$L$3&amp;": "&amp;INDEX(Dati!$L$1:$L$1000,MATCH($A17,Dati!$A$1:$A$1000,0))&amp;" · ","")&amp;IF(INDEX(Dati!$CO$1:$CO$1000,MATCH($A17,Dati!$A$1:$A$1000,0))&gt;0,Dati!$M$3&amp;": "&amp;INDEX(Dati!$M$1:$M$1000,MATCH($A17,Dati!$A$1:$A$1000,0))&amp;" · ","")&amp;IF(INDEX(Dati!$CP$1:$CP$1000,MATCH($A17,Dati!$A$1:$A$1000,0))&gt;0,Dati!$N$3&amp;": "&amp;INDEX(Dati!$N$1:$N$1000,MATCH($A17,Dati!$A$1:$A$1000,0))&amp;" · ",""),LEN(IF(INDEX(Dati!$CM$1:$CM$1000,MATCH($A17,Dati!$A$1:$A$1000,0))&gt;0,Dati!$K$3&amp;": "&amp;INDEX(Dati!$K$1:$K$1000,MATCH($A17,Dati!$A$1:$A$1000,0))&amp;" · ","")&amp;IF(INDEX(Dati!$CN$1:$CN$1000,MATCH($A17,Dati!$A$1:$A$1000,0))&gt;0,Dati!$L$3&amp;": "&amp;INDEX(Dati!$L$1:$L$1000,MATCH($A17,Dati!$A$1:$A$1000,0))&amp;" · ","")&amp;IF(INDEX(Dati!$CO$1:$CO$1000,MATCH($A17,Dati!$A$1:$A$1000,0))&gt;0,Dati!$M$3&amp;": "&amp;INDEX(Dati!$M$1:$M$1000,MATCH($A17,Dati!$A$1:$A$1000,0))&amp;" · ","")&amp;IF(INDEX(Dati!$CP$1:$CP$1000,MATCH($A17,Dati!$A$1:$A$1000,0))&gt;0,Dati!$N$3&amp;": "&amp;INDEX(Dati!$N$1:$N$1000,MATCH($A17,Dati!$A$1:$A$1000,0))&amp;" · ",""))-3)),""))</f>
        <v/>
      </c>
      <c r="F17" s="55" t="str">
        <f aca="false">IF($B17="","",IFERROR(IF((IF(INDEX(Dati!$CQ$1:$CQ$1000,MATCH($A17,Dati!$A$1:$A$1000,0))&gt;0,Dati!$O$3&amp;": "&amp;INDEX(Dati!$O$1:$O$1000,MATCH($A17,Dati!$A$1:$A$1000,0))&amp;" · ","")&amp;IF(INDEX(Dati!$CR$1:$CR$1000,MATCH($A17,Dati!$A$1:$A$1000,0))&gt;0,Dati!$P$3&amp;": "&amp;INDEX(Dati!$P$1:$P$1000,MATCH($A17,Dati!$A$1:$A$1000,0))&amp;" · ","")&amp;IF(INDEX(Dati!$CS$1:$CS$1000,MATCH($A17,Dati!$A$1:$A$1000,0))&gt;0,Dati!$Q$3&amp;": "&amp;INDEX(Dati!$Q$1:$Q$1000,MATCH($A17,Dati!$A$1:$A$1000,0))&amp;" · ","")&amp;IF(INDEX(Dati!$CT$1:$CT$1000,MATCH($A17,Dati!$A$1:$A$1000,0))&gt;0,Dati!$R$3&amp;": "&amp;INDEX(Dati!$R$1:$R$1000,MATCH($A17,Dati!$A$1:$A$1000,0))&amp;" · ",""))="",IF(INDEX(Dati!$FJ$1:$FJ$1000,MATCH($A17,Dati!$A$1:$A$1000,0))=1,"AS da recuperare",""),LEFT(IF(INDEX(Dati!$CQ$1:$CQ$1000,MATCH($A17,Dati!$A$1:$A$1000,0))&gt;0,Dati!$O$3&amp;": "&amp;INDEX(Dati!$O$1:$O$1000,MATCH($A17,Dati!$A$1:$A$1000,0))&amp;" · ","")&amp;IF(INDEX(Dati!$CR$1:$CR$1000,MATCH($A17,Dati!$A$1:$A$1000,0))&gt;0,Dati!$P$3&amp;": "&amp;INDEX(Dati!$P$1:$P$1000,MATCH($A17,Dati!$A$1:$A$1000,0))&amp;" · ","")&amp;IF(INDEX(Dati!$CS$1:$CS$1000,MATCH($A17,Dati!$A$1:$A$1000,0))&gt;0,Dati!$Q$3&amp;": "&amp;INDEX(Dati!$Q$1:$Q$1000,MATCH($A17,Dati!$A$1:$A$1000,0))&amp;" · ","")&amp;IF(INDEX(Dati!$CT$1:$CT$1000,MATCH($A17,Dati!$A$1:$A$1000,0))&gt;0,Dati!$R$3&amp;": "&amp;INDEX(Dati!$R$1:$R$1000,MATCH($A17,Dati!$A$1:$A$1000,0))&amp;" · ",""),LEN(IF(INDEX(Dati!$CQ$1:$CQ$1000,MATCH($A17,Dati!$A$1:$A$1000,0))&gt;0,Dati!$O$3&amp;": "&amp;INDEX(Dati!$O$1:$O$1000,MATCH($A17,Dati!$A$1:$A$1000,0))&amp;" · ","")&amp;IF(INDEX(Dati!$CR$1:$CR$1000,MATCH($A17,Dati!$A$1:$A$1000,0))&gt;0,Dati!$P$3&amp;": "&amp;INDEX(Dati!$P$1:$P$1000,MATCH($A17,Dati!$A$1:$A$1000,0))&amp;" · ","")&amp;IF(INDEX(Dati!$CS$1:$CS$1000,MATCH($A17,Dati!$A$1:$A$1000,0))&gt;0,Dati!$Q$3&amp;": "&amp;INDEX(Dati!$Q$1:$Q$1000,MATCH($A17,Dati!$A$1:$A$1000,0))&amp;" · ","")&amp;IF(INDEX(Dati!$CT$1:$CT$1000,MATCH($A17,Dati!$A$1:$A$1000,0))&gt;0,Dati!$R$3&amp;": "&amp;INDEX(Dati!$R$1:$R$1000,MATCH($A17,Dati!$A$1:$A$1000,0))&amp;" · ",""))-3)),""))</f>
        <v/>
      </c>
      <c r="G17" s="55" t="str">
        <f aca="false">IF($B17="","",IFERROR(IF((IF(INDEX(Dati!$CU$1:$CU$1000,MATCH($A17,Dati!$A$1:$A$1000,0))&gt;0,Dati!$S$3&amp;": "&amp;INDEX(Dati!$S$1:$S$1000,MATCH($A17,Dati!$A$1:$A$1000,0))&amp;" · ","")&amp;IF(INDEX(Dati!$CV$1:$CV$1000,MATCH($A17,Dati!$A$1:$A$1000,0))&gt;0,Dati!$T$3&amp;": "&amp;INDEX(Dati!$T$1:$T$1000,MATCH($A17,Dati!$A$1:$A$1000,0))&amp;" · ","")&amp;IF(INDEX(Dati!$CW$1:$CW$1000,MATCH($A17,Dati!$A$1:$A$1000,0))&gt;0,Dati!$U$3&amp;": "&amp;INDEX(Dati!$U$1:$U$1000,MATCH($A17,Dati!$A$1:$A$1000,0))&amp;" · ","")&amp;IF(INDEX(Dati!$CX$1:$CX$1000,MATCH($A17,Dati!$A$1:$A$1000,0))&gt;0,Dati!$V$3&amp;": "&amp;INDEX(Dati!$V$1:$V$1000,MATCH($A17,Dati!$A$1:$A$1000,0))&amp;" · ",""))="",IF(INDEX(Dati!$FK$1:$FK$1000,MATCH($A17,Dati!$A$1:$A$1000,0))=1,"AS da recuperare",""),LEFT(IF(INDEX(Dati!$CU$1:$CU$1000,MATCH($A17,Dati!$A$1:$A$1000,0))&gt;0,Dati!$S$3&amp;": "&amp;INDEX(Dati!$S$1:$S$1000,MATCH($A17,Dati!$A$1:$A$1000,0))&amp;" · ","")&amp;IF(INDEX(Dati!$CV$1:$CV$1000,MATCH($A17,Dati!$A$1:$A$1000,0))&gt;0,Dati!$T$3&amp;": "&amp;INDEX(Dati!$T$1:$T$1000,MATCH($A17,Dati!$A$1:$A$1000,0))&amp;" · ","")&amp;IF(INDEX(Dati!$CW$1:$CW$1000,MATCH($A17,Dati!$A$1:$A$1000,0))&gt;0,Dati!$U$3&amp;": "&amp;INDEX(Dati!$U$1:$U$1000,MATCH($A17,Dati!$A$1:$A$1000,0))&amp;" · ","")&amp;IF(INDEX(Dati!$CX$1:$CX$1000,MATCH($A17,Dati!$A$1:$A$1000,0))&gt;0,Dati!$V$3&amp;": "&amp;INDEX(Dati!$V$1:$V$1000,MATCH($A17,Dati!$A$1:$A$1000,0))&amp;" · ",""),LEN(IF(INDEX(Dati!$CU$1:$CU$1000,MATCH($A17,Dati!$A$1:$A$1000,0))&gt;0,Dati!$S$3&amp;": "&amp;INDEX(Dati!$S$1:$S$1000,MATCH($A17,Dati!$A$1:$A$1000,0))&amp;" · ","")&amp;IF(INDEX(Dati!$CV$1:$CV$1000,MATCH($A17,Dati!$A$1:$A$1000,0))&gt;0,Dati!$T$3&amp;": "&amp;INDEX(Dati!$T$1:$T$1000,MATCH($A17,Dati!$A$1:$A$1000,0))&amp;" · ","")&amp;IF(INDEX(Dati!$CW$1:$CW$1000,MATCH($A17,Dati!$A$1:$A$1000,0))&gt;0,Dati!$U$3&amp;": "&amp;INDEX(Dati!$U$1:$U$1000,MATCH($A17,Dati!$A$1:$A$1000,0))&amp;" · ","")&amp;IF(INDEX(Dati!$CX$1:$CX$1000,MATCH($A17,Dati!$A$1:$A$1000,0))&gt;0,Dati!$V$3&amp;": "&amp;INDEX(Dati!$V$1:$V$1000,MATCH($A17,Dati!$A$1:$A$1000,0))&amp;" · ",""))-3)),""))</f>
        <v/>
      </c>
      <c r="H17" s="55" t="str">
        <f aca="false">IF($B17="","",IFERROR(IF((IF(INDEX(Dati!$CY$1:$CY$1000,MATCH($A17,Dati!$A$1:$A$1000,0))&gt;0,Dati!$W$3&amp;": "&amp;INDEX(Dati!$W$1:$W$1000,MATCH($A17,Dati!$A$1:$A$1000,0))&amp;" · ","")&amp;IF(INDEX(Dati!$CZ$1:$CZ$1000,MATCH($A17,Dati!$A$1:$A$1000,0))&gt;0,Dati!$X$3&amp;": "&amp;INDEX(Dati!$X$1:$X$1000,MATCH($A17,Dati!$A$1:$A$1000,0))&amp;" · ","")&amp;IF(INDEX(Dati!$DA$1:$DA$1000,MATCH($A17,Dati!$A$1:$A$1000,0))&gt;0,Dati!$Y$3&amp;": "&amp;INDEX(Dati!$Y$1:$Y$1000,MATCH($A17,Dati!$A$1:$A$1000,0))&amp;" · ","")&amp;IF(INDEX(Dati!$DB$1:$DB$1000,MATCH($A17,Dati!$A$1:$A$1000,0))&gt;0,Dati!$Z$3&amp;": "&amp;INDEX(Dati!$Z$1:$Z$1000,MATCH($A17,Dati!$A$1:$A$1000,0))&amp;" · ",""))="",IF(INDEX(Dati!$FL$1:$FL$1000,MATCH($A17,Dati!$A$1:$A$1000,0))=1,"AS da recuperare",""),LEFT(IF(INDEX(Dati!$CY$1:$CY$1000,MATCH($A17,Dati!$A$1:$A$1000,0))&gt;0,Dati!$W$3&amp;": "&amp;INDEX(Dati!$W$1:$W$1000,MATCH($A17,Dati!$A$1:$A$1000,0))&amp;" · ","")&amp;IF(INDEX(Dati!$CZ$1:$CZ$1000,MATCH($A17,Dati!$A$1:$A$1000,0))&gt;0,Dati!$X$3&amp;": "&amp;INDEX(Dati!$X$1:$X$1000,MATCH($A17,Dati!$A$1:$A$1000,0))&amp;" · ","")&amp;IF(INDEX(Dati!$DA$1:$DA$1000,MATCH($A17,Dati!$A$1:$A$1000,0))&gt;0,Dati!$Y$3&amp;": "&amp;INDEX(Dati!$Y$1:$Y$1000,MATCH($A17,Dati!$A$1:$A$1000,0))&amp;" · ","")&amp;IF(INDEX(Dati!$DB$1:$DB$1000,MATCH($A17,Dati!$A$1:$A$1000,0))&gt;0,Dati!$Z$3&amp;": "&amp;INDEX(Dati!$Z$1:$Z$1000,MATCH($A17,Dati!$A$1:$A$1000,0))&amp;" · ",""),LEN(IF(INDEX(Dati!$CY$1:$CY$1000,MATCH($A17,Dati!$A$1:$A$1000,0))&gt;0,Dati!$W$3&amp;": "&amp;INDEX(Dati!$W$1:$W$1000,MATCH($A17,Dati!$A$1:$A$1000,0))&amp;" · ","")&amp;IF(INDEX(Dati!$CZ$1:$CZ$1000,MATCH($A17,Dati!$A$1:$A$1000,0))&gt;0,Dati!$X$3&amp;": "&amp;INDEX(Dati!$X$1:$X$1000,MATCH($A17,Dati!$A$1:$A$1000,0))&amp;" · ","")&amp;IF(INDEX(Dati!$DA$1:$DA$1000,MATCH($A17,Dati!$A$1:$A$1000,0))&gt;0,Dati!$Y$3&amp;": "&amp;INDEX(Dati!$Y$1:$Y$1000,MATCH($A17,Dati!$A$1:$A$1000,0))&amp;" · ","")&amp;IF(INDEX(Dati!$DB$1:$DB$1000,MATCH($A17,Dati!$A$1:$A$1000,0))&gt;0,Dati!$Z$3&amp;": "&amp;INDEX(Dati!$Z$1:$Z$1000,MATCH($A17,Dati!$A$1:$A$1000,0))&amp;" · ",""))-3)),""))</f>
        <v/>
      </c>
      <c r="I17" s="55" t="str">
        <f aca="false">IF($B17="","",IFERROR(IF((IF(INDEX(Dati!$DC$1:$DC$1000,MATCH($A17,Dati!$A$1:$A$1000,0))&gt;0,Dati!$AA$3&amp;": "&amp;INDEX(Dati!$AA$1:$AA$1000,MATCH($A17,Dati!$A$1:$A$1000,0))&amp;" · ","")&amp;IF(INDEX(Dati!$DD$1:$DD$1000,MATCH($A17,Dati!$A$1:$A$1000,0))&gt;0,Dati!$AB$3&amp;": "&amp;INDEX(Dati!$AB$1:$AB$1000,MATCH($A17,Dati!$A$1:$A$1000,0))&amp;" · ","")&amp;IF(INDEX(Dati!$DE$1:$DE$1000,MATCH($A17,Dati!$A$1:$A$1000,0))&gt;0,Dati!$AC$3&amp;": "&amp;INDEX(Dati!$AC$1:$AC$1000,MATCH($A17,Dati!$A$1:$A$1000,0))&amp;" · ","")&amp;IF(INDEX(Dati!$DF$1:$DF$1000,MATCH($A17,Dati!$A$1:$A$1000,0))&gt;0,Dati!$AD$3&amp;": "&amp;INDEX(Dati!$AD$1:$AD$1000,MATCH($A17,Dati!$A$1:$A$1000,0))&amp;" · ",""))="",IF(INDEX(Dati!$FM$1:$FM$1000,MATCH($A17,Dati!$A$1:$A$1000,0))=1,"AS da recuperare",""),LEFT(IF(INDEX(Dati!$DC$1:$DC$1000,MATCH($A17,Dati!$A$1:$A$1000,0))&gt;0,Dati!$AA$3&amp;": "&amp;INDEX(Dati!$AA$1:$AA$1000,MATCH($A17,Dati!$A$1:$A$1000,0))&amp;" · ","")&amp;IF(INDEX(Dati!$DD$1:$DD$1000,MATCH($A17,Dati!$A$1:$A$1000,0))&gt;0,Dati!$AB$3&amp;": "&amp;INDEX(Dati!$AB$1:$AB$1000,MATCH($A17,Dati!$A$1:$A$1000,0))&amp;" · ","")&amp;IF(INDEX(Dati!$DE$1:$DE$1000,MATCH($A17,Dati!$A$1:$A$1000,0))&gt;0,Dati!$AC$3&amp;": "&amp;INDEX(Dati!$AC$1:$AC$1000,MATCH($A17,Dati!$A$1:$A$1000,0))&amp;" · ","")&amp;IF(INDEX(Dati!$DF$1:$DF$1000,MATCH($A17,Dati!$A$1:$A$1000,0))&gt;0,Dati!$AD$3&amp;": "&amp;INDEX(Dati!$AD$1:$AD$1000,MATCH($A17,Dati!$A$1:$A$1000,0))&amp;" · ",""),LEN(IF(INDEX(Dati!$DC$1:$DC$1000,MATCH($A17,Dati!$A$1:$A$1000,0))&gt;0,Dati!$AA$3&amp;": "&amp;INDEX(Dati!$AA$1:$AA$1000,MATCH($A17,Dati!$A$1:$A$1000,0))&amp;" · ","")&amp;IF(INDEX(Dati!$DD$1:$DD$1000,MATCH($A17,Dati!$A$1:$A$1000,0))&gt;0,Dati!$AB$3&amp;": "&amp;INDEX(Dati!$AB$1:$AB$1000,MATCH($A17,Dati!$A$1:$A$1000,0))&amp;" · ","")&amp;IF(INDEX(Dati!$DE$1:$DE$1000,MATCH($A17,Dati!$A$1:$A$1000,0))&gt;0,Dati!$AC$3&amp;": "&amp;INDEX(Dati!$AC$1:$AC$1000,MATCH($A17,Dati!$A$1:$A$1000,0))&amp;" · ","")&amp;IF(INDEX(Dati!$DF$1:$DF$1000,MATCH($A17,Dati!$A$1:$A$1000,0))&gt;0,Dati!$AD$3&amp;": "&amp;INDEX(Dati!$AD$1:$AD$1000,MATCH($A17,Dati!$A$1:$A$1000,0))&amp;" · ",""))-3)),""))</f>
        <v/>
      </c>
      <c r="J17" s="55" t="str">
        <f aca="false">IF($B17="","",IFERROR(IF((IF(INDEX(Dati!$DG$1:$DG$1000,MATCH($A17,Dati!$A$1:$A$1000,0))&gt;0,Dati!$AE$3&amp;": "&amp;INDEX(Dati!$AE$1:$AE$1000,MATCH($A17,Dati!$A$1:$A$1000,0))&amp;" · ","")&amp;IF(INDEX(Dati!$DH$1:$DH$1000,MATCH($A17,Dati!$A$1:$A$1000,0))&gt;0,Dati!$AF$3&amp;": "&amp;INDEX(Dati!$AF$1:$AF$1000,MATCH($A17,Dati!$A$1:$A$1000,0))&amp;" · ","")&amp;IF(INDEX(Dati!$DI$1:$DI$1000,MATCH($A17,Dati!$A$1:$A$1000,0))&gt;0,Dati!$AG$3&amp;": "&amp;INDEX(Dati!$AG$1:$AG$1000,MATCH($A17,Dati!$A$1:$A$1000,0))&amp;" · ","")&amp;IF(INDEX(Dati!$DJ$1:$DJ$1000,MATCH($A17,Dati!$A$1:$A$1000,0))&gt;0,Dati!$AH$3&amp;": "&amp;INDEX(Dati!$AH$1:$AH$1000,MATCH($A17,Dati!$A$1:$A$1000,0))&amp;" · ",""))="",IF(INDEX(Dati!$FN$1:$FN$1000,MATCH($A17,Dati!$A$1:$A$1000,0))=1,"AS da recuperare",""),LEFT(IF(INDEX(Dati!$DG$1:$DG$1000,MATCH($A17,Dati!$A$1:$A$1000,0))&gt;0,Dati!$AE$3&amp;": "&amp;INDEX(Dati!$AE$1:$AE$1000,MATCH($A17,Dati!$A$1:$A$1000,0))&amp;" · ","")&amp;IF(INDEX(Dati!$DH$1:$DH$1000,MATCH($A17,Dati!$A$1:$A$1000,0))&gt;0,Dati!$AF$3&amp;": "&amp;INDEX(Dati!$AF$1:$AF$1000,MATCH($A17,Dati!$A$1:$A$1000,0))&amp;" · ","")&amp;IF(INDEX(Dati!$DI$1:$DI$1000,MATCH($A17,Dati!$A$1:$A$1000,0))&gt;0,Dati!$AG$3&amp;": "&amp;INDEX(Dati!$AG$1:$AG$1000,MATCH($A17,Dati!$A$1:$A$1000,0))&amp;" · ","")&amp;IF(INDEX(Dati!$DJ$1:$DJ$1000,MATCH($A17,Dati!$A$1:$A$1000,0))&gt;0,Dati!$AH$3&amp;": "&amp;INDEX(Dati!$AH$1:$AH$1000,MATCH($A17,Dati!$A$1:$A$1000,0))&amp;" · ",""),LEN(IF(INDEX(Dati!$DG$1:$DG$1000,MATCH($A17,Dati!$A$1:$A$1000,0))&gt;0,Dati!$AE$3&amp;": "&amp;INDEX(Dati!$AE$1:$AE$1000,MATCH($A17,Dati!$A$1:$A$1000,0))&amp;" · ","")&amp;IF(INDEX(Dati!$DH$1:$DH$1000,MATCH($A17,Dati!$A$1:$A$1000,0))&gt;0,Dati!$AF$3&amp;": "&amp;INDEX(Dati!$AF$1:$AF$1000,MATCH($A17,Dati!$A$1:$A$1000,0))&amp;" · ","")&amp;IF(INDEX(Dati!$DI$1:$DI$1000,MATCH($A17,Dati!$A$1:$A$1000,0))&gt;0,Dati!$AG$3&amp;": "&amp;INDEX(Dati!$AG$1:$AG$1000,MATCH($A17,Dati!$A$1:$A$1000,0))&amp;" · ","")&amp;IF(INDEX(Dati!$DJ$1:$DJ$1000,MATCH($A17,Dati!$A$1:$A$1000,0))&gt;0,Dati!$AH$3&amp;": "&amp;INDEX(Dati!$AH$1:$AH$1000,MATCH($A17,Dati!$A$1:$A$1000,0))&amp;" · ",""))-3)),""))</f>
        <v/>
      </c>
      <c r="K17" s="55" t="str">
        <f aca="false">IF($B17="","",IFERROR(IF((IF(INDEX(Dati!$DK$1:$DK$1000,MATCH($A17,Dati!$A$1:$A$1000,0))&gt;0,Dati!$AI$3&amp;": "&amp;INDEX(Dati!$AI$1:$AI$1000,MATCH($A17,Dati!$A$1:$A$1000,0))&amp;" · ","")&amp;IF(INDEX(Dati!$DL$1:$DL$1000,MATCH($A17,Dati!$A$1:$A$1000,0))&gt;0,Dati!$AJ$3&amp;": "&amp;INDEX(Dati!$AJ$1:$AJ$1000,MATCH($A17,Dati!$A$1:$A$1000,0))&amp;" · ","")&amp;IF(INDEX(Dati!$DM$1:$DM$1000,MATCH($A17,Dati!$A$1:$A$1000,0))&gt;0,Dati!$AK$3&amp;": "&amp;INDEX(Dati!$AK$1:$AK$1000,MATCH($A17,Dati!$A$1:$A$1000,0))&amp;" · ","")&amp;IF(INDEX(Dati!$DN$1:$DN$1000,MATCH($A17,Dati!$A$1:$A$1000,0))&gt;0,Dati!$AL$3&amp;": "&amp;INDEX(Dati!$AL$1:$AL$1000,MATCH($A17,Dati!$A$1:$A$1000,0))&amp;" · ",""))="",IF(INDEX(Dati!$FO$1:$FO$1000,MATCH($A17,Dati!$A$1:$A$1000,0))=1,"AS da recuperare",""),LEFT(IF(INDEX(Dati!$DK$1:$DK$1000,MATCH($A17,Dati!$A$1:$A$1000,0))&gt;0,Dati!$AI$3&amp;": "&amp;INDEX(Dati!$AI$1:$AI$1000,MATCH($A17,Dati!$A$1:$A$1000,0))&amp;" · ","")&amp;IF(INDEX(Dati!$DL$1:$DL$1000,MATCH($A17,Dati!$A$1:$A$1000,0))&gt;0,Dati!$AJ$3&amp;": "&amp;INDEX(Dati!$AJ$1:$AJ$1000,MATCH($A17,Dati!$A$1:$A$1000,0))&amp;" · ","")&amp;IF(INDEX(Dati!$DM$1:$DM$1000,MATCH($A17,Dati!$A$1:$A$1000,0))&gt;0,Dati!$AK$3&amp;": "&amp;INDEX(Dati!$AK$1:$AK$1000,MATCH($A17,Dati!$A$1:$A$1000,0))&amp;" · ","")&amp;IF(INDEX(Dati!$DN$1:$DN$1000,MATCH($A17,Dati!$A$1:$A$1000,0))&gt;0,Dati!$AL$3&amp;": "&amp;INDEX(Dati!$AL$1:$AL$1000,MATCH($A17,Dati!$A$1:$A$1000,0))&amp;" · ",""),LEN(IF(INDEX(Dati!$DK$1:$DK$1000,MATCH($A17,Dati!$A$1:$A$1000,0))&gt;0,Dati!$AI$3&amp;": "&amp;INDEX(Dati!$AI$1:$AI$1000,MATCH($A17,Dati!$A$1:$A$1000,0))&amp;" · ","")&amp;IF(INDEX(Dati!$DL$1:$DL$1000,MATCH($A17,Dati!$A$1:$A$1000,0))&gt;0,Dati!$AJ$3&amp;": "&amp;INDEX(Dati!$AJ$1:$AJ$1000,MATCH($A17,Dati!$A$1:$A$1000,0))&amp;" · ","")&amp;IF(INDEX(Dati!$DM$1:$DM$1000,MATCH($A17,Dati!$A$1:$A$1000,0))&gt;0,Dati!$AK$3&amp;": "&amp;INDEX(Dati!$AK$1:$AK$1000,MATCH($A17,Dati!$A$1:$A$1000,0))&amp;" · ","")&amp;IF(INDEX(Dati!$DN$1:$DN$1000,MATCH($A17,Dati!$A$1:$A$1000,0))&gt;0,Dati!$AL$3&amp;": "&amp;INDEX(Dati!$AL$1:$AL$1000,MATCH($A17,Dati!$A$1:$A$1000,0))&amp;" · ",""))-3)),""))</f>
        <v/>
      </c>
      <c r="L17" s="55" t="str">
        <f aca="false">IF($B17="","",IFERROR(IF((IF(INDEX(Dati!$DO$1:$DO$1000,MATCH($A17,Dati!$A$1:$A$1000,0))&gt;0,Dati!$AM$3&amp;": "&amp;INDEX(Dati!$AM$1:$AM$1000,MATCH($A17,Dati!$A$1:$A$1000,0))&amp;" · ","")&amp;IF(INDEX(Dati!$DP$1:$DP$1000,MATCH($A17,Dati!$A$1:$A$1000,0))&gt;0,Dati!$AN$3&amp;": "&amp;INDEX(Dati!$AN$1:$AN$1000,MATCH($A17,Dati!$A$1:$A$1000,0))&amp;" · ","")&amp;IF(INDEX(Dati!$DQ$1:$DQ$1000,MATCH($A17,Dati!$A$1:$A$1000,0))&gt;0,Dati!$AO$3&amp;": "&amp;INDEX(Dati!$AO$1:$AO$1000,MATCH($A17,Dati!$A$1:$A$1000,0))&amp;" · ","")&amp;IF(INDEX(Dati!$DR$1:$DR$1000,MATCH($A17,Dati!$A$1:$A$1000,0))&gt;0,Dati!$AP$3&amp;": "&amp;INDEX(Dati!$AP$1:$AP$1000,MATCH($A17,Dati!$A$1:$A$1000,0))&amp;" · ",""))="",IF(INDEX(Dati!$FP$1:$FP$1000,MATCH($A17,Dati!$A$1:$A$1000,0))=1,"AS da recuperare",""),LEFT(IF(INDEX(Dati!$DO$1:$DO$1000,MATCH($A17,Dati!$A$1:$A$1000,0))&gt;0,Dati!$AM$3&amp;": "&amp;INDEX(Dati!$AM$1:$AM$1000,MATCH($A17,Dati!$A$1:$A$1000,0))&amp;" · ","")&amp;IF(INDEX(Dati!$DP$1:$DP$1000,MATCH($A17,Dati!$A$1:$A$1000,0))&gt;0,Dati!$AN$3&amp;": "&amp;INDEX(Dati!$AN$1:$AN$1000,MATCH($A17,Dati!$A$1:$A$1000,0))&amp;" · ","")&amp;IF(INDEX(Dati!$DQ$1:$DQ$1000,MATCH($A17,Dati!$A$1:$A$1000,0))&gt;0,Dati!$AO$3&amp;": "&amp;INDEX(Dati!$AO$1:$AO$1000,MATCH($A17,Dati!$A$1:$A$1000,0))&amp;" · ","")&amp;IF(INDEX(Dati!$DR$1:$DR$1000,MATCH($A17,Dati!$A$1:$A$1000,0))&gt;0,Dati!$AP$3&amp;": "&amp;INDEX(Dati!$AP$1:$AP$1000,MATCH($A17,Dati!$A$1:$A$1000,0))&amp;" · ",""),LEN(IF(INDEX(Dati!$DO$1:$DO$1000,MATCH($A17,Dati!$A$1:$A$1000,0))&gt;0,Dati!$AM$3&amp;": "&amp;INDEX(Dati!$AM$1:$AM$1000,MATCH($A17,Dati!$A$1:$A$1000,0))&amp;" · ","")&amp;IF(INDEX(Dati!$DP$1:$DP$1000,MATCH($A17,Dati!$A$1:$A$1000,0))&gt;0,Dati!$AN$3&amp;": "&amp;INDEX(Dati!$AN$1:$AN$1000,MATCH($A17,Dati!$A$1:$A$1000,0))&amp;" · ","")&amp;IF(INDEX(Dati!$DQ$1:$DQ$1000,MATCH($A17,Dati!$A$1:$A$1000,0))&gt;0,Dati!$AO$3&amp;": "&amp;INDEX(Dati!$AO$1:$AO$1000,MATCH($A17,Dati!$A$1:$A$1000,0))&amp;" · ","")&amp;IF(INDEX(Dati!$DR$1:$DR$1000,MATCH($A17,Dati!$A$1:$A$1000,0))&gt;0,Dati!$AP$3&amp;": "&amp;INDEX(Dati!$AP$1:$AP$1000,MATCH($A17,Dati!$A$1:$A$1000,0))&amp;" · ",""))-3)),""))</f>
        <v/>
      </c>
      <c r="M17" s="55" t="str">
        <f aca="false">IF($B17="","",IFERROR(IF((IF(INDEX(Dati!$DS$1:$DS$1000,MATCH($A17,Dati!$A$1:$A$1000,0))&gt;0,Dati!$AQ$3&amp;": "&amp;INDEX(Dati!$AQ$1:$AQ$1000,MATCH($A17,Dati!$A$1:$A$1000,0))&amp;" · ","")&amp;IF(INDEX(Dati!$DT$1:$DT$1000,MATCH($A17,Dati!$A$1:$A$1000,0))&gt;0,Dati!$AR$3&amp;": "&amp;INDEX(Dati!$AR$1:$AR$1000,MATCH($A17,Dati!$A$1:$A$1000,0))&amp;" · ","")&amp;IF(INDEX(Dati!$DU$1:$DU$1000,MATCH($A17,Dati!$A$1:$A$1000,0))&gt;0,Dati!$AS$3&amp;": "&amp;INDEX(Dati!$AS$1:$AS$1000,MATCH($A17,Dati!$A$1:$A$1000,0))&amp;" · ","")&amp;IF(INDEX(Dati!$DV$1:$DV$1000,MATCH($A17,Dati!$A$1:$A$1000,0))&gt;0,Dati!$AT$3&amp;": "&amp;INDEX(Dati!$AT$1:$AT$1000,MATCH($A17,Dati!$A$1:$A$1000,0))&amp;" · ",""))="",IF(INDEX(Dati!$FQ$1:$FQ$1000,MATCH($A17,Dati!$A$1:$A$1000,0))=1,"AS da recuperare",""),LEFT(IF(INDEX(Dati!$DS$1:$DS$1000,MATCH($A17,Dati!$A$1:$A$1000,0))&gt;0,Dati!$AQ$3&amp;": "&amp;INDEX(Dati!$AQ$1:$AQ$1000,MATCH($A17,Dati!$A$1:$A$1000,0))&amp;" · ","")&amp;IF(INDEX(Dati!$DT$1:$DT$1000,MATCH($A17,Dati!$A$1:$A$1000,0))&gt;0,Dati!$AR$3&amp;": "&amp;INDEX(Dati!$AR$1:$AR$1000,MATCH($A17,Dati!$A$1:$A$1000,0))&amp;" · ","")&amp;IF(INDEX(Dati!$DU$1:$DU$1000,MATCH($A17,Dati!$A$1:$A$1000,0))&gt;0,Dati!$AS$3&amp;": "&amp;INDEX(Dati!$AS$1:$AS$1000,MATCH($A17,Dati!$A$1:$A$1000,0))&amp;" · ","")&amp;IF(INDEX(Dati!$DV$1:$DV$1000,MATCH($A17,Dati!$A$1:$A$1000,0))&gt;0,Dati!$AT$3&amp;": "&amp;INDEX(Dati!$AT$1:$AT$1000,MATCH($A17,Dati!$A$1:$A$1000,0))&amp;" · ",""),LEN(IF(INDEX(Dati!$DS$1:$DS$1000,MATCH($A17,Dati!$A$1:$A$1000,0))&gt;0,Dati!$AQ$3&amp;": "&amp;INDEX(Dati!$AQ$1:$AQ$1000,MATCH($A17,Dati!$A$1:$A$1000,0))&amp;" · ","")&amp;IF(INDEX(Dati!$DT$1:$DT$1000,MATCH($A17,Dati!$A$1:$A$1000,0))&gt;0,Dati!$AR$3&amp;": "&amp;INDEX(Dati!$AR$1:$AR$1000,MATCH($A17,Dati!$A$1:$A$1000,0))&amp;" · ","")&amp;IF(INDEX(Dati!$DU$1:$DU$1000,MATCH($A17,Dati!$A$1:$A$1000,0))&gt;0,Dati!$AS$3&amp;": "&amp;INDEX(Dati!$AS$1:$AS$1000,MATCH($A17,Dati!$A$1:$A$1000,0))&amp;" · ","")&amp;IF(INDEX(Dati!$DV$1:$DV$1000,MATCH($A17,Dati!$A$1:$A$1000,0))&gt;0,Dati!$AT$3&amp;": "&amp;INDEX(Dati!$AT$1:$AT$1000,MATCH($A17,Dati!$A$1:$A$1000,0))&amp;" · ",""))-3)),""))</f>
        <v/>
      </c>
      <c r="N17" s="55" t="str">
        <f aca="false">IF($B17="","",IFERROR(IF((IF(INDEX(Dati!$DW$1:$DW$1000,MATCH($A17,Dati!$A$1:$A$1000,0))&gt;0,Dati!$AU$3&amp;": "&amp;INDEX(Dati!$AU$1:$AU$1000,MATCH($A17,Dati!$A$1:$A$1000,0))&amp;" · ","")&amp;IF(INDEX(Dati!$DX$1:$DX$1000,MATCH($A17,Dati!$A$1:$A$1000,0))&gt;0,Dati!$AV$3&amp;": "&amp;INDEX(Dati!$AV$1:$AV$1000,MATCH($A17,Dati!$A$1:$A$1000,0))&amp;" · ","")&amp;IF(INDEX(Dati!$DY$1:$DY$1000,MATCH($A17,Dati!$A$1:$A$1000,0))&gt;0,Dati!$AW$3&amp;": "&amp;INDEX(Dati!$AW$1:$AW$1000,MATCH($A17,Dati!$A$1:$A$1000,0))&amp;" · ","")&amp;IF(INDEX(Dati!$DZ$1:$DZ$1000,MATCH($A17,Dati!$A$1:$A$1000,0))&gt;0,Dati!$AX$3&amp;": "&amp;INDEX(Dati!$AX$1:$AX$1000,MATCH($A17,Dati!$A$1:$A$1000,0))&amp;" · ",""))="",IF(INDEX(Dati!$FR$1:$FR$1000,MATCH($A17,Dati!$A$1:$A$1000,0))=1,"AS da recuperare",""),LEFT(IF(INDEX(Dati!$DW$1:$DW$1000,MATCH($A17,Dati!$A$1:$A$1000,0))&gt;0,Dati!$AU$3&amp;": "&amp;INDEX(Dati!$AU$1:$AU$1000,MATCH($A17,Dati!$A$1:$A$1000,0))&amp;" · ","")&amp;IF(INDEX(Dati!$DX$1:$DX$1000,MATCH($A17,Dati!$A$1:$A$1000,0))&gt;0,Dati!$AV$3&amp;": "&amp;INDEX(Dati!$AV$1:$AV$1000,MATCH($A17,Dati!$A$1:$A$1000,0))&amp;" · ","")&amp;IF(INDEX(Dati!$DY$1:$DY$1000,MATCH($A17,Dati!$A$1:$A$1000,0))&gt;0,Dati!$AW$3&amp;": "&amp;INDEX(Dati!$AW$1:$AW$1000,MATCH($A17,Dati!$A$1:$A$1000,0))&amp;" · ","")&amp;IF(INDEX(Dati!$DZ$1:$DZ$1000,MATCH($A17,Dati!$A$1:$A$1000,0))&gt;0,Dati!$AX$3&amp;": "&amp;INDEX(Dati!$AX$1:$AX$1000,MATCH($A17,Dati!$A$1:$A$1000,0))&amp;" · ",""),LEN(IF(INDEX(Dati!$DW$1:$DW$1000,MATCH($A17,Dati!$A$1:$A$1000,0))&gt;0,Dati!$AU$3&amp;": "&amp;INDEX(Dati!$AU$1:$AU$1000,MATCH($A17,Dati!$A$1:$A$1000,0))&amp;" · ","")&amp;IF(INDEX(Dati!$DX$1:$DX$1000,MATCH($A17,Dati!$A$1:$A$1000,0))&gt;0,Dati!$AV$3&amp;": "&amp;INDEX(Dati!$AV$1:$AV$1000,MATCH($A17,Dati!$A$1:$A$1000,0))&amp;" · ","")&amp;IF(INDEX(Dati!$DY$1:$DY$1000,MATCH($A17,Dati!$A$1:$A$1000,0))&gt;0,Dati!$AW$3&amp;": "&amp;INDEX(Dati!$AW$1:$AW$1000,MATCH($A17,Dati!$A$1:$A$1000,0))&amp;" · ","")&amp;IF(INDEX(Dati!$DZ$1:$DZ$1000,MATCH($A17,Dati!$A$1:$A$1000,0))&gt;0,Dati!$AX$3&amp;": "&amp;INDEX(Dati!$AX$1:$AX$1000,MATCH($A17,Dati!$A$1:$A$1000,0))&amp;" · ",""))-3)),""))</f>
        <v/>
      </c>
      <c r="O17" s="55" t="str">
        <f aca="false">IF($B17="","",IFERROR(IF((IF(INDEX(Dati!$EA$1:$EA$1000,MATCH($A17,Dati!$A$1:$A$1000,0))&gt;0,Dati!$AY$3&amp;": "&amp;INDEX(Dati!$AY$1:$AY$1000,MATCH($A17,Dati!$A$1:$A$1000,0))&amp;" · ","")&amp;IF(INDEX(Dati!$EB$1:$EB$1000,MATCH($A17,Dati!$A$1:$A$1000,0))&gt;0,Dati!$AZ$3&amp;": "&amp;INDEX(Dati!$AZ$1:$AZ$1000,MATCH($A17,Dati!$A$1:$A$1000,0))&amp;" · ","")&amp;IF(INDEX(Dati!$EC$1:$EC$1000,MATCH($A17,Dati!$A$1:$A$1000,0))&gt;0,Dati!$BA$3&amp;": "&amp;INDEX(Dati!$BA$1:$BA$1000,MATCH($A17,Dati!$A$1:$A$1000,0))&amp;" · ","")&amp;IF(INDEX(Dati!$ED$1:$ED$1000,MATCH($A17,Dati!$A$1:$A$1000,0))&gt;0,Dati!$BB$3&amp;": "&amp;INDEX(Dati!$BB$1:$BB$1000,MATCH($A17,Dati!$A$1:$A$1000,0))&amp;" · ",""))="",IF(INDEX(Dati!$FS$1:$FS$1000,MATCH($A17,Dati!$A$1:$A$1000,0))=1,"AS da recuperare",""),LEFT(IF(INDEX(Dati!$EA$1:$EA$1000,MATCH($A17,Dati!$A$1:$A$1000,0))&gt;0,Dati!$AY$3&amp;": "&amp;INDEX(Dati!$AY$1:$AY$1000,MATCH($A17,Dati!$A$1:$A$1000,0))&amp;" · ","")&amp;IF(INDEX(Dati!$EB$1:$EB$1000,MATCH($A17,Dati!$A$1:$A$1000,0))&gt;0,Dati!$AZ$3&amp;": "&amp;INDEX(Dati!$AZ$1:$AZ$1000,MATCH($A17,Dati!$A$1:$A$1000,0))&amp;" · ","")&amp;IF(INDEX(Dati!$EC$1:$EC$1000,MATCH($A17,Dati!$A$1:$A$1000,0))&gt;0,Dati!$BA$3&amp;": "&amp;INDEX(Dati!$BA$1:$BA$1000,MATCH($A17,Dati!$A$1:$A$1000,0))&amp;" · ","")&amp;IF(INDEX(Dati!$ED$1:$ED$1000,MATCH($A17,Dati!$A$1:$A$1000,0))&gt;0,Dati!$BB$3&amp;": "&amp;INDEX(Dati!$BB$1:$BB$1000,MATCH($A17,Dati!$A$1:$A$1000,0))&amp;" · ",""),LEN(IF(INDEX(Dati!$EA$1:$EA$1000,MATCH($A17,Dati!$A$1:$A$1000,0))&gt;0,Dati!$AY$3&amp;": "&amp;INDEX(Dati!$AY$1:$AY$1000,MATCH($A17,Dati!$A$1:$A$1000,0))&amp;" · ","")&amp;IF(INDEX(Dati!$EB$1:$EB$1000,MATCH($A17,Dati!$A$1:$A$1000,0))&gt;0,Dati!$AZ$3&amp;": "&amp;INDEX(Dati!$AZ$1:$AZ$1000,MATCH($A17,Dati!$A$1:$A$1000,0))&amp;" · ","")&amp;IF(INDEX(Dati!$EC$1:$EC$1000,MATCH($A17,Dati!$A$1:$A$1000,0))&gt;0,Dati!$BA$3&amp;": "&amp;INDEX(Dati!$BA$1:$BA$1000,MATCH($A17,Dati!$A$1:$A$1000,0))&amp;" · ","")&amp;IF(INDEX(Dati!$ED$1:$ED$1000,MATCH($A17,Dati!$A$1:$A$1000,0))&gt;0,Dati!$BB$3&amp;": "&amp;INDEX(Dati!$BB$1:$BB$1000,MATCH($A17,Dati!$A$1:$A$1000,0))&amp;" · ",""))-3)),""))</f>
        <v/>
      </c>
      <c r="P17" s="55" t="str">
        <f aca="false">IF($B17="","",IFERROR(IF((IF(INDEX(Dati!$EE$1:$EE$1000,MATCH($A17,Dati!$A$1:$A$1000,0))&gt;0,Dati!$BC$3&amp;": "&amp;INDEX(Dati!$BC$1:$BC$1000,MATCH($A17,Dati!$A$1:$A$1000,0))&amp;" · ","")&amp;IF(INDEX(Dati!$EF$1:$EF$1000,MATCH($A17,Dati!$A$1:$A$1000,0))&gt;0,Dati!$BD$3&amp;": "&amp;INDEX(Dati!$BD$1:$BD$1000,MATCH($A17,Dati!$A$1:$A$1000,0))&amp;" · ","")&amp;IF(INDEX(Dati!$EG$1:$EG$1000,MATCH($A17,Dati!$A$1:$A$1000,0))&gt;0,Dati!$BE$3&amp;": "&amp;INDEX(Dati!$BE$1:$BE$1000,MATCH($A17,Dati!$A$1:$A$1000,0))&amp;" · ","")&amp;IF(INDEX(Dati!$EH$1:$EH$1000,MATCH($A17,Dati!$A$1:$A$1000,0))&gt;0,Dati!$BF$3&amp;": "&amp;INDEX(Dati!$BF$1:$BF$1000,MATCH($A17,Dati!$A$1:$A$1000,0))&amp;" · ",""))="",IF(INDEX(Dati!$FT$1:$FT$1000,MATCH($A17,Dati!$A$1:$A$1000,0))=1,"AS da recuperare",""),LEFT(IF(INDEX(Dati!$EE$1:$EE$1000,MATCH($A17,Dati!$A$1:$A$1000,0))&gt;0,Dati!$BC$3&amp;": "&amp;INDEX(Dati!$BC$1:$BC$1000,MATCH($A17,Dati!$A$1:$A$1000,0))&amp;" · ","")&amp;IF(INDEX(Dati!$EF$1:$EF$1000,MATCH($A17,Dati!$A$1:$A$1000,0))&gt;0,Dati!$BD$3&amp;": "&amp;INDEX(Dati!$BD$1:$BD$1000,MATCH($A17,Dati!$A$1:$A$1000,0))&amp;" · ","")&amp;IF(INDEX(Dati!$EG$1:$EG$1000,MATCH($A17,Dati!$A$1:$A$1000,0))&gt;0,Dati!$BE$3&amp;": "&amp;INDEX(Dati!$BE$1:$BE$1000,MATCH($A17,Dati!$A$1:$A$1000,0))&amp;" · ","")&amp;IF(INDEX(Dati!$EH$1:$EH$1000,MATCH($A17,Dati!$A$1:$A$1000,0))&gt;0,Dati!$BF$3&amp;": "&amp;INDEX(Dati!$BF$1:$BF$1000,MATCH($A17,Dati!$A$1:$A$1000,0))&amp;" · ",""),LEN(IF(INDEX(Dati!$EE$1:$EE$1000,MATCH($A17,Dati!$A$1:$A$1000,0))&gt;0,Dati!$BC$3&amp;": "&amp;INDEX(Dati!$BC$1:$BC$1000,MATCH($A17,Dati!$A$1:$A$1000,0))&amp;" · ","")&amp;IF(INDEX(Dati!$EF$1:$EF$1000,MATCH($A17,Dati!$A$1:$A$1000,0))&gt;0,Dati!$BD$3&amp;": "&amp;INDEX(Dati!$BD$1:$BD$1000,MATCH($A17,Dati!$A$1:$A$1000,0))&amp;" · ","")&amp;IF(INDEX(Dati!$EG$1:$EG$1000,MATCH($A17,Dati!$A$1:$A$1000,0))&gt;0,Dati!$BE$3&amp;": "&amp;INDEX(Dati!$BE$1:$BE$1000,MATCH($A17,Dati!$A$1:$A$1000,0))&amp;" · ","")&amp;IF(INDEX(Dati!$EH$1:$EH$1000,MATCH($A17,Dati!$A$1:$A$1000,0))&gt;0,Dati!$BF$3&amp;": "&amp;INDEX(Dati!$BF$1:$BF$1000,MATCH($A17,Dati!$A$1:$A$1000,0))&amp;" · ",""))-3)),""))</f>
        <v/>
      </c>
      <c r="Q17" s="55" t="str">
        <f aca="false">IF($B17="","",IFERROR(IF((IF(INDEX(Dati!$EI$1:$EI$1000,MATCH($A17,Dati!$A$1:$A$1000,0))&gt;0,Dati!$BG$3&amp;": "&amp;INDEX(Dati!$BG$1:$BG$1000,MATCH($A17,Dati!$A$1:$A$1000,0))&amp;" · ","")&amp;IF(INDEX(Dati!$EJ$1:$EJ$1000,MATCH($A17,Dati!$A$1:$A$1000,0))&gt;0,Dati!$BH$3&amp;": "&amp;INDEX(Dati!$BH$1:$BH$1000,MATCH($A17,Dati!$A$1:$A$1000,0))&amp;" · ","")&amp;IF(INDEX(Dati!$EK$1:$EK$1000,MATCH($A17,Dati!$A$1:$A$1000,0))&gt;0,Dati!$BI$3&amp;": "&amp;INDEX(Dati!$BI$1:$BI$1000,MATCH($A17,Dati!$A$1:$A$1000,0))&amp;" · ","")&amp;IF(INDEX(Dati!$EL$1:$EL$1000,MATCH($A17,Dati!$A$1:$A$1000,0))&gt;0,Dati!$BJ$3&amp;": "&amp;INDEX(Dati!$BJ$1:$BJ$1000,MATCH($A17,Dati!$A$1:$A$1000,0))&amp;" · ",""))="",IF(INDEX(Dati!$FU$1:$FU$1000,MATCH($A17,Dati!$A$1:$A$1000,0))=1,"AS da recuperare",""),LEFT(IF(INDEX(Dati!$EI$1:$EI$1000,MATCH($A17,Dati!$A$1:$A$1000,0))&gt;0,Dati!$BG$3&amp;": "&amp;INDEX(Dati!$BG$1:$BG$1000,MATCH($A17,Dati!$A$1:$A$1000,0))&amp;" · ","")&amp;IF(INDEX(Dati!$EJ$1:$EJ$1000,MATCH($A17,Dati!$A$1:$A$1000,0))&gt;0,Dati!$BH$3&amp;": "&amp;INDEX(Dati!$BH$1:$BH$1000,MATCH($A17,Dati!$A$1:$A$1000,0))&amp;" · ","")&amp;IF(INDEX(Dati!$EK$1:$EK$1000,MATCH($A17,Dati!$A$1:$A$1000,0))&gt;0,Dati!$BI$3&amp;": "&amp;INDEX(Dati!$BI$1:$BI$1000,MATCH($A17,Dati!$A$1:$A$1000,0))&amp;" · ","")&amp;IF(INDEX(Dati!$EL$1:$EL$1000,MATCH($A17,Dati!$A$1:$A$1000,0))&gt;0,Dati!$BJ$3&amp;": "&amp;INDEX(Dati!$BJ$1:$BJ$1000,MATCH($A17,Dati!$A$1:$A$1000,0))&amp;" · ",""),LEN(IF(INDEX(Dati!$EI$1:$EI$1000,MATCH($A17,Dati!$A$1:$A$1000,0))&gt;0,Dati!$BG$3&amp;": "&amp;INDEX(Dati!$BG$1:$BG$1000,MATCH($A17,Dati!$A$1:$A$1000,0))&amp;" · ","")&amp;IF(INDEX(Dati!$EJ$1:$EJ$1000,MATCH($A17,Dati!$A$1:$A$1000,0))&gt;0,Dati!$BH$3&amp;": "&amp;INDEX(Dati!$BH$1:$BH$1000,MATCH($A17,Dati!$A$1:$A$1000,0))&amp;" · ","")&amp;IF(INDEX(Dati!$EK$1:$EK$1000,MATCH($A17,Dati!$A$1:$A$1000,0))&gt;0,Dati!$BI$3&amp;": "&amp;INDEX(Dati!$BI$1:$BI$1000,MATCH($A17,Dati!$A$1:$A$1000,0))&amp;" · ","")&amp;IF(INDEX(Dati!$EL$1:$EL$1000,MATCH($A17,Dati!$A$1:$A$1000,0))&gt;0,Dati!$BJ$3&amp;": "&amp;INDEX(Dati!$BJ$1:$BJ$1000,MATCH($A17,Dati!$A$1:$A$1000,0))&amp;" · ",""))-3)),""))</f>
        <v/>
      </c>
      <c r="R17" s="55" t="str">
        <f aca="false">IF($B17="","",IFERROR(IF((IF(INDEX(Dati!$EM$1:$EM$1000,MATCH($A17,Dati!$A$1:$A$1000,0))&gt;0,Dati!$BK$3&amp;": "&amp;INDEX(Dati!$BK$1:$BK$1000,MATCH($A17,Dati!$A$1:$A$1000,0))&amp;" · ","")&amp;IF(INDEX(Dati!$EN$1:$EN$1000,MATCH($A17,Dati!$A$1:$A$1000,0))&gt;0,Dati!$BL$3&amp;": "&amp;INDEX(Dati!$BL$1:$BL$1000,MATCH($A17,Dati!$A$1:$A$1000,0))&amp;" · ","")&amp;IF(INDEX(Dati!$EO$1:$EO$1000,MATCH($A17,Dati!$A$1:$A$1000,0))&gt;0,Dati!$BM$3&amp;": "&amp;INDEX(Dati!$BM$1:$BM$1000,MATCH($A17,Dati!$A$1:$A$1000,0))&amp;" · ","")&amp;IF(INDEX(Dati!$EP$1:$EP$1000,MATCH($A17,Dati!$A$1:$A$1000,0))&gt;0,Dati!$BN$3&amp;": "&amp;INDEX(Dati!$BN$1:$BN$1000,MATCH($A17,Dati!$A$1:$A$1000,0))&amp;" · ",""))="",IF(INDEX(Dati!$FV$1:$FV$1000,MATCH($A17,Dati!$A$1:$A$1000,0))=1,"AS da recuperare",""),LEFT(IF(INDEX(Dati!$EM$1:$EM$1000,MATCH($A17,Dati!$A$1:$A$1000,0))&gt;0,Dati!$BK$3&amp;": "&amp;INDEX(Dati!$BK$1:$BK$1000,MATCH($A17,Dati!$A$1:$A$1000,0))&amp;" · ","")&amp;IF(INDEX(Dati!$EN$1:$EN$1000,MATCH($A17,Dati!$A$1:$A$1000,0))&gt;0,Dati!$BL$3&amp;": "&amp;INDEX(Dati!$BL$1:$BL$1000,MATCH($A17,Dati!$A$1:$A$1000,0))&amp;" · ","")&amp;IF(INDEX(Dati!$EO$1:$EO$1000,MATCH($A17,Dati!$A$1:$A$1000,0))&gt;0,Dati!$BM$3&amp;": "&amp;INDEX(Dati!$BM$1:$BM$1000,MATCH($A17,Dati!$A$1:$A$1000,0))&amp;" · ","")&amp;IF(INDEX(Dati!$EP$1:$EP$1000,MATCH($A17,Dati!$A$1:$A$1000,0))&gt;0,Dati!$BN$3&amp;": "&amp;INDEX(Dati!$BN$1:$BN$1000,MATCH($A17,Dati!$A$1:$A$1000,0))&amp;" · ",""),LEN(IF(INDEX(Dati!$EM$1:$EM$1000,MATCH($A17,Dati!$A$1:$A$1000,0))&gt;0,Dati!$BK$3&amp;": "&amp;INDEX(Dati!$BK$1:$BK$1000,MATCH($A17,Dati!$A$1:$A$1000,0))&amp;" · ","")&amp;IF(INDEX(Dati!$EN$1:$EN$1000,MATCH($A17,Dati!$A$1:$A$1000,0))&gt;0,Dati!$BL$3&amp;": "&amp;INDEX(Dati!$BL$1:$BL$1000,MATCH($A17,Dati!$A$1:$A$1000,0))&amp;" · ","")&amp;IF(INDEX(Dati!$EO$1:$EO$1000,MATCH($A17,Dati!$A$1:$A$1000,0))&gt;0,Dati!$BM$3&amp;": "&amp;INDEX(Dati!$BM$1:$BM$1000,MATCH($A17,Dati!$A$1:$A$1000,0))&amp;" · ","")&amp;IF(INDEX(Dati!$EP$1:$EP$1000,MATCH($A17,Dati!$A$1:$A$1000,0))&gt;0,Dati!$BN$3&amp;": "&amp;INDEX(Dati!$BN$1:$BN$1000,MATCH($A17,Dati!$A$1:$A$1000,0))&amp;" · ",""))-3)),""))</f>
        <v/>
      </c>
      <c r="S17" s="55" t="str">
        <f aca="false">IF($B17="","",IFERROR(IF((IF(INDEX(Dati!$EQ$1:$EQ$1000,MATCH($A17,Dati!$A$1:$A$1000,0))&gt;0,Dati!$BO$3&amp;": "&amp;INDEX(Dati!$BO$1:$BO$1000,MATCH($A17,Dati!$A$1:$A$1000,0))&amp;" · ","")&amp;IF(INDEX(Dati!$ER$1:$ER$1000,MATCH($A17,Dati!$A$1:$A$1000,0))&gt;0,Dati!$BP$3&amp;": "&amp;INDEX(Dati!$BP$1:$BP$1000,MATCH($A17,Dati!$A$1:$A$1000,0))&amp;" · ","")&amp;IF(INDEX(Dati!$ES$1:$ES$1000,MATCH($A17,Dati!$A$1:$A$1000,0))&gt;0,Dati!$BQ$3&amp;": "&amp;INDEX(Dati!$BQ$1:$BQ$1000,MATCH($A17,Dati!$A$1:$A$1000,0))&amp;" · ","")&amp;IF(INDEX(Dati!$ET$1:$ET$1000,MATCH($A17,Dati!$A$1:$A$1000,0))&gt;0,Dati!$BR$3&amp;": "&amp;INDEX(Dati!$BR$1:$BR$1000,MATCH($A17,Dati!$A$1:$A$1000,0))&amp;" · ",""))="",IF(INDEX(Dati!$FW$1:$FW$1000,MATCH($A17,Dati!$A$1:$A$1000,0))=1,"AS da recuperare",""),LEFT(IF(INDEX(Dati!$EQ$1:$EQ$1000,MATCH($A17,Dati!$A$1:$A$1000,0))&gt;0,Dati!$BO$3&amp;": "&amp;INDEX(Dati!$BO$1:$BO$1000,MATCH($A17,Dati!$A$1:$A$1000,0))&amp;" · ","")&amp;IF(INDEX(Dati!$ER$1:$ER$1000,MATCH($A17,Dati!$A$1:$A$1000,0))&gt;0,Dati!$BP$3&amp;": "&amp;INDEX(Dati!$BP$1:$BP$1000,MATCH($A17,Dati!$A$1:$A$1000,0))&amp;" · ","")&amp;IF(INDEX(Dati!$ES$1:$ES$1000,MATCH($A17,Dati!$A$1:$A$1000,0))&gt;0,Dati!$BQ$3&amp;": "&amp;INDEX(Dati!$BQ$1:$BQ$1000,MATCH($A17,Dati!$A$1:$A$1000,0))&amp;" · ","")&amp;IF(INDEX(Dati!$ET$1:$ET$1000,MATCH($A17,Dati!$A$1:$A$1000,0))&gt;0,Dati!$BR$3&amp;": "&amp;INDEX(Dati!$BR$1:$BR$1000,MATCH($A17,Dati!$A$1:$A$1000,0))&amp;" · ",""),LEN(IF(INDEX(Dati!$EQ$1:$EQ$1000,MATCH($A17,Dati!$A$1:$A$1000,0))&gt;0,Dati!$BO$3&amp;": "&amp;INDEX(Dati!$BO$1:$BO$1000,MATCH($A17,Dati!$A$1:$A$1000,0))&amp;" · ","")&amp;IF(INDEX(Dati!$ER$1:$ER$1000,MATCH($A17,Dati!$A$1:$A$1000,0))&gt;0,Dati!$BP$3&amp;": "&amp;INDEX(Dati!$BP$1:$BP$1000,MATCH($A17,Dati!$A$1:$A$1000,0))&amp;" · ","")&amp;IF(INDEX(Dati!$ES$1:$ES$1000,MATCH($A17,Dati!$A$1:$A$1000,0))&gt;0,Dati!$BQ$3&amp;": "&amp;INDEX(Dati!$BQ$1:$BQ$1000,MATCH($A17,Dati!$A$1:$A$1000,0))&amp;" · ","")&amp;IF(INDEX(Dati!$ET$1:$ET$1000,MATCH($A17,Dati!$A$1:$A$1000,0))&gt;0,Dati!$BR$3&amp;": "&amp;INDEX(Dati!$BR$1:$BR$1000,MATCH($A17,Dati!$A$1:$A$1000,0))&amp;" · ",""))-3)),""))</f>
        <v/>
      </c>
      <c r="T17" s="55" t="str">
        <f aca="false">IF($B17="","",IFERROR(IF((IF(INDEX(Dati!$EU$1:$EU$1000,MATCH($A17,Dati!$A$1:$A$1000,0))&gt;0,Dati!$BS$3&amp;": "&amp;INDEX(Dati!$BS$1:$BS$1000,MATCH($A17,Dati!$A$1:$A$1000,0))&amp;" · ","")&amp;IF(INDEX(Dati!$EV$1:$EV$1000,MATCH($A17,Dati!$A$1:$A$1000,0))&gt;0,Dati!$BT$3&amp;": "&amp;INDEX(Dati!$BT$1:$BT$1000,MATCH($A17,Dati!$A$1:$A$1000,0))&amp;" · ","")&amp;IF(INDEX(Dati!$EW$1:$EW$1000,MATCH($A17,Dati!$A$1:$A$1000,0))&gt;0,Dati!$BU$3&amp;": "&amp;INDEX(Dati!$BU$1:$BU$1000,MATCH($A17,Dati!$A$1:$A$1000,0))&amp;" · ","")&amp;IF(INDEX(Dati!$EX$1:$EX$1000,MATCH($A17,Dati!$A$1:$A$1000,0))&gt;0,Dati!$BV$3&amp;": "&amp;INDEX(Dati!$BV$1:$BV$1000,MATCH($A17,Dati!$A$1:$A$1000,0))&amp;" · ",""))="",IF(INDEX(Dati!$FX$1:$FX$1000,MATCH($A17,Dati!$A$1:$A$1000,0))=1,"AS da recuperare",""),LEFT(IF(INDEX(Dati!$EU$1:$EU$1000,MATCH($A17,Dati!$A$1:$A$1000,0))&gt;0,Dati!$BS$3&amp;": "&amp;INDEX(Dati!$BS$1:$BS$1000,MATCH($A17,Dati!$A$1:$A$1000,0))&amp;" · ","")&amp;IF(INDEX(Dati!$EV$1:$EV$1000,MATCH($A17,Dati!$A$1:$A$1000,0))&gt;0,Dati!$BT$3&amp;": "&amp;INDEX(Dati!$BT$1:$BT$1000,MATCH($A17,Dati!$A$1:$A$1000,0))&amp;" · ","")&amp;IF(INDEX(Dati!$EW$1:$EW$1000,MATCH($A17,Dati!$A$1:$A$1000,0))&gt;0,Dati!$BU$3&amp;": "&amp;INDEX(Dati!$BU$1:$BU$1000,MATCH($A17,Dati!$A$1:$A$1000,0))&amp;" · ","")&amp;IF(INDEX(Dati!$EX$1:$EX$1000,MATCH($A17,Dati!$A$1:$A$1000,0))&gt;0,Dati!$BV$3&amp;": "&amp;INDEX(Dati!$BV$1:$BV$1000,MATCH($A17,Dati!$A$1:$A$1000,0))&amp;" · ",""),LEN(IF(INDEX(Dati!$EU$1:$EU$1000,MATCH($A17,Dati!$A$1:$A$1000,0))&gt;0,Dati!$BS$3&amp;": "&amp;INDEX(Dati!$BS$1:$BS$1000,MATCH($A17,Dati!$A$1:$A$1000,0))&amp;" · ","")&amp;IF(INDEX(Dati!$EV$1:$EV$1000,MATCH($A17,Dati!$A$1:$A$1000,0))&gt;0,Dati!$BT$3&amp;": "&amp;INDEX(Dati!$BT$1:$BT$1000,MATCH($A17,Dati!$A$1:$A$1000,0))&amp;" · ","")&amp;IF(INDEX(Dati!$EW$1:$EW$1000,MATCH($A17,Dati!$A$1:$A$1000,0))&gt;0,Dati!$BU$3&amp;": "&amp;INDEX(Dati!$BU$1:$BU$1000,MATCH($A17,Dati!$A$1:$A$1000,0))&amp;" · ","")&amp;IF(INDEX(Dati!$EX$1:$EX$1000,MATCH($A17,Dati!$A$1:$A$1000,0))&gt;0,Dati!$BV$3&amp;": "&amp;INDEX(Dati!$BV$1:$BV$1000,MATCH($A17,Dati!$A$1:$A$1000,0))&amp;" · ",""))-3)),""))</f>
        <v/>
      </c>
      <c r="U17" s="55" t="str">
        <f aca="false">IF($B17="","",IFERROR(IF((IF(INDEX(Dati!$EY$1:$EY$1000,MATCH($A17,Dati!$A$1:$A$1000,0))&gt;0,Dati!$BW$3&amp;": "&amp;INDEX(Dati!$BW$1:$BW$1000,MATCH($A17,Dati!$A$1:$A$1000,0))&amp;" · ","")&amp;IF(INDEX(Dati!$EZ$1:$EZ$1000,MATCH($A17,Dati!$A$1:$A$1000,0))&gt;0,Dati!$BX$3&amp;": "&amp;INDEX(Dati!$BX$1:$BX$1000,MATCH($A17,Dati!$A$1:$A$1000,0))&amp;" · ","")&amp;IF(INDEX(Dati!$FA$1:$FA$1000,MATCH($A17,Dati!$A$1:$A$1000,0))&gt;0,Dati!$BY$3&amp;": "&amp;INDEX(Dati!$BY$1:$BY$1000,MATCH($A17,Dati!$A$1:$A$1000,0))&amp;" · ","")&amp;IF(INDEX(Dati!$FB$1:$FB$1000,MATCH($A17,Dati!$A$1:$A$1000,0))&gt;0,Dati!$BZ$3&amp;": "&amp;INDEX(Dati!$BZ$1:$BZ$1000,MATCH($A17,Dati!$A$1:$A$1000,0))&amp;" · ",""))="",IF(INDEX(Dati!$FY$1:$FY$1000,MATCH($A17,Dati!$A$1:$A$1000,0))=1,"AS da recuperare",""),LEFT(IF(INDEX(Dati!$EY$1:$EY$1000,MATCH($A17,Dati!$A$1:$A$1000,0))&gt;0,Dati!$BW$3&amp;": "&amp;INDEX(Dati!$BW$1:$BW$1000,MATCH($A17,Dati!$A$1:$A$1000,0))&amp;" · ","")&amp;IF(INDEX(Dati!$EZ$1:$EZ$1000,MATCH($A17,Dati!$A$1:$A$1000,0))&gt;0,Dati!$BX$3&amp;": "&amp;INDEX(Dati!$BX$1:$BX$1000,MATCH($A17,Dati!$A$1:$A$1000,0))&amp;" · ","")&amp;IF(INDEX(Dati!$FA$1:$FA$1000,MATCH($A17,Dati!$A$1:$A$1000,0))&gt;0,Dati!$BY$3&amp;": "&amp;INDEX(Dati!$BY$1:$BY$1000,MATCH($A17,Dati!$A$1:$A$1000,0))&amp;" · ","")&amp;IF(INDEX(Dati!$FB$1:$FB$1000,MATCH($A17,Dati!$A$1:$A$1000,0))&gt;0,Dati!$BZ$3&amp;": "&amp;INDEX(Dati!$BZ$1:$BZ$1000,MATCH($A17,Dati!$A$1:$A$1000,0))&amp;" · ",""),LEN(IF(INDEX(Dati!$EY$1:$EY$1000,MATCH($A17,Dati!$A$1:$A$1000,0))&gt;0,Dati!$BW$3&amp;": "&amp;INDEX(Dati!$BW$1:$BW$1000,MATCH($A17,Dati!$A$1:$A$1000,0))&amp;" · ","")&amp;IF(INDEX(Dati!$EZ$1:$EZ$1000,MATCH($A17,Dati!$A$1:$A$1000,0))&gt;0,Dati!$BX$3&amp;": "&amp;INDEX(Dati!$BX$1:$BX$1000,MATCH($A17,Dati!$A$1:$A$1000,0))&amp;" · ","")&amp;IF(INDEX(Dati!$FA$1:$FA$1000,MATCH($A17,Dati!$A$1:$A$1000,0))&gt;0,Dati!$BY$3&amp;": "&amp;INDEX(Dati!$BY$1:$BY$1000,MATCH($A17,Dati!$A$1:$A$1000,0))&amp;" · ","")&amp;IF(INDEX(Dati!$FB$1:$FB$1000,MATCH($A17,Dati!$A$1:$A$1000,0))&gt;0,Dati!$BZ$3&amp;": "&amp;INDEX(Dati!$BZ$1:$BZ$1000,MATCH($A17,Dati!$A$1:$A$1000,0))&amp;" · ",""))-3)),""))</f>
        <v/>
      </c>
      <c r="V17" s="55" t="str">
        <f aca="false">IF($B17="","",IFERROR(IF((IF(INDEX(Dati!$FC$1:$FC$1000,MATCH($A17,Dati!$A$1:$A$1000,0))&gt;0,Dati!$CA$3&amp;": "&amp;INDEX(Dati!$CA$1:$CA$1000,MATCH($A17,Dati!$A$1:$A$1000,0))&amp;" · ","")&amp;IF(INDEX(Dati!$FD$1:$FD$1000,MATCH($A17,Dati!$A$1:$A$1000,0))&gt;0,Dati!$CB$3&amp;": "&amp;INDEX(Dati!$CB$1:$CB$1000,MATCH($A17,Dati!$A$1:$A$1000,0))&amp;" · ","")&amp;IF(INDEX(Dati!$FE$1:$FE$1000,MATCH($A17,Dati!$A$1:$A$1000,0))&gt;0,Dati!$CC$3&amp;": "&amp;INDEX(Dati!$CC$1:$CC$1000,MATCH($A17,Dati!$A$1:$A$1000,0))&amp;" · ","")&amp;IF(INDEX(Dati!$FF$1:$FF$1000,MATCH($A17,Dati!$A$1:$A$1000,0))&gt;0,Dati!$CD$3&amp;": "&amp;INDEX(Dati!$CD$1:$CD$1000,MATCH($A17,Dati!$A$1:$A$1000,0))&amp;" · ",""))="",IF(INDEX(Dati!$FZ$1:$FZ$1000,MATCH($A17,Dati!$A$1:$A$1000,0))=1,"AS da recuperare",""),LEFT(IF(INDEX(Dati!$FC$1:$FC$1000,MATCH($A17,Dati!$A$1:$A$1000,0))&gt;0,Dati!$CA$3&amp;": "&amp;INDEX(Dati!$CA$1:$CA$1000,MATCH($A17,Dati!$A$1:$A$1000,0))&amp;" · ","")&amp;IF(INDEX(Dati!$FD$1:$FD$1000,MATCH($A17,Dati!$A$1:$A$1000,0))&gt;0,Dati!$CB$3&amp;": "&amp;INDEX(Dati!$CB$1:$CB$1000,MATCH($A17,Dati!$A$1:$A$1000,0))&amp;" · ","")&amp;IF(INDEX(Dati!$FE$1:$FE$1000,MATCH($A17,Dati!$A$1:$A$1000,0))&gt;0,Dati!$CC$3&amp;": "&amp;INDEX(Dati!$CC$1:$CC$1000,MATCH($A17,Dati!$A$1:$A$1000,0))&amp;" · ","")&amp;IF(INDEX(Dati!$FF$1:$FF$1000,MATCH($A17,Dati!$A$1:$A$1000,0))&gt;0,Dati!$CD$3&amp;": "&amp;INDEX(Dati!$CD$1:$CD$1000,MATCH($A17,Dati!$A$1:$A$1000,0))&amp;" · ",""),LEN(IF(INDEX(Dati!$FC$1:$FC$1000,MATCH($A17,Dati!$A$1:$A$1000,0))&gt;0,Dati!$CA$3&amp;": "&amp;INDEX(Dati!$CA$1:$CA$1000,MATCH($A17,Dati!$A$1:$A$1000,0))&amp;" · ","")&amp;IF(INDEX(Dati!$FD$1:$FD$1000,MATCH($A17,Dati!$A$1:$A$1000,0))&gt;0,Dati!$CB$3&amp;": "&amp;INDEX(Dati!$CB$1:$CB$1000,MATCH($A17,Dati!$A$1:$A$1000,0))&amp;" · ","")&amp;IF(INDEX(Dati!$FE$1:$FE$1000,MATCH($A17,Dati!$A$1:$A$1000,0))&gt;0,Dati!$CC$3&amp;": "&amp;INDEX(Dati!$CC$1:$CC$1000,MATCH($A17,Dati!$A$1:$A$1000,0))&amp;" · ","")&amp;IF(INDEX(Dati!$FF$1:$FF$1000,MATCH($A17,Dati!$A$1:$A$1000,0))&gt;0,Dati!$CD$3&amp;": "&amp;INDEX(Dati!$CD$1:$CD$1000,MATCH($A17,Dati!$A$1:$A$1000,0))&amp;" · ",""))-3)),""))</f>
        <v/>
      </c>
    </row>
    <row r="18" customFormat="false" ht="19.5" hidden="false" customHeight="true" outlineLevel="0" collapsed="false">
      <c r="A18" s="10" t="n">
        <v>14</v>
      </c>
      <c r="B18" s="16" t="str">
        <f aca="false">IFERROR(INDEX(Alunni!$C$1:$C$1000,MATCH($A18,Alunni!$A$1:$A$1000,0))&amp;"","")</f>
        <v/>
      </c>
      <c r="C18" s="55" t="str">
        <f aca="false">IF($B18="","",IFERROR(IF((IF(INDEX(Dati!$CE$1:$CE$1000,MATCH($A18,Dati!$A$1:$A$1000,0))&gt;0,Dati!$C$3&amp;": "&amp;INDEX(Dati!$C$1:$C$1000,MATCH($A18,Dati!$A$1:$A$1000,0))&amp;" · ","")&amp;IF(INDEX(Dati!$CF$1:$CF$1000,MATCH($A18,Dati!$A$1:$A$1000,0))&gt;0,Dati!$D$3&amp;": "&amp;INDEX(Dati!$D$1:$D$1000,MATCH($A18,Dati!$A$1:$A$1000,0))&amp;" · ","")&amp;IF(INDEX(Dati!$CG$1:$CG$1000,MATCH($A18,Dati!$A$1:$A$1000,0))&gt;0,Dati!$E$3&amp;": "&amp;INDEX(Dati!$E$1:$E$1000,MATCH($A18,Dati!$A$1:$A$1000,0))&amp;" · ","")&amp;IF(INDEX(Dati!$CH$1:$CH$1000,MATCH($A18,Dati!$A$1:$A$1000,0))&gt;0,Dati!$F$3&amp;": "&amp;INDEX(Dati!$F$1:$F$1000,MATCH($A18,Dati!$A$1:$A$1000,0))&amp;" · ",""))="",IF(INDEX(Dati!$FG$1:$FG$1000,MATCH($A18,Dati!$A$1:$A$1000,0))=1,"AS da recuperare",""),LEFT(IF(INDEX(Dati!$CE$1:$CE$1000,MATCH($A18,Dati!$A$1:$A$1000,0))&gt;0,Dati!$C$3&amp;": "&amp;INDEX(Dati!$C$1:$C$1000,MATCH($A18,Dati!$A$1:$A$1000,0))&amp;" · ","")&amp;IF(INDEX(Dati!$CF$1:$CF$1000,MATCH($A18,Dati!$A$1:$A$1000,0))&gt;0,Dati!$D$3&amp;": "&amp;INDEX(Dati!$D$1:$D$1000,MATCH($A18,Dati!$A$1:$A$1000,0))&amp;" · ","")&amp;IF(INDEX(Dati!$CG$1:$CG$1000,MATCH($A18,Dati!$A$1:$A$1000,0))&gt;0,Dati!$E$3&amp;": "&amp;INDEX(Dati!$E$1:$E$1000,MATCH($A18,Dati!$A$1:$A$1000,0))&amp;" · ","")&amp;IF(INDEX(Dati!$CH$1:$CH$1000,MATCH($A18,Dati!$A$1:$A$1000,0))&gt;0,Dati!$F$3&amp;": "&amp;INDEX(Dati!$F$1:$F$1000,MATCH($A18,Dati!$A$1:$A$1000,0))&amp;" · ",""),LEN(IF(INDEX(Dati!$CE$1:$CE$1000,MATCH($A18,Dati!$A$1:$A$1000,0))&gt;0,Dati!$C$3&amp;": "&amp;INDEX(Dati!$C$1:$C$1000,MATCH($A18,Dati!$A$1:$A$1000,0))&amp;" · ","")&amp;IF(INDEX(Dati!$CF$1:$CF$1000,MATCH($A18,Dati!$A$1:$A$1000,0))&gt;0,Dati!$D$3&amp;": "&amp;INDEX(Dati!$D$1:$D$1000,MATCH($A18,Dati!$A$1:$A$1000,0))&amp;" · ","")&amp;IF(INDEX(Dati!$CG$1:$CG$1000,MATCH($A18,Dati!$A$1:$A$1000,0))&gt;0,Dati!$E$3&amp;": "&amp;INDEX(Dati!$E$1:$E$1000,MATCH($A18,Dati!$A$1:$A$1000,0))&amp;" · ","")&amp;IF(INDEX(Dati!$CH$1:$CH$1000,MATCH($A18,Dati!$A$1:$A$1000,0))&gt;0,Dati!$F$3&amp;": "&amp;INDEX(Dati!$F$1:$F$1000,MATCH($A18,Dati!$A$1:$A$1000,0))&amp;" · ",""))-3)),""))</f>
        <v/>
      </c>
      <c r="D18" s="55" t="str">
        <f aca="false">IF($B18="","",IFERROR(IF((IF(INDEX(Dati!$CI$1:$CI$1000,MATCH($A18,Dati!$A$1:$A$1000,0))&gt;0,Dati!$G$3&amp;": "&amp;INDEX(Dati!$G$1:$G$1000,MATCH($A18,Dati!$A$1:$A$1000,0))&amp;" · ","")&amp;IF(INDEX(Dati!$CJ$1:$CJ$1000,MATCH($A18,Dati!$A$1:$A$1000,0))&gt;0,Dati!$H$3&amp;": "&amp;INDEX(Dati!$H$1:$H$1000,MATCH($A18,Dati!$A$1:$A$1000,0))&amp;" · ","")&amp;IF(INDEX(Dati!$CK$1:$CK$1000,MATCH($A18,Dati!$A$1:$A$1000,0))&gt;0,Dati!$I$3&amp;": "&amp;INDEX(Dati!$I$1:$I$1000,MATCH($A18,Dati!$A$1:$A$1000,0))&amp;" · ","")&amp;IF(INDEX(Dati!$CL$1:$CL$1000,MATCH($A18,Dati!$A$1:$A$1000,0))&gt;0,Dati!$J$3&amp;": "&amp;INDEX(Dati!$J$1:$J$1000,MATCH($A18,Dati!$A$1:$A$1000,0))&amp;" · ",""))="",IF(INDEX(Dati!$FH$1:$FH$1000,MATCH($A18,Dati!$A$1:$A$1000,0))=1,"AS da recuperare",""),LEFT(IF(INDEX(Dati!$CI$1:$CI$1000,MATCH($A18,Dati!$A$1:$A$1000,0))&gt;0,Dati!$G$3&amp;": "&amp;INDEX(Dati!$G$1:$G$1000,MATCH($A18,Dati!$A$1:$A$1000,0))&amp;" · ","")&amp;IF(INDEX(Dati!$CJ$1:$CJ$1000,MATCH($A18,Dati!$A$1:$A$1000,0))&gt;0,Dati!$H$3&amp;": "&amp;INDEX(Dati!$H$1:$H$1000,MATCH($A18,Dati!$A$1:$A$1000,0))&amp;" · ","")&amp;IF(INDEX(Dati!$CK$1:$CK$1000,MATCH($A18,Dati!$A$1:$A$1000,0))&gt;0,Dati!$I$3&amp;": "&amp;INDEX(Dati!$I$1:$I$1000,MATCH($A18,Dati!$A$1:$A$1000,0))&amp;" · ","")&amp;IF(INDEX(Dati!$CL$1:$CL$1000,MATCH($A18,Dati!$A$1:$A$1000,0))&gt;0,Dati!$J$3&amp;": "&amp;INDEX(Dati!$J$1:$J$1000,MATCH($A18,Dati!$A$1:$A$1000,0))&amp;" · ",""),LEN(IF(INDEX(Dati!$CI$1:$CI$1000,MATCH($A18,Dati!$A$1:$A$1000,0))&gt;0,Dati!$G$3&amp;": "&amp;INDEX(Dati!$G$1:$G$1000,MATCH($A18,Dati!$A$1:$A$1000,0))&amp;" · ","")&amp;IF(INDEX(Dati!$CJ$1:$CJ$1000,MATCH($A18,Dati!$A$1:$A$1000,0))&gt;0,Dati!$H$3&amp;": "&amp;INDEX(Dati!$H$1:$H$1000,MATCH($A18,Dati!$A$1:$A$1000,0))&amp;" · ","")&amp;IF(INDEX(Dati!$CK$1:$CK$1000,MATCH($A18,Dati!$A$1:$A$1000,0))&gt;0,Dati!$I$3&amp;": "&amp;INDEX(Dati!$I$1:$I$1000,MATCH($A18,Dati!$A$1:$A$1000,0))&amp;" · ","")&amp;IF(INDEX(Dati!$CL$1:$CL$1000,MATCH($A18,Dati!$A$1:$A$1000,0))&gt;0,Dati!$J$3&amp;": "&amp;INDEX(Dati!$J$1:$J$1000,MATCH($A18,Dati!$A$1:$A$1000,0))&amp;" · ",""))-3)),""))</f>
        <v/>
      </c>
      <c r="E18" s="55" t="str">
        <f aca="false">IF($B18="","",IFERROR(IF((IF(INDEX(Dati!$CM$1:$CM$1000,MATCH($A18,Dati!$A$1:$A$1000,0))&gt;0,Dati!$K$3&amp;": "&amp;INDEX(Dati!$K$1:$K$1000,MATCH($A18,Dati!$A$1:$A$1000,0))&amp;" · ","")&amp;IF(INDEX(Dati!$CN$1:$CN$1000,MATCH($A18,Dati!$A$1:$A$1000,0))&gt;0,Dati!$L$3&amp;": "&amp;INDEX(Dati!$L$1:$L$1000,MATCH($A18,Dati!$A$1:$A$1000,0))&amp;" · ","")&amp;IF(INDEX(Dati!$CO$1:$CO$1000,MATCH($A18,Dati!$A$1:$A$1000,0))&gt;0,Dati!$M$3&amp;": "&amp;INDEX(Dati!$M$1:$M$1000,MATCH($A18,Dati!$A$1:$A$1000,0))&amp;" · ","")&amp;IF(INDEX(Dati!$CP$1:$CP$1000,MATCH($A18,Dati!$A$1:$A$1000,0))&gt;0,Dati!$N$3&amp;": "&amp;INDEX(Dati!$N$1:$N$1000,MATCH($A18,Dati!$A$1:$A$1000,0))&amp;" · ",""))="",IF(INDEX(Dati!$FI$1:$FI$1000,MATCH($A18,Dati!$A$1:$A$1000,0))=1,"AS da recuperare",""),LEFT(IF(INDEX(Dati!$CM$1:$CM$1000,MATCH($A18,Dati!$A$1:$A$1000,0))&gt;0,Dati!$K$3&amp;": "&amp;INDEX(Dati!$K$1:$K$1000,MATCH($A18,Dati!$A$1:$A$1000,0))&amp;" · ","")&amp;IF(INDEX(Dati!$CN$1:$CN$1000,MATCH($A18,Dati!$A$1:$A$1000,0))&gt;0,Dati!$L$3&amp;": "&amp;INDEX(Dati!$L$1:$L$1000,MATCH($A18,Dati!$A$1:$A$1000,0))&amp;" · ","")&amp;IF(INDEX(Dati!$CO$1:$CO$1000,MATCH($A18,Dati!$A$1:$A$1000,0))&gt;0,Dati!$M$3&amp;": "&amp;INDEX(Dati!$M$1:$M$1000,MATCH($A18,Dati!$A$1:$A$1000,0))&amp;" · ","")&amp;IF(INDEX(Dati!$CP$1:$CP$1000,MATCH($A18,Dati!$A$1:$A$1000,0))&gt;0,Dati!$N$3&amp;": "&amp;INDEX(Dati!$N$1:$N$1000,MATCH($A18,Dati!$A$1:$A$1000,0))&amp;" · ",""),LEN(IF(INDEX(Dati!$CM$1:$CM$1000,MATCH($A18,Dati!$A$1:$A$1000,0))&gt;0,Dati!$K$3&amp;": "&amp;INDEX(Dati!$K$1:$K$1000,MATCH($A18,Dati!$A$1:$A$1000,0))&amp;" · ","")&amp;IF(INDEX(Dati!$CN$1:$CN$1000,MATCH($A18,Dati!$A$1:$A$1000,0))&gt;0,Dati!$L$3&amp;": "&amp;INDEX(Dati!$L$1:$L$1000,MATCH($A18,Dati!$A$1:$A$1000,0))&amp;" · ","")&amp;IF(INDEX(Dati!$CO$1:$CO$1000,MATCH($A18,Dati!$A$1:$A$1000,0))&gt;0,Dati!$M$3&amp;": "&amp;INDEX(Dati!$M$1:$M$1000,MATCH($A18,Dati!$A$1:$A$1000,0))&amp;" · ","")&amp;IF(INDEX(Dati!$CP$1:$CP$1000,MATCH($A18,Dati!$A$1:$A$1000,0))&gt;0,Dati!$N$3&amp;": "&amp;INDEX(Dati!$N$1:$N$1000,MATCH($A18,Dati!$A$1:$A$1000,0))&amp;" · ",""))-3)),""))</f>
        <v/>
      </c>
      <c r="F18" s="55" t="str">
        <f aca="false">IF($B18="","",IFERROR(IF((IF(INDEX(Dati!$CQ$1:$CQ$1000,MATCH($A18,Dati!$A$1:$A$1000,0))&gt;0,Dati!$O$3&amp;": "&amp;INDEX(Dati!$O$1:$O$1000,MATCH($A18,Dati!$A$1:$A$1000,0))&amp;" · ","")&amp;IF(INDEX(Dati!$CR$1:$CR$1000,MATCH($A18,Dati!$A$1:$A$1000,0))&gt;0,Dati!$P$3&amp;": "&amp;INDEX(Dati!$P$1:$P$1000,MATCH($A18,Dati!$A$1:$A$1000,0))&amp;" · ","")&amp;IF(INDEX(Dati!$CS$1:$CS$1000,MATCH($A18,Dati!$A$1:$A$1000,0))&gt;0,Dati!$Q$3&amp;": "&amp;INDEX(Dati!$Q$1:$Q$1000,MATCH($A18,Dati!$A$1:$A$1000,0))&amp;" · ","")&amp;IF(INDEX(Dati!$CT$1:$CT$1000,MATCH($A18,Dati!$A$1:$A$1000,0))&gt;0,Dati!$R$3&amp;": "&amp;INDEX(Dati!$R$1:$R$1000,MATCH($A18,Dati!$A$1:$A$1000,0))&amp;" · ",""))="",IF(INDEX(Dati!$FJ$1:$FJ$1000,MATCH($A18,Dati!$A$1:$A$1000,0))=1,"AS da recuperare",""),LEFT(IF(INDEX(Dati!$CQ$1:$CQ$1000,MATCH($A18,Dati!$A$1:$A$1000,0))&gt;0,Dati!$O$3&amp;": "&amp;INDEX(Dati!$O$1:$O$1000,MATCH($A18,Dati!$A$1:$A$1000,0))&amp;" · ","")&amp;IF(INDEX(Dati!$CR$1:$CR$1000,MATCH($A18,Dati!$A$1:$A$1000,0))&gt;0,Dati!$P$3&amp;": "&amp;INDEX(Dati!$P$1:$P$1000,MATCH($A18,Dati!$A$1:$A$1000,0))&amp;" · ","")&amp;IF(INDEX(Dati!$CS$1:$CS$1000,MATCH($A18,Dati!$A$1:$A$1000,0))&gt;0,Dati!$Q$3&amp;": "&amp;INDEX(Dati!$Q$1:$Q$1000,MATCH($A18,Dati!$A$1:$A$1000,0))&amp;" · ","")&amp;IF(INDEX(Dati!$CT$1:$CT$1000,MATCH($A18,Dati!$A$1:$A$1000,0))&gt;0,Dati!$R$3&amp;": "&amp;INDEX(Dati!$R$1:$R$1000,MATCH($A18,Dati!$A$1:$A$1000,0))&amp;" · ",""),LEN(IF(INDEX(Dati!$CQ$1:$CQ$1000,MATCH($A18,Dati!$A$1:$A$1000,0))&gt;0,Dati!$O$3&amp;": "&amp;INDEX(Dati!$O$1:$O$1000,MATCH($A18,Dati!$A$1:$A$1000,0))&amp;" · ","")&amp;IF(INDEX(Dati!$CR$1:$CR$1000,MATCH($A18,Dati!$A$1:$A$1000,0))&gt;0,Dati!$P$3&amp;": "&amp;INDEX(Dati!$P$1:$P$1000,MATCH($A18,Dati!$A$1:$A$1000,0))&amp;" · ","")&amp;IF(INDEX(Dati!$CS$1:$CS$1000,MATCH($A18,Dati!$A$1:$A$1000,0))&gt;0,Dati!$Q$3&amp;": "&amp;INDEX(Dati!$Q$1:$Q$1000,MATCH($A18,Dati!$A$1:$A$1000,0))&amp;" · ","")&amp;IF(INDEX(Dati!$CT$1:$CT$1000,MATCH($A18,Dati!$A$1:$A$1000,0))&gt;0,Dati!$R$3&amp;": "&amp;INDEX(Dati!$R$1:$R$1000,MATCH($A18,Dati!$A$1:$A$1000,0))&amp;" · ",""))-3)),""))</f>
        <v/>
      </c>
      <c r="G18" s="55" t="str">
        <f aca="false">IF($B18="","",IFERROR(IF((IF(INDEX(Dati!$CU$1:$CU$1000,MATCH($A18,Dati!$A$1:$A$1000,0))&gt;0,Dati!$S$3&amp;": "&amp;INDEX(Dati!$S$1:$S$1000,MATCH($A18,Dati!$A$1:$A$1000,0))&amp;" · ","")&amp;IF(INDEX(Dati!$CV$1:$CV$1000,MATCH($A18,Dati!$A$1:$A$1000,0))&gt;0,Dati!$T$3&amp;": "&amp;INDEX(Dati!$T$1:$T$1000,MATCH($A18,Dati!$A$1:$A$1000,0))&amp;" · ","")&amp;IF(INDEX(Dati!$CW$1:$CW$1000,MATCH($A18,Dati!$A$1:$A$1000,0))&gt;0,Dati!$U$3&amp;": "&amp;INDEX(Dati!$U$1:$U$1000,MATCH($A18,Dati!$A$1:$A$1000,0))&amp;" · ","")&amp;IF(INDEX(Dati!$CX$1:$CX$1000,MATCH($A18,Dati!$A$1:$A$1000,0))&gt;0,Dati!$V$3&amp;": "&amp;INDEX(Dati!$V$1:$V$1000,MATCH($A18,Dati!$A$1:$A$1000,0))&amp;" · ",""))="",IF(INDEX(Dati!$FK$1:$FK$1000,MATCH($A18,Dati!$A$1:$A$1000,0))=1,"AS da recuperare",""),LEFT(IF(INDEX(Dati!$CU$1:$CU$1000,MATCH($A18,Dati!$A$1:$A$1000,0))&gt;0,Dati!$S$3&amp;": "&amp;INDEX(Dati!$S$1:$S$1000,MATCH($A18,Dati!$A$1:$A$1000,0))&amp;" · ","")&amp;IF(INDEX(Dati!$CV$1:$CV$1000,MATCH($A18,Dati!$A$1:$A$1000,0))&gt;0,Dati!$T$3&amp;": "&amp;INDEX(Dati!$T$1:$T$1000,MATCH($A18,Dati!$A$1:$A$1000,0))&amp;" · ","")&amp;IF(INDEX(Dati!$CW$1:$CW$1000,MATCH($A18,Dati!$A$1:$A$1000,0))&gt;0,Dati!$U$3&amp;": "&amp;INDEX(Dati!$U$1:$U$1000,MATCH($A18,Dati!$A$1:$A$1000,0))&amp;" · ","")&amp;IF(INDEX(Dati!$CX$1:$CX$1000,MATCH($A18,Dati!$A$1:$A$1000,0))&gt;0,Dati!$V$3&amp;": "&amp;INDEX(Dati!$V$1:$V$1000,MATCH($A18,Dati!$A$1:$A$1000,0))&amp;" · ",""),LEN(IF(INDEX(Dati!$CU$1:$CU$1000,MATCH($A18,Dati!$A$1:$A$1000,0))&gt;0,Dati!$S$3&amp;": "&amp;INDEX(Dati!$S$1:$S$1000,MATCH($A18,Dati!$A$1:$A$1000,0))&amp;" · ","")&amp;IF(INDEX(Dati!$CV$1:$CV$1000,MATCH($A18,Dati!$A$1:$A$1000,0))&gt;0,Dati!$T$3&amp;": "&amp;INDEX(Dati!$T$1:$T$1000,MATCH($A18,Dati!$A$1:$A$1000,0))&amp;" · ","")&amp;IF(INDEX(Dati!$CW$1:$CW$1000,MATCH($A18,Dati!$A$1:$A$1000,0))&gt;0,Dati!$U$3&amp;": "&amp;INDEX(Dati!$U$1:$U$1000,MATCH($A18,Dati!$A$1:$A$1000,0))&amp;" · ","")&amp;IF(INDEX(Dati!$CX$1:$CX$1000,MATCH($A18,Dati!$A$1:$A$1000,0))&gt;0,Dati!$V$3&amp;": "&amp;INDEX(Dati!$V$1:$V$1000,MATCH($A18,Dati!$A$1:$A$1000,0))&amp;" · ",""))-3)),""))</f>
        <v/>
      </c>
      <c r="H18" s="55" t="str">
        <f aca="false">IF($B18="","",IFERROR(IF((IF(INDEX(Dati!$CY$1:$CY$1000,MATCH($A18,Dati!$A$1:$A$1000,0))&gt;0,Dati!$W$3&amp;": "&amp;INDEX(Dati!$W$1:$W$1000,MATCH($A18,Dati!$A$1:$A$1000,0))&amp;" · ","")&amp;IF(INDEX(Dati!$CZ$1:$CZ$1000,MATCH($A18,Dati!$A$1:$A$1000,0))&gt;0,Dati!$X$3&amp;": "&amp;INDEX(Dati!$X$1:$X$1000,MATCH($A18,Dati!$A$1:$A$1000,0))&amp;" · ","")&amp;IF(INDEX(Dati!$DA$1:$DA$1000,MATCH($A18,Dati!$A$1:$A$1000,0))&gt;0,Dati!$Y$3&amp;": "&amp;INDEX(Dati!$Y$1:$Y$1000,MATCH($A18,Dati!$A$1:$A$1000,0))&amp;" · ","")&amp;IF(INDEX(Dati!$DB$1:$DB$1000,MATCH($A18,Dati!$A$1:$A$1000,0))&gt;0,Dati!$Z$3&amp;": "&amp;INDEX(Dati!$Z$1:$Z$1000,MATCH($A18,Dati!$A$1:$A$1000,0))&amp;" · ",""))="",IF(INDEX(Dati!$FL$1:$FL$1000,MATCH($A18,Dati!$A$1:$A$1000,0))=1,"AS da recuperare",""),LEFT(IF(INDEX(Dati!$CY$1:$CY$1000,MATCH($A18,Dati!$A$1:$A$1000,0))&gt;0,Dati!$W$3&amp;": "&amp;INDEX(Dati!$W$1:$W$1000,MATCH($A18,Dati!$A$1:$A$1000,0))&amp;" · ","")&amp;IF(INDEX(Dati!$CZ$1:$CZ$1000,MATCH($A18,Dati!$A$1:$A$1000,0))&gt;0,Dati!$X$3&amp;": "&amp;INDEX(Dati!$X$1:$X$1000,MATCH($A18,Dati!$A$1:$A$1000,0))&amp;" · ","")&amp;IF(INDEX(Dati!$DA$1:$DA$1000,MATCH($A18,Dati!$A$1:$A$1000,0))&gt;0,Dati!$Y$3&amp;": "&amp;INDEX(Dati!$Y$1:$Y$1000,MATCH($A18,Dati!$A$1:$A$1000,0))&amp;" · ","")&amp;IF(INDEX(Dati!$DB$1:$DB$1000,MATCH($A18,Dati!$A$1:$A$1000,0))&gt;0,Dati!$Z$3&amp;": "&amp;INDEX(Dati!$Z$1:$Z$1000,MATCH($A18,Dati!$A$1:$A$1000,0))&amp;" · ",""),LEN(IF(INDEX(Dati!$CY$1:$CY$1000,MATCH($A18,Dati!$A$1:$A$1000,0))&gt;0,Dati!$W$3&amp;": "&amp;INDEX(Dati!$W$1:$W$1000,MATCH($A18,Dati!$A$1:$A$1000,0))&amp;" · ","")&amp;IF(INDEX(Dati!$CZ$1:$CZ$1000,MATCH($A18,Dati!$A$1:$A$1000,0))&gt;0,Dati!$X$3&amp;": "&amp;INDEX(Dati!$X$1:$X$1000,MATCH($A18,Dati!$A$1:$A$1000,0))&amp;" · ","")&amp;IF(INDEX(Dati!$DA$1:$DA$1000,MATCH($A18,Dati!$A$1:$A$1000,0))&gt;0,Dati!$Y$3&amp;": "&amp;INDEX(Dati!$Y$1:$Y$1000,MATCH($A18,Dati!$A$1:$A$1000,0))&amp;" · ","")&amp;IF(INDEX(Dati!$DB$1:$DB$1000,MATCH($A18,Dati!$A$1:$A$1000,0))&gt;0,Dati!$Z$3&amp;": "&amp;INDEX(Dati!$Z$1:$Z$1000,MATCH($A18,Dati!$A$1:$A$1000,0))&amp;" · ",""))-3)),""))</f>
        <v/>
      </c>
      <c r="I18" s="55" t="str">
        <f aca="false">IF($B18="","",IFERROR(IF((IF(INDEX(Dati!$DC$1:$DC$1000,MATCH($A18,Dati!$A$1:$A$1000,0))&gt;0,Dati!$AA$3&amp;": "&amp;INDEX(Dati!$AA$1:$AA$1000,MATCH($A18,Dati!$A$1:$A$1000,0))&amp;" · ","")&amp;IF(INDEX(Dati!$DD$1:$DD$1000,MATCH($A18,Dati!$A$1:$A$1000,0))&gt;0,Dati!$AB$3&amp;": "&amp;INDEX(Dati!$AB$1:$AB$1000,MATCH($A18,Dati!$A$1:$A$1000,0))&amp;" · ","")&amp;IF(INDEX(Dati!$DE$1:$DE$1000,MATCH($A18,Dati!$A$1:$A$1000,0))&gt;0,Dati!$AC$3&amp;": "&amp;INDEX(Dati!$AC$1:$AC$1000,MATCH($A18,Dati!$A$1:$A$1000,0))&amp;" · ","")&amp;IF(INDEX(Dati!$DF$1:$DF$1000,MATCH($A18,Dati!$A$1:$A$1000,0))&gt;0,Dati!$AD$3&amp;": "&amp;INDEX(Dati!$AD$1:$AD$1000,MATCH($A18,Dati!$A$1:$A$1000,0))&amp;" · ",""))="",IF(INDEX(Dati!$FM$1:$FM$1000,MATCH($A18,Dati!$A$1:$A$1000,0))=1,"AS da recuperare",""),LEFT(IF(INDEX(Dati!$DC$1:$DC$1000,MATCH($A18,Dati!$A$1:$A$1000,0))&gt;0,Dati!$AA$3&amp;": "&amp;INDEX(Dati!$AA$1:$AA$1000,MATCH($A18,Dati!$A$1:$A$1000,0))&amp;" · ","")&amp;IF(INDEX(Dati!$DD$1:$DD$1000,MATCH($A18,Dati!$A$1:$A$1000,0))&gt;0,Dati!$AB$3&amp;": "&amp;INDEX(Dati!$AB$1:$AB$1000,MATCH($A18,Dati!$A$1:$A$1000,0))&amp;" · ","")&amp;IF(INDEX(Dati!$DE$1:$DE$1000,MATCH($A18,Dati!$A$1:$A$1000,0))&gt;0,Dati!$AC$3&amp;": "&amp;INDEX(Dati!$AC$1:$AC$1000,MATCH($A18,Dati!$A$1:$A$1000,0))&amp;" · ","")&amp;IF(INDEX(Dati!$DF$1:$DF$1000,MATCH($A18,Dati!$A$1:$A$1000,0))&gt;0,Dati!$AD$3&amp;": "&amp;INDEX(Dati!$AD$1:$AD$1000,MATCH($A18,Dati!$A$1:$A$1000,0))&amp;" · ",""),LEN(IF(INDEX(Dati!$DC$1:$DC$1000,MATCH($A18,Dati!$A$1:$A$1000,0))&gt;0,Dati!$AA$3&amp;": "&amp;INDEX(Dati!$AA$1:$AA$1000,MATCH($A18,Dati!$A$1:$A$1000,0))&amp;" · ","")&amp;IF(INDEX(Dati!$DD$1:$DD$1000,MATCH($A18,Dati!$A$1:$A$1000,0))&gt;0,Dati!$AB$3&amp;": "&amp;INDEX(Dati!$AB$1:$AB$1000,MATCH($A18,Dati!$A$1:$A$1000,0))&amp;" · ","")&amp;IF(INDEX(Dati!$DE$1:$DE$1000,MATCH($A18,Dati!$A$1:$A$1000,0))&gt;0,Dati!$AC$3&amp;": "&amp;INDEX(Dati!$AC$1:$AC$1000,MATCH($A18,Dati!$A$1:$A$1000,0))&amp;" · ","")&amp;IF(INDEX(Dati!$DF$1:$DF$1000,MATCH($A18,Dati!$A$1:$A$1000,0))&gt;0,Dati!$AD$3&amp;": "&amp;INDEX(Dati!$AD$1:$AD$1000,MATCH($A18,Dati!$A$1:$A$1000,0))&amp;" · ",""))-3)),""))</f>
        <v/>
      </c>
      <c r="J18" s="55" t="str">
        <f aca="false">IF($B18="","",IFERROR(IF((IF(INDEX(Dati!$DG$1:$DG$1000,MATCH($A18,Dati!$A$1:$A$1000,0))&gt;0,Dati!$AE$3&amp;": "&amp;INDEX(Dati!$AE$1:$AE$1000,MATCH($A18,Dati!$A$1:$A$1000,0))&amp;" · ","")&amp;IF(INDEX(Dati!$DH$1:$DH$1000,MATCH($A18,Dati!$A$1:$A$1000,0))&gt;0,Dati!$AF$3&amp;": "&amp;INDEX(Dati!$AF$1:$AF$1000,MATCH($A18,Dati!$A$1:$A$1000,0))&amp;" · ","")&amp;IF(INDEX(Dati!$DI$1:$DI$1000,MATCH($A18,Dati!$A$1:$A$1000,0))&gt;0,Dati!$AG$3&amp;": "&amp;INDEX(Dati!$AG$1:$AG$1000,MATCH($A18,Dati!$A$1:$A$1000,0))&amp;" · ","")&amp;IF(INDEX(Dati!$DJ$1:$DJ$1000,MATCH($A18,Dati!$A$1:$A$1000,0))&gt;0,Dati!$AH$3&amp;": "&amp;INDEX(Dati!$AH$1:$AH$1000,MATCH($A18,Dati!$A$1:$A$1000,0))&amp;" · ",""))="",IF(INDEX(Dati!$FN$1:$FN$1000,MATCH($A18,Dati!$A$1:$A$1000,0))=1,"AS da recuperare",""),LEFT(IF(INDEX(Dati!$DG$1:$DG$1000,MATCH($A18,Dati!$A$1:$A$1000,0))&gt;0,Dati!$AE$3&amp;": "&amp;INDEX(Dati!$AE$1:$AE$1000,MATCH($A18,Dati!$A$1:$A$1000,0))&amp;" · ","")&amp;IF(INDEX(Dati!$DH$1:$DH$1000,MATCH($A18,Dati!$A$1:$A$1000,0))&gt;0,Dati!$AF$3&amp;": "&amp;INDEX(Dati!$AF$1:$AF$1000,MATCH($A18,Dati!$A$1:$A$1000,0))&amp;" · ","")&amp;IF(INDEX(Dati!$DI$1:$DI$1000,MATCH($A18,Dati!$A$1:$A$1000,0))&gt;0,Dati!$AG$3&amp;": "&amp;INDEX(Dati!$AG$1:$AG$1000,MATCH($A18,Dati!$A$1:$A$1000,0))&amp;" · ","")&amp;IF(INDEX(Dati!$DJ$1:$DJ$1000,MATCH($A18,Dati!$A$1:$A$1000,0))&gt;0,Dati!$AH$3&amp;": "&amp;INDEX(Dati!$AH$1:$AH$1000,MATCH($A18,Dati!$A$1:$A$1000,0))&amp;" · ",""),LEN(IF(INDEX(Dati!$DG$1:$DG$1000,MATCH($A18,Dati!$A$1:$A$1000,0))&gt;0,Dati!$AE$3&amp;": "&amp;INDEX(Dati!$AE$1:$AE$1000,MATCH($A18,Dati!$A$1:$A$1000,0))&amp;" · ","")&amp;IF(INDEX(Dati!$DH$1:$DH$1000,MATCH($A18,Dati!$A$1:$A$1000,0))&gt;0,Dati!$AF$3&amp;": "&amp;INDEX(Dati!$AF$1:$AF$1000,MATCH($A18,Dati!$A$1:$A$1000,0))&amp;" · ","")&amp;IF(INDEX(Dati!$DI$1:$DI$1000,MATCH($A18,Dati!$A$1:$A$1000,0))&gt;0,Dati!$AG$3&amp;": "&amp;INDEX(Dati!$AG$1:$AG$1000,MATCH($A18,Dati!$A$1:$A$1000,0))&amp;" · ","")&amp;IF(INDEX(Dati!$DJ$1:$DJ$1000,MATCH($A18,Dati!$A$1:$A$1000,0))&gt;0,Dati!$AH$3&amp;": "&amp;INDEX(Dati!$AH$1:$AH$1000,MATCH($A18,Dati!$A$1:$A$1000,0))&amp;" · ",""))-3)),""))</f>
        <v/>
      </c>
      <c r="K18" s="55" t="str">
        <f aca="false">IF($B18="","",IFERROR(IF((IF(INDEX(Dati!$DK$1:$DK$1000,MATCH($A18,Dati!$A$1:$A$1000,0))&gt;0,Dati!$AI$3&amp;": "&amp;INDEX(Dati!$AI$1:$AI$1000,MATCH($A18,Dati!$A$1:$A$1000,0))&amp;" · ","")&amp;IF(INDEX(Dati!$DL$1:$DL$1000,MATCH($A18,Dati!$A$1:$A$1000,0))&gt;0,Dati!$AJ$3&amp;": "&amp;INDEX(Dati!$AJ$1:$AJ$1000,MATCH($A18,Dati!$A$1:$A$1000,0))&amp;" · ","")&amp;IF(INDEX(Dati!$DM$1:$DM$1000,MATCH($A18,Dati!$A$1:$A$1000,0))&gt;0,Dati!$AK$3&amp;": "&amp;INDEX(Dati!$AK$1:$AK$1000,MATCH($A18,Dati!$A$1:$A$1000,0))&amp;" · ","")&amp;IF(INDEX(Dati!$DN$1:$DN$1000,MATCH($A18,Dati!$A$1:$A$1000,0))&gt;0,Dati!$AL$3&amp;": "&amp;INDEX(Dati!$AL$1:$AL$1000,MATCH($A18,Dati!$A$1:$A$1000,0))&amp;" · ",""))="",IF(INDEX(Dati!$FO$1:$FO$1000,MATCH($A18,Dati!$A$1:$A$1000,0))=1,"AS da recuperare",""),LEFT(IF(INDEX(Dati!$DK$1:$DK$1000,MATCH($A18,Dati!$A$1:$A$1000,0))&gt;0,Dati!$AI$3&amp;": "&amp;INDEX(Dati!$AI$1:$AI$1000,MATCH($A18,Dati!$A$1:$A$1000,0))&amp;" · ","")&amp;IF(INDEX(Dati!$DL$1:$DL$1000,MATCH($A18,Dati!$A$1:$A$1000,0))&gt;0,Dati!$AJ$3&amp;": "&amp;INDEX(Dati!$AJ$1:$AJ$1000,MATCH($A18,Dati!$A$1:$A$1000,0))&amp;" · ","")&amp;IF(INDEX(Dati!$DM$1:$DM$1000,MATCH($A18,Dati!$A$1:$A$1000,0))&gt;0,Dati!$AK$3&amp;": "&amp;INDEX(Dati!$AK$1:$AK$1000,MATCH($A18,Dati!$A$1:$A$1000,0))&amp;" · ","")&amp;IF(INDEX(Dati!$DN$1:$DN$1000,MATCH($A18,Dati!$A$1:$A$1000,0))&gt;0,Dati!$AL$3&amp;": "&amp;INDEX(Dati!$AL$1:$AL$1000,MATCH($A18,Dati!$A$1:$A$1000,0))&amp;" · ",""),LEN(IF(INDEX(Dati!$DK$1:$DK$1000,MATCH($A18,Dati!$A$1:$A$1000,0))&gt;0,Dati!$AI$3&amp;": "&amp;INDEX(Dati!$AI$1:$AI$1000,MATCH($A18,Dati!$A$1:$A$1000,0))&amp;" · ","")&amp;IF(INDEX(Dati!$DL$1:$DL$1000,MATCH($A18,Dati!$A$1:$A$1000,0))&gt;0,Dati!$AJ$3&amp;": "&amp;INDEX(Dati!$AJ$1:$AJ$1000,MATCH($A18,Dati!$A$1:$A$1000,0))&amp;" · ","")&amp;IF(INDEX(Dati!$DM$1:$DM$1000,MATCH($A18,Dati!$A$1:$A$1000,0))&gt;0,Dati!$AK$3&amp;": "&amp;INDEX(Dati!$AK$1:$AK$1000,MATCH($A18,Dati!$A$1:$A$1000,0))&amp;" · ","")&amp;IF(INDEX(Dati!$DN$1:$DN$1000,MATCH($A18,Dati!$A$1:$A$1000,0))&gt;0,Dati!$AL$3&amp;": "&amp;INDEX(Dati!$AL$1:$AL$1000,MATCH($A18,Dati!$A$1:$A$1000,0))&amp;" · ",""))-3)),""))</f>
        <v/>
      </c>
      <c r="L18" s="55" t="str">
        <f aca="false">IF($B18="","",IFERROR(IF((IF(INDEX(Dati!$DO$1:$DO$1000,MATCH($A18,Dati!$A$1:$A$1000,0))&gt;0,Dati!$AM$3&amp;": "&amp;INDEX(Dati!$AM$1:$AM$1000,MATCH($A18,Dati!$A$1:$A$1000,0))&amp;" · ","")&amp;IF(INDEX(Dati!$DP$1:$DP$1000,MATCH($A18,Dati!$A$1:$A$1000,0))&gt;0,Dati!$AN$3&amp;": "&amp;INDEX(Dati!$AN$1:$AN$1000,MATCH($A18,Dati!$A$1:$A$1000,0))&amp;" · ","")&amp;IF(INDEX(Dati!$DQ$1:$DQ$1000,MATCH($A18,Dati!$A$1:$A$1000,0))&gt;0,Dati!$AO$3&amp;": "&amp;INDEX(Dati!$AO$1:$AO$1000,MATCH($A18,Dati!$A$1:$A$1000,0))&amp;" · ","")&amp;IF(INDEX(Dati!$DR$1:$DR$1000,MATCH($A18,Dati!$A$1:$A$1000,0))&gt;0,Dati!$AP$3&amp;": "&amp;INDEX(Dati!$AP$1:$AP$1000,MATCH($A18,Dati!$A$1:$A$1000,0))&amp;" · ",""))="",IF(INDEX(Dati!$FP$1:$FP$1000,MATCH($A18,Dati!$A$1:$A$1000,0))=1,"AS da recuperare",""),LEFT(IF(INDEX(Dati!$DO$1:$DO$1000,MATCH($A18,Dati!$A$1:$A$1000,0))&gt;0,Dati!$AM$3&amp;": "&amp;INDEX(Dati!$AM$1:$AM$1000,MATCH($A18,Dati!$A$1:$A$1000,0))&amp;" · ","")&amp;IF(INDEX(Dati!$DP$1:$DP$1000,MATCH($A18,Dati!$A$1:$A$1000,0))&gt;0,Dati!$AN$3&amp;": "&amp;INDEX(Dati!$AN$1:$AN$1000,MATCH($A18,Dati!$A$1:$A$1000,0))&amp;" · ","")&amp;IF(INDEX(Dati!$DQ$1:$DQ$1000,MATCH($A18,Dati!$A$1:$A$1000,0))&gt;0,Dati!$AO$3&amp;": "&amp;INDEX(Dati!$AO$1:$AO$1000,MATCH($A18,Dati!$A$1:$A$1000,0))&amp;" · ","")&amp;IF(INDEX(Dati!$DR$1:$DR$1000,MATCH($A18,Dati!$A$1:$A$1000,0))&gt;0,Dati!$AP$3&amp;": "&amp;INDEX(Dati!$AP$1:$AP$1000,MATCH($A18,Dati!$A$1:$A$1000,0))&amp;" · ",""),LEN(IF(INDEX(Dati!$DO$1:$DO$1000,MATCH($A18,Dati!$A$1:$A$1000,0))&gt;0,Dati!$AM$3&amp;": "&amp;INDEX(Dati!$AM$1:$AM$1000,MATCH($A18,Dati!$A$1:$A$1000,0))&amp;" · ","")&amp;IF(INDEX(Dati!$DP$1:$DP$1000,MATCH($A18,Dati!$A$1:$A$1000,0))&gt;0,Dati!$AN$3&amp;": "&amp;INDEX(Dati!$AN$1:$AN$1000,MATCH($A18,Dati!$A$1:$A$1000,0))&amp;" · ","")&amp;IF(INDEX(Dati!$DQ$1:$DQ$1000,MATCH($A18,Dati!$A$1:$A$1000,0))&gt;0,Dati!$AO$3&amp;": "&amp;INDEX(Dati!$AO$1:$AO$1000,MATCH($A18,Dati!$A$1:$A$1000,0))&amp;" · ","")&amp;IF(INDEX(Dati!$DR$1:$DR$1000,MATCH($A18,Dati!$A$1:$A$1000,0))&gt;0,Dati!$AP$3&amp;": "&amp;INDEX(Dati!$AP$1:$AP$1000,MATCH($A18,Dati!$A$1:$A$1000,0))&amp;" · ",""))-3)),""))</f>
        <v/>
      </c>
      <c r="M18" s="55" t="str">
        <f aca="false">IF($B18="","",IFERROR(IF((IF(INDEX(Dati!$DS$1:$DS$1000,MATCH($A18,Dati!$A$1:$A$1000,0))&gt;0,Dati!$AQ$3&amp;": "&amp;INDEX(Dati!$AQ$1:$AQ$1000,MATCH($A18,Dati!$A$1:$A$1000,0))&amp;" · ","")&amp;IF(INDEX(Dati!$DT$1:$DT$1000,MATCH($A18,Dati!$A$1:$A$1000,0))&gt;0,Dati!$AR$3&amp;": "&amp;INDEX(Dati!$AR$1:$AR$1000,MATCH($A18,Dati!$A$1:$A$1000,0))&amp;" · ","")&amp;IF(INDEX(Dati!$DU$1:$DU$1000,MATCH($A18,Dati!$A$1:$A$1000,0))&gt;0,Dati!$AS$3&amp;": "&amp;INDEX(Dati!$AS$1:$AS$1000,MATCH($A18,Dati!$A$1:$A$1000,0))&amp;" · ","")&amp;IF(INDEX(Dati!$DV$1:$DV$1000,MATCH($A18,Dati!$A$1:$A$1000,0))&gt;0,Dati!$AT$3&amp;": "&amp;INDEX(Dati!$AT$1:$AT$1000,MATCH($A18,Dati!$A$1:$A$1000,0))&amp;" · ",""))="",IF(INDEX(Dati!$FQ$1:$FQ$1000,MATCH($A18,Dati!$A$1:$A$1000,0))=1,"AS da recuperare",""),LEFT(IF(INDEX(Dati!$DS$1:$DS$1000,MATCH($A18,Dati!$A$1:$A$1000,0))&gt;0,Dati!$AQ$3&amp;": "&amp;INDEX(Dati!$AQ$1:$AQ$1000,MATCH($A18,Dati!$A$1:$A$1000,0))&amp;" · ","")&amp;IF(INDEX(Dati!$DT$1:$DT$1000,MATCH($A18,Dati!$A$1:$A$1000,0))&gt;0,Dati!$AR$3&amp;": "&amp;INDEX(Dati!$AR$1:$AR$1000,MATCH($A18,Dati!$A$1:$A$1000,0))&amp;" · ","")&amp;IF(INDEX(Dati!$DU$1:$DU$1000,MATCH($A18,Dati!$A$1:$A$1000,0))&gt;0,Dati!$AS$3&amp;": "&amp;INDEX(Dati!$AS$1:$AS$1000,MATCH($A18,Dati!$A$1:$A$1000,0))&amp;" · ","")&amp;IF(INDEX(Dati!$DV$1:$DV$1000,MATCH($A18,Dati!$A$1:$A$1000,0))&gt;0,Dati!$AT$3&amp;": "&amp;INDEX(Dati!$AT$1:$AT$1000,MATCH($A18,Dati!$A$1:$A$1000,0))&amp;" · ",""),LEN(IF(INDEX(Dati!$DS$1:$DS$1000,MATCH($A18,Dati!$A$1:$A$1000,0))&gt;0,Dati!$AQ$3&amp;": "&amp;INDEX(Dati!$AQ$1:$AQ$1000,MATCH($A18,Dati!$A$1:$A$1000,0))&amp;" · ","")&amp;IF(INDEX(Dati!$DT$1:$DT$1000,MATCH($A18,Dati!$A$1:$A$1000,0))&gt;0,Dati!$AR$3&amp;": "&amp;INDEX(Dati!$AR$1:$AR$1000,MATCH($A18,Dati!$A$1:$A$1000,0))&amp;" · ","")&amp;IF(INDEX(Dati!$DU$1:$DU$1000,MATCH($A18,Dati!$A$1:$A$1000,0))&gt;0,Dati!$AS$3&amp;": "&amp;INDEX(Dati!$AS$1:$AS$1000,MATCH($A18,Dati!$A$1:$A$1000,0))&amp;" · ","")&amp;IF(INDEX(Dati!$DV$1:$DV$1000,MATCH($A18,Dati!$A$1:$A$1000,0))&gt;0,Dati!$AT$3&amp;": "&amp;INDEX(Dati!$AT$1:$AT$1000,MATCH($A18,Dati!$A$1:$A$1000,0))&amp;" · ",""))-3)),""))</f>
        <v/>
      </c>
      <c r="N18" s="55" t="str">
        <f aca="false">IF($B18="","",IFERROR(IF((IF(INDEX(Dati!$DW$1:$DW$1000,MATCH($A18,Dati!$A$1:$A$1000,0))&gt;0,Dati!$AU$3&amp;": "&amp;INDEX(Dati!$AU$1:$AU$1000,MATCH($A18,Dati!$A$1:$A$1000,0))&amp;" · ","")&amp;IF(INDEX(Dati!$DX$1:$DX$1000,MATCH($A18,Dati!$A$1:$A$1000,0))&gt;0,Dati!$AV$3&amp;": "&amp;INDEX(Dati!$AV$1:$AV$1000,MATCH($A18,Dati!$A$1:$A$1000,0))&amp;" · ","")&amp;IF(INDEX(Dati!$DY$1:$DY$1000,MATCH($A18,Dati!$A$1:$A$1000,0))&gt;0,Dati!$AW$3&amp;": "&amp;INDEX(Dati!$AW$1:$AW$1000,MATCH($A18,Dati!$A$1:$A$1000,0))&amp;" · ","")&amp;IF(INDEX(Dati!$DZ$1:$DZ$1000,MATCH($A18,Dati!$A$1:$A$1000,0))&gt;0,Dati!$AX$3&amp;": "&amp;INDEX(Dati!$AX$1:$AX$1000,MATCH($A18,Dati!$A$1:$A$1000,0))&amp;" · ",""))="",IF(INDEX(Dati!$FR$1:$FR$1000,MATCH($A18,Dati!$A$1:$A$1000,0))=1,"AS da recuperare",""),LEFT(IF(INDEX(Dati!$DW$1:$DW$1000,MATCH($A18,Dati!$A$1:$A$1000,0))&gt;0,Dati!$AU$3&amp;": "&amp;INDEX(Dati!$AU$1:$AU$1000,MATCH($A18,Dati!$A$1:$A$1000,0))&amp;" · ","")&amp;IF(INDEX(Dati!$DX$1:$DX$1000,MATCH($A18,Dati!$A$1:$A$1000,0))&gt;0,Dati!$AV$3&amp;": "&amp;INDEX(Dati!$AV$1:$AV$1000,MATCH($A18,Dati!$A$1:$A$1000,0))&amp;" · ","")&amp;IF(INDEX(Dati!$DY$1:$DY$1000,MATCH($A18,Dati!$A$1:$A$1000,0))&gt;0,Dati!$AW$3&amp;": "&amp;INDEX(Dati!$AW$1:$AW$1000,MATCH($A18,Dati!$A$1:$A$1000,0))&amp;" · ","")&amp;IF(INDEX(Dati!$DZ$1:$DZ$1000,MATCH($A18,Dati!$A$1:$A$1000,0))&gt;0,Dati!$AX$3&amp;": "&amp;INDEX(Dati!$AX$1:$AX$1000,MATCH($A18,Dati!$A$1:$A$1000,0))&amp;" · ",""),LEN(IF(INDEX(Dati!$DW$1:$DW$1000,MATCH($A18,Dati!$A$1:$A$1000,0))&gt;0,Dati!$AU$3&amp;": "&amp;INDEX(Dati!$AU$1:$AU$1000,MATCH($A18,Dati!$A$1:$A$1000,0))&amp;" · ","")&amp;IF(INDEX(Dati!$DX$1:$DX$1000,MATCH($A18,Dati!$A$1:$A$1000,0))&gt;0,Dati!$AV$3&amp;": "&amp;INDEX(Dati!$AV$1:$AV$1000,MATCH($A18,Dati!$A$1:$A$1000,0))&amp;" · ","")&amp;IF(INDEX(Dati!$DY$1:$DY$1000,MATCH($A18,Dati!$A$1:$A$1000,0))&gt;0,Dati!$AW$3&amp;": "&amp;INDEX(Dati!$AW$1:$AW$1000,MATCH($A18,Dati!$A$1:$A$1000,0))&amp;" · ","")&amp;IF(INDEX(Dati!$DZ$1:$DZ$1000,MATCH($A18,Dati!$A$1:$A$1000,0))&gt;0,Dati!$AX$3&amp;": "&amp;INDEX(Dati!$AX$1:$AX$1000,MATCH($A18,Dati!$A$1:$A$1000,0))&amp;" · ",""))-3)),""))</f>
        <v/>
      </c>
      <c r="O18" s="55" t="str">
        <f aca="false">IF($B18="","",IFERROR(IF((IF(INDEX(Dati!$EA$1:$EA$1000,MATCH($A18,Dati!$A$1:$A$1000,0))&gt;0,Dati!$AY$3&amp;": "&amp;INDEX(Dati!$AY$1:$AY$1000,MATCH($A18,Dati!$A$1:$A$1000,0))&amp;" · ","")&amp;IF(INDEX(Dati!$EB$1:$EB$1000,MATCH($A18,Dati!$A$1:$A$1000,0))&gt;0,Dati!$AZ$3&amp;": "&amp;INDEX(Dati!$AZ$1:$AZ$1000,MATCH($A18,Dati!$A$1:$A$1000,0))&amp;" · ","")&amp;IF(INDEX(Dati!$EC$1:$EC$1000,MATCH($A18,Dati!$A$1:$A$1000,0))&gt;0,Dati!$BA$3&amp;": "&amp;INDEX(Dati!$BA$1:$BA$1000,MATCH($A18,Dati!$A$1:$A$1000,0))&amp;" · ","")&amp;IF(INDEX(Dati!$ED$1:$ED$1000,MATCH($A18,Dati!$A$1:$A$1000,0))&gt;0,Dati!$BB$3&amp;": "&amp;INDEX(Dati!$BB$1:$BB$1000,MATCH($A18,Dati!$A$1:$A$1000,0))&amp;" · ",""))="",IF(INDEX(Dati!$FS$1:$FS$1000,MATCH($A18,Dati!$A$1:$A$1000,0))=1,"AS da recuperare",""),LEFT(IF(INDEX(Dati!$EA$1:$EA$1000,MATCH($A18,Dati!$A$1:$A$1000,0))&gt;0,Dati!$AY$3&amp;": "&amp;INDEX(Dati!$AY$1:$AY$1000,MATCH($A18,Dati!$A$1:$A$1000,0))&amp;" · ","")&amp;IF(INDEX(Dati!$EB$1:$EB$1000,MATCH($A18,Dati!$A$1:$A$1000,0))&gt;0,Dati!$AZ$3&amp;": "&amp;INDEX(Dati!$AZ$1:$AZ$1000,MATCH($A18,Dati!$A$1:$A$1000,0))&amp;" · ","")&amp;IF(INDEX(Dati!$EC$1:$EC$1000,MATCH($A18,Dati!$A$1:$A$1000,0))&gt;0,Dati!$BA$3&amp;": "&amp;INDEX(Dati!$BA$1:$BA$1000,MATCH($A18,Dati!$A$1:$A$1000,0))&amp;" · ","")&amp;IF(INDEX(Dati!$ED$1:$ED$1000,MATCH($A18,Dati!$A$1:$A$1000,0))&gt;0,Dati!$BB$3&amp;": "&amp;INDEX(Dati!$BB$1:$BB$1000,MATCH($A18,Dati!$A$1:$A$1000,0))&amp;" · ",""),LEN(IF(INDEX(Dati!$EA$1:$EA$1000,MATCH($A18,Dati!$A$1:$A$1000,0))&gt;0,Dati!$AY$3&amp;": "&amp;INDEX(Dati!$AY$1:$AY$1000,MATCH($A18,Dati!$A$1:$A$1000,0))&amp;" · ","")&amp;IF(INDEX(Dati!$EB$1:$EB$1000,MATCH($A18,Dati!$A$1:$A$1000,0))&gt;0,Dati!$AZ$3&amp;": "&amp;INDEX(Dati!$AZ$1:$AZ$1000,MATCH($A18,Dati!$A$1:$A$1000,0))&amp;" · ","")&amp;IF(INDEX(Dati!$EC$1:$EC$1000,MATCH($A18,Dati!$A$1:$A$1000,0))&gt;0,Dati!$BA$3&amp;": "&amp;INDEX(Dati!$BA$1:$BA$1000,MATCH($A18,Dati!$A$1:$A$1000,0))&amp;" · ","")&amp;IF(INDEX(Dati!$ED$1:$ED$1000,MATCH($A18,Dati!$A$1:$A$1000,0))&gt;0,Dati!$BB$3&amp;": "&amp;INDEX(Dati!$BB$1:$BB$1000,MATCH($A18,Dati!$A$1:$A$1000,0))&amp;" · ",""))-3)),""))</f>
        <v/>
      </c>
      <c r="P18" s="55" t="str">
        <f aca="false">IF($B18="","",IFERROR(IF((IF(INDEX(Dati!$EE$1:$EE$1000,MATCH($A18,Dati!$A$1:$A$1000,0))&gt;0,Dati!$BC$3&amp;": "&amp;INDEX(Dati!$BC$1:$BC$1000,MATCH($A18,Dati!$A$1:$A$1000,0))&amp;" · ","")&amp;IF(INDEX(Dati!$EF$1:$EF$1000,MATCH($A18,Dati!$A$1:$A$1000,0))&gt;0,Dati!$BD$3&amp;": "&amp;INDEX(Dati!$BD$1:$BD$1000,MATCH($A18,Dati!$A$1:$A$1000,0))&amp;" · ","")&amp;IF(INDEX(Dati!$EG$1:$EG$1000,MATCH($A18,Dati!$A$1:$A$1000,0))&gt;0,Dati!$BE$3&amp;": "&amp;INDEX(Dati!$BE$1:$BE$1000,MATCH($A18,Dati!$A$1:$A$1000,0))&amp;" · ","")&amp;IF(INDEX(Dati!$EH$1:$EH$1000,MATCH($A18,Dati!$A$1:$A$1000,0))&gt;0,Dati!$BF$3&amp;": "&amp;INDEX(Dati!$BF$1:$BF$1000,MATCH($A18,Dati!$A$1:$A$1000,0))&amp;" · ",""))="",IF(INDEX(Dati!$FT$1:$FT$1000,MATCH($A18,Dati!$A$1:$A$1000,0))=1,"AS da recuperare",""),LEFT(IF(INDEX(Dati!$EE$1:$EE$1000,MATCH($A18,Dati!$A$1:$A$1000,0))&gt;0,Dati!$BC$3&amp;": "&amp;INDEX(Dati!$BC$1:$BC$1000,MATCH($A18,Dati!$A$1:$A$1000,0))&amp;" · ","")&amp;IF(INDEX(Dati!$EF$1:$EF$1000,MATCH($A18,Dati!$A$1:$A$1000,0))&gt;0,Dati!$BD$3&amp;": "&amp;INDEX(Dati!$BD$1:$BD$1000,MATCH($A18,Dati!$A$1:$A$1000,0))&amp;" · ","")&amp;IF(INDEX(Dati!$EG$1:$EG$1000,MATCH($A18,Dati!$A$1:$A$1000,0))&gt;0,Dati!$BE$3&amp;": "&amp;INDEX(Dati!$BE$1:$BE$1000,MATCH($A18,Dati!$A$1:$A$1000,0))&amp;" · ","")&amp;IF(INDEX(Dati!$EH$1:$EH$1000,MATCH($A18,Dati!$A$1:$A$1000,0))&gt;0,Dati!$BF$3&amp;": "&amp;INDEX(Dati!$BF$1:$BF$1000,MATCH($A18,Dati!$A$1:$A$1000,0))&amp;" · ",""),LEN(IF(INDEX(Dati!$EE$1:$EE$1000,MATCH($A18,Dati!$A$1:$A$1000,0))&gt;0,Dati!$BC$3&amp;": "&amp;INDEX(Dati!$BC$1:$BC$1000,MATCH($A18,Dati!$A$1:$A$1000,0))&amp;" · ","")&amp;IF(INDEX(Dati!$EF$1:$EF$1000,MATCH($A18,Dati!$A$1:$A$1000,0))&gt;0,Dati!$BD$3&amp;": "&amp;INDEX(Dati!$BD$1:$BD$1000,MATCH($A18,Dati!$A$1:$A$1000,0))&amp;" · ","")&amp;IF(INDEX(Dati!$EG$1:$EG$1000,MATCH($A18,Dati!$A$1:$A$1000,0))&gt;0,Dati!$BE$3&amp;": "&amp;INDEX(Dati!$BE$1:$BE$1000,MATCH($A18,Dati!$A$1:$A$1000,0))&amp;" · ","")&amp;IF(INDEX(Dati!$EH$1:$EH$1000,MATCH($A18,Dati!$A$1:$A$1000,0))&gt;0,Dati!$BF$3&amp;": "&amp;INDEX(Dati!$BF$1:$BF$1000,MATCH($A18,Dati!$A$1:$A$1000,0))&amp;" · ",""))-3)),""))</f>
        <v/>
      </c>
      <c r="Q18" s="55" t="str">
        <f aca="false">IF($B18="","",IFERROR(IF((IF(INDEX(Dati!$EI$1:$EI$1000,MATCH($A18,Dati!$A$1:$A$1000,0))&gt;0,Dati!$BG$3&amp;": "&amp;INDEX(Dati!$BG$1:$BG$1000,MATCH($A18,Dati!$A$1:$A$1000,0))&amp;" · ","")&amp;IF(INDEX(Dati!$EJ$1:$EJ$1000,MATCH($A18,Dati!$A$1:$A$1000,0))&gt;0,Dati!$BH$3&amp;": "&amp;INDEX(Dati!$BH$1:$BH$1000,MATCH($A18,Dati!$A$1:$A$1000,0))&amp;" · ","")&amp;IF(INDEX(Dati!$EK$1:$EK$1000,MATCH($A18,Dati!$A$1:$A$1000,0))&gt;0,Dati!$BI$3&amp;": "&amp;INDEX(Dati!$BI$1:$BI$1000,MATCH($A18,Dati!$A$1:$A$1000,0))&amp;" · ","")&amp;IF(INDEX(Dati!$EL$1:$EL$1000,MATCH($A18,Dati!$A$1:$A$1000,0))&gt;0,Dati!$BJ$3&amp;": "&amp;INDEX(Dati!$BJ$1:$BJ$1000,MATCH($A18,Dati!$A$1:$A$1000,0))&amp;" · ",""))="",IF(INDEX(Dati!$FU$1:$FU$1000,MATCH($A18,Dati!$A$1:$A$1000,0))=1,"AS da recuperare",""),LEFT(IF(INDEX(Dati!$EI$1:$EI$1000,MATCH($A18,Dati!$A$1:$A$1000,0))&gt;0,Dati!$BG$3&amp;": "&amp;INDEX(Dati!$BG$1:$BG$1000,MATCH($A18,Dati!$A$1:$A$1000,0))&amp;" · ","")&amp;IF(INDEX(Dati!$EJ$1:$EJ$1000,MATCH($A18,Dati!$A$1:$A$1000,0))&gt;0,Dati!$BH$3&amp;": "&amp;INDEX(Dati!$BH$1:$BH$1000,MATCH($A18,Dati!$A$1:$A$1000,0))&amp;" · ","")&amp;IF(INDEX(Dati!$EK$1:$EK$1000,MATCH($A18,Dati!$A$1:$A$1000,0))&gt;0,Dati!$BI$3&amp;": "&amp;INDEX(Dati!$BI$1:$BI$1000,MATCH($A18,Dati!$A$1:$A$1000,0))&amp;" · ","")&amp;IF(INDEX(Dati!$EL$1:$EL$1000,MATCH($A18,Dati!$A$1:$A$1000,0))&gt;0,Dati!$BJ$3&amp;": "&amp;INDEX(Dati!$BJ$1:$BJ$1000,MATCH($A18,Dati!$A$1:$A$1000,0))&amp;" · ",""),LEN(IF(INDEX(Dati!$EI$1:$EI$1000,MATCH($A18,Dati!$A$1:$A$1000,0))&gt;0,Dati!$BG$3&amp;": "&amp;INDEX(Dati!$BG$1:$BG$1000,MATCH($A18,Dati!$A$1:$A$1000,0))&amp;" · ","")&amp;IF(INDEX(Dati!$EJ$1:$EJ$1000,MATCH($A18,Dati!$A$1:$A$1000,0))&gt;0,Dati!$BH$3&amp;": "&amp;INDEX(Dati!$BH$1:$BH$1000,MATCH($A18,Dati!$A$1:$A$1000,0))&amp;" · ","")&amp;IF(INDEX(Dati!$EK$1:$EK$1000,MATCH($A18,Dati!$A$1:$A$1000,0))&gt;0,Dati!$BI$3&amp;": "&amp;INDEX(Dati!$BI$1:$BI$1000,MATCH($A18,Dati!$A$1:$A$1000,0))&amp;" · ","")&amp;IF(INDEX(Dati!$EL$1:$EL$1000,MATCH($A18,Dati!$A$1:$A$1000,0))&gt;0,Dati!$BJ$3&amp;": "&amp;INDEX(Dati!$BJ$1:$BJ$1000,MATCH($A18,Dati!$A$1:$A$1000,0))&amp;" · ",""))-3)),""))</f>
        <v/>
      </c>
      <c r="R18" s="55" t="str">
        <f aca="false">IF($B18="","",IFERROR(IF((IF(INDEX(Dati!$EM$1:$EM$1000,MATCH($A18,Dati!$A$1:$A$1000,0))&gt;0,Dati!$BK$3&amp;": "&amp;INDEX(Dati!$BK$1:$BK$1000,MATCH($A18,Dati!$A$1:$A$1000,0))&amp;" · ","")&amp;IF(INDEX(Dati!$EN$1:$EN$1000,MATCH($A18,Dati!$A$1:$A$1000,0))&gt;0,Dati!$BL$3&amp;": "&amp;INDEX(Dati!$BL$1:$BL$1000,MATCH($A18,Dati!$A$1:$A$1000,0))&amp;" · ","")&amp;IF(INDEX(Dati!$EO$1:$EO$1000,MATCH($A18,Dati!$A$1:$A$1000,0))&gt;0,Dati!$BM$3&amp;": "&amp;INDEX(Dati!$BM$1:$BM$1000,MATCH($A18,Dati!$A$1:$A$1000,0))&amp;" · ","")&amp;IF(INDEX(Dati!$EP$1:$EP$1000,MATCH($A18,Dati!$A$1:$A$1000,0))&gt;0,Dati!$BN$3&amp;": "&amp;INDEX(Dati!$BN$1:$BN$1000,MATCH($A18,Dati!$A$1:$A$1000,0))&amp;" · ",""))="",IF(INDEX(Dati!$FV$1:$FV$1000,MATCH($A18,Dati!$A$1:$A$1000,0))=1,"AS da recuperare",""),LEFT(IF(INDEX(Dati!$EM$1:$EM$1000,MATCH($A18,Dati!$A$1:$A$1000,0))&gt;0,Dati!$BK$3&amp;": "&amp;INDEX(Dati!$BK$1:$BK$1000,MATCH($A18,Dati!$A$1:$A$1000,0))&amp;" · ","")&amp;IF(INDEX(Dati!$EN$1:$EN$1000,MATCH($A18,Dati!$A$1:$A$1000,0))&gt;0,Dati!$BL$3&amp;": "&amp;INDEX(Dati!$BL$1:$BL$1000,MATCH($A18,Dati!$A$1:$A$1000,0))&amp;" · ","")&amp;IF(INDEX(Dati!$EO$1:$EO$1000,MATCH($A18,Dati!$A$1:$A$1000,0))&gt;0,Dati!$BM$3&amp;": "&amp;INDEX(Dati!$BM$1:$BM$1000,MATCH($A18,Dati!$A$1:$A$1000,0))&amp;" · ","")&amp;IF(INDEX(Dati!$EP$1:$EP$1000,MATCH($A18,Dati!$A$1:$A$1000,0))&gt;0,Dati!$BN$3&amp;": "&amp;INDEX(Dati!$BN$1:$BN$1000,MATCH($A18,Dati!$A$1:$A$1000,0))&amp;" · ",""),LEN(IF(INDEX(Dati!$EM$1:$EM$1000,MATCH($A18,Dati!$A$1:$A$1000,0))&gt;0,Dati!$BK$3&amp;": "&amp;INDEX(Dati!$BK$1:$BK$1000,MATCH($A18,Dati!$A$1:$A$1000,0))&amp;" · ","")&amp;IF(INDEX(Dati!$EN$1:$EN$1000,MATCH($A18,Dati!$A$1:$A$1000,0))&gt;0,Dati!$BL$3&amp;": "&amp;INDEX(Dati!$BL$1:$BL$1000,MATCH($A18,Dati!$A$1:$A$1000,0))&amp;" · ","")&amp;IF(INDEX(Dati!$EO$1:$EO$1000,MATCH($A18,Dati!$A$1:$A$1000,0))&gt;0,Dati!$BM$3&amp;": "&amp;INDEX(Dati!$BM$1:$BM$1000,MATCH($A18,Dati!$A$1:$A$1000,0))&amp;" · ","")&amp;IF(INDEX(Dati!$EP$1:$EP$1000,MATCH($A18,Dati!$A$1:$A$1000,0))&gt;0,Dati!$BN$3&amp;": "&amp;INDEX(Dati!$BN$1:$BN$1000,MATCH($A18,Dati!$A$1:$A$1000,0))&amp;" · ",""))-3)),""))</f>
        <v/>
      </c>
      <c r="S18" s="55" t="str">
        <f aca="false">IF($B18="","",IFERROR(IF((IF(INDEX(Dati!$EQ$1:$EQ$1000,MATCH($A18,Dati!$A$1:$A$1000,0))&gt;0,Dati!$BO$3&amp;": "&amp;INDEX(Dati!$BO$1:$BO$1000,MATCH($A18,Dati!$A$1:$A$1000,0))&amp;" · ","")&amp;IF(INDEX(Dati!$ER$1:$ER$1000,MATCH($A18,Dati!$A$1:$A$1000,0))&gt;0,Dati!$BP$3&amp;": "&amp;INDEX(Dati!$BP$1:$BP$1000,MATCH($A18,Dati!$A$1:$A$1000,0))&amp;" · ","")&amp;IF(INDEX(Dati!$ES$1:$ES$1000,MATCH($A18,Dati!$A$1:$A$1000,0))&gt;0,Dati!$BQ$3&amp;": "&amp;INDEX(Dati!$BQ$1:$BQ$1000,MATCH($A18,Dati!$A$1:$A$1000,0))&amp;" · ","")&amp;IF(INDEX(Dati!$ET$1:$ET$1000,MATCH($A18,Dati!$A$1:$A$1000,0))&gt;0,Dati!$BR$3&amp;": "&amp;INDEX(Dati!$BR$1:$BR$1000,MATCH($A18,Dati!$A$1:$A$1000,0))&amp;" · ",""))="",IF(INDEX(Dati!$FW$1:$FW$1000,MATCH($A18,Dati!$A$1:$A$1000,0))=1,"AS da recuperare",""),LEFT(IF(INDEX(Dati!$EQ$1:$EQ$1000,MATCH($A18,Dati!$A$1:$A$1000,0))&gt;0,Dati!$BO$3&amp;": "&amp;INDEX(Dati!$BO$1:$BO$1000,MATCH($A18,Dati!$A$1:$A$1000,0))&amp;" · ","")&amp;IF(INDEX(Dati!$ER$1:$ER$1000,MATCH($A18,Dati!$A$1:$A$1000,0))&gt;0,Dati!$BP$3&amp;": "&amp;INDEX(Dati!$BP$1:$BP$1000,MATCH($A18,Dati!$A$1:$A$1000,0))&amp;" · ","")&amp;IF(INDEX(Dati!$ES$1:$ES$1000,MATCH($A18,Dati!$A$1:$A$1000,0))&gt;0,Dati!$BQ$3&amp;": "&amp;INDEX(Dati!$BQ$1:$BQ$1000,MATCH($A18,Dati!$A$1:$A$1000,0))&amp;" · ","")&amp;IF(INDEX(Dati!$ET$1:$ET$1000,MATCH($A18,Dati!$A$1:$A$1000,0))&gt;0,Dati!$BR$3&amp;": "&amp;INDEX(Dati!$BR$1:$BR$1000,MATCH($A18,Dati!$A$1:$A$1000,0))&amp;" · ",""),LEN(IF(INDEX(Dati!$EQ$1:$EQ$1000,MATCH($A18,Dati!$A$1:$A$1000,0))&gt;0,Dati!$BO$3&amp;": "&amp;INDEX(Dati!$BO$1:$BO$1000,MATCH($A18,Dati!$A$1:$A$1000,0))&amp;" · ","")&amp;IF(INDEX(Dati!$ER$1:$ER$1000,MATCH($A18,Dati!$A$1:$A$1000,0))&gt;0,Dati!$BP$3&amp;": "&amp;INDEX(Dati!$BP$1:$BP$1000,MATCH($A18,Dati!$A$1:$A$1000,0))&amp;" · ","")&amp;IF(INDEX(Dati!$ES$1:$ES$1000,MATCH($A18,Dati!$A$1:$A$1000,0))&gt;0,Dati!$BQ$3&amp;": "&amp;INDEX(Dati!$BQ$1:$BQ$1000,MATCH($A18,Dati!$A$1:$A$1000,0))&amp;" · ","")&amp;IF(INDEX(Dati!$ET$1:$ET$1000,MATCH($A18,Dati!$A$1:$A$1000,0))&gt;0,Dati!$BR$3&amp;": "&amp;INDEX(Dati!$BR$1:$BR$1000,MATCH($A18,Dati!$A$1:$A$1000,0))&amp;" · ",""))-3)),""))</f>
        <v/>
      </c>
      <c r="T18" s="55" t="str">
        <f aca="false">IF($B18="","",IFERROR(IF((IF(INDEX(Dati!$EU$1:$EU$1000,MATCH($A18,Dati!$A$1:$A$1000,0))&gt;0,Dati!$BS$3&amp;": "&amp;INDEX(Dati!$BS$1:$BS$1000,MATCH($A18,Dati!$A$1:$A$1000,0))&amp;" · ","")&amp;IF(INDEX(Dati!$EV$1:$EV$1000,MATCH($A18,Dati!$A$1:$A$1000,0))&gt;0,Dati!$BT$3&amp;": "&amp;INDEX(Dati!$BT$1:$BT$1000,MATCH($A18,Dati!$A$1:$A$1000,0))&amp;" · ","")&amp;IF(INDEX(Dati!$EW$1:$EW$1000,MATCH($A18,Dati!$A$1:$A$1000,0))&gt;0,Dati!$BU$3&amp;": "&amp;INDEX(Dati!$BU$1:$BU$1000,MATCH($A18,Dati!$A$1:$A$1000,0))&amp;" · ","")&amp;IF(INDEX(Dati!$EX$1:$EX$1000,MATCH($A18,Dati!$A$1:$A$1000,0))&gt;0,Dati!$BV$3&amp;": "&amp;INDEX(Dati!$BV$1:$BV$1000,MATCH($A18,Dati!$A$1:$A$1000,0))&amp;" · ",""))="",IF(INDEX(Dati!$FX$1:$FX$1000,MATCH($A18,Dati!$A$1:$A$1000,0))=1,"AS da recuperare",""),LEFT(IF(INDEX(Dati!$EU$1:$EU$1000,MATCH($A18,Dati!$A$1:$A$1000,0))&gt;0,Dati!$BS$3&amp;": "&amp;INDEX(Dati!$BS$1:$BS$1000,MATCH($A18,Dati!$A$1:$A$1000,0))&amp;" · ","")&amp;IF(INDEX(Dati!$EV$1:$EV$1000,MATCH($A18,Dati!$A$1:$A$1000,0))&gt;0,Dati!$BT$3&amp;": "&amp;INDEX(Dati!$BT$1:$BT$1000,MATCH($A18,Dati!$A$1:$A$1000,0))&amp;" · ","")&amp;IF(INDEX(Dati!$EW$1:$EW$1000,MATCH($A18,Dati!$A$1:$A$1000,0))&gt;0,Dati!$BU$3&amp;": "&amp;INDEX(Dati!$BU$1:$BU$1000,MATCH($A18,Dati!$A$1:$A$1000,0))&amp;" · ","")&amp;IF(INDEX(Dati!$EX$1:$EX$1000,MATCH($A18,Dati!$A$1:$A$1000,0))&gt;0,Dati!$BV$3&amp;": "&amp;INDEX(Dati!$BV$1:$BV$1000,MATCH($A18,Dati!$A$1:$A$1000,0))&amp;" · ",""),LEN(IF(INDEX(Dati!$EU$1:$EU$1000,MATCH($A18,Dati!$A$1:$A$1000,0))&gt;0,Dati!$BS$3&amp;": "&amp;INDEX(Dati!$BS$1:$BS$1000,MATCH($A18,Dati!$A$1:$A$1000,0))&amp;" · ","")&amp;IF(INDEX(Dati!$EV$1:$EV$1000,MATCH($A18,Dati!$A$1:$A$1000,0))&gt;0,Dati!$BT$3&amp;": "&amp;INDEX(Dati!$BT$1:$BT$1000,MATCH($A18,Dati!$A$1:$A$1000,0))&amp;" · ","")&amp;IF(INDEX(Dati!$EW$1:$EW$1000,MATCH($A18,Dati!$A$1:$A$1000,0))&gt;0,Dati!$BU$3&amp;": "&amp;INDEX(Dati!$BU$1:$BU$1000,MATCH($A18,Dati!$A$1:$A$1000,0))&amp;" · ","")&amp;IF(INDEX(Dati!$EX$1:$EX$1000,MATCH($A18,Dati!$A$1:$A$1000,0))&gt;0,Dati!$BV$3&amp;": "&amp;INDEX(Dati!$BV$1:$BV$1000,MATCH($A18,Dati!$A$1:$A$1000,0))&amp;" · ",""))-3)),""))</f>
        <v/>
      </c>
      <c r="U18" s="55" t="str">
        <f aca="false">IF($B18="","",IFERROR(IF((IF(INDEX(Dati!$EY$1:$EY$1000,MATCH($A18,Dati!$A$1:$A$1000,0))&gt;0,Dati!$BW$3&amp;": "&amp;INDEX(Dati!$BW$1:$BW$1000,MATCH($A18,Dati!$A$1:$A$1000,0))&amp;" · ","")&amp;IF(INDEX(Dati!$EZ$1:$EZ$1000,MATCH($A18,Dati!$A$1:$A$1000,0))&gt;0,Dati!$BX$3&amp;": "&amp;INDEX(Dati!$BX$1:$BX$1000,MATCH($A18,Dati!$A$1:$A$1000,0))&amp;" · ","")&amp;IF(INDEX(Dati!$FA$1:$FA$1000,MATCH($A18,Dati!$A$1:$A$1000,0))&gt;0,Dati!$BY$3&amp;": "&amp;INDEX(Dati!$BY$1:$BY$1000,MATCH($A18,Dati!$A$1:$A$1000,0))&amp;" · ","")&amp;IF(INDEX(Dati!$FB$1:$FB$1000,MATCH($A18,Dati!$A$1:$A$1000,0))&gt;0,Dati!$BZ$3&amp;": "&amp;INDEX(Dati!$BZ$1:$BZ$1000,MATCH($A18,Dati!$A$1:$A$1000,0))&amp;" · ",""))="",IF(INDEX(Dati!$FY$1:$FY$1000,MATCH($A18,Dati!$A$1:$A$1000,0))=1,"AS da recuperare",""),LEFT(IF(INDEX(Dati!$EY$1:$EY$1000,MATCH($A18,Dati!$A$1:$A$1000,0))&gt;0,Dati!$BW$3&amp;": "&amp;INDEX(Dati!$BW$1:$BW$1000,MATCH($A18,Dati!$A$1:$A$1000,0))&amp;" · ","")&amp;IF(INDEX(Dati!$EZ$1:$EZ$1000,MATCH($A18,Dati!$A$1:$A$1000,0))&gt;0,Dati!$BX$3&amp;": "&amp;INDEX(Dati!$BX$1:$BX$1000,MATCH($A18,Dati!$A$1:$A$1000,0))&amp;" · ","")&amp;IF(INDEX(Dati!$FA$1:$FA$1000,MATCH($A18,Dati!$A$1:$A$1000,0))&gt;0,Dati!$BY$3&amp;": "&amp;INDEX(Dati!$BY$1:$BY$1000,MATCH($A18,Dati!$A$1:$A$1000,0))&amp;" · ","")&amp;IF(INDEX(Dati!$FB$1:$FB$1000,MATCH($A18,Dati!$A$1:$A$1000,0))&gt;0,Dati!$BZ$3&amp;": "&amp;INDEX(Dati!$BZ$1:$BZ$1000,MATCH($A18,Dati!$A$1:$A$1000,0))&amp;" · ",""),LEN(IF(INDEX(Dati!$EY$1:$EY$1000,MATCH($A18,Dati!$A$1:$A$1000,0))&gt;0,Dati!$BW$3&amp;": "&amp;INDEX(Dati!$BW$1:$BW$1000,MATCH($A18,Dati!$A$1:$A$1000,0))&amp;" · ","")&amp;IF(INDEX(Dati!$EZ$1:$EZ$1000,MATCH($A18,Dati!$A$1:$A$1000,0))&gt;0,Dati!$BX$3&amp;": "&amp;INDEX(Dati!$BX$1:$BX$1000,MATCH($A18,Dati!$A$1:$A$1000,0))&amp;" · ","")&amp;IF(INDEX(Dati!$FA$1:$FA$1000,MATCH($A18,Dati!$A$1:$A$1000,0))&gt;0,Dati!$BY$3&amp;": "&amp;INDEX(Dati!$BY$1:$BY$1000,MATCH($A18,Dati!$A$1:$A$1000,0))&amp;" · ","")&amp;IF(INDEX(Dati!$FB$1:$FB$1000,MATCH($A18,Dati!$A$1:$A$1000,0))&gt;0,Dati!$BZ$3&amp;": "&amp;INDEX(Dati!$BZ$1:$BZ$1000,MATCH($A18,Dati!$A$1:$A$1000,0))&amp;" · ",""))-3)),""))</f>
        <v/>
      </c>
      <c r="V18" s="55" t="str">
        <f aca="false">IF($B18="","",IFERROR(IF((IF(INDEX(Dati!$FC$1:$FC$1000,MATCH($A18,Dati!$A$1:$A$1000,0))&gt;0,Dati!$CA$3&amp;": "&amp;INDEX(Dati!$CA$1:$CA$1000,MATCH($A18,Dati!$A$1:$A$1000,0))&amp;" · ","")&amp;IF(INDEX(Dati!$FD$1:$FD$1000,MATCH($A18,Dati!$A$1:$A$1000,0))&gt;0,Dati!$CB$3&amp;": "&amp;INDEX(Dati!$CB$1:$CB$1000,MATCH($A18,Dati!$A$1:$A$1000,0))&amp;" · ","")&amp;IF(INDEX(Dati!$FE$1:$FE$1000,MATCH($A18,Dati!$A$1:$A$1000,0))&gt;0,Dati!$CC$3&amp;": "&amp;INDEX(Dati!$CC$1:$CC$1000,MATCH($A18,Dati!$A$1:$A$1000,0))&amp;" · ","")&amp;IF(INDEX(Dati!$FF$1:$FF$1000,MATCH($A18,Dati!$A$1:$A$1000,0))&gt;0,Dati!$CD$3&amp;": "&amp;INDEX(Dati!$CD$1:$CD$1000,MATCH($A18,Dati!$A$1:$A$1000,0))&amp;" · ",""))="",IF(INDEX(Dati!$FZ$1:$FZ$1000,MATCH($A18,Dati!$A$1:$A$1000,0))=1,"AS da recuperare",""),LEFT(IF(INDEX(Dati!$FC$1:$FC$1000,MATCH($A18,Dati!$A$1:$A$1000,0))&gt;0,Dati!$CA$3&amp;": "&amp;INDEX(Dati!$CA$1:$CA$1000,MATCH($A18,Dati!$A$1:$A$1000,0))&amp;" · ","")&amp;IF(INDEX(Dati!$FD$1:$FD$1000,MATCH($A18,Dati!$A$1:$A$1000,0))&gt;0,Dati!$CB$3&amp;": "&amp;INDEX(Dati!$CB$1:$CB$1000,MATCH($A18,Dati!$A$1:$A$1000,0))&amp;" · ","")&amp;IF(INDEX(Dati!$FE$1:$FE$1000,MATCH($A18,Dati!$A$1:$A$1000,0))&gt;0,Dati!$CC$3&amp;": "&amp;INDEX(Dati!$CC$1:$CC$1000,MATCH($A18,Dati!$A$1:$A$1000,0))&amp;" · ","")&amp;IF(INDEX(Dati!$FF$1:$FF$1000,MATCH($A18,Dati!$A$1:$A$1000,0))&gt;0,Dati!$CD$3&amp;": "&amp;INDEX(Dati!$CD$1:$CD$1000,MATCH($A18,Dati!$A$1:$A$1000,0))&amp;" · ",""),LEN(IF(INDEX(Dati!$FC$1:$FC$1000,MATCH($A18,Dati!$A$1:$A$1000,0))&gt;0,Dati!$CA$3&amp;": "&amp;INDEX(Dati!$CA$1:$CA$1000,MATCH($A18,Dati!$A$1:$A$1000,0))&amp;" · ","")&amp;IF(INDEX(Dati!$FD$1:$FD$1000,MATCH($A18,Dati!$A$1:$A$1000,0))&gt;0,Dati!$CB$3&amp;": "&amp;INDEX(Dati!$CB$1:$CB$1000,MATCH($A18,Dati!$A$1:$A$1000,0))&amp;" · ","")&amp;IF(INDEX(Dati!$FE$1:$FE$1000,MATCH($A18,Dati!$A$1:$A$1000,0))&gt;0,Dati!$CC$3&amp;": "&amp;INDEX(Dati!$CC$1:$CC$1000,MATCH($A18,Dati!$A$1:$A$1000,0))&amp;" · ","")&amp;IF(INDEX(Dati!$FF$1:$FF$1000,MATCH($A18,Dati!$A$1:$A$1000,0))&gt;0,Dati!$CD$3&amp;": "&amp;INDEX(Dati!$CD$1:$CD$1000,MATCH($A18,Dati!$A$1:$A$1000,0))&amp;" · ",""))-3)),""))</f>
        <v/>
      </c>
    </row>
    <row r="19" customFormat="false" ht="19.5" hidden="false" customHeight="true" outlineLevel="0" collapsed="false">
      <c r="A19" s="10" t="n">
        <v>15</v>
      </c>
      <c r="B19" s="16" t="str">
        <f aca="false">IFERROR(INDEX(Alunni!$C$1:$C$1000,MATCH($A19,Alunni!$A$1:$A$1000,0))&amp;"","")</f>
        <v/>
      </c>
      <c r="C19" s="55" t="str">
        <f aca="false">IF($B19="","",IFERROR(IF((IF(INDEX(Dati!$CE$1:$CE$1000,MATCH($A19,Dati!$A$1:$A$1000,0))&gt;0,Dati!$C$3&amp;": "&amp;INDEX(Dati!$C$1:$C$1000,MATCH($A19,Dati!$A$1:$A$1000,0))&amp;" · ","")&amp;IF(INDEX(Dati!$CF$1:$CF$1000,MATCH($A19,Dati!$A$1:$A$1000,0))&gt;0,Dati!$D$3&amp;": "&amp;INDEX(Dati!$D$1:$D$1000,MATCH($A19,Dati!$A$1:$A$1000,0))&amp;" · ","")&amp;IF(INDEX(Dati!$CG$1:$CG$1000,MATCH($A19,Dati!$A$1:$A$1000,0))&gt;0,Dati!$E$3&amp;": "&amp;INDEX(Dati!$E$1:$E$1000,MATCH($A19,Dati!$A$1:$A$1000,0))&amp;" · ","")&amp;IF(INDEX(Dati!$CH$1:$CH$1000,MATCH($A19,Dati!$A$1:$A$1000,0))&gt;0,Dati!$F$3&amp;": "&amp;INDEX(Dati!$F$1:$F$1000,MATCH($A19,Dati!$A$1:$A$1000,0))&amp;" · ",""))="",IF(INDEX(Dati!$FG$1:$FG$1000,MATCH($A19,Dati!$A$1:$A$1000,0))=1,"AS da recuperare",""),LEFT(IF(INDEX(Dati!$CE$1:$CE$1000,MATCH($A19,Dati!$A$1:$A$1000,0))&gt;0,Dati!$C$3&amp;": "&amp;INDEX(Dati!$C$1:$C$1000,MATCH($A19,Dati!$A$1:$A$1000,0))&amp;" · ","")&amp;IF(INDEX(Dati!$CF$1:$CF$1000,MATCH($A19,Dati!$A$1:$A$1000,0))&gt;0,Dati!$D$3&amp;": "&amp;INDEX(Dati!$D$1:$D$1000,MATCH($A19,Dati!$A$1:$A$1000,0))&amp;" · ","")&amp;IF(INDEX(Dati!$CG$1:$CG$1000,MATCH($A19,Dati!$A$1:$A$1000,0))&gt;0,Dati!$E$3&amp;": "&amp;INDEX(Dati!$E$1:$E$1000,MATCH($A19,Dati!$A$1:$A$1000,0))&amp;" · ","")&amp;IF(INDEX(Dati!$CH$1:$CH$1000,MATCH($A19,Dati!$A$1:$A$1000,0))&gt;0,Dati!$F$3&amp;": "&amp;INDEX(Dati!$F$1:$F$1000,MATCH($A19,Dati!$A$1:$A$1000,0))&amp;" · ",""),LEN(IF(INDEX(Dati!$CE$1:$CE$1000,MATCH($A19,Dati!$A$1:$A$1000,0))&gt;0,Dati!$C$3&amp;": "&amp;INDEX(Dati!$C$1:$C$1000,MATCH($A19,Dati!$A$1:$A$1000,0))&amp;" · ","")&amp;IF(INDEX(Dati!$CF$1:$CF$1000,MATCH($A19,Dati!$A$1:$A$1000,0))&gt;0,Dati!$D$3&amp;": "&amp;INDEX(Dati!$D$1:$D$1000,MATCH($A19,Dati!$A$1:$A$1000,0))&amp;" · ","")&amp;IF(INDEX(Dati!$CG$1:$CG$1000,MATCH($A19,Dati!$A$1:$A$1000,0))&gt;0,Dati!$E$3&amp;": "&amp;INDEX(Dati!$E$1:$E$1000,MATCH($A19,Dati!$A$1:$A$1000,0))&amp;" · ","")&amp;IF(INDEX(Dati!$CH$1:$CH$1000,MATCH($A19,Dati!$A$1:$A$1000,0))&gt;0,Dati!$F$3&amp;": "&amp;INDEX(Dati!$F$1:$F$1000,MATCH($A19,Dati!$A$1:$A$1000,0))&amp;" · ",""))-3)),""))</f>
        <v/>
      </c>
      <c r="D19" s="55" t="str">
        <f aca="false">IF($B19="","",IFERROR(IF((IF(INDEX(Dati!$CI$1:$CI$1000,MATCH($A19,Dati!$A$1:$A$1000,0))&gt;0,Dati!$G$3&amp;": "&amp;INDEX(Dati!$G$1:$G$1000,MATCH($A19,Dati!$A$1:$A$1000,0))&amp;" · ","")&amp;IF(INDEX(Dati!$CJ$1:$CJ$1000,MATCH($A19,Dati!$A$1:$A$1000,0))&gt;0,Dati!$H$3&amp;": "&amp;INDEX(Dati!$H$1:$H$1000,MATCH($A19,Dati!$A$1:$A$1000,0))&amp;" · ","")&amp;IF(INDEX(Dati!$CK$1:$CK$1000,MATCH($A19,Dati!$A$1:$A$1000,0))&gt;0,Dati!$I$3&amp;": "&amp;INDEX(Dati!$I$1:$I$1000,MATCH($A19,Dati!$A$1:$A$1000,0))&amp;" · ","")&amp;IF(INDEX(Dati!$CL$1:$CL$1000,MATCH($A19,Dati!$A$1:$A$1000,0))&gt;0,Dati!$J$3&amp;": "&amp;INDEX(Dati!$J$1:$J$1000,MATCH($A19,Dati!$A$1:$A$1000,0))&amp;" · ",""))="",IF(INDEX(Dati!$FH$1:$FH$1000,MATCH($A19,Dati!$A$1:$A$1000,0))=1,"AS da recuperare",""),LEFT(IF(INDEX(Dati!$CI$1:$CI$1000,MATCH($A19,Dati!$A$1:$A$1000,0))&gt;0,Dati!$G$3&amp;": "&amp;INDEX(Dati!$G$1:$G$1000,MATCH($A19,Dati!$A$1:$A$1000,0))&amp;" · ","")&amp;IF(INDEX(Dati!$CJ$1:$CJ$1000,MATCH($A19,Dati!$A$1:$A$1000,0))&gt;0,Dati!$H$3&amp;": "&amp;INDEX(Dati!$H$1:$H$1000,MATCH($A19,Dati!$A$1:$A$1000,0))&amp;" · ","")&amp;IF(INDEX(Dati!$CK$1:$CK$1000,MATCH($A19,Dati!$A$1:$A$1000,0))&gt;0,Dati!$I$3&amp;": "&amp;INDEX(Dati!$I$1:$I$1000,MATCH($A19,Dati!$A$1:$A$1000,0))&amp;" · ","")&amp;IF(INDEX(Dati!$CL$1:$CL$1000,MATCH($A19,Dati!$A$1:$A$1000,0))&gt;0,Dati!$J$3&amp;": "&amp;INDEX(Dati!$J$1:$J$1000,MATCH($A19,Dati!$A$1:$A$1000,0))&amp;" · ",""),LEN(IF(INDEX(Dati!$CI$1:$CI$1000,MATCH($A19,Dati!$A$1:$A$1000,0))&gt;0,Dati!$G$3&amp;": "&amp;INDEX(Dati!$G$1:$G$1000,MATCH($A19,Dati!$A$1:$A$1000,0))&amp;" · ","")&amp;IF(INDEX(Dati!$CJ$1:$CJ$1000,MATCH($A19,Dati!$A$1:$A$1000,0))&gt;0,Dati!$H$3&amp;": "&amp;INDEX(Dati!$H$1:$H$1000,MATCH($A19,Dati!$A$1:$A$1000,0))&amp;" · ","")&amp;IF(INDEX(Dati!$CK$1:$CK$1000,MATCH($A19,Dati!$A$1:$A$1000,0))&gt;0,Dati!$I$3&amp;": "&amp;INDEX(Dati!$I$1:$I$1000,MATCH($A19,Dati!$A$1:$A$1000,0))&amp;" · ","")&amp;IF(INDEX(Dati!$CL$1:$CL$1000,MATCH($A19,Dati!$A$1:$A$1000,0))&gt;0,Dati!$J$3&amp;": "&amp;INDEX(Dati!$J$1:$J$1000,MATCH($A19,Dati!$A$1:$A$1000,0))&amp;" · ",""))-3)),""))</f>
        <v/>
      </c>
      <c r="E19" s="55" t="str">
        <f aca="false">IF($B19="","",IFERROR(IF((IF(INDEX(Dati!$CM$1:$CM$1000,MATCH($A19,Dati!$A$1:$A$1000,0))&gt;0,Dati!$K$3&amp;": "&amp;INDEX(Dati!$K$1:$K$1000,MATCH($A19,Dati!$A$1:$A$1000,0))&amp;" · ","")&amp;IF(INDEX(Dati!$CN$1:$CN$1000,MATCH($A19,Dati!$A$1:$A$1000,0))&gt;0,Dati!$L$3&amp;": "&amp;INDEX(Dati!$L$1:$L$1000,MATCH($A19,Dati!$A$1:$A$1000,0))&amp;" · ","")&amp;IF(INDEX(Dati!$CO$1:$CO$1000,MATCH($A19,Dati!$A$1:$A$1000,0))&gt;0,Dati!$M$3&amp;": "&amp;INDEX(Dati!$M$1:$M$1000,MATCH($A19,Dati!$A$1:$A$1000,0))&amp;" · ","")&amp;IF(INDEX(Dati!$CP$1:$CP$1000,MATCH($A19,Dati!$A$1:$A$1000,0))&gt;0,Dati!$N$3&amp;": "&amp;INDEX(Dati!$N$1:$N$1000,MATCH($A19,Dati!$A$1:$A$1000,0))&amp;" · ",""))="",IF(INDEX(Dati!$FI$1:$FI$1000,MATCH($A19,Dati!$A$1:$A$1000,0))=1,"AS da recuperare",""),LEFT(IF(INDEX(Dati!$CM$1:$CM$1000,MATCH($A19,Dati!$A$1:$A$1000,0))&gt;0,Dati!$K$3&amp;": "&amp;INDEX(Dati!$K$1:$K$1000,MATCH($A19,Dati!$A$1:$A$1000,0))&amp;" · ","")&amp;IF(INDEX(Dati!$CN$1:$CN$1000,MATCH($A19,Dati!$A$1:$A$1000,0))&gt;0,Dati!$L$3&amp;": "&amp;INDEX(Dati!$L$1:$L$1000,MATCH($A19,Dati!$A$1:$A$1000,0))&amp;" · ","")&amp;IF(INDEX(Dati!$CO$1:$CO$1000,MATCH($A19,Dati!$A$1:$A$1000,0))&gt;0,Dati!$M$3&amp;": "&amp;INDEX(Dati!$M$1:$M$1000,MATCH($A19,Dati!$A$1:$A$1000,0))&amp;" · ","")&amp;IF(INDEX(Dati!$CP$1:$CP$1000,MATCH($A19,Dati!$A$1:$A$1000,0))&gt;0,Dati!$N$3&amp;": "&amp;INDEX(Dati!$N$1:$N$1000,MATCH($A19,Dati!$A$1:$A$1000,0))&amp;" · ",""),LEN(IF(INDEX(Dati!$CM$1:$CM$1000,MATCH($A19,Dati!$A$1:$A$1000,0))&gt;0,Dati!$K$3&amp;": "&amp;INDEX(Dati!$K$1:$K$1000,MATCH($A19,Dati!$A$1:$A$1000,0))&amp;" · ","")&amp;IF(INDEX(Dati!$CN$1:$CN$1000,MATCH($A19,Dati!$A$1:$A$1000,0))&gt;0,Dati!$L$3&amp;": "&amp;INDEX(Dati!$L$1:$L$1000,MATCH($A19,Dati!$A$1:$A$1000,0))&amp;" · ","")&amp;IF(INDEX(Dati!$CO$1:$CO$1000,MATCH($A19,Dati!$A$1:$A$1000,0))&gt;0,Dati!$M$3&amp;": "&amp;INDEX(Dati!$M$1:$M$1000,MATCH($A19,Dati!$A$1:$A$1000,0))&amp;" · ","")&amp;IF(INDEX(Dati!$CP$1:$CP$1000,MATCH($A19,Dati!$A$1:$A$1000,0))&gt;0,Dati!$N$3&amp;": "&amp;INDEX(Dati!$N$1:$N$1000,MATCH($A19,Dati!$A$1:$A$1000,0))&amp;" · ",""))-3)),""))</f>
        <v/>
      </c>
      <c r="F19" s="55" t="str">
        <f aca="false">IF($B19="","",IFERROR(IF((IF(INDEX(Dati!$CQ$1:$CQ$1000,MATCH($A19,Dati!$A$1:$A$1000,0))&gt;0,Dati!$O$3&amp;": "&amp;INDEX(Dati!$O$1:$O$1000,MATCH($A19,Dati!$A$1:$A$1000,0))&amp;" · ","")&amp;IF(INDEX(Dati!$CR$1:$CR$1000,MATCH($A19,Dati!$A$1:$A$1000,0))&gt;0,Dati!$P$3&amp;": "&amp;INDEX(Dati!$P$1:$P$1000,MATCH($A19,Dati!$A$1:$A$1000,0))&amp;" · ","")&amp;IF(INDEX(Dati!$CS$1:$CS$1000,MATCH($A19,Dati!$A$1:$A$1000,0))&gt;0,Dati!$Q$3&amp;": "&amp;INDEX(Dati!$Q$1:$Q$1000,MATCH($A19,Dati!$A$1:$A$1000,0))&amp;" · ","")&amp;IF(INDEX(Dati!$CT$1:$CT$1000,MATCH($A19,Dati!$A$1:$A$1000,0))&gt;0,Dati!$R$3&amp;": "&amp;INDEX(Dati!$R$1:$R$1000,MATCH($A19,Dati!$A$1:$A$1000,0))&amp;" · ",""))="",IF(INDEX(Dati!$FJ$1:$FJ$1000,MATCH($A19,Dati!$A$1:$A$1000,0))=1,"AS da recuperare",""),LEFT(IF(INDEX(Dati!$CQ$1:$CQ$1000,MATCH($A19,Dati!$A$1:$A$1000,0))&gt;0,Dati!$O$3&amp;": "&amp;INDEX(Dati!$O$1:$O$1000,MATCH($A19,Dati!$A$1:$A$1000,0))&amp;" · ","")&amp;IF(INDEX(Dati!$CR$1:$CR$1000,MATCH($A19,Dati!$A$1:$A$1000,0))&gt;0,Dati!$P$3&amp;": "&amp;INDEX(Dati!$P$1:$P$1000,MATCH($A19,Dati!$A$1:$A$1000,0))&amp;" · ","")&amp;IF(INDEX(Dati!$CS$1:$CS$1000,MATCH($A19,Dati!$A$1:$A$1000,0))&gt;0,Dati!$Q$3&amp;": "&amp;INDEX(Dati!$Q$1:$Q$1000,MATCH($A19,Dati!$A$1:$A$1000,0))&amp;" · ","")&amp;IF(INDEX(Dati!$CT$1:$CT$1000,MATCH($A19,Dati!$A$1:$A$1000,0))&gt;0,Dati!$R$3&amp;": "&amp;INDEX(Dati!$R$1:$R$1000,MATCH($A19,Dati!$A$1:$A$1000,0))&amp;" · ",""),LEN(IF(INDEX(Dati!$CQ$1:$CQ$1000,MATCH($A19,Dati!$A$1:$A$1000,0))&gt;0,Dati!$O$3&amp;": "&amp;INDEX(Dati!$O$1:$O$1000,MATCH($A19,Dati!$A$1:$A$1000,0))&amp;" · ","")&amp;IF(INDEX(Dati!$CR$1:$CR$1000,MATCH($A19,Dati!$A$1:$A$1000,0))&gt;0,Dati!$P$3&amp;": "&amp;INDEX(Dati!$P$1:$P$1000,MATCH($A19,Dati!$A$1:$A$1000,0))&amp;" · ","")&amp;IF(INDEX(Dati!$CS$1:$CS$1000,MATCH($A19,Dati!$A$1:$A$1000,0))&gt;0,Dati!$Q$3&amp;": "&amp;INDEX(Dati!$Q$1:$Q$1000,MATCH($A19,Dati!$A$1:$A$1000,0))&amp;" · ","")&amp;IF(INDEX(Dati!$CT$1:$CT$1000,MATCH($A19,Dati!$A$1:$A$1000,0))&gt;0,Dati!$R$3&amp;": "&amp;INDEX(Dati!$R$1:$R$1000,MATCH($A19,Dati!$A$1:$A$1000,0))&amp;" · ",""))-3)),""))</f>
        <v/>
      </c>
      <c r="G19" s="55" t="str">
        <f aca="false">IF($B19="","",IFERROR(IF((IF(INDEX(Dati!$CU$1:$CU$1000,MATCH($A19,Dati!$A$1:$A$1000,0))&gt;0,Dati!$S$3&amp;": "&amp;INDEX(Dati!$S$1:$S$1000,MATCH($A19,Dati!$A$1:$A$1000,0))&amp;" · ","")&amp;IF(INDEX(Dati!$CV$1:$CV$1000,MATCH($A19,Dati!$A$1:$A$1000,0))&gt;0,Dati!$T$3&amp;": "&amp;INDEX(Dati!$T$1:$T$1000,MATCH($A19,Dati!$A$1:$A$1000,0))&amp;" · ","")&amp;IF(INDEX(Dati!$CW$1:$CW$1000,MATCH($A19,Dati!$A$1:$A$1000,0))&gt;0,Dati!$U$3&amp;": "&amp;INDEX(Dati!$U$1:$U$1000,MATCH($A19,Dati!$A$1:$A$1000,0))&amp;" · ","")&amp;IF(INDEX(Dati!$CX$1:$CX$1000,MATCH($A19,Dati!$A$1:$A$1000,0))&gt;0,Dati!$V$3&amp;": "&amp;INDEX(Dati!$V$1:$V$1000,MATCH($A19,Dati!$A$1:$A$1000,0))&amp;" · ",""))="",IF(INDEX(Dati!$FK$1:$FK$1000,MATCH($A19,Dati!$A$1:$A$1000,0))=1,"AS da recuperare",""),LEFT(IF(INDEX(Dati!$CU$1:$CU$1000,MATCH($A19,Dati!$A$1:$A$1000,0))&gt;0,Dati!$S$3&amp;": "&amp;INDEX(Dati!$S$1:$S$1000,MATCH($A19,Dati!$A$1:$A$1000,0))&amp;" · ","")&amp;IF(INDEX(Dati!$CV$1:$CV$1000,MATCH($A19,Dati!$A$1:$A$1000,0))&gt;0,Dati!$T$3&amp;": "&amp;INDEX(Dati!$T$1:$T$1000,MATCH($A19,Dati!$A$1:$A$1000,0))&amp;" · ","")&amp;IF(INDEX(Dati!$CW$1:$CW$1000,MATCH($A19,Dati!$A$1:$A$1000,0))&gt;0,Dati!$U$3&amp;": "&amp;INDEX(Dati!$U$1:$U$1000,MATCH($A19,Dati!$A$1:$A$1000,0))&amp;" · ","")&amp;IF(INDEX(Dati!$CX$1:$CX$1000,MATCH($A19,Dati!$A$1:$A$1000,0))&gt;0,Dati!$V$3&amp;": "&amp;INDEX(Dati!$V$1:$V$1000,MATCH($A19,Dati!$A$1:$A$1000,0))&amp;" · ",""),LEN(IF(INDEX(Dati!$CU$1:$CU$1000,MATCH($A19,Dati!$A$1:$A$1000,0))&gt;0,Dati!$S$3&amp;": "&amp;INDEX(Dati!$S$1:$S$1000,MATCH($A19,Dati!$A$1:$A$1000,0))&amp;" · ","")&amp;IF(INDEX(Dati!$CV$1:$CV$1000,MATCH($A19,Dati!$A$1:$A$1000,0))&gt;0,Dati!$T$3&amp;": "&amp;INDEX(Dati!$T$1:$T$1000,MATCH($A19,Dati!$A$1:$A$1000,0))&amp;" · ","")&amp;IF(INDEX(Dati!$CW$1:$CW$1000,MATCH($A19,Dati!$A$1:$A$1000,0))&gt;0,Dati!$U$3&amp;": "&amp;INDEX(Dati!$U$1:$U$1000,MATCH($A19,Dati!$A$1:$A$1000,0))&amp;" · ","")&amp;IF(INDEX(Dati!$CX$1:$CX$1000,MATCH($A19,Dati!$A$1:$A$1000,0))&gt;0,Dati!$V$3&amp;": "&amp;INDEX(Dati!$V$1:$V$1000,MATCH($A19,Dati!$A$1:$A$1000,0))&amp;" · ",""))-3)),""))</f>
        <v/>
      </c>
      <c r="H19" s="55" t="str">
        <f aca="false">IF($B19="","",IFERROR(IF((IF(INDEX(Dati!$CY$1:$CY$1000,MATCH($A19,Dati!$A$1:$A$1000,0))&gt;0,Dati!$W$3&amp;": "&amp;INDEX(Dati!$W$1:$W$1000,MATCH($A19,Dati!$A$1:$A$1000,0))&amp;" · ","")&amp;IF(INDEX(Dati!$CZ$1:$CZ$1000,MATCH($A19,Dati!$A$1:$A$1000,0))&gt;0,Dati!$X$3&amp;": "&amp;INDEX(Dati!$X$1:$X$1000,MATCH($A19,Dati!$A$1:$A$1000,0))&amp;" · ","")&amp;IF(INDEX(Dati!$DA$1:$DA$1000,MATCH($A19,Dati!$A$1:$A$1000,0))&gt;0,Dati!$Y$3&amp;": "&amp;INDEX(Dati!$Y$1:$Y$1000,MATCH($A19,Dati!$A$1:$A$1000,0))&amp;" · ","")&amp;IF(INDEX(Dati!$DB$1:$DB$1000,MATCH($A19,Dati!$A$1:$A$1000,0))&gt;0,Dati!$Z$3&amp;": "&amp;INDEX(Dati!$Z$1:$Z$1000,MATCH($A19,Dati!$A$1:$A$1000,0))&amp;" · ",""))="",IF(INDEX(Dati!$FL$1:$FL$1000,MATCH($A19,Dati!$A$1:$A$1000,0))=1,"AS da recuperare",""),LEFT(IF(INDEX(Dati!$CY$1:$CY$1000,MATCH($A19,Dati!$A$1:$A$1000,0))&gt;0,Dati!$W$3&amp;": "&amp;INDEX(Dati!$W$1:$W$1000,MATCH($A19,Dati!$A$1:$A$1000,0))&amp;" · ","")&amp;IF(INDEX(Dati!$CZ$1:$CZ$1000,MATCH($A19,Dati!$A$1:$A$1000,0))&gt;0,Dati!$X$3&amp;": "&amp;INDEX(Dati!$X$1:$X$1000,MATCH($A19,Dati!$A$1:$A$1000,0))&amp;" · ","")&amp;IF(INDEX(Dati!$DA$1:$DA$1000,MATCH($A19,Dati!$A$1:$A$1000,0))&gt;0,Dati!$Y$3&amp;": "&amp;INDEX(Dati!$Y$1:$Y$1000,MATCH($A19,Dati!$A$1:$A$1000,0))&amp;" · ","")&amp;IF(INDEX(Dati!$DB$1:$DB$1000,MATCH($A19,Dati!$A$1:$A$1000,0))&gt;0,Dati!$Z$3&amp;": "&amp;INDEX(Dati!$Z$1:$Z$1000,MATCH($A19,Dati!$A$1:$A$1000,0))&amp;" · ",""),LEN(IF(INDEX(Dati!$CY$1:$CY$1000,MATCH($A19,Dati!$A$1:$A$1000,0))&gt;0,Dati!$W$3&amp;": "&amp;INDEX(Dati!$W$1:$W$1000,MATCH($A19,Dati!$A$1:$A$1000,0))&amp;" · ","")&amp;IF(INDEX(Dati!$CZ$1:$CZ$1000,MATCH($A19,Dati!$A$1:$A$1000,0))&gt;0,Dati!$X$3&amp;": "&amp;INDEX(Dati!$X$1:$X$1000,MATCH($A19,Dati!$A$1:$A$1000,0))&amp;" · ","")&amp;IF(INDEX(Dati!$DA$1:$DA$1000,MATCH($A19,Dati!$A$1:$A$1000,0))&gt;0,Dati!$Y$3&amp;": "&amp;INDEX(Dati!$Y$1:$Y$1000,MATCH($A19,Dati!$A$1:$A$1000,0))&amp;" · ","")&amp;IF(INDEX(Dati!$DB$1:$DB$1000,MATCH($A19,Dati!$A$1:$A$1000,0))&gt;0,Dati!$Z$3&amp;": "&amp;INDEX(Dati!$Z$1:$Z$1000,MATCH($A19,Dati!$A$1:$A$1000,0))&amp;" · ",""))-3)),""))</f>
        <v/>
      </c>
      <c r="I19" s="55" t="str">
        <f aca="false">IF($B19="","",IFERROR(IF((IF(INDEX(Dati!$DC$1:$DC$1000,MATCH($A19,Dati!$A$1:$A$1000,0))&gt;0,Dati!$AA$3&amp;": "&amp;INDEX(Dati!$AA$1:$AA$1000,MATCH($A19,Dati!$A$1:$A$1000,0))&amp;" · ","")&amp;IF(INDEX(Dati!$DD$1:$DD$1000,MATCH($A19,Dati!$A$1:$A$1000,0))&gt;0,Dati!$AB$3&amp;": "&amp;INDEX(Dati!$AB$1:$AB$1000,MATCH($A19,Dati!$A$1:$A$1000,0))&amp;" · ","")&amp;IF(INDEX(Dati!$DE$1:$DE$1000,MATCH($A19,Dati!$A$1:$A$1000,0))&gt;0,Dati!$AC$3&amp;": "&amp;INDEX(Dati!$AC$1:$AC$1000,MATCH($A19,Dati!$A$1:$A$1000,0))&amp;" · ","")&amp;IF(INDEX(Dati!$DF$1:$DF$1000,MATCH($A19,Dati!$A$1:$A$1000,0))&gt;0,Dati!$AD$3&amp;": "&amp;INDEX(Dati!$AD$1:$AD$1000,MATCH($A19,Dati!$A$1:$A$1000,0))&amp;" · ",""))="",IF(INDEX(Dati!$FM$1:$FM$1000,MATCH($A19,Dati!$A$1:$A$1000,0))=1,"AS da recuperare",""),LEFT(IF(INDEX(Dati!$DC$1:$DC$1000,MATCH($A19,Dati!$A$1:$A$1000,0))&gt;0,Dati!$AA$3&amp;": "&amp;INDEX(Dati!$AA$1:$AA$1000,MATCH($A19,Dati!$A$1:$A$1000,0))&amp;" · ","")&amp;IF(INDEX(Dati!$DD$1:$DD$1000,MATCH($A19,Dati!$A$1:$A$1000,0))&gt;0,Dati!$AB$3&amp;": "&amp;INDEX(Dati!$AB$1:$AB$1000,MATCH($A19,Dati!$A$1:$A$1000,0))&amp;" · ","")&amp;IF(INDEX(Dati!$DE$1:$DE$1000,MATCH($A19,Dati!$A$1:$A$1000,0))&gt;0,Dati!$AC$3&amp;": "&amp;INDEX(Dati!$AC$1:$AC$1000,MATCH($A19,Dati!$A$1:$A$1000,0))&amp;" · ","")&amp;IF(INDEX(Dati!$DF$1:$DF$1000,MATCH($A19,Dati!$A$1:$A$1000,0))&gt;0,Dati!$AD$3&amp;": "&amp;INDEX(Dati!$AD$1:$AD$1000,MATCH($A19,Dati!$A$1:$A$1000,0))&amp;" · ",""),LEN(IF(INDEX(Dati!$DC$1:$DC$1000,MATCH($A19,Dati!$A$1:$A$1000,0))&gt;0,Dati!$AA$3&amp;": "&amp;INDEX(Dati!$AA$1:$AA$1000,MATCH($A19,Dati!$A$1:$A$1000,0))&amp;" · ","")&amp;IF(INDEX(Dati!$DD$1:$DD$1000,MATCH($A19,Dati!$A$1:$A$1000,0))&gt;0,Dati!$AB$3&amp;": "&amp;INDEX(Dati!$AB$1:$AB$1000,MATCH($A19,Dati!$A$1:$A$1000,0))&amp;" · ","")&amp;IF(INDEX(Dati!$DE$1:$DE$1000,MATCH($A19,Dati!$A$1:$A$1000,0))&gt;0,Dati!$AC$3&amp;": "&amp;INDEX(Dati!$AC$1:$AC$1000,MATCH($A19,Dati!$A$1:$A$1000,0))&amp;" · ","")&amp;IF(INDEX(Dati!$DF$1:$DF$1000,MATCH($A19,Dati!$A$1:$A$1000,0))&gt;0,Dati!$AD$3&amp;": "&amp;INDEX(Dati!$AD$1:$AD$1000,MATCH($A19,Dati!$A$1:$A$1000,0))&amp;" · ",""))-3)),""))</f>
        <v/>
      </c>
      <c r="J19" s="55" t="str">
        <f aca="false">IF($B19="","",IFERROR(IF((IF(INDEX(Dati!$DG$1:$DG$1000,MATCH($A19,Dati!$A$1:$A$1000,0))&gt;0,Dati!$AE$3&amp;": "&amp;INDEX(Dati!$AE$1:$AE$1000,MATCH($A19,Dati!$A$1:$A$1000,0))&amp;" · ","")&amp;IF(INDEX(Dati!$DH$1:$DH$1000,MATCH($A19,Dati!$A$1:$A$1000,0))&gt;0,Dati!$AF$3&amp;": "&amp;INDEX(Dati!$AF$1:$AF$1000,MATCH($A19,Dati!$A$1:$A$1000,0))&amp;" · ","")&amp;IF(INDEX(Dati!$DI$1:$DI$1000,MATCH($A19,Dati!$A$1:$A$1000,0))&gt;0,Dati!$AG$3&amp;": "&amp;INDEX(Dati!$AG$1:$AG$1000,MATCH($A19,Dati!$A$1:$A$1000,0))&amp;" · ","")&amp;IF(INDEX(Dati!$DJ$1:$DJ$1000,MATCH($A19,Dati!$A$1:$A$1000,0))&gt;0,Dati!$AH$3&amp;": "&amp;INDEX(Dati!$AH$1:$AH$1000,MATCH($A19,Dati!$A$1:$A$1000,0))&amp;" · ",""))="",IF(INDEX(Dati!$FN$1:$FN$1000,MATCH($A19,Dati!$A$1:$A$1000,0))=1,"AS da recuperare",""),LEFT(IF(INDEX(Dati!$DG$1:$DG$1000,MATCH($A19,Dati!$A$1:$A$1000,0))&gt;0,Dati!$AE$3&amp;": "&amp;INDEX(Dati!$AE$1:$AE$1000,MATCH($A19,Dati!$A$1:$A$1000,0))&amp;" · ","")&amp;IF(INDEX(Dati!$DH$1:$DH$1000,MATCH($A19,Dati!$A$1:$A$1000,0))&gt;0,Dati!$AF$3&amp;": "&amp;INDEX(Dati!$AF$1:$AF$1000,MATCH($A19,Dati!$A$1:$A$1000,0))&amp;" · ","")&amp;IF(INDEX(Dati!$DI$1:$DI$1000,MATCH($A19,Dati!$A$1:$A$1000,0))&gt;0,Dati!$AG$3&amp;": "&amp;INDEX(Dati!$AG$1:$AG$1000,MATCH($A19,Dati!$A$1:$A$1000,0))&amp;" · ","")&amp;IF(INDEX(Dati!$DJ$1:$DJ$1000,MATCH($A19,Dati!$A$1:$A$1000,0))&gt;0,Dati!$AH$3&amp;": "&amp;INDEX(Dati!$AH$1:$AH$1000,MATCH($A19,Dati!$A$1:$A$1000,0))&amp;" · ",""),LEN(IF(INDEX(Dati!$DG$1:$DG$1000,MATCH($A19,Dati!$A$1:$A$1000,0))&gt;0,Dati!$AE$3&amp;": "&amp;INDEX(Dati!$AE$1:$AE$1000,MATCH($A19,Dati!$A$1:$A$1000,0))&amp;" · ","")&amp;IF(INDEX(Dati!$DH$1:$DH$1000,MATCH($A19,Dati!$A$1:$A$1000,0))&gt;0,Dati!$AF$3&amp;": "&amp;INDEX(Dati!$AF$1:$AF$1000,MATCH($A19,Dati!$A$1:$A$1000,0))&amp;" · ","")&amp;IF(INDEX(Dati!$DI$1:$DI$1000,MATCH($A19,Dati!$A$1:$A$1000,0))&gt;0,Dati!$AG$3&amp;": "&amp;INDEX(Dati!$AG$1:$AG$1000,MATCH($A19,Dati!$A$1:$A$1000,0))&amp;" · ","")&amp;IF(INDEX(Dati!$DJ$1:$DJ$1000,MATCH($A19,Dati!$A$1:$A$1000,0))&gt;0,Dati!$AH$3&amp;": "&amp;INDEX(Dati!$AH$1:$AH$1000,MATCH($A19,Dati!$A$1:$A$1000,0))&amp;" · ",""))-3)),""))</f>
        <v/>
      </c>
      <c r="K19" s="55" t="str">
        <f aca="false">IF($B19="","",IFERROR(IF((IF(INDEX(Dati!$DK$1:$DK$1000,MATCH($A19,Dati!$A$1:$A$1000,0))&gt;0,Dati!$AI$3&amp;": "&amp;INDEX(Dati!$AI$1:$AI$1000,MATCH($A19,Dati!$A$1:$A$1000,0))&amp;" · ","")&amp;IF(INDEX(Dati!$DL$1:$DL$1000,MATCH($A19,Dati!$A$1:$A$1000,0))&gt;0,Dati!$AJ$3&amp;": "&amp;INDEX(Dati!$AJ$1:$AJ$1000,MATCH($A19,Dati!$A$1:$A$1000,0))&amp;" · ","")&amp;IF(INDEX(Dati!$DM$1:$DM$1000,MATCH($A19,Dati!$A$1:$A$1000,0))&gt;0,Dati!$AK$3&amp;": "&amp;INDEX(Dati!$AK$1:$AK$1000,MATCH($A19,Dati!$A$1:$A$1000,0))&amp;" · ","")&amp;IF(INDEX(Dati!$DN$1:$DN$1000,MATCH($A19,Dati!$A$1:$A$1000,0))&gt;0,Dati!$AL$3&amp;": "&amp;INDEX(Dati!$AL$1:$AL$1000,MATCH($A19,Dati!$A$1:$A$1000,0))&amp;" · ",""))="",IF(INDEX(Dati!$FO$1:$FO$1000,MATCH($A19,Dati!$A$1:$A$1000,0))=1,"AS da recuperare",""),LEFT(IF(INDEX(Dati!$DK$1:$DK$1000,MATCH($A19,Dati!$A$1:$A$1000,0))&gt;0,Dati!$AI$3&amp;": "&amp;INDEX(Dati!$AI$1:$AI$1000,MATCH($A19,Dati!$A$1:$A$1000,0))&amp;" · ","")&amp;IF(INDEX(Dati!$DL$1:$DL$1000,MATCH($A19,Dati!$A$1:$A$1000,0))&gt;0,Dati!$AJ$3&amp;": "&amp;INDEX(Dati!$AJ$1:$AJ$1000,MATCH($A19,Dati!$A$1:$A$1000,0))&amp;" · ","")&amp;IF(INDEX(Dati!$DM$1:$DM$1000,MATCH($A19,Dati!$A$1:$A$1000,0))&gt;0,Dati!$AK$3&amp;": "&amp;INDEX(Dati!$AK$1:$AK$1000,MATCH($A19,Dati!$A$1:$A$1000,0))&amp;" · ","")&amp;IF(INDEX(Dati!$DN$1:$DN$1000,MATCH($A19,Dati!$A$1:$A$1000,0))&gt;0,Dati!$AL$3&amp;": "&amp;INDEX(Dati!$AL$1:$AL$1000,MATCH($A19,Dati!$A$1:$A$1000,0))&amp;" · ",""),LEN(IF(INDEX(Dati!$DK$1:$DK$1000,MATCH($A19,Dati!$A$1:$A$1000,0))&gt;0,Dati!$AI$3&amp;": "&amp;INDEX(Dati!$AI$1:$AI$1000,MATCH($A19,Dati!$A$1:$A$1000,0))&amp;" · ","")&amp;IF(INDEX(Dati!$DL$1:$DL$1000,MATCH($A19,Dati!$A$1:$A$1000,0))&gt;0,Dati!$AJ$3&amp;": "&amp;INDEX(Dati!$AJ$1:$AJ$1000,MATCH($A19,Dati!$A$1:$A$1000,0))&amp;" · ","")&amp;IF(INDEX(Dati!$DM$1:$DM$1000,MATCH($A19,Dati!$A$1:$A$1000,0))&gt;0,Dati!$AK$3&amp;": "&amp;INDEX(Dati!$AK$1:$AK$1000,MATCH($A19,Dati!$A$1:$A$1000,0))&amp;" · ","")&amp;IF(INDEX(Dati!$DN$1:$DN$1000,MATCH($A19,Dati!$A$1:$A$1000,0))&gt;0,Dati!$AL$3&amp;": "&amp;INDEX(Dati!$AL$1:$AL$1000,MATCH($A19,Dati!$A$1:$A$1000,0))&amp;" · ",""))-3)),""))</f>
        <v/>
      </c>
      <c r="L19" s="55" t="str">
        <f aca="false">IF($B19="","",IFERROR(IF((IF(INDEX(Dati!$DO$1:$DO$1000,MATCH($A19,Dati!$A$1:$A$1000,0))&gt;0,Dati!$AM$3&amp;": "&amp;INDEX(Dati!$AM$1:$AM$1000,MATCH($A19,Dati!$A$1:$A$1000,0))&amp;" · ","")&amp;IF(INDEX(Dati!$DP$1:$DP$1000,MATCH($A19,Dati!$A$1:$A$1000,0))&gt;0,Dati!$AN$3&amp;": "&amp;INDEX(Dati!$AN$1:$AN$1000,MATCH($A19,Dati!$A$1:$A$1000,0))&amp;" · ","")&amp;IF(INDEX(Dati!$DQ$1:$DQ$1000,MATCH($A19,Dati!$A$1:$A$1000,0))&gt;0,Dati!$AO$3&amp;": "&amp;INDEX(Dati!$AO$1:$AO$1000,MATCH($A19,Dati!$A$1:$A$1000,0))&amp;" · ","")&amp;IF(INDEX(Dati!$DR$1:$DR$1000,MATCH($A19,Dati!$A$1:$A$1000,0))&gt;0,Dati!$AP$3&amp;": "&amp;INDEX(Dati!$AP$1:$AP$1000,MATCH($A19,Dati!$A$1:$A$1000,0))&amp;" · ",""))="",IF(INDEX(Dati!$FP$1:$FP$1000,MATCH($A19,Dati!$A$1:$A$1000,0))=1,"AS da recuperare",""),LEFT(IF(INDEX(Dati!$DO$1:$DO$1000,MATCH($A19,Dati!$A$1:$A$1000,0))&gt;0,Dati!$AM$3&amp;": "&amp;INDEX(Dati!$AM$1:$AM$1000,MATCH($A19,Dati!$A$1:$A$1000,0))&amp;" · ","")&amp;IF(INDEX(Dati!$DP$1:$DP$1000,MATCH($A19,Dati!$A$1:$A$1000,0))&gt;0,Dati!$AN$3&amp;": "&amp;INDEX(Dati!$AN$1:$AN$1000,MATCH($A19,Dati!$A$1:$A$1000,0))&amp;" · ","")&amp;IF(INDEX(Dati!$DQ$1:$DQ$1000,MATCH($A19,Dati!$A$1:$A$1000,0))&gt;0,Dati!$AO$3&amp;": "&amp;INDEX(Dati!$AO$1:$AO$1000,MATCH($A19,Dati!$A$1:$A$1000,0))&amp;" · ","")&amp;IF(INDEX(Dati!$DR$1:$DR$1000,MATCH($A19,Dati!$A$1:$A$1000,0))&gt;0,Dati!$AP$3&amp;": "&amp;INDEX(Dati!$AP$1:$AP$1000,MATCH($A19,Dati!$A$1:$A$1000,0))&amp;" · ",""),LEN(IF(INDEX(Dati!$DO$1:$DO$1000,MATCH($A19,Dati!$A$1:$A$1000,0))&gt;0,Dati!$AM$3&amp;": "&amp;INDEX(Dati!$AM$1:$AM$1000,MATCH($A19,Dati!$A$1:$A$1000,0))&amp;" · ","")&amp;IF(INDEX(Dati!$DP$1:$DP$1000,MATCH($A19,Dati!$A$1:$A$1000,0))&gt;0,Dati!$AN$3&amp;": "&amp;INDEX(Dati!$AN$1:$AN$1000,MATCH($A19,Dati!$A$1:$A$1000,0))&amp;" · ","")&amp;IF(INDEX(Dati!$DQ$1:$DQ$1000,MATCH($A19,Dati!$A$1:$A$1000,0))&gt;0,Dati!$AO$3&amp;": "&amp;INDEX(Dati!$AO$1:$AO$1000,MATCH($A19,Dati!$A$1:$A$1000,0))&amp;" · ","")&amp;IF(INDEX(Dati!$DR$1:$DR$1000,MATCH($A19,Dati!$A$1:$A$1000,0))&gt;0,Dati!$AP$3&amp;": "&amp;INDEX(Dati!$AP$1:$AP$1000,MATCH($A19,Dati!$A$1:$A$1000,0))&amp;" · ",""))-3)),""))</f>
        <v/>
      </c>
      <c r="M19" s="55" t="str">
        <f aca="false">IF($B19="","",IFERROR(IF((IF(INDEX(Dati!$DS$1:$DS$1000,MATCH($A19,Dati!$A$1:$A$1000,0))&gt;0,Dati!$AQ$3&amp;": "&amp;INDEX(Dati!$AQ$1:$AQ$1000,MATCH($A19,Dati!$A$1:$A$1000,0))&amp;" · ","")&amp;IF(INDEX(Dati!$DT$1:$DT$1000,MATCH($A19,Dati!$A$1:$A$1000,0))&gt;0,Dati!$AR$3&amp;": "&amp;INDEX(Dati!$AR$1:$AR$1000,MATCH($A19,Dati!$A$1:$A$1000,0))&amp;" · ","")&amp;IF(INDEX(Dati!$DU$1:$DU$1000,MATCH($A19,Dati!$A$1:$A$1000,0))&gt;0,Dati!$AS$3&amp;": "&amp;INDEX(Dati!$AS$1:$AS$1000,MATCH($A19,Dati!$A$1:$A$1000,0))&amp;" · ","")&amp;IF(INDEX(Dati!$DV$1:$DV$1000,MATCH($A19,Dati!$A$1:$A$1000,0))&gt;0,Dati!$AT$3&amp;": "&amp;INDEX(Dati!$AT$1:$AT$1000,MATCH($A19,Dati!$A$1:$A$1000,0))&amp;" · ",""))="",IF(INDEX(Dati!$FQ$1:$FQ$1000,MATCH($A19,Dati!$A$1:$A$1000,0))=1,"AS da recuperare",""),LEFT(IF(INDEX(Dati!$DS$1:$DS$1000,MATCH($A19,Dati!$A$1:$A$1000,0))&gt;0,Dati!$AQ$3&amp;": "&amp;INDEX(Dati!$AQ$1:$AQ$1000,MATCH($A19,Dati!$A$1:$A$1000,0))&amp;" · ","")&amp;IF(INDEX(Dati!$DT$1:$DT$1000,MATCH($A19,Dati!$A$1:$A$1000,0))&gt;0,Dati!$AR$3&amp;": "&amp;INDEX(Dati!$AR$1:$AR$1000,MATCH($A19,Dati!$A$1:$A$1000,0))&amp;" · ","")&amp;IF(INDEX(Dati!$DU$1:$DU$1000,MATCH($A19,Dati!$A$1:$A$1000,0))&gt;0,Dati!$AS$3&amp;": "&amp;INDEX(Dati!$AS$1:$AS$1000,MATCH($A19,Dati!$A$1:$A$1000,0))&amp;" · ","")&amp;IF(INDEX(Dati!$DV$1:$DV$1000,MATCH($A19,Dati!$A$1:$A$1000,0))&gt;0,Dati!$AT$3&amp;": "&amp;INDEX(Dati!$AT$1:$AT$1000,MATCH($A19,Dati!$A$1:$A$1000,0))&amp;" · ",""),LEN(IF(INDEX(Dati!$DS$1:$DS$1000,MATCH($A19,Dati!$A$1:$A$1000,0))&gt;0,Dati!$AQ$3&amp;": "&amp;INDEX(Dati!$AQ$1:$AQ$1000,MATCH($A19,Dati!$A$1:$A$1000,0))&amp;" · ","")&amp;IF(INDEX(Dati!$DT$1:$DT$1000,MATCH($A19,Dati!$A$1:$A$1000,0))&gt;0,Dati!$AR$3&amp;": "&amp;INDEX(Dati!$AR$1:$AR$1000,MATCH($A19,Dati!$A$1:$A$1000,0))&amp;" · ","")&amp;IF(INDEX(Dati!$DU$1:$DU$1000,MATCH($A19,Dati!$A$1:$A$1000,0))&gt;0,Dati!$AS$3&amp;": "&amp;INDEX(Dati!$AS$1:$AS$1000,MATCH($A19,Dati!$A$1:$A$1000,0))&amp;" · ","")&amp;IF(INDEX(Dati!$DV$1:$DV$1000,MATCH($A19,Dati!$A$1:$A$1000,0))&gt;0,Dati!$AT$3&amp;": "&amp;INDEX(Dati!$AT$1:$AT$1000,MATCH($A19,Dati!$A$1:$A$1000,0))&amp;" · ",""))-3)),""))</f>
        <v/>
      </c>
      <c r="N19" s="55" t="str">
        <f aca="false">IF($B19="","",IFERROR(IF((IF(INDEX(Dati!$DW$1:$DW$1000,MATCH($A19,Dati!$A$1:$A$1000,0))&gt;0,Dati!$AU$3&amp;": "&amp;INDEX(Dati!$AU$1:$AU$1000,MATCH($A19,Dati!$A$1:$A$1000,0))&amp;" · ","")&amp;IF(INDEX(Dati!$DX$1:$DX$1000,MATCH($A19,Dati!$A$1:$A$1000,0))&gt;0,Dati!$AV$3&amp;": "&amp;INDEX(Dati!$AV$1:$AV$1000,MATCH($A19,Dati!$A$1:$A$1000,0))&amp;" · ","")&amp;IF(INDEX(Dati!$DY$1:$DY$1000,MATCH($A19,Dati!$A$1:$A$1000,0))&gt;0,Dati!$AW$3&amp;": "&amp;INDEX(Dati!$AW$1:$AW$1000,MATCH($A19,Dati!$A$1:$A$1000,0))&amp;" · ","")&amp;IF(INDEX(Dati!$DZ$1:$DZ$1000,MATCH($A19,Dati!$A$1:$A$1000,0))&gt;0,Dati!$AX$3&amp;": "&amp;INDEX(Dati!$AX$1:$AX$1000,MATCH($A19,Dati!$A$1:$A$1000,0))&amp;" · ",""))="",IF(INDEX(Dati!$FR$1:$FR$1000,MATCH($A19,Dati!$A$1:$A$1000,0))=1,"AS da recuperare",""),LEFT(IF(INDEX(Dati!$DW$1:$DW$1000,MATCH($A19,Dati!$A$1:$A$1000,0))&gt;0,Dati!$AU$3&amp;": "&amp;INDEX(Dati!$AU$1:$AU$1000,MATCH($A19,Dati!$A$1:$A$1000,0))&amp;" · ","")&amp;IF(INDEX(Dati!$DX$1:$DX$1000,MATCH($A19,Dati!$A$1:$A$1000,0))&gt;0,Dati!$AV$3&amp;": "&amp;INDEX(Dati!$AV$1:$AV$1000,MATCH($A19,Dati!$A$1:$A$1000,0))&amp;" · ","")&amp;IF(INDEX(Dati!$DY$1:$DY$1000,MATCH($A19,Dati!$A$1:$A$1000,0))&gt;0,Dati!$AW$3&amp;": "&amp;INDEX(Dati!$AW$1:$AW$1000,MATCH($A19,Dati!$A$1:$A$1000,0))&amp;" · ","")&amp;IF(INDEX(Dati!$DZ$1:$DZ$1000,MATCH($A19,Dati!$A$1:$A$1000,0))&gt;0,Dati!$AX$3&amp;": "&amp;INDEX(Dati!$AX$1:$AX$1000,MATCH($A19,Dati!$A$1:$A$1000,0))&amp;" · ",""),LEN(IF(INDEX(Dati!$DW$1:$DW$1000,MATCH($A19,Dati!$A$1:$A$1000,0))&gt;0,Dati!$AU$3&amp;": "&amp;INDEX(Dati!$AU$1:$AU$1000,MATCH($A19,Dati!$A$1:$A$1000,0))&amp;" · ","")&amp;IF(INDEX(Dati!$DX$1:$DX$1000,MATCH($A19,Dati!$A$1:$A$1000,0))&gt;0,Dati!$AV$3&amp;": "&amp;INDEX(Dati!$AV$1:$AV$1000,MATCH($A19,Dati!$A$1:$A$1000,0))&amp;" · ","")&amp;IF(INDEX(Dati!$DY$1:$DY$1000,MATCH($A19,Dati!$A$1:$A$1000,0))&gt;0,Dati!$AW$3&amp;": "&amp;INDEX(Dati!$AW$1:$AW$1000,MATCH($A19,Dati!$A$1:$A$1000,0))&amp;" · ","")&amp;IF(INDEX(Dati!$DZ$1:$DZ$1000,MATCH($A19,Dati!$A$1:$A$1000,0))&gt;0,Dati!$AX$3&amp;": "&amp;INDEX(Dati!$AX$1:$AX$1000,MATCH($A19,Dati!$A$1:$A$1000,0))&amp;" · ",""))-3)),""))</f>
        <v/>
      </c>
      <c r="O19" s="55" t="str">
        <f aca="false">IF($B19="","",IFERROR(IF((IF(INDEX(Dati!$EA$1:$EA$1000,MATCH($A19,Dati!$A$1:$A$1000,0))&gt;0,Dati!$AY$3&amp;": "&amp;INDEX(Dati!$AY$1:$AY$1000,MATCH($A19,Dati!$A$1:$A$1000,0))&amp;" · ","")&amp;IF(INDEX(Dati!$EB$1:$EB$1000,MATCH($A19,Dati!$A$1:$A$1000,0))&gt;0,Dati!$AZ$3&amp;": "&amp;INDEX(Dati!$AZ$1:$AZ$1000,MATCH($A19,Dati!$A$1:$A$1000,0))&amp;" · ","")&amp;IF(INDEX(Dati!$EC$1:$EC$1000,MATCH($A19,Dati!$A$1:$A$1000,0))&gt;0,Dati!$BA$3&amp;": "&amp;INDEX(Dati!$BA$1:$BA$1000,MATCH($A19,Dati!$A$1:$A$1000,0))&amp;" · ","")&amp;IF(INDEX(Dati!$ED$1:$ED$1000,MATCH($A19,Dati!$A$1:$A$1000,0))&gt;0,Dati!$BB$3&amp;": "&amp;INDEX(Dati!$BB$1:$BB$1000,MATCH($A19,Dati!$A$1:$A$1000,0))&amp;" · ",""))="",IF(INDEX(Dati!$FS$1:$FS$1000,MATCH($A19,Dati!$A$1:$A$1000,0))=1,"AS da recuperare",""),LEFT(IF(INDEX(Dati!$EA$1:$EA$1000,MATCH($A19,Dati!$A$1:$A$1000,0))&gt;0,Dati!$AY$3&amp;": "&amp;INDEX(Dati!$AY$1:$AY$1000,MATCH($A19,Dati!$A$1:$A$1000,0))&amp;" · ","")&amp;IF(INDEX(Dati!$EB$1:$EB$1000,MATCH($A19,Dati!$A$1:$A$1000,0))&gt;0,Dati!$AZ$3&amp;": "&amp;INDEX(Dati!$AZ$1:$AZ$1000,MATCH($A19,Dati!$A$1:$A$1000,0))&amp;" · ","")&amp;IF(INDEX(Dati!$EC$1:$EC$1000,MATCH($A19,Dati!$A$1:$A$1000,0))&gt;0,Dati!$BA$3&amp;": "&amp;INDEX(Dati!$BA$1:$BA$1000,MATCH($A19,Dati!$A$1:$A$1000,0))&amp;" · ","")&amp;IF(INDEX(Dati!$ED$1:$ED$1000,MATCH($A19,Dati!$A$1:$A$1000,0))&gt;0,Dati!$BB$3&amp;": "&amp;INDEX(Dati!$BB$1:$BB$1000,MATCH($A19,Dati!$A$1:$A$1000,0))&amp;" · ",""),LEN(IF(INDEX(Dati!$EA$1:$EA$1000,MATCH($A19,Dati!$A$1:$A$1000,0))&gt;0,Dati!$AY$3&amp;": "&amp;INDEX(Dati!$AY$1:$AY$1000,MATCH($A19,Dati!$A$1:$A$1000,0))&amp;" · ","")&amp;IF(INDEX(Dati!$EB$1:$EB$1000,MATCH($A19,Dati!$A$1:$A$1000,0))&gt;0,Dati!$AZ$3&amp;": "&amp;INDEX(Dati!$AZ$1:$AZ$1000,MATCH($A19,Dati!$A$1:$A$1000,0))&amp;" · ","")&amp;IF(INDEX(Dati!$EC$1:$EC$1000,MATCH($A19,Dati!$A$1:$A$1000,0))&gt;0,Dati!$BA$3&amp;": "&amp;INDEX(Dati!$BA$1:$BA$1000,MATCH($A19,Dati!$A$1:$A$1000,0))&amp;" · ","")&amp;IF(INDEX(Dati!$ED$1:$ED$1000,MATCH($A19,Dati!$A$1:$A$1000,0))&gt;0,Dati!$BB$3&amp;": "&amp;INDEX(Dati!$BB$1:$BB$1000,MATCH($A19,Dati!$A$1:$A$1000,0))&amp;" · ",""))-3)),""))</f>
        <v/>
      </c>
      <c r="P19" s="55" t="str">
        <f aca="false">IF($B19="","",IFERROR(IF((IF(INDEX(Dati!$EE$1:$EE$1000,MATCH($A19,Dati!$A$1:$A$1000,0))&gt;0,Dati!$BC$3&amp;": "&amp;INDEX(Dati!$BC$1:$BC$1000,MATCH($A19,Dati!$A$1:$A$1000,0))&amp;" · ","")&amp;IF(INDEX(Dati!$EF$1:$EF$1000,MATCH($A19,Dati!$A$1:$A$1000,0))&gt;0,Dati!$BD$3&amp;": "&amp;INDEX(Dati!$BD$1:$BD$1000,MATCH($A19,Dati!$A$1:$A$1000,0))&amp;" · ","")&amp;IF(INDEX(Dati!$EG$1:$EG$1000,MATCH($A19,Dati!$A$1:$A$1000,0))&gt;0,Dati!$BE$3&amp;": "&amp;INDEX(Dati!$BE$1:$BE$1000,MATCH($A19,Dati!$A$1:$A$1000,0))&amp;" · ","")&amp;IF(INDEX(Dati!$EH$1:$EH$1000,MATCH($A19,Dati!$A$1:$A$1000,0))&gt;0,Dati!$BF$3&amp;": "&amp;INDEX(Dati!$BF$1:$BF$1000,MATCH($A19,Dati!$A$1:$A$1000,0))&amp;" · ",""))="",IF(INDEX(Dati!$FT$1:$FT$1000,MATCH($A19,Dati!$A$1:$A$1000,0))=1,"AS da recuperare",""),LEFT(IF(INDEX(Dati!$EE$1:$EE$1000,MATCH($A19,Dati!$A$1:$A$1000,0))&gt;0,Dati!$BC$3&amp;": "&amp;INDEX(Dati!$BC$1:$BC$1000,MATCH($A19,Dati!$A$1:$A$1000,0))&amp;" · ","")&amp;IF(INDEX(Dati!$EF$1:$EF$1000,MATCH($A19,Dati!$A$1:$A$1000,0))&gt;0,Dati!$BD$3&amp;": "&amp;INDEX(Dati!$BD$1:$BD$1000,MATCH($A19,Dati!$A$1:$A$1000,0))&amp;" · ","")&amp;IF(INDEX(Dati!$EG$1:$EG$1000,MATCH($A19,Dati!$A$1:$A$1000,0))&gt;0,Dati!$BE$3&amp;": "&amp;INDEX(Dati!$BE$1:$BE$1000,MATCH($A19,Dati!$A$1:$A$1000,0))&amp;" · ","")&amp;IF(INDEX(Dati!$EH$1:$EH$1000,MATCH($A19,Dati!$A$1:$A$1000,0))&gt;0,Dati!$BF$3&amp;": "&amp;INDEX(Dati!$BF$1:$BF$1000,MATCH($A19,Dati!$A$1:$A$1000,0))&amp;" · ",""),LEN(IF(INDEX(Dati!$EE$1:$EE$1000,MATCH($A19,Dati!$A$1:$A$1000,0))&gt;0,Dati!$BC$3&amp;": "&amp;INDEX(Dati!$BC$1:$BC$1000,MATCH($A19,Dati!$A$1:$A$1000,0))&amp;" · ","")&amp;IF(INDEX(Dati!$EF$1:$EF$1000,MATCH($A19,Dati!$A$1:$A$1000,0))&gt;0,Dati!$BD$3&amp;": "&amp;INDEX(Dati!$BD$1:$BD$1000,MATCH($A19,Dati!$A$1:$A$1000,0))&amp;" · ","")&amp;IF(INDEX(Dati!$EG$1:$EG$1000,MATCH($A19,Dati!$A$1:$A$1000,0))&gt;0,Dati!$BE$3&amp;": "&amp;INDEX(Dati!$BE$1:$BE$1000,MATCH($A19,Dati!$A$1:$A$1000,0))&amp;" · ","")&amp;IF(INDEX(Dati!$EH$1:$EH$1000,MATCH($A19,Dati!$A$1:$A$1000,0))&gt;0,Dati!$BF$3&amp;": "&amp;INDEX(Dati!$BF$1:$BF$1000,MATCH($A19,Dati!$A$1:$A$1000,0))&amp;" · ",""))-3)),""))</f>
        <v/>
      </c>
      <c r="Q19" s="55" t="str">
        <f aca="false">IF($B19="","",IFERROR(IF((IF(INDEX(Dati!$EI$1:$EI$1000,MATCH($A19,Dati!$A$1:$A$1000,0))&gt;0,Dati!$BG$3&amp;": "&amp;INDEX(Dati!$BG$1:$BG$1000,MATCH($A19,Dati!$A$1:$A$1000,0))&amp;" · ","")&amp;IF(INDEX(Dati!$EJ$1:$EJ$1000,MATCH($A19,Dati!$A$1:$A$1000,0))&gt;0,Dati!$BH$3&amp;": "&amp;INDEX(Dati!$BH$1:$BH$1000,MATCH($A19,Dati!$A$1:$A$1000,0))&amp;" · ","")&amp;IF(INDEX(Dati!$EK$1:$EK$1000,MATCH($A19,Dati!$A$1:$A$1000,0))&gt;0,Dati!$BI$3&amp;": "&amp;INDEX(Dati!$BI$1:$BI$1000,MATCH($A19,Dati!$A$1:$A$1000,0))&amp;" · ","")&amp;IF(INDEX(Dati!$EL$1:$EL$1000,MATCH($A19,Dati!$A$1:$A$1000,0))&gt;0,Dati!$BJ$3&amp;": "&amp;INDEX(Dati!$BJ$1:$BJ$1000,MATCH($A19,Dati!$A$1:$A$1000,0))&amp;" · ",""))="",IF(INDEX(Dati!$FU$1:$FU$1000,MATCH($A19,Dati!$A$1:$A$1000,0))=1,"AS da recuperare",""),LEFT(IF(INDEX(Dati!$EI$1:$EI$1000,MATCH($A19,Dati!$A$1:$A$1000,0))&gt;0,Dati!$BG$3&amp;": "&amp;INDEX(Dati!$BG$1:$BG$1000,MATCH($A19,Dati!$A$1:$A$1000,0))&amp;" · ","")&amp;IF(INDEX(Dati!$EJ$1:$EJ$1000,MATCH($A19,Dati!$A$1:$A$1000,0))&gt;0,Dati!$BH$3&amp;": "&amp;INDEX(Dati!$BH$1:$BH$1000,MATCH($A19,Dati!$A$1:$A$1000,0))&amp;" · ","")&amp;IF(INDEX(Dati!$EK$1:$EK$1000,MATCH($A19,Dati!$A$1:$A$1000,0))&gt;0,Dati!$BI$3&amp;": "&amp;INDEX(Dati!$BI$1:$BI$1000,MATCH($A19,Dati!$A$1:$A$1000,0))&amp;" · ","")&amp;IF(INDEX(Dati!$EL$1:$EL$1000,MATCH($A19,Dati!$A$1:$A$1000,0))&gt;0,Dati!$BJ$3&amp;": "&amp;INDEX(Dati!$BJ$1:$BJ$1000,MATCH($A19,Dati!$A$1:$A$1000,0))&amp;" · ",""),LEN(IF(INDEX(Dati!$EI$1:$EI$1000,MATCH($A19,Dati!$A$1:$A$1000,0))&gt;0,Dati!$BG$3&amp;": "&amp;INDEX(Dati!$BG$1:$BG$1000,MATCH($A19,Dati!$A$1:$A$1000,0))&amp;" · ","")&amp;IF(INDEX(Dati!$EJ$1:$EJ$1000,MATCH($A19,Dati!$A$1:$A$1000,0))&gt;0,Dati!$BH$3&amp;": "&amp;INDEX(Dati!$BH$1:$BH$1000,MATCH($A19,Dati!$A$1:$A$1000,0))&amp;" · ","")&amp;IF(INDEX(Dati!$EK$1:$EK$1000,MATCH($A19,Dati!$A$1:$A$1000,0))&gt;0,Dati!$BI$3&amp;": "&amp;INDEX(Dati!$BI$1:$BI$1000,MATCH($A19,Dati!$A$1:$A$1000,0))&amp;" · ","")&amp;IF(INDEX(Dati!$EL$1:$EL$1000,MATCH($A19,Dati!$A$1:$A$1000,0))&gt;0,Dati!$BJ$3&amp;": "&amp;INDEX(Dati!$BJ$1:$BJ$1000,MATCH($A19,Dati!$A$1:$A$1000,0))&amp;" · ",""))-3)),""))</f>
        <v/>
      </c>
      <c r="R19" s="55" t="str">
        <f aca="false">IF($B19="","",IFERROR(IF((IF(INDEX(Dati!$EM$1:$EM$1000,MATCH($A19,Dati!$A$1:$A$1000,0))&gt;0,Dati!$BK$3&amp;": "&amp;INDEX(Dati!$BK$1:$BK$1000,MATCH($A19,Dati!$A$1:$A$1000,0))&amp;" · ","")&amp;IF(INDEX(Dati!$EN$1:$EN$1000,MATCH($A19,Dati!$A$1:$A$1000,0))&gt;0,Dati!$BL$3&amp;": "&amp;INDEX(Dati!$BL$1:$BL$1000,MATCH($A19,Dati!$A$1:$A$1000,0))&amp;" · ","")&amp;IF(INDEX(Dati!$EO$1:$EO$1000,MATCH($A19,Dati!$A$1:$A$1000,0))&gt;0,Dati!$BM$3&amp;": "&amp;INDEX(Dati!$BM$1:$BM$1000,MATCH($A19,Dati!$A$1:$A$1000,0))&amp;" · ","")&amp;IF(INDEX(Dati!$EP$1:$EP$1000,MATCH($A19,Dati!$A$1:$A$1000,0))&gt;0,Dati!$BN$3&amp;": "&amp;INDEX(Dati!$BN$1:$BN$1000,MATCH($A19,Dati!$A$1:$A$1000,0))&amp;" · ",""))="",IF(INDEX(Dati!$FV$1:$FV$1000,MATCH($A19,Dati!$A$1:$A$1000,0))=1,"AS da recuperare",""),LEFT(IF(INDEX(Dati!$EM$1:$EM$1000,MATCH($A19,Dati!$A$1:$A$1000,0))&gt;0,Dati!$BK$3&amp;": "&amp;INDEX(Dati!$BK$1:$BK$1000,MATCH($A19,Dati!$A$1:$A$1000,0))&amp;" · ","")&amp;IF(INDEX(Dati!$EN$1:$EN$1000,MATCH($A19,Dati!$A$1:$A$1000,0))&gt;0,Dati!$BL$3&amp;": "&amp;INDEX(Dati!$BL$1:$BL$1000,MATCH($A19,Dati!$A$1:$A$1000,0))&amp;" · ","")&amp;IF(INDEX(Dati!$EO$1:$EO$1000,MATCH($A19,Dati!$A$1:$A$1000,0))&gt;0,Dati!$BM$3&amp;": "&amp;INDEX(Dati!$BM$1:$BM$1000,MATCH($A19,Dati!$A$1:$A$1000,0))&amp;" · ","")&amp;IF(INDEX(Dati!$EP$1:$EP$1000,MATCH($A19,Dati!$A$1:$A$1000,0))&gt;0,Dati!$BN$3&amp;": "&amp;INDEX(Dati!$BN$1:$BN$1000,MATCH($A19,Dati!$A$1:$A$1000,0))&amp;" · ",""),LEN(IF(INDEX(Dati!$EM$1:$EM$1000,MATCH($A19,Dati!$A$1:$A$1000,0))&gt;0,Dati!$BK$3&amp;": "&amp;INDEX(Dati!$BK$1:$BK$1000,MATCH($A19,Dati!$A$1:$A$1000,0))&amp;" · ","")&amp;IF(INDEX(Dati!$EN$1:$EN$1000,MATCH($A19,Dati!$A$1:$A$1000,0))&gt;0,Dati!$BL$3&amp;": "&amp;INDEX(Dati!$BL$1:$BL$1000,MATCH($A19,Dati!$A$1:$A$1000,0))&amp;" · ","")&amp;IF(INDEX(Dati!$EO$1:$EO$1000,MATCH($A19,Dati!$A$1:$A$1000,0))&gt;0,Dati!$BM$3&amp;": "&amp;INDEX(Dati!$BM$1:$BM$1000,MATCH($A19,Dati!$A$1:$A$1000,0))&amp;" · ","")&amp;IF(INDEX(Dati!$EP$1:$EP$1000,MATCH($A19,Dati!$A$1:$A$1000,0))&gt;0,Dati!$BN$3&amp;": "&amp;INDEX(Dati!$BN$1:$BN$1000,MATCH($A19,Dati!$A$1:$A$1000,0))&amp;" · ",""))-3)),""))</f>
        <v/>
      </c>
      <c r="S19" s="55" t="str">
        <f aca="false">IF($B19="","",IFERROR(IF((IF(INDEX(Dati!$EQ$1:$EQ$1000,MATCH($A19,Dati!$A$1:$A$1000,0))&gt;0,Dati!$BO$3&amp;": "&amp;INDEX(Dati!$BO$1:$BO$1000,MATCH($A19,Dati!$A$1:$A$1000,0))&amp;" · ","")&amp;IF(INDEX(Dati!$ER$1:$ER$1000,MATCH($A19,Dati!$A$1:$A$1000,0))&gt;0,Dati!$BP$3&amp;": "&amp;INDEX(Dati!$BP$1:$BP$1000,MATCH($A19,Dati!$A$1:$A$1000,0))&amp;" · ","")&amp;IF(INDEX(Dati!$ES$1:$ES$1000,MATCH($A19,Dati!$A$1:$A$1000,0))&gt;0,Dati!$BQ$3&amp;": "&amp;INDEX(Dati!$BQ$1:$BQ$1000,MATCH($A19,Dati!$A$1:$A$1000,0))&amp;" · ","")&amp;IF(INDEX(Dati!$ET$1:$ET$1000,MATCH($A19,Dati!$A$1:$A$1000,0))&gt;0,Dati!$BR$3&amp;": "&amp;INDEX(Dati!$BR$1:$BR$1000,MATCH($A19,Dati!$A$1:$A$1000,0))&amp;" · ",""))="",IF(INDEX(Dati!$FW$1:$FW$1000,MATCH($A19,Dati!$A$1:$A$1000,0))=1,"AS da recuperare",""),LEFT(IF(INDEX(Dati!$EQ$1:$EQ$1000,MATCH($A19,Dati!$A$1:$A$1000,0))&gt;0,Dati!$BO$3&amp;": "&amp;INDEX(Dati!$BO$1:$BO$1000,MATCH($A19,Dati!$A$1:$A$1000,0))&amp;" · ","")&amp;IF(INDEX(Dati!$ER$1:$ER$1000,MATCH($A19,Dati!$A$1:$A$1000,0))&gt;0,Dati!$BP$3&amp;": "&amp;INDEX(Dati!$BP$1:$BP$1000,MATCH($A19,Dati!$A$1:$A$1000,0))&amp;" · ","")&amp;IF(INDEX(Dati!$ES$1:$ES$1000,MATCH($A19,Dati!$A$1:$A$1000,0))&gt;0,Dati!$BQ$3&amp;": "&amp;INDEX(Dati!$BQ$1:$BQ$1000,MATCH($A19,Dati!$A$1:$A$1000,0))&amp;" · ","")&amp;IF(INDEX(Dati!$ET$1:$ET$1000,MATCH($A19,Dati!$A$1:$A$1000,0))&gt;0,Dati!$BR$3&amp;": "&amp;INDEX(Dati!$BR$1:$BR$1000,MATCH($A19,Dati!$A$1:$A$1000,0))&amp;" · ",""),LEN(IF(INDEX(Dati!$EQ$1:$EQ$1000,MATCH($A19,Dati!$A$1:$A$1000,0))&gt;0,Dati!$BO$3&amp;": "&amp;INDEX(Dati!$BO$1:$BO$1000,MATCH($A19,Dati!$A$1:$A$1000,0))&amp;" · ","")&amp;IF(INDEX(Dati!$ER$1:$ER$1000,MATCH($A19,Dati!$A$1:$A$1000,0))&gt;0,Dati!$BP$3&amp;": "&amp;INDEX(Dati!$BP$1:$BP$1000,MATCH($A19,Dati!$A$1:$A$1000,0))&amp;" · ","")&amp;IF(INDEX(Dati!$ES$1:$ES$1000,MATCH($A19,Dati!$A$1:$A$1000,0))&gt;0,Dati!$BQ$3&amp;": "&amp;INDEX(Dati!$BQ$1:$BQ$1000,MATCH($A19,Dati!$A$1:$A$1000,0))&amp;" · ","")&amp;IF(INDEX(Dati!$ET$1:$ET$1000,MATCH($A19,Dati!$A$1:$A$1000,0))&gt;0,Dati!$BR$3&amp;": "&amp;INDEX(Dati!$BR$1:$BR$1000,MATCH($A19,Dati!$A$1:$A$1000,0))&amp;" · ",""))-3)),""))</f>
        <v/>
      </c>
      <c r="T19" s="55" t="str">
        <f aca="false">IF($B19="","",IFERROR(IF((IF(INDEX(Dati!$EU$1:$EU$1000,MATCH($A19,Dati!$A$1:$A$1000,0))&gt;0,Dati!$BS$3&amp;": "&amp;INDEX(Dati!$BS$1:$BS$1000,MATCH($A19,Dati!$A$1:$A$1000,0))&amp;" · ","")&amp;IF(INDEX(Dati!$EV$1:$EV$1000,MATCH($A19,Dati!$A$1:$A$1000,0))&gt;0,Dati!$BT$3&amp;": "&amp;INDEX(Dati!$BT$1:$BT$1000,MATCH($A19,Dati!$A$1:$A$1000,0))&amp;" · ","")&amp;IF(INDEX(Dati!$EW$1:$EW$1000,MATCH($A19,Dati!$A$1:$A$1000,0))&gt;0,Dati!$BU$3&amp;": "&amp;INDEX(Dati!$BU$1:$BU$1000,MATCH($A19,Dati!$A$1:$A$1000,0))&amp;" · ","")&amp;IF(INDEX(Dati!$EX$1:$EX$1000,MATCH($A19,Dati!$A$1:$A$1000,0))&gt;0,Dati!$BV$3&amp;": "&amp;INDEX(Dati!$BV$1:$BV$1000,MATCH($A19,Dati!$A$1:$A$1000,0))&amp;" · ",""))="",IF(INDEX(Dati!$FX$1:$FX$1000,MATCH($A19,Dati!$A$1:$A$1000,0))=1,"AS da recuperare",""),LEFT(IF(INDEX(Dati!$EU$1:$EU$1000,MATCH($A19,Dati!$A$1:$A$1000,0))&gt;0,Dati!$BS$3&amp;": "&amp;INDEX(Dati!$BS$1:$BS$1000,MATCH($A19,Dati!$A$1:$A$1000,0))&amp;" · ","")&amp;IF(INDEX(Dati!$EV$1:$EV$1000,MATCH($A19,Dati!$A$1:$A$1000,0))&gt;0,Dati!$BT$3&amp;": "&amp;INDEX(Dati!$BT$1:$BT$1000,MATCH($A19,Dati!$A$1:$A$1000,0))&amp;" · ","")&amp;IF(INDEX(Dati!$EW$1:$EW$1000,MATCH($A19,Dati!$A$1:$A$1000,0))&gt;0,Dati!$BU$3&amp;": "&amp;INDEX(Dati!$BU$1:$BU$1000,MATCH($A19,Dati!$A$1:$A$1000,0))&amp;" · ","")&amp;IF(INDEX(Dati!$EX$1:$EX$1000,MATCH($A19,Dati!$A$1:$A$1000,0))&gt;0,Dati!$BV$3&amp;": "&amp;INDEX(Dati!$BV$1:$BV$1000,MATCH($A19,Dati!$A$1:$A$1000,0))&amp;" · ",""),LEN(IF(INDEX(Dati!$EU$1:$EU$1000,MATCH($A19,Dati!$A$1:$A$1000,0))&gt;0,Dati!$BS$3&amp;": "&amp;INDEX(Dati!$BS$1:$BS$1000,MATCH($A19,Dati!$A$1:$A$1000,0))&amp;" · ","")&amp;IF(INDEX(Dati!$EV$1:$EV$1000,MATCH($A19,Dati!$A$1:$A$1000,0))&gt;0,Dati!$BT$3&amp;": "&amp;INDEX(Dati!$BT$1:$BT$1000,MATCH($A19,Dati!$A$1:$A$1000,0))&amp;" · ","")&amp;IF(INDEX(Dati!$EW$1:$EW$1000,MATCH($A19,Dati!$A$1:$A$1000,0))&gt;0,Dati!$BU$3&amp;": "&amp;INDEX(Dati!$BU$1:$BU$1000,MATCH($A19,Dati!$A$1:$A$1000,0))&amp;" · ","")&amp;IF(INDEX(Dati!$EX$1:$EX$1000,MATCH($A19,Dati!$A$1:$A$1000,0))&gt;0,Dati!$BV$3&amp;": "&amp;INDEX(Dati!$BV$1:$BV$1000,MATCH($A19,Dati!$A$1:$A$1000,0))&amp;" · ",""))-3)),""))</f>
        <v/>
      </c>
      <c r="U19" s="55" t="str">
        <f aca="false">IF($B19="","",IFERROR(IF((IF(INDEX(Dati!$EY$1:$EY$1000,MATCH($A19,Dati!$A$1:$A$1000,0))&gt;0,Dati!$BW$3&amp;": "&amp;INDEX(Dati!$BW$1:$BW$1000,MATCH($A19,Dati!$A$1:$A$1000,0))&amp;" · ","")&amp;IF(INDEX(Dati!$EZ$1:$EZ$1000,MATCH($A19,Dati!$A$1:$A$1000,0))&gt;0,Dati!$BX$3&amp;": "&amp;INDEX(Dati!$BX$1:$BX$1000,MATCH($A19,Dati!$A$1:$A$1000,0))&amp;" · ","")&amp;IF(INDEX(Dati!$FA$1:$FA$1000,MATCH($A19,Dati!$A$1:$A$1000,0))&gt;0,Dati!$BY$3&amp;": "&amp;INDEX(Dati!$BY$1:$BY$1000,MATCH($A19,Dati!$A$1:$A$1000,0))&amp;" · ","")&amp;IF(INDEX(Dati!$FB$1:$FB$1000,MATCH($A19,Dati!$A$1:$A$1000,0))&gt;0,Dati!$BZ$3&amp;": "&amp;INDEX(Dati!$BZ$1:$BZ$1000,MATCH($A19,Dati!$A$1:$A$1000,0))&amp;" · ",""))="",IF(INDEX(Dati!$FY$1:$FY$1000,MATCH($A19,Dati!$A$1:$A$1000,0))=1,"AS da recuperare",""),LEFT(IF(INDEX(Dati!$EY$1:$EY$1000,MATCH($A19,Dati!$A$1:$A$1000,0))&gt;0,Dati!$BW$3&amp;": "&amp;INDEX(Dati!$BW$1:$BW$1000,MATCH($A19,Dati!$A$1:$A$1000,0))&amp;" · ","")&amp;IF(INDEX(Dati!$EZ$1:$EZ$1000,MATCH($A19,Dati!$A$1:$A$1000,0))&gt;0,Dati!$BX$3&amp;": "&amp;INDEX(Dati!$BX$1:$BX$1000,MATCH($A19,Dati!$A$1:$A$1000,0))&amp;" · ","")&amp;IF(INDEX(Dati!$FA$1:$FA$1000,MATCH($A19,Dati!$A$1:$A$1000,0))&gt;0,Dati!$BY$3&amp;": "&amp;INDEX(Dati!$BY$1:$BY$1000,MATCH($A19,Dati!$A$1:$A$1000,0))&amp;" · ","")&amp;IF(INDEX(Dati!$FB$1:$FB$1000,MATCH($A19,Dati!$A$1:$A$1000,0))&gt;0,Dati!$BZ$3&amp;": "&amp;INDEX(Dati!$BZ$1:$BZ$1000,MATCH($A19,Dati!$A$1:$A$1000,0))&amp;" · ",""),LEN(IF(INDEX(Dati!$EY$1:$EY$1000,MATCH($A19,Dati!$A$1:$A$1000,0))&gt;0,Dati!$BW$3&amp;": "&amp;INDEX(Dati!$BW$1:$BW$1000,MATCH($A19,Dati!$A$1:$A$1000,0))&amp;" · ","")&amp;IF(INDEX(Dati!$EZ$1:$EZ$1000,MATCH($A19,Dati!$A$1:$A$1000,0))&gt;0,Dati!$BX$3&amp;": "&amp;INDEX(Dati!$BX$1:$BX$1000,MATCH($A19,Dati!$A$1:$A$1000,0))&amp;" · ","")&amp;IF(INDEX(Dati!$FA$1:$FA$1000,MATCH($A19,Dati!$A$1:$A$1000,0))&gt;0,Dati!$BY$3&amp;": "&amp;INDEX(Dati!$BY$1:$BY$1000,MATCH($A19,Dati!$A$1:$A$1000,0))&amp;" · ","")&amp;IF(INDEX(Dati!$FB$1:$FB$1000,MATCH($A19,Dati!$A$1:$A$1000,0))&gt;0,Dati!$BZ$3&amp;": "&amp;INDEX(Dati!$BZ$1:$BZ$1000,MATCH($A19,Dati!$A$1:$A$1000,0))&amp;" · ",""))-3)),""))</f>
        <v/>
      </c>
      <c r="V19" s="55" t="str">
        <f aca="false">IF($B19="","",IFERROR(IF((IF(INDEX(Dati!$FC$1:$FC$1000,MATCH($A19,Dati!$A$1:$A$1000,0))&gt;0,Dati!$CA$3&amp;": "&amp;INDEX(Dati!$CA$1:$CA$1000,MATCH($A19,Dati!$A$1:$A$1000,0))&amp;" · ","")&amp;IF(INDEX(Dati!$FD$1:$FD$1000,MATCH($A19,Dati!$A$1:$A$1000,0))&gt;0,Dati!$CB$3&amp;": "&amp;INDEX(Dati!$CB$1:$CB$1000,MATCH($A19,Dati!$A$1:$A$1000,0))&amp;" · ","")&amp;IF(INDEX(Dati!$FE$1:$FE$1000,MATCH($A19,Dati!$A$1:$A$1000,0))&gt;0,Dati!$CC$3&amp;": "&amp;INDEX(Dati!$CC$1:$CC$1000,MATCH($A19,Dati!$A$1:$A$1000,0))&amp;" · ","")&amp;IF(INDEX(Dati!$FF$1:$FF$1000,MATCH($A19,Dati!$A$1:$A$1000,0))&gt;0,Dati!$CD$3&amp;": "&amp;INDEX(Dati!$CD$1:$CD$1000,MATCH($A19,Dati!$A$1:$A$1000,0))&amp;" · ",""))="",IF(INDEX(Dati!$FZ$1:$FZ$1000,MATCH($A19,Dati!$A$1:$A$1000,0))=1,"AS da recuperare",""),LEFT(IF(INDEX(Dati!$FC$1:$FC$1000,MATCH($A19,Dati!$A$1:$A$1000,0))&gt;0,Dati!$CA$3&amp;": "&amp;INDEX(Dati!$CA$1:$CA$1000,MATCH($A19,Dati!$A$1:$A$1000,0))&amp;" · ","")&amp;IF(INDEX(Dati!$FD$1:$FD$1000,MATCH($A19,Dati!$A$1:$A$1000,0))&gt;0,Dati!$CB$3&amp;": "&amp;INDEX(Dati!$CB$1:$CB$1000,MATCH($A19,Dati!$A$1:$A$1000,0))&amp;" · ","")&amp;IF(INDEX(Dati!$FE$1:$FE$1000,MATCH($A19,Dati!$A$1:$A$1000,0))&gt;0,Dati!$CC$3&amp;": "&amp;INDEX(Dati!$CC$1:$CC$1000,MATCH($A19,Dati!$A$1:$A$1000,0))&amp;" · ","")&amp;IF(INDEX(Dati!$FF$1:$FF$1000,MATCH($A19,Dati!$A$1:$A$1000,0))&gt;0,Dati!$CD$3&amp;": "&amp;INDEX(Dati!$CD$1:$CD$1000,MATCH($A19,Dati!$A$1:$A$1000,0))&amp;" · ",""),LEN(IF(INDEX(Dati!$FC$1:$FC$1000,MATCH($A19,Dati!$A$1:$A$1000,0))&gt;0,Dati!$CA$3&amp;": "&amp;INDEX(Dati!$CA$1:$CA$1000,MATCH($A19,Dati!$A$1:$A$1000,0))&amp;" · ","")&amp;IF(INDEX(Dati!$FD$1:$FD$1000,MATCH($A19,Dati!$A$1:$A$1000,0))&gt;0,Dati!$CB$3&amp;": "&amp;INDEX(Dati!$CB$1:$CB$1000,MATCH($A19,Dati!$A$1:$A$1000,0))&amp;" · ","")&amp;IF(INDEX(Dati!$FE$1:$FE$1000,MATCH($A19,Dati!$A$1:$A$1000,0))&gt;0,Dati!$CC$3&amp;": "&amp;INDEX(Dati!$CC$1:$CC$1000,MATCH($A19,Dati!$A$1:$A$1000,0))&amp;" · ","")&amp;IF(INDEX(Dati!$FF$1:$FF$1000,MATCH($A19,Dati!$A$1:$A$1000,0))&gt;0,Dati!$CD$3&amp;": "&amp;INDEX(Dati!$CD$1:$CD$1000,MATCH($A19,Dati!$A$1:$A$1000,0))&amp;" · ",""))-3)),""))</f>
        <v/>
      </c>
    </row>
    <row r="20" customFormat="false" ht="19.5" hidden="false" customHeight="true" outlineLevel="0" collapsed="false">
      <c r="A20" s="10" t="n">
        <v>16</v>
      </c>
      <c r="B20" s="16" t="str">
        <f aca="false">IFERROR(INDEX(Alunni!$C$1:$C$1000,MATCH($A20,Alunni!$A$1:$A$1000,0))&amp;"","")</f>
        <v/>
      </c>
      <c r="C20" s="55" t="str">
        <f aca="false">IF($B20="","",IFERROR(IF((IF(INDEX(Dati!$CE$1:$CE$1000,MATCH($A20,Dati!$A$1:$A$1000,0))&gt;0,Dati!$C$3&amp;": "&amp;INDEX(Dati!$C$1:$C$1000,MATCH($A20,Dati!$A$1:$A$1000,0))&amp;" · ","")&amp;IF(INDEX(Dati!$CF$1:$CF$1000,MATCH($A20,Dati!$A$1:$A$1000,0))&gt;0,Dati!$D$3&amp;": "&amp;INDEX(Dati!$D$1:$D$1000,MATCH($A20,Dati!$A$1:$A$1000,0))&amp;" · ","")&amp;IF(INDEX(Dati!$CG$1:$CG$1000,MATCH($A20,Dati!$A$1:$A$1000,0))&gt;0,Dati!$E$3&amp;": "&amp;INDEX(Dati!$E$1:$E$1000,MATCH($A20,Dati!$A$1:$A$1000,0))&amp;" · ","")&amp;IF(INDEX(Dati!$CH$1:$CH$1000,MATCH($A20,Dati!$A$1:$A$1000,0))&gt;0,Dati!$F$3&amp;": "&amp;INDEX(Dati!$F$1:$F$1000,MATCH($A20,Dati!$A$1:$A$1000,0))&amp;" · ",""))="",IF(INDEX(Dati!$FG$1:$FG$1000,MATCH($A20,Dati!$A$1:$A$1000,0))=1,"AS da recuperare",""),LEFT(IF(INDEX(Dati!$CE$1:$CE$1000,MATCH($A20,Dati!$A$1:$A$1000,0))&gt;0,Dati!$C$3&amp;": "&amp;INDEX(Dati!$C$1:$C$1000,MATCH($A20,Dati!$A$1:$A$1000,0))&amp;" · ","")&amp;IF(INDEX(Dati!$CF$1:$CF$1000,MATCH($A20,Dati!$A$1:$A$1000,0))&gt;0,Dati!$D$3&amp;": "&amp;INDEX(Dati!$D$1:$D$1000,MATCH($A20,Dati!$A$1:$A$1000,0))&amp;" · ","")&amp;IF(INDEX(Dati!$CG$1:$CG$1000,MATCH($A20,Dati!$A$1:$A$1000,0))&gt;0,Dati!$E$3&amp;": "&amp;INDEX(Dati!$E$1:$E$1000,MATCH($A20,Dati!$A$1:$A$1000,0))&amp;" · ","")&amp;IF(INDEX(Dati!$CH$1:$CH$1000,MATCH($A20,Dati!$A$1:$A$1000,0))&gt;0,Dati!$F$3&amp;": "&amp;INDEX(Dati!$F$1:$F$1000,MATCH($A20,Dati!$A$1:$A$1000,0))&amp;" · ",""),LEN(IF(INDEX(Dati!$CE$1:$CE$1000,MATCH($A20,Dati!$A$1:$A$1000,0))&gt;0,Dati!$C$3&amp;": "&amp;INDEX(Dati!$C$1:$C$1000,MATCH($A20,Dati!$A$1:$A$1000,0))&amp;" · ","")&amp;IF(INDEX(Dati!$CF$1:$CF$1000,MATCH($A20,Dati!$A$1:$A$1000,0))&gt;0,Dati!$D$3&amp;": "&amp;INDEX(Dati!$D$1:$D$1000,MATCH($A20,Dati!$A$1:$A$1000,0))&amp;" · ","")&amp;IF(INDEX(Dati!$CG$1:$CG$1000,MATCH($A20,Dati!$A$1:$A$1000,0))&gt;0,Dati!$E$3&amp;": "&amp;INDEX(Dati!$E$1:$E$1000,MATCH($A20,Dati!$A$1:$A$1000,0))&amp;" · ","")&amp;IF(INDEX(Dati!$CH$1:$CH$1000,MATCH($A20,Dati!$A$1:$A$1000,0))&gt;0,Dati!$F$3&amp;": "&amp;INDEX(Dati!$F$1:$F$1000,MATCH($A20,Dati!$A$1:$A$1000,0))&amp;" · ",""))-3)),""))</f>
        <v/>
      </c>
      <c r="D20" s="55" t="str">
        <f aca="false">IF($B20="","",IFERROR(IF((IF(INDEX(Dati!$CI$1:$CI$1000,MATCH($A20,Dati!$A$1:$A$1000,0))&gt;0,Dati!$G$3&amp;": "&amp;INDEX(Dati!$G$1:$G$1000,MATCH($A20,Dati!$A$1:$A$1000,0))&amp;" · ","")&amp;IF(INDEX(Dati!$CJ$1:$CJ$1000,MATCH($A20,Dati!$A$1:$A$1000,0))&gt;0,Dati!$H$3&amp;": "&amp;INDEX(Dati!$H$1:$H$1000,MATCH($A20,Dati!$A$1:$A$1000,0))&amp;" · ","")&amp;IF(INDEX(Dati!$CK$1:$CK$1000,MATCH($A20,Dati!$A$1:$A$1000,0))&gt;0,Dati!$I$3&amp;": "&amp;INDEX(Dati!$I$1:$I$1000,MATCH($A20,Dati!$A$1:$A$1000,0))&amp;" · ","")&amp;IF(INDEX(Dati!$CL$1:$CL$1000,MATCH($A20,Dati!$A$1:$A$1000,0))&gt;0,Dati!$J$3&amp;": "&amp;INDEX(Dati!$J$1:$J$1000,MATCH($A20,Dati!$A$1:$A$1000,0))&amp;" · ",""))="",IF(INDEX(Dati!$FH$1:$FH$1000,MATCH($A20,Dati!$A$1:$A$1000,0))=1,"AS da recuperare",""),LEFT(IF(INDEX(Dati!$CI$1:$CI$1000,MATCH($A20,Dati!$A$1:$A$1000,0))&gt;0,Dati!$G$3&amp;": "&amp;INDEX(Dati!$G$1:$G$1000,MATCH($A20,Dati!$A$1:$A$1000,0))&amp;" · ","")&amp;IF(INDEX(Dati!$CJ$1:$CJ$1000,MATCH($A20,Dati!$A$1:$A$1000,0))&gt;0,Dati!$H$3&amp;": "&amp;INDEX(Dati!$H$1:$H$1000,MATCH($A20,Dati!$A$1:$A$1000,0))&amp;" · ","")&amp;IF(INDEX(Dati!$CK$1:$CK$1000,MATCH($A20,Dati!$A$1:$A$1000,0))&gt;0,Dati!$I$3&amp;": "&amp;INDEX(Dati!$I$1:$I$1000,MATCH($A20,Dati!$A$1:$A$1000,0))&amp;" · ","")&amp;IF(INDEX(Dati!$CL$1:$CL$1000,MATCH($A20,Dati!$A$1:$A$1000,0))&gt;0,Dati!$J$3&amp;": "&amp;INDEX(Dati!$J$1:$J$1000,MATCH($A20,Dati!$A$1:$A$1000,0))&amp;" · ",""),LEN(IF(INDEX(Dati!$CI$1:$CI$1000,MATCH($A20,Dati!$A$1:$A$1000,0))&gt;0,Dati!$G$3&amp;": "&amp;INDEX(Dati!$G$1:$G$1000,MATCH($A20,Dati!$A$1:$A$1000,0))&amp;" · ","")&amp;IF(INDEX(Dati!$CJ$1:$CJ$1000,MATCH($A20,Dati!$A$1:$A$1000,0))&gt;0,Dati!$H$3&amp;": "&amp;INDEX(Dati!$H$1:$H$1000,MATCH($A20,Dati!$A$1:$A$1000,0))&amp;" · ","")&amp;IF(INDEX(Dati!$CK$1:$CK$1000,MATCH($A20,Dati!$A$1:$A$1000,0))&gt;0,Dati!$I$3&amp;": "&amp;INDEX(Dati!$I$1:$I$1000,MATCH($A20,Dati!$A$1:$A$1000,0))&amp;" · ","")&amp;IF(INDEX(Dati!$CL$1:$CL$1000,MATCH($A20,Dati!$A$1:$A$1000,0))&gt;0,Dati!$J$3&amp;": "&amp;INDEX(Dati!$J$1:$J$1000,MATCH($A20,Dati!$A$1:$A$1000,0))&amp;" · ",""))-3)),""))</f>
        <v/>
      </c>
      <c r="E20" s="55" t="str">
        <f aca="false">IF($B20="","",IFERROR(IF((IF(INDEX(Dati!$CM$1:$CM$1000,MATCH($A20,Dati!$A$1:$A$1000,0))&gt;0,Dati!$K$3&amp;": "&amp;INDEX(Dati!$K$1:$K$1000,MATCH($A20,Dati!$A$1:$A$1000,0))&amp;" · ","")&amp;IF(INDEX(Dati!$CN$1:$CN$1000,MATCH($A20,Dati!$A$1:$A$1000,0))&gt;0,Dati!$L$3&amp;": "&amp;INDEX(Dati!$L$1:$L$1000,MATCH($A20,Dati!$A$1:$A$1000,0))&amp;" · ","")&amp;IF(INDEX(Dati!$CO$1:$CO$1000,MATCH($A20,Dati!$A$1:$A$1000,0))&gt;0,Dati!$M$3&amp;": "&amp;INDEX(Dati!$M$1:$M$1000,MATCH($A20,Dati!$A$1:$A$1000,0))&amp;" · ","")&amp;IF(INDEX(Dati!$CP$1:$CP$1000,MATCH($A20,Dati!$A$1:$A$1000,0))&gt;0,Dati!$N$3&amp;": "&amp;INDEX(Dati!$N$1:$N$1000,MATCH($A20,Dati!$A$1:$A$1000,0))&amp;" · ",""))="",IF(INDEX(Dati!$FI$1:$FI$1000,MATCH($A20,Dati!$A$1:$A$1000,0))=1,"AS da recuperare",""),LEFT(IF(INDEX(Dati!$CM$1:$CM$1000,MATCH($A20,Dati!$A$1:$A$1000,0))&gt;0,Dati!$K$3&amp;": "&amp;INDEX(Dati!$K$1:$K$1000,MATCH($A20,Dati!$A$1:$A$1000,0))&amp;" · ","")&amp;IF(INDEX(Dati!$CN$1:$CN$1000,MATCH($A20,Dati!$A$1:$A$1000,0))&gt;0,Dati!$L$3&amp;": "&amp;INDEX(Dati!$L$1:$L$1000,MATCH($A20,Dati!$A$1:$A$1000,0))&amp;" · ","")&amp;IF(INDEX(Dati!$CO$1:$CO$1000,MATCH($A20,Dati!$A$1:$A$1000,0))&gt;0,Dati!$M$3&amp;": "&amp;INDEX(Dati!$M$1:$M$1000,MATCH($A20,Dati!$A$1:$A$1000,0))&amp;" · ","")&amp;IF(INDEX(Dati!$CP$1:$CP$1000,MATCH($A20,Dati!$A$1:$A$1000,0))&gt;0,Dati!$N$3&amp;": "&amp;INDEX(Dati!$N$1:$N$1000,MATCH($A20,Dati!$A$1:$A$1000,0))&amp;" · ",""),LEN(IF(INDEX(Dati!$CM$1:$CM$1000,MATCH($A20,Dati!$A$1:$A$1000,0))&gt;0,Dati!$K$3&amp;": "&amp;INDEX(Dati!$K$1:$K$1000,MATCH($A20,Dati!$A$1:$A$1000,0))&amp;" · ","")&amp;IF(INDEX(Dati!$CN$1:$CN$1000,MATCH($A20,Dati!$A$1:$A$1000,0))&gt;0,Dati!$L$3&amp;": "&amp;INDEX(Dati!$L$1:$L$1000,MATCH($A20,Dati!$A$1:$A$1000,0))&amp;" · ","")&amp;IF(INDEX(Dati!$CO$1:$CO$1000,MATCH($A20,Dati!$A$1:$A$1000,0))&gt;0,Dati!$M$3&amp;": "&amp;INDEX(Dati!$M$1:$M$1000,MATCH($A20,Dati!$A$1:$A$1000,0))&amp;" · ","")&amp;IF(INDEX(Dati!$CP$1:$CP$1000,MATCH($A20,Dati!$A$1:$A$1000,0))&gt;0,Dati!$N$3&amp;": "&amp;INDEX(Dati!$N$1:$N$1000,MATCH($A20,Dati!$A$1:$A$1000,0))&amp;" · ",""))-3)),""))</f>
        <v/>
      </c>
      <c r="F20" s="55" t="str">
        <f aca="false">IF($B20="","",IFERROR(IF((IF(INDEX(Dati!$CQ$1:$CQ$1000,MATCH($A20,Dati!$A$1:$A$1000,0))&gt;0,Dati!$O$3&amp;": "&amp;INDEX(Dati!$O$1:$O$1000,MATCH($A20,Dati!$A$1:$A$1000,0))&amp;" · ","")&amp;IF(INDEX(Dati!$CR$1:$CR$1000,MATCH($A20,Dati!$A$1:$A$1000,0))&gt;0,Dati!$P$3&amp;": "&amp;INDEX(Dati!$P$1:$P$1000,MATCH($A20,Dati!$A$1:$A$1000,0))&amp;" · ","")&amp;IF(INDEX(Dati!$CS$1:$CS$1000,MATCH($A20,Dati!$A$1:$A$1000,0))&gt;0,Dati!$Q$3&amp;": "&amp;INDEX(Dati!$Q$1:$Q$1000,MATCH($A20,Dati!$A$1:$A$1000,0))&amp;" · ","")&amp;IF(INDEX(Dati!$CT$1:$CT$1000,MATCH($A20,Dati!$A$1:$A$1000,0))&gt;0,Dati!$R$3&amp;": "&amp;INDEX(Dati!$R$1:$R$1000,MATCH($A20,Dati!$A$1:$A$1000,0))&amp;" · ",""))="",IF(INDEX(Dati!$FJ$1:$FJ$1000,MATCH($A20,Dati!$A$1:$A$1000,0))=1,"AS da recuperare",""),LEFT(IF(INDEX(Dati!$CQ$1:$CQ$1000,MATCH($A20,Dati!$A$1:$A$1000,0))&gt;0,Dati!$O$3&amp;": "&amp;INDEX(Dati!$O$1:$O$1000,MATCH($A20,Dati!$A$1:$A$1000,0))&amp;" · ","")&amp;IF(INDEX(Dati!$CR$1:$CR$1000,MATCH($A20,Dati!$A$1:$A$1000,0))&gt;0,Dati!$P$3&amp;": "&amp;INDEX(Dati!$P$1:$P$1000,MATCH($A20,Dati!$A$1:$A$1000,0))&amp;" · ","")&amp;IF(INDEX(Dati!$CS$1:$CS$1000,MATCH($A20,Dati!$A$1:$A$1000,0))&gt;0,Dati!$Q$3&amp;": "&amp;INDEX(Dati!$Q$1:$Q$1000,MATCH($A20,Dati!$A$1:$A$1000,0))&amp;" · ","")&amp;IF(INDEX(Dati!$CT$1:$CT$1000,MATCH($A20,Dati!$A$1:$A$1000,0))&gt;0,Dati!$R$3&amp;": "&amp;INDEX(Dati!$R$1:$R$1000,MATCH($A20,Dati!$A$1:$A$1000,0))&amp;" · ",""),LEN(IF(INDEX(Dati!$CQ$1:$CQ$1000,MATCH($A20,Dati!$A$1:$A$1000,0))&gt;0,Dati!$O$3&amp;": "&amp;INDEX(Dati!$O$1:$O$1000,MATCH($A20,Dati!$A$1:$A$1000,0))&amp;" · ","")&amp;IF(INDEX(Dati!$CR$1:$CR$1000,MATCH($A20,Dati!$A$1:$A$1000,0))&gt;0,Dati!$P$3&amp;": "&amp;INDEX(Dati!$P$1:$P$1000,MATCH($A20,Dati!$A$1:$A$1000,0))&amp;" · ","")&amp;IF(INDEX(Dati!$CS$1:$CS$1000,MATCH($A20,Dati!$A$1:$A$1000,0))&gt;0,Dati!$Q$3&amp;": "&amp;INDEX(Dati!$Q$1:$Q$1000,MATCH($A20,Dati!$A$1:$A$1000,0))&amp;" · ","")&amp;IF(INDEX(Dati!$CT$1:$CT$1000,MATCH($A20,Dati!$A$1:$A$1000,0))&gt;0,Dati!$R$3&amp;": "&amp;INDEX(Dati!$R$1:$R$1000,MATCH($A20,Dati!$A$1:$A$1000,0))&amp;" · ",""))-3)),""))</f>
        <v/>
      </c>
      <c r="G20" s="55" t="str">
        <f aca="false">IF($B20="","",IFERROR(IF((IF(INDEX(Dati!$CU$1:$CU$1000,MATCH($A20,Dati!$A$1:$A$1000,0))&gt;0,Dati!$S$3&amp;": "&amp;INDEX(Dati!$S$1:$S$1000,MATCH($A20,Dati!$A$1:$A$1000,0))&amp;" · ","")&amp;IF(INDEX(Dati!$CV$1:$CV$1000,MATCH($A20,Dati!$A$1:$A$1000,0))&gt;0,Dati!$T$3&amp;": "&amp;INDEX(Dati!$T$1:$T$1000,MATCH($A20,Dati!$A$1:$A$1000,0))&amp;" · ","")&amp;IF(INDEX(Dati!$CW$1:$CW$1000,MATCH($A20,Dati!$A$1:$A$1000,0))&gt;0,Dati!$U$3&amp;": "&amp;INDEX(Dati!$U$1:$U$1000,MATCH($A20,Dati!$A$1:$A$1000,0))&amp;" · ","")&amp;IF(INDEX(Dati!$CX$1:$CX$1000,MATCH($A20,Dati!$A$1:$A$1000,0))&gt;0,Dati!$V$3&amp;": "&amp;INDEX(Dati!$V$1:$V$1000,MATCH($A20,Dati!$A$1:$A$1000,0))&amp;" · ",""))="",IF(INDEX(Dati!$FK$1:$FK$1000,MATCH($A20,Dati!$A$1:$A$1000,0))=1,"AS da recuperare",""),LEFT(IF(INDEX(Dati!$CU$1:$CU$1000,MATCH($A20,Dati!$A$1:$A$1000,0))&gt;0,Dati!$S$3&amp;": "&amp;INDEX(Dati!$S$1:$S$1000,MATCH($A20,Dati!$A$1:$A$1000,0))&amp;" · ","")&amp;IF(INDEX(Dati!$CV$1:$CV$1000,MATCH($A20,Dati!$A$1:$A$1000,0))&gt;0,Dati!$T$3&amp;": "&amp;INDEX(Dati!$T$1:$T$1000,MATCH($A20,Dati!$A$1:$A$1000,0))&amp;" · ","")&amp;IF(INDEX(Dati!$CW$1:$CW$1000,MATCH($A20,Dati!$A$1:$A$1000,0))&gt;0,Dati!$U$3&amp;": "&amp;INDEX(Dati!$U$1:$U$1000,MATCH($A20,Dati!$A$1:$A$1000,0))&amp;" · ","")&amp;IF(INDEX(Dati!$CX$1:$CX$1000,MATCH($A20,Dati!$A$1:$A$1000,0))&gt;0,Dati!$V$3&amp;": "&amp;INDEX(Dati!$V$1:$V$1000,MATCH($A20,Dati!$A$1:$A$1000,0))&amp;" · ",""),LEN(IF(INDEX(Dati!$CU$1:$CU$1000,MATCH($A20,Dati!$A$1:$A$1000,0))&gt;0,Dati!$S$3&amp;": "&amp;INDEX(Dati!$S$1:$S$1000,MATCH($A20,Dati!$A$1:$A$1000,0))&amp;" · ","")&amp;IF(INDEX(Dati!$CV$1:$CV$1000,MATCH($A20,Dati!$A$1:$A$1000,0))&gt;0,Dati!$T$3&amp;": "&amp;INDEX(Dati!$T$1:$T$1000,MATCH($A20,Dati!$A$1:$A$1000,0))&amp;" · ","")&amp;IF(INDEX(Dati!$CW$1:$CW$1000,MATCH($A20,Dati!$A$1:$A$1000,0))&gt;0,Dati!$U$3&amp;": "&amp;INDEX(Dati!$U$1:$U$1000,MATCH($A20,Dati!$A$1:$A$1000,0))&amp;" · ","")&amp;IF(INDEX(Dati!$CX$1:$CX$1000,MATCH($A20,Dati!$A$1:$A$1000,0))&gt;0,Dati!$V$3&amp;": "&amp;INDEX(Dati!$V$1:$V$1000,MATCH($A20,Dati!$A$1:$A$1000,0))&amp;" · ",""))-3)),""))</f>
        <v/>
      </c>
      <c r="H20" s="55" t="str">
        <f aca="false">IF($B20="","",IFERROR(IF((IF(INDEX(Dati!$CY$1:$CY$1000,MATCH($A20,Dati!$A$1:$A$1000,0))&gt;0,Dati!$W$3&amp;": "&amp;INDEX(Dati!$W$1:$W$1000,MATCH($A20,Dati!$A$1:$A$1000,0))&amp;" · ","")&amp;IF(INDEX(Dati!$CZ$1:$CZ$1000,MATCH($A20,Dati!$A$1:$A$1000,0))&gt;0,Dati!$X$3&amp;": "&amp;INDEX(Dati!$X$1:$X$1000,MATCH($A20,Dati!$A$1:$A$1000,0))&amp;" · ","")&amp;IF(INDEX(Dati!$DA$1:$DA$1000,MATCH($A20,Dati!$A$1:$A$1000,0))&gt;0,Dati!$Y$3&amp;": "&amp;INDEX(Dati!$Y$1:$Y$1000,MATCH($A20,Dati!$A$1:$A$1000,0))&amp;" · ","")&amp;IF(INDEX(Dati!$DB$1:$DB$1000,MATCH($A20,Dati!$A$1:$A$1000,0))&gt;0,Dati!$Z$3&amp;": "&amp;INDEX(Dati!$Z$1:$Z$1000,MATCH($A20,Dati!$A$1:$A$1000,0))&amp;" · ",""))="",IF(INDEX(Dati!$FL$1:$FL$1000,MATCH($A20,Dati!$A$1:$A$1000,0))=1,"AS da recuperare",""),LEFT(IF(INDEX(Dati!$CY$1:$CY$1000,MATCH($A20,Dati!$A$1:$A$1000,0))&gt;0,Dati!$W$3&amp;": "&amp;INDEX(Dati!$W$1:$W$1000,MATCH($A20,Dati!$A$1:$A$1000,0))&amp;" · ","")&amp;IF(INDEX(Dati!$CZ$1:$CZ$1000,MATCH($A20,Dati!$A$1:$A$1000,0))&gt;0,Dati!$X$3&amp;": "&amp;INDEX(Dati!$X$1:$X$1000,MATCH($A20,Dati!$A$1:$A$1000,0))&amp;" · ","")&amp;IF(INDEX(Dati!$DA$1:$DA$1000,MATCH($A20,Dati!$A$1:$A$1000,0))&gt;0,Dati!$Y$3&amp;": "&amp;INDEX(Dati!$Y$1:$Y$1000,MATCH($A20,Dati!$A$1:$A$1000,0))&amp;" · ","")&amp;IF(INDEX(Dati!$DB$1:$DB$1000,MATCH($A20,Dati!$A$1:$A$1000,0))&gt;0,Dati!$Z$3&amp;": "&amp;INDEX(Dati!$Z$1:$Z$1000,MATCH($A20,Dati!$A$1:$A$1000,0))&amp;" · ",""),LEN(IF(INDEX(Dati!$CY$1:$CY$1000,MATCH($A20,Dati!$A$1:$A$1000,0))&gt;0,Dati!$W$3&amp;": "&amp;INDEX(Dati!$W$1:$W$1000,MATCH($A20,Dati!$A$1:$A$1000,0))&amp;" · ","")&amp;IF(INDEX(Dati!$CZ$1:$CZ$1000,MATCH($A20,Dati!$A$1:$A$1000,0))&gt;0,Dati!$X$3&amp;": "&amp;INDEX(Dati!$X$1:$X$1000,MATCH($A20,Dati!$A$1:$A$1000,0))&amp;" · ","")&amp;IF(INDEX(Dati!$DA$1:$DA$1000,MATCH($A20,Dati!$A$1:$A$1000,0))&gt;0,Dati!$Y$3&amp;": "&amp;INDEX(Dati!$Y$1:$Y$1000,MATCH($A20,Dati!$A$1:$A$1000,0))&amp;" · ","")&amp;IF(INDEX(Dati!$DB$1:$DB$1000,MATCH($A20,Dati!$A$1:$A$1000,0))&gt;0,Dati!$Z$3&amp;": "&amp;INDEX(Dati!$Z$1:$Z$1000,MATCH($A20,Dati!$A$1:$A$1000,0))&amp;" · ",""))-3)),""))</f>
        <v/>
      </c>
      <c r="I20" s="55" t="str">
        <f aca="false">IF($B20="","",IFERROR(IF((IF(INDEX(Dati!$DC$1:$DC$1000,MATCH($A20,Dati!$A$1:$A$1000,0))&gt;0,Dati!$AA$3&amp;": "&amp;INDEX(Dati!$AA$1:$AA$1000,MATCH($A20,Dati!$A$1:$A$1000,0))&amp;" · ","")&amp;IF(INDEX(Dati!$DD$1:$DD$1000,MATCH($A20,Dati!$A$1:$A$1000,0))&gt;0,Dati!$AB$3&amp;": "&amp;INDEX(Dati!$AB$1:$AB$1000,MATCH($A20,Dati!$A$1:$A$1000,0))&amp;" · ","")&amp;IF(INDEX(Dati!$DE$1:$DE$1000,MATCH($A20,Dati!$A$1:$A$1000,0))&gt;0,Dati!$AC$3&amp;": "&amp;INDEX(Dati!$AC$1:$AC$1000,MATCH($A20,Dati!$A$1:$A$1000,0))&amp;" · ","")&amp;IF(INDEX(Dati!$DF$1:$DF$1000,MATCH($A20,Dati!$A$1:$A$1000,0))&gt;0,Dati!$AD$3&amp;": "&amp;INDEX(Dati!$AD$1:$AD$1000,MATCH($A20,Dati!$A$1:$A$1000,0))&amp;" · ",""))="",IF(INDEX(Dati!$FM$1:$FM$1000,MATCH($A20,Dati!$A$1:$A$1000,0))=1,"AS da recuperare",""),LEFT(IF(INDEX(Dati!$DC$1:$DC$1000,MATCH($A20,Dati!$A$1:$A$1000,0))&gt;0,Dati!$AA$3&amp;": "&amp;INDEX(Dati!$AA$1:$AA$1000,MATCH($A20,Dati!$A$1:$A$1000,0))&amp;" · ","")&amp;IF(INDEX(Dati!$DD$1:$DD$1000,MATCH($A20,Dati!$A$1:$A$1000,0))&gt;0,Dati!$AB$3&amp;": "&amp;INDEX(Dati!$AB$1:$AB$1000,MATCH($A20,Dati!$A$1:$A$1000,0))&amp;" · ","")&amp;IF(INDEX(Dati!$DE$1:$DE$1000,MATCH($A20,Dati!$A$1:$A$1000,0))&gt;0,Dati!$AC$3&amp;": "&amp;INDEX(Dati!$AC$1:$AC$1000,MATCH($A20,Dati!$A$1:$A$1000,0))&amp;" · ","")&amp;IF(INDEX(Dati!$DF$1:$DF$1000,MATCH($A20,Dati!$A$1:$A$1000,0))&gt;0,Dati!$AD$3&amp;": "&amp;INDEX(Dati!$AD$1:$AD$1000,MATCH($A20,Dati!$A$1:$A$1000,0))&amp;" · ",""),LEN(IF(INDEX(Dati!$DC$1:$DC$1000,MATCH($A20,Dati!$A$1:$A$1000,0))&gt;0,Dati!$AA$3&amp;": "&amp;INDEX(Dati!$AA$1:$AA$1000,MATCH($A20,Dati!$A$1:$A$1000,0))&amp;" · ","")&amp;IF(INDEX(Dati!$DD$1:$DD$1000,MATCH($A20,Dati!$A$1:$A$1000,0))&gt;0,Dati!$AB$3&amp;": "&amp;INDEX(Dati!$AB$1:$AB$1000,MATCH($A20,Dati!$A$1:$A$1000,0))&amp;" · ","")&amp;IF(INDEX(Dati!$DE$1:$DE$1000,MATCH($A20,Dati!$A$1:$A$1000,0))&gt;0,Dati!$AC$3&amp;": "&amp;INDEX(Dati!$AC$1:$AC$1000,MATCH($A20,Dati!$A$1:$A$1000,0))&amp;" · ","")&amp;IF(INDEX(Dati!$DF$1:$DF$1000,MATCH($A20,Dati!$A$1:$A$1000,0))&gt;0,Dati!$AD$3&amp;": "&amp;INDEX(Dati!$AD$1:$AD$1000,MATCH($A20,Dati!$A$1:$A$1000,0))&amp;" · ",""))-3)),""))</f>
        <v/>
      </c>
      <c r="J20" s="55" t="str">
        <f aca="false">IF($B20="","",IFERROR(IF((IF(INDEX(Dati!$DG$1:$DG$1000,MATCH($A20,Dati!$A$1:$A$1000,0))&gt;0,Dati!$AE$3&amp;": "&amp;INDEX(Dati!$AE$1:$AE$1000,MATCH($A20,Dati!$A$1:$A$1000,0))&amp;" · ","")&amp;IF(INDEX(Dati!$DH$1:$DH$1000,MATCH($A20,Dati!$A$1:$A$1000,0))&gt;0,Dati!$AF$3&amp;": "&amp;INDEX(Dati!$AF$1:$AF$1000,MATCH($A20,Dati!$A$1:$A$1000,0))&amp;" · ","")&amp;IF(INDEX(Dati!$DI$1:$DI$1000,MATCH($A20,Dati!$A$1:$A$1000,0))&gt;0,Dati!$AG$3&amp;": "&amp;INDEX(Dati!$AG$1:$AG$1000,MATCH($A20,Dati!$A$1:$A$1000,0))&amp;" · ","")&amp;IF(INDEX(Dati!$DJ$1:$DJ$1000,MATCH($A20,Dati!$A$1:$A$1000,0))&gt;0,Dati!$AH$3&amp;": "&amp;INDEX(Dati!$AH$1:$AH$1000,MATCH($A20,Dati!$A$1:$A$1000,0))&amp;" · ",""))="",IF(INDEX(Dati!$FN$1:$FN$1000,MATCH($A20,Dati!$A$1:$A$1000,0))=1,"AS da recuperare",""),LEFT(IF(INDEX(Dati!$DG$1:$DG$1000,MATCH($A20,Dati!$A$1:$A$1000,0))&gt;0,Dati!$AE$3&amp;": "&amp;INDEX(Dati!$AE$1:$AE$1000,MATCH($A20,Dati!$A$1:$A$1000,0))&amp;" · ","")&amp;IF(INDEX(Dati!$DH$1:$DH$1000,MATCH($A20,Dati!$A$1:$A$1000,0))&gt;0,Dati!$AF$3&amp;": "&amp;INDEX(Dati!$AF$1:$AF$1000,MATCH($A20,Dati!$A$1:$A$1000,0))&amp;" · ","")&amp;IF(INDEX(Dati!$DI$1:$DI$1000,MATCH($A20,Dati!$A$1:$A$1000,0))&gt;0,Dati!$AG$3&amp;": "&amp;INDEX(Dati!$AG$1:$AG$1000,MATCH($A20,Dati!$A$1:$A$1000,0))&amp;" · ","")&amp;IF(INDEX(Dati!$DJ$1:$DJ$1000,MATCH($A20,Dati!$A$1:$A$1000,0))&gt;0,Dati!$AH$3&amp;": "&amp;INDEX(Dati!$AH$1:$AH$1000,MATCH($A20,Dati!$A$1:$A$1000,0))&amp;" · ",""),LEN(IF(INDEX(Dati!$DG$1:$DG$1000,MATCH($A20,Dati!$A$1:$A$1000,0))&gt;0,Dati!$AE$3&amp;": "&amp;INDEX(Dati!$AE$1:$AE$1000,MATCH($A20,Dati!$A$1:$A$1000,0))&amp;" · ","")&amp;IF(INDEX(Dati!$DH$1:$DH$1000,MATCH($A20,Dati!$A$1:$A$1000,0))&gt;0,Dati!$AF$3&amp;": "&amp;INDEX(Dati!$AF$1:$AF$1000,MATCH($A20,Dati!$A$1:$A$1000,0))&amp;" · ","")&amp;IF(INDEX(Dati!$DI$1:$DI$1000,MATCH($A20,Dati!$A$1:$A$1000,0))&gt;0,Dati!$AG$3&amp;": "&amp;INDEX(Dati!$AG$1:$AG$1000,MATCH($A20,Dati!$A$1:$A$1000,0))&amp;" · ","")&amp;IF(INDEX(Dati!$DJ$1:$DJ$1000,MATCH($A20,Dati!$A$1:$A$1000,0))&gt;0,Dati!$AH$3&amp;": "&amp;INDEX(Dati!$AH$1:$AH$1000,MATCH($A20,Dati!$A$1:$A$1000,0))&amp;" · ",""))-3)),""))</f>
        <v/>
      </c>
      <c r="K20" s="55" t="str">
        <f aca="false">IF($B20="","",IFERROR(IF((IF(INDEX(Dati!$DK$1:$DK$1000,MATCH($A20,Dati!$A$1:$A$1000,0))&gt;0,Dati!$AI$3&amp;": "&amp;INDEX(Dati!$AI$1:$AI$1000,MATCH($A20,Dati!$A$1:$A$1000,0))&amp;" · ","")&amp;IF(INDEX(Dati!$DL$1:$DL$1000,MATCH($A20,Dati!$A$1:$A$1000,0))&gt;0,Dati!$AJ$3&amp;": "&amp;INDEX(Dati!$AJ$1:$AJ$1000,MATCH($A20,Dati!$A$1:$A$1000,0))&amp;" · ","")&amp;IF(INDEX(Dati!$DM$1:$DM$1000,MATCH($A20,Dati!$A$1:$A$1000,0))&gt;0,Dati!$AK$3&amp;": "&amp;INDEX(Dati!$AK$1:$AK$1000,MATCH($A20,Dati!$A$1:$A$1000,0))&amp;" · ","")&amp;IF(INDEX(Dati!$DN$1:$DN$1000,MATCH($A20,Dati!$A$1:$A$1000,0))&gt;0,Dati!$AL$3&amp;": "&amp;INDEX(Dati!$AL$1:$AL$1000,MATCH($A20,Dati!$A$1:$A$1000,0))&amp;" · ",""))="",IF(INDEX(Dati!$FO$1:$FO$1000,MATCH($A20,Dati!$A$1:$A$1000,0))=1,"AS da recuperare",""),LEFT(IF(INDEX(Dati!$DK$1:$DK$1000,MATCH($A20,Dati!$A$1:$A$1000,0))&gt;0,Dati!$AI$3&amp;": "&amp;INDEX(Dati!$AI$1:$AI$1000,MATCH($A20,Dati!$A$1:$A$1000,0))&amp;" · ","")&amp;IF(INDEX(Dati!$DL$1:$DL$1000,MATCH($A20,Dati!$A$1:$A$1000,0))&gt;0,Dati!$AJ$3&amp;": "&amp;INDEX(Dati!$AJ$1:$AJ$1000,MATCH($A20,Dati!$A$1:$A$1000,0))&amp;" · ","")&amp;IF(INDEX(Dati!$DM$1:$DM$1000,MATCH($A20,Dati!$A$1:$A$1000,0))&gt;0,Dati!$AK$3&amp;": "&amp;INDEX(Dati!$AK$1:$AK$1000,MATCH($A20,Dati!$A$1:$A$1000,0))&amp;" · ","")&amp;IF(INDEX(Dati!$DN$1:$DN$1000,MATCH($A20,Dati!$A$1:$A$1000,0))&gt;0,Dati!$AL$3&amp;": "&amp;INDEX(Dati!$AL$1:$AL$1000,MATCH($A20,Dati!$A$1:$A$1000,0))&amp;" · ",""),LEN(IF(INDEX(Dati!$DK$1:$DK$1000,MATCH($A20,Dati!$A$1:$A$1000,0))&gt;0,Dati!$AI$3&amp;": "&amp;INDEX(Dati!$AI$1:$AI$1000,MATCH($A20,Dati!$A$1:$A$1000,0))&amp;" · ","")&amp;IF(INDEX(Dati!$DL$1:$DL$1000,MATCH($A20,Dati!$A$1:$A$1000,0))&gt;0,Dati!$AJ$3&amp;": "&amp;INDEX(Dati!$AJ$1:$AJ$1000,MATCH($A20,Dati!$A$1:$A$1000,0))&amp;" · ","")&amp;IF(INDEX(Dati!$DM$1:$DM$1000,MATCH($A20,Dati!$A$1:$A$1000,0))&gt;0,Dati!$AK$3&amp;": "&amp;INDEX(Dati!$AK$1:$AK$1000,MATCH($A20,Dati!$A$1:$A$1000,0))&amp;" · ","")&amp;IF(INDEX(Dati!$DN$1:$DN$1000,MATCH($A20,Dati!$A$1:$A$1000,0))&gt;0,Dati!$AL$3&amp;": "&amp;INDEX(Dati!$AL$1:$AL$1000,MATCH($A20,Dati!$A$1:$A$1000,0))&amp;" · ",""))-3)),""))</f>
        <v/>
      </c>
      <c r="L20" s="55" t="str">
        <f aca="false">IF($B20="","",IFERROR(IF((IF(INDEX(Dati!$DO$1:$DO$1000,MATCH($A20,Dati!$A$1:$A$1000,0))&gt;0,Dati!$AM$3&amp;": "&amp;INDEX(Dati!$AM$1:$AM$1000,MATCH($A20,Dati!$A$1:$A$1000,0))&amp;" · ","")&amp;IF(INDEX(Dati!$DP$1:$DP$1000,MATCH($A20,Dati!$A$1:$A$1000,0))&gt;0,Dati!$AN$3&amp;": "&amp;INDEX(Dati!$AN$1:$AN$1000,MATCH($A20,Dati!$A$1:$A$1000,0))&amp;" · ","")&amp;IF(INDEX(Dati!$DQ$1:$DQ$1000,MATCH($A20,Dati!$A$1:$A$1000,0))&gt;0,Dati!$AO$3&amp;": "&amp;INDEX(Dati!$AO$1:$AO$1000,MATCH($A20,Dati!$A$1:$A$1000,0))&amp;" · ","")&amp;IF(INDEX(Dati!$DR$1:$DR$1000,MATCH($A20,Dati!$A$1:$A$1000,0))&gt;0,Dati!$AP$3&amp;": "&amp;INDEX(Dati!$AP$1:$AP$1000,MATCH($A20,Dati!$A$1:$A$1000,0))&amp;" · ",""))="",IF(INDEX(Dati!$FP$1:$FP$1000,MATCH($A20,Dati!$A$1:$A$1000,0))=1,"AS da recuperare",""),LEFT(IF(INDEX(Dati!$DO$1:$DO$1000,MATCH($A20,Dati!$A$1:$A$1000,0))&gt;0,Dati!$AM$3&amp;": "&amp;INDEX(Dati!$AM$1:$AM$1000,MATCH($A20,Dati!$A$1:$A$1000,0))&amp;" · ","")&amp;IF(INDEX(Dati!$DP$1:$DP$1000,MATCH($A20,Dati!$A$1:$A$1000,0))&gt;0,Dati!$AN$3&amp;": "&amp;INDEX(Dati!$AN$1:$AN$1000,MATCH($A20,Dati!$A$1:$A$1000,0))&amp;" · ","")&amp;IF(INDEX(Dati!$DQ$1:$DQ$1000,MATCH($A20,Dati!$A$1:$A$1000,0))&gt;0,Dati!$AO$3&amp;": "&amp;INDEX(Dati!$AO$1:$AO$1000,MATCH($A20,Dati!$A$1:$A$1000,0))&amp;" · ","")&amp;IF(INDEX(Dati!$DR$1:$DR$1000,MATCH($A20,Dati!$A$1:$A$1000,0))&gt;0,Dati!$AP$3&amp;": "&amp;INDEX(Dati!$AP$1:$AP$1000,MATCH($A20,Dati!$A$1:$A$1000,0))&amp;" · ",""),LEN(IF(INDEX(Dati!$DO$1:$DO$1000,MATCH($A20,Dati!$A$1:$A$1000,0))&gt;0,Dati!$AM$3&amp;": "&amp;INDEX(Dati!$AM$1:$AM$1000,MATCH($A20,Dati!$A$1:$A$1000,0))&amp;" · ","")&amp;IF(INDEX(Dati!$DP$1:$DP$1000,MATCH($A20,Dati!$A$1:$A$1000,0))&gt;0,Dati!$AN$3&amp;": "&amp;INDEX(Dati!$AN$1:$AN$1000,MATCH($A20,Dati!$A$1:$A$1000,0))&amp;" · ","")&amp;IF(INDEX(Dati!$DQ$1:$DQ$1000,MATCH($A20,Dati!$A$1:$A$1000,0))&gt;0,Dati!$AO$3&amp;": "&amp;INDEX(Dati!$AO$1:$AO$1000,MATCH($A20,Dati!$A$1:$A$1000,0))&amp;" · ","")&amp;IF(INDEX(Dati!$DR$1:$DR$1000,MATCH($A20,Dati!$A$1:$A$1000,0))&gt;0,Dati!$AP$3&amp;": "&amp;INDEX(Dati!$AP$1:$AP$1000,MATCH($A20,Dati!$A$1:$A$1000,0))&amp;" · ",""))-3)),""))</f>
        <v/>
      </c>
      <c r="M20" s="55" t="str">
        <f aca="false">IF($B20="","",IFERROR(IF((IF(INDEX(Dati!$DS$1:$DS$1000,MATCH($A20,Dati!$A$1:$A$1000,0))&gt;0,Dati!$AQ$3&amp;": "&amp;INDEX(Dati!$AQ$1:$AQ$1000,MATCH($A20,Dati!$A$1:$A$1000,0))&amp;" · ","")&amp;IF(INDEX(Dati!$DT$1:$DT$1000,MATCH($A20,Dati!$A$1:$A$1000,0))&gt;0,Dati!$AR$3&amp;": "&amp;INDEX(Dati!$AR$1:$AR$1000,MATCH($A20,Dati!$A$1:$A$1000,0))&amp;" · ","")&amp;IF(INDEX(Dati!$DU$1:$DU$1000,MATCH($A20,Dati!$A$1:$A$1000,0))&gt;0,Dati!$AS$3&amp;": "&amp;INDEX(Dati!$AS$1:$AS$1000,MATCH($A20,Dati!$A$1:$A$1000,0))&amp;" · ","")&amp;IF(INDEX(Dati!$DV$1:$DV$1000,MATCH($A20,Dati!$A$1:$A$1000,0))&gt;0,Dati!$AT$3&amp;": "&amp;INDEX(Dati!$AT$1:$AT$1000,MATCH($A20,Dati!$A$1:$A$1000,0))&amp;" · ",""))="",IF(INDEX(Dati!$FQ$1:$FQ$1000,MATCH($A20,Dati!$A$1:$A$1000,0))=1,"AS da recuperare",""),LEFT(IF(INDEX(Dati!$DS$1:$DS$1000,MATCH($A20,Dati!$A$1:$A$1000,0))&gt;0,Dati!$AQ$3&amp;": "&amp;INDEX(Dati!$AQ$1:$AQ$1000,MATCH($A20,Dati!$A$1:$A$1000,0))&amp;" · ","")&amp;IF(INDEX(Dati!$DT$1:$DT$1000,MATCH($A20,Dati!$A$1:$A$1000,0))&gt;0,Dati!$AR$3&amp;": "&amp;INDEX(Dati!$AR$1:$AR$1000,MATCH($A20,Dati!$A$1:$A$1000,0))&amp;" · ","")&amp;IF(INDEX(Dati!$DU$1:$DU$1000,MATCH($A20,Dati!$A$1:$A$1000,0))&gt;0,Dati!$AS$3&amp;": "&amp;INDEX(Dati!$AS$1:$AS$1000,MATCH($A20,Dati!$A$1:$A$1000,0))&amp;" · ","")&amp;IF(INDEX(Dati!$DV$1:$DV$1000,MATCH($A20,Dati!$A$1:$A$1000,0))&gt;0,Dati!$AT$3&amp;": "&amp;INDEX(Dati!$AT$1:$AT$1000,MATCH($A20,Dati!$A$1:$A$1000,0))&amp;" · ",""),LEN(IF(INDEX(Dati!$DS$1:$DS$1000,MATCH($A20,Dati!$A$1:$A$1000,0))&gt;0,Dati!$AQ$3&amp;": "&amp;INDEX(Dati!$AQ$1:$AQ$1000,MATCH($A20,Dati!$A$1:$A$1000,0))&amp;" · ","")&amp;IF(INDEX(Dati!$DT$1:$DT$1000,MATCH($A20,Dati!$A$1:$A$1000,0))&gt;0,Dati!$AR$3&amp;": "&amp;INDEX(Dati!$AR$1:$AR$1000,MATCH($A20,Dati!$A$1:$A$1000,0))&amp;" · ","")&amp;IF(INDEX(Dati!$DU$1:$DU$1000,MATCH($A20,Dati!$A$1:$A$1000,0))&gt;0,Dati!$AS$3&amp;": "&amp;INDEX(Dati!$AS$1:$AS$1000,MATCH($A20,Dati!$A$1:$A$1000,0))&amp;" · ","")&amp;IF(INDEX(Dati!$DV$1:$DV$1000,MATCH($A20,Dati!$A$1:$A$1000,0))&gt;0,Dati!$AT$3&amp;": "&amp;INDEX(Dati!$AT$1:$AT$1000,MATCH($A20,Dati!$A$1:$A$1000,0))&amp;" · ",""))-3)),""))</f>
        <v/>
      </c>
      <c r="N20" s="55" t="str">
        <f aca="false">IF($B20="","",IFERROR(IF((IF(INDEX(Dati!$DW$1:$DW$1000,MATCH($A20,Dati!$A$1:$A$1000,0))&gt;0,Dati!$AU$3&amp;": "&amp;INDEX(Dati!$AU$1:$AU$1000,MATCH($A20,Dati!$A$1:$A$1000,0))&amp;" · ","")&amp;IF(INDEX(Dati!$DX$1:$DX$1000,MATCH($A20,Dati!$A$1:$A$1000,0))&gt;0,Dati!$AV$3&amp;": "&amp;INDEX(Dati!$AV$1:$AV$1000,MATCH($A20,Dati!$A$1:$A$1000,0))&amp;" · ","")&amp;IF(INDEX(Dati!$DY$1:$DY$1000,MATCH($A20,Dati!$A$1:$A$1000,0))&gt;0,Dati!$AW$3&amp;": "&amp;INDEX(Dati!$AW$1:$AW$1000,MATCH($A20,Dati!$A$1:$A$1000,0))&amp;" · ","")&amp;IF(INDEX(Dati!$DZ$1:$DZ$1000,MATCH($A20,Dati!$A$1:$A$1000,0))&gt;0,Dati!$AX$3&amp;": "&amp;INDEX(Dati!$AX$1:$AX$1000,MATCH($A20,Dati!$A$1:$A$1000,0))&amp;" · ",""))="",IF(INDEX(Dati!$FR$1:$FR$1000,MATCH($A20,Dati!$A$1:$A$1000,0))=1,"AS da recuperare",""),LEFT(IF(INDEX(Dati!$DW$1:$DW$1000,MATCH($A20,Dati!$A$1:$A$1000,0))&gt;0,Dati!$AU$3&amp;": "&amp;INDEX(Dati!$AU$1:$AU$1000,MATCH($A20,Dati!$A$1:$A$1000,0))&amp;" · ","")&amp;IF(INDEX(Dati!$DX$1:$DX$1000,MATCH($A20,Dati!$A$1:$A$1000,0))&gt;0,Dati!$AV$3&amp;": "&amp;INDEX(Dati!$AV$1:$AV$1000,MATCH($A20,Dati!$A$1:$A$1000,0))&amp;" · ","")&amp;IF(INDEX(Dati!$DY$1:$DY$1000,MATCH($A20,Dati!$A$1:$A$1000,0))&gt;0,Dati!$AW$3&amp;": "&amp;INDEX(Dati!$AW$1:$AW$1000,MATCH($A20,Dati!$A$1:$A$1000,0))&amp;" · ","")&amp;IF(INDEX(Dati!$DZ$1:$DZ$1000,MATCH($A20,Dati!$A$1:$A$1000,0))&gt;0,Dati!$AX$3&amp;": "&amp;INDEX(Dati!$AX$1:$AX$1000,MATCH($A20,Dati!$A$1:$A$1000,0))&amp;" · ",""),LEN(IF(INDEX(Dati!$DW$1:$DW$1000,MATCH($A20,Dati!$A$1:$A$1000,0))&gt;0,Dati!$AU$3&amp;": "&amp;INDEX(Dati!$AU$1:$AU$1000,MATCH($A20,Dati!$A$1:$A$1000,0))&amp;" · ","")&amp;IF(INDEX(Dati!$DX$1:$DX$1000,MATCH($A20,Dati!$A$1:$A$1000,0))&gt;0,Dati!$AV$3&amp;": "&amp;INDEX(Dati!$AV$1:$AV$1000,MATCH($A20,Dati!$A$1:$A$1000,0))&amp;" · ","")&amp;IF(INDEX(Dati!$DY$1:$DY$1000,MATCH($A20,Dati!$A$1:$A$1000,0))&gt;0,Dati!$AW$3&amp;": "&amp;INDEX(Dati!$AW$1:$AW$1000,MATCH($A20,Dati!$A$1:$A$1000,0))&amp;" · ","")&amp;IF(INDEX(Dati!$DZ$1:$DZ$1000,MATCH($A20,Dati!$A$1:$A$1000,0))&gt;0,Dati!$AX$3&amp;": "&amp;INDEX(Dati!$AX$1:$AX$1000,MATCH($A20,Dati!$A$1:$A$1000,0))&amp;" · ",""))-3)),""))</f>
        <v/>
      </c>
      <c r="O20" s="55" t="str">
        <f aca="false">IF($B20="","",IFERROR(IF((IF(INDEX(Dati!$EA$1:$EA$1000,MATCH($A20,Dati!$A$1:$A$1000,0))&gt;0,Dati!$AY$3&amp;": "&amp;INDEX(Dati!$AY$1:$AY$1000,MATCH($A20,Dati!$A$1:$A$1000,0))&amp;" · ","")&amp;IF(INDEX(Dati!$EB$1:$EB$1000,MATCH($A20,Dati!$A$1:$A$1000,0))&gt;0,Dati!$AZ$3&amp;": "&amp;INDEX(Dati!$AZ$1:$AZ$1000,MATCH($A20,Dati!$A$1:$A$1000,0))&amp;" · ","")&amp;IF(INDEX(Dati!$EC$1:$EC$1000,MATCH($A20,Dati!$A$1:$A$1000,0))&gt;0,Dati!$BA$3&amp;": "&amp;INDEX(Dati!$BA$1:$BA$1000,MATCH($A20,Dati!$A$1:$A$1000,0))&amp;" · ","")&amp;IF(INDEX(Dati!$ED$1:$ED$1000,MATCH($A20,Dati!$A$1:$A$1000,0))&gt;0,Dati!$BB$3&amp;": "&amp;INDEX(Dati!$BB$1:$BB$1000,MATCH($A20,Dati!$A$1:$A$1000,0))&amp;" · ",""))="",IF(INDEX(Dati!$FS$1:$FS$1000,MATCH($A20,Dati!$A$1:$A$1000,0))=1,"AS da recuperare",""),LEFT(IF(INDEX(Dati!$EA$1:$EA$1000,MATCH($A20,Dati!$A$1:$A$1000,0))&gt;0,Dati!$AY$3&amp;": "&amp;INDEX(Dati!$AY$1:$AY$1000,MATCH($A20,Dati!$A$1:$A$1000,0))&amp;" · ","")&amp;IF(INDEX(Dati!$EB$1:$EB$1000,MATCH($A20,Dati!$A$1:$A$1000,0))&gt;0,Dati!$AZ$3&amp;": "&amp;INDEX(Dati!$AZ$1:$AZ$1000,MATCH($A20,Dati!$A$1:$A$1000,0))&amp;" · ","")&amp;IF(INDEX(Dati!$EC$1:$EC$1000,MATCH($A20,Dati!$A$1:$A$1000,0))&gt;0,Dati!$BA$3&amp;": "&amp;INDEX(Dati!$BA$1:$BA$1000,MATCH($A20,Dati!$A$1:$A$1000,0))&amp;" · ","")&amp;IF(INDEX(Dati!$ED$1:$ED$1000,MATCH($A20,Dati!$A$1:$A$1000,0))&gt;0,Dati!$BB$3&amp;": "&amp;INDEX(Dati!$BB$1:$BB$1000,MATCH($A20,Dati!$A$1:$A$1000,0))&amp;" · ",""),LEN(IF(INDEX(Dati!$EA$1:$EA$1000,MATCH($A20,Dati!$A$1:$A$1000,0))&gt;0,Dati!$AY$3&amp;": "&amp;INDEX(Dati!$AY$1:$AY$1000,MATCH($A20,Dati!$A$1:$A$1000,0))&amp;" · ","")&amp;IF(INDEX(Dati!$EB$1:$EB$1000,MATCH($A20,Dati!$A$1:$A$1000,0))&gt;0,Dati!$AZ$3&amp;": "&amp;INDEX(Dati!$AZ$1:$AZ$1000,MATCH($A20,Dati!$A$1:$A$1000,0))&amp;" · ","")&amp;IF(INDEX(Dati!$EC$1:$EC$1000,MATCH($A20,Dati!$A$1:$A$1000,0))&gt;0,Dati!$BA$3&amp;": "&amp;INDEX(Dati!$BA$1:$BA$1000,MATCH($A20,Dati!$A$1:$A$1000,0))&amp;" · ","")&amp;IF(INDEX(Dati!$ED$1:$ED$1000,MATCH($A20,Dati!$A$1:$A$1000,0))&gt;0,Dati!$BB$3&amp;": "&amp;INDEX(Dati!$BB$1:$BB$1000,MATCH($A20,Dati!$A$1:$A$1000,0))&amp;" · ",""))-3)),""))</f>
        <v/>
      </c>
      <c r="P20" s="55" t="str">
        <f aca="false">IF($B20="","",IFERROR(IF((IF(INDEX(Dati!$EE$1:$EE$1000,MATCH($A20,Dati!$A$1:$A$1000,0))&gt;0,Dati!$BC$3&amp;": "&amp;INDEX(Dati!$BC$1:$BC$1000,MATCH($A20,Dati!$A$1:$A$1000,0))&amp;" · ","")&amp;IF(INDEX(Dati!$EF$1:$EF$1000,MATCH($A20,Dati!$A$1:$A$1000,0))&gt;0,Dati!$BD$3&amp;": "&amp;INDEX(Dati!$BD$1:$BD$1000,MATCH($A20,Dati!$A$1:$A$1000,0))&amp;" · ","")&amp;IF(INDEX(Dati!$EG$1:$EG$1000,MATCH($A20,Dati!$A$1:$A$1000,0))&gt;0,Dati!$BE$3&amp;": "&amp;INDEX(Dati!$BE$1:$BE$1000,MATCH($A20,Dati!$A$1:$A$1000,0))&amp;" · ","")&amp;IF(INDEX(Dati!$EH$1:$EH$1000,MATCH($A20,Dati!$A$1:$A$1000,0))&gt;0,Dati!$BF$3&amp;": "&amp;INDEX(Dati!$BF$1:$BF$1000,MATCH($A20,Dati!$A$1:$A$1000,0))&amp;" · ",""))="",IF(INDEX(Dati!$FT$1:$FT$1000,MATCH($A20,Dati!$A$1:$A$1000,0))=1,"AS da recuperare",""),LEFT(IF(INDEX(Dati!$EE$1:$EE$1000,MATCH($A20,Dati!$A$1:$A$1000,0))&gt;0,Dati!$BC$3&amp;": "&amp;INDEX(Dati!$BC$1:$BC$1000,MATCH($A20,Dati!$A$1:$A$1000,0))&amp;" · ","")&amp;IF(INDEX(Dati!$EF$1:$EF$1000,MATCH($A20,Dati!$A$1:$A$1000,0))&gt;0,Dati!$BD$3&amp;": "&amp;INDEX(Dati!$BD$1:$BD$1000,MATCH($A20,Dati!$A$1:$A$1000,0))&amp;" · ","")&amp;IF(INDEX(Dati!$EG$1:$EG$1000,MATCH($A20,Dati!$A$1:$A$1000,0))&gt;0,Dati!$BE$3&amp;": "&amp;INDEX(Dati!$BE$1:$BE$1000,MATCH($A20,Dati!$A$1:$A$1000,0))&amp;" · ","")&amp;IF(INDEX(Dati!$EH$1:$EH$1000,MATCH($A20,Dati!$A$1:$A$1000,0))&gt;0,Dati!$BF$3&amp;": "&amp;INDEX(Dati!$BF$1:$BF$1000,MATCH($A20,Dati!$A$1:$A$1000,0))&amp;" · ",""),LEN(IF(INDEX(Dati!$EE$1:$EE$1000,MATCH($A20,Dati!$A$1:$A$1000,0))&gt;0,Dati!$BC$3&amp;": "&amp;INDEX(Dati!$BC$1:$BC$1000,MATCH($A20,Dati!$A$1:$A$1000,0))&amp;" · ","")&amp;IF(INDEX(Dati!$EF$1:$EF$1000,MATCH($A20,Dati!$A$1:$A$1000,0))&gt;0,Dati!$BD$3&amp;": "&amp;INDEX(Dati!$BD$1:$BD$1000,MATCH($A20,Dati!$A$1:$A$1000,0))&amp;" · ","")&amp;IF(INDEX(Dati!$EG$1:$EG$1000,MATCH($A20,Dati!$A$1:$A$1000,0))&gt;0,Dati!$BE$3&amp;": "&amp;INDEX(Dati!$BE$1:$BE$1000,MATCH($A20,Dati!$A$1:$A$1000,0))&amp;" · ","")&amp;IF(INDEX(Dati!$EH$1:$EH$1000,MATCH($A20,Dati!$A$1:$A$1000,0))&gt;0,Dati!$BF$3&amp;": "&amp;INDEX(Dati!$BF$1:$BF$1000,MATCH($A20,Dati!$A$1:$A$1000,0))&amp;" · ",""))-3)),""))</f>
        <v/>
      </c>
      <c r="Q20" s="55" t="str">
        <f aca="false">IF($B20="","",IFERROR(IF((IF(INDEX(Dati!$EI$1:$EI$1000,MATCH($A20,Dati!$A$1:$A$1000,0))&gt;0,Dati!$BG$3&amp;": "&amp;INDEX(Dati!$BG$1:$BG$1000,MATCH($A20,Dati!$A$1:$A$1000,0))&amp;" · ","")&amp;IF(INDEX(Dati!$EJ$1:$EJ$1000,MATCH($A20,Dati!$A$1:$A$1000,0))&gt;0,Dati!$BH$3&amp;": "&amp;INDEX(Dati!$BH$1:$BH$1000,MATCH($A20,Dati!$A$1:$A$1000,0))&amp;" · ","")&amp;IF(INDEX(Dati!$EK$1:$EK$1000,MATCH($A20,Dati!$A$1:$A$1000,0))&gt;0,Dati!$BI$3&amp;": "&amp;INDEX(Dati!$BI$1:$BI$1000,MATCH($A20,Dati!$A$1:$A$1000,0))&amp;" · ","")&amp;IF(INDEX(Dati!$EL$1:$EL$1000,MATCH($A20,Dati!$A$1:$A$1000,0))&gt;0,Dati!$BJ$3&amp;": "&amp;INDEX(Dati!$BJ$1:$BJ$1000,MATCH($A20,Dati!$A$1:$A$1000,0))&amp;" · ",""))="",IF(INDEX(Dati!$FU$1:$FU$1000,MATCH($A20,Dati!$A$1:$A$1000,0))=1,"AS da recuperare",""),LEFT(IF(INDEX(Dati!$EI$1:$EI$1000,MATCH($A20,Dati!$A$1:$A$1000,0))&gt;0,Dati!$BG$3&amp;": "&amp;INDEX(Dati!$BG$1:$BG$1000,MATCH($A20,Dati!$A$1:$A$1000,0))&amp;" · ","")&amp;IF(INDEX(Dati!$EJ$1:$EJ$1000,MATCH($A20,Dati!$A$1:$A$1000,0))&gt;0,Dati!$BH$3&amp;": "&amp;INDEX(Dati!$BH$1:$BH$1000,MATCH($A20,Dati!$A$1:$A$1000,0))&amp;" · ","")&amp;IF(INDEX(Dati!$EK$1:$EK$1000,MATCH($A20,Dati!$A$1:$A$1000,0))&gt;0,Dati!$BI$3&amp;": "&amp;INDEX(Dati!$BI$1:$BI$1000,MATCH($A20,Dati!$A$1:$A$1000,0))&amp;" · ","")&amp;IF(INDEX(Dati!$EL$1:$EL$1000,MATCH($A20,Dati!$A$1:$A$1000,0))&gt;0,Dati!$BJ$3&amp;": "&amp;INDEX(Dati!$BJ$1:$BJ$1000,MATCH($A20,Dati!$A$1:$A$1000,0))&amp;" · ",""),LEN(IF(INDEX(Dati!$EI$1:$EI$1000,MATCH($A20,Dati!$A$1:$A$1000,0))&gt;0,Dati!$BG$3&amp;": "&amp;INDEX(Dati!$BG$1:$BG$1000,MATCH($A20,Dati!$A$1:$A$1000,0))&amp;" · ","")&amp;IF(INDEX(Dati!$EJ$1:$EJ$1000,MATCH($A20,Dati!$A$1:$A$1000,0))&gt;0,Dati!$BH$3&amp;": "&amp;INDEX(Dati!$BH$1:$BH$1000,MATCH($A20,Dati!$A$1:$A$1000,0))&amp;" · ","")&amp;IF(INDEX(Dati!$EK$1:$EK$1000,MATCH($A20,Dati!$A$1:$A$1000,0))&gt;0,Dati!$BI$3&amp;": "&amp;INDEX(Dati!$BI$1:$BI$1000,MATCH($A20,Dati!$A$1:$A$1000,0))&amp;" · ","")&amp;IF(INDEX(Dati!$EL$1:$EL$1000,MATCH($A20,Dati!$A$1:$A$1000,0))&gt;0,Dati!$BJ$3&amp;": "&amp;INDEX(Dati!$BJ$1:$BJ$1000,MATCH($A20,Dati!$A$1:$A$1000,0))&amp;" · ",""))-3)),""))</f>
        <v/>
      </c>
      <c r="R20" s="55" t="str">
        <f aca="false">IF($B20="","",IFERROR(IF((IF(INDEX(Dati!$EM$1:$EM$1000,MATCH($A20,Dati!$A$1:$A$1000,0))&gt;0,Dati!$BK$3&amp;": "&amp;INDEX(Dati!$BK$1:$BK$1000,MATCH($A20,Dati!$A$1:$A$1000,0))&amp;" · ","")&amp;IF(INDEX(Dati!$EN$1:$EN$1000,MATCH($A20,Dati!$A$1:$A$1000,0))&gt;0,Dati!$BL$3&amp;": "&amp;INDEX(Dati!$BL$1:$BL$1000,MATCH($A20,Dati!$A$1:$A$1000,0))&amp;" · ","")&amp;IF(INDEX(Dati!$EO$1:$EO$1000,MATCH($A20,Dati!$A$1:$A$1000,0))&gt;0,Dati!$BM$3&amp;": "&amp;INDEX(Dati!$BM$1:$BM$1000,MATCH($A20,Dati!$A$1:$A$1000,0))&amp;" · ","")&amp;IF(INDEX(Dati!$EP$1:$EP$1000,MATCH($A20,Dati!$A$1:$A$1000,0))&gt;0,Dati!$BN$3&amp;": "&amp;INDEX(Dati!$BN$1:$BN$1000,MATCH($A20,Dati!$A$1:$A$1000,0))&amp;" · ",""))="",IF(INDEX(Dati!$FV$1:$FV$1000,MATCH($A20,Dati!$A$1:$A$1000,0))=1,"AS da recuperare",""),LEFT(IF(INDEX(Dati!$EM$1:$EM$1000,MATCH($A20,Dati!$A$1:$A$1000,0))&gt;0,Dati!$BK$3&amp;": "&amp;INDEX(Dati!$BK$1:$BK$1000,MATCH($A20,Dati!$A$1:$A$1000,0))&amp;" · ","")&amp;IF(INDEX(Dati!$EN$1:$EN$1000,MATCH($A20,Dati!$A$1:$A$1000,0))&gt;0,Dati!$BL$3&amp;": "&amp;INDEX(Dati!$BL$1:$BL$1000,MATCH($A20,Dati!$A$1:$A$1000,0))&amp;" · ","")&amp;IF(INDEX(Dati!$EO$1:$EO$1000,MATCH($A20,Dati!$A$1:$A$1000,0))&gt;0,Dati!$BM$3&amp;": "&amp;INDEX(Dati!$BM$1:$BM$1000,MATCH($A20,Dati!$A$1:$A$1000,0))&amp;" · ","")&amp;IF(INDEX(Dati!$EP$1:$EP$1000,MATCH($A20,Dati!$A$1:$A$1000,0))&gt;0,Dati!$BN$3&amp;": "&amp;INDEX(Dati!$BN$1:$BN$1000,MATCH($A20,Dati!$A$1:$A$1000,0))&amp;" · ",""),LEN(IF(INDEX(Dati!$EM$1:$EM$1000,MATCH($A20,Dati!$A$1:$A$1000,0))&gt;0,Dati!$BK$3&amp;": "&amp;INDEX(Dati!$BK$1:$BK$1000,MATCH($A20,Dati!$A$1:$A$1000,0))&amp;" · ","")&amp;IF(INDEX(Dati!$EN$1:$EN$1000,MATCH($A20,Dati!$A$1:$A$1000,0))&gt;0,Dati!$BL$3&amp;": "&amp;INDEX(Dati!$BL$1:$BL$1000,MATCH($A20,Dati!$A$1:$A$1000,0))&amp;" · ","")&amp;IF(INDEX(Dati!$EO$1:$EO$1000,MATCH($A20,Dati!$A$1:$A$1000,0))&gt;0,Dati!$BM$3&amp;": "&amp;INDEX(Dati!$BM$1:$BM$1000,MATCH($A20,Dati!$A$1:$A$1000,0))&amp;" · ","")&amp;IF(INDEX(Dati!$EP$1:$EP$1000,MATCH($A20,Dati!$A$1:$A$1000,0))&gt;0,Dati!$BN$3&amp;": "&amp;INDEX(Dati!$BN$1:$BN$1000,MATCH($A20,Dati!$A$1:$A$1000,0))&amp;" · ",""))-3)),""))</f>
        <v/>
      </c>
      <c r="S20" s="55" t="str">
        <f aca="false">IF($B20="","",IFERROR(IF((IF(INDEX(Dati!$EQ$1:$EQ$1000,MATCH($A20,Dati!$A$1:$A$1000,0))&gt;0,Dati!$BO$3&amp;": "&amp;INDEX(Dati!$BO$1:$BO$1000,MATCH($A20,Dati!$A$1:$A$1000,0))&amp;" · ","")&amp;IF(INDEX(Dati!$ER$1:$ER$1000,MATCH($A20,Dati!$A$1:$A$1000,0))&gt;0,Dati!$BP$3&amp;": "&amp;INDEX(Dati!$BP$1:$BP$1000,MATCH($A20,Dati!$A$1:$A$1000,0))&amp;" · ","")&amp;IF(INDEX(Dati!$ES$1:$ES$1000,MATCH($A20,Dati!$A$1:$A$1000,0))&gt;0,Dati!$BQ$3&amp;": "&amp;INDEX(Dati!$BQ$1:$BQ$1000,MATCH($A20,Dati!$A$1:$A$1000,0))&amp;" · ","")&amp;IF(INDEX(Dati!$ET$1:$ET$1000,MATCH($A20,Dati!$A$1:$A$1000,0))&gt;0,Dati!$BR$3&amp;": "&amp;INDEX(Dati!$BR$1:$BR$1000,MATCH($A20,Dati!$A$1:$A$1000,0))&amp;" · ",""))="",IF(INDEX(Dati!$FW$1:$FW$1000,MATCH($A20,Dati!$A$1:$A$1000,0))=1,"AS da recuperare",""),LEFT(IF(INDEX(Dati!$EQ$1:$EQ$1000,MATCH($A20,Dati!$A$1:$A$1000,0))&gt;0,Dati!$BO$3&amp;": "&amp;INDEX(Dati!$BO$1:$BO$1000,MATCH($A20,Dati!$A$1:$A$1000,0))&amp;" · ","")&amp;IF(INDEX(Dati!$ER$1:$ER$1000,MATCH($A20,Dati!$A$1:$A$1000,0))&gt;0,Dati!$BP$3&amp;": "&amp;INDEX(Dati!$BP$1:$BP$1000,MATCH($A20,Dati!$A$1:$A$1000,0))&amp;" · ","")&amp;IF(INDEX(Dati!$ES$1:$ES$1000,MATCH($A20,Dati!$A$1:$A$1000,0))&gt;0,Dati!$BQ$3&amp;": "&amp;INDEX(Dati!$BQ$1:$BQ$1000,MATCH($A20,Dati!$A$1:$A$1000,0))&amp;" · ","")&amp;IF(INDEX(Dati!$ET$1:$ET$1000,MATCH($A20,Dati!$A$1:$A$1000,0))&gt;0,Dati!$BR$3&amp;": "&amp;INDEX(Dati!$BR$1:$BR$1000,MATCH($A20,Dati!$A$1:$A$1000,0))&amp;" · ",""),LEN(IF(INDEX(Dati!$EQ$1:$EQ$1000,MATCH($A20,Dati!$A$1:$A$1000,0))&gt;0,Dati!$BO$3&amp;": "&amp;INDEX(Dati!$BO$1:$BO$1000,MATCH($A20,Dati!$A$1:$A$1000,0))&amp;" · ","")&amp;IF(INDEX(Dati!$ER$1:$ER$1000,MATCH($A20,Dati!$A$1:$A$1000,0))&gt;0,Dati!$BP$3&amp;": "&amp;INDEX(Dati!$BP$1:$BP$1000,MATCH($A20,Dati!$A$1:$A$1000,0))&amp;" · ","")&amp;IF(INDEX(Dati!$ES$1:$ES$1000,MATCH($A20,Dati!$A$1:$A$1000,0))&gt;0,Dati!$BQ$3&amp;": "&amp;INDEX(Dati!$BQ$1:$BQ$1000,MATCH($A20,Dati!$A$1:$A$1000,0))&amp;" · ","")&amp;IF(INDEX(Dati!$ET$1:$ET$1000,MATCH($A20,Dati!$A$1:$A$1000,0))&gt;0,Dati!$BR$3&amp;": "&amp;INDEX(Dati!$BR$1:$BR$1000,MATCH($A20,Dati!$A$1:$A$1000,0))&amp;" · ",""))-3)),""))</f>
        <v/>
      </c>
      <c r="T20" s="55" t="str">
        <f aca="false">IF($B20="","",IFERROR(IF((IF(INDEX(Dati!$EU$1:$EU$1000,MATCH($A20,Dati!$A$1:$A$1000,0))&gt;0,Dati!$BS$3&amp;": "&amp;INDEX(Dati!$BS$1:$BS$1000,MATCH($A20,Dati!$A$1:$A$1000,0))&amp;" · ","")&amp;IF(INDEX(Dati!$EV$1:$EV$1000,MATCH($A20,Dati!$A$1:$A$1000,0))&gt;0,Dati!$BT$3&amp;": "&amp;INDEX(Dati!$BT$1:$BT$1000,MATCH($A20,Dati!$A$1:$A$1000,0))&amp;" · ","")&amp;IF(INDEX(Dati!$EW$1:$EW$1000,MATCH($A20,Dati!$A$1:$A$1000,0))&gt;0,Dati!$BU$3&amp;": "&amp;INDEX(Dati!$BU$1:$BU$1000,MATCH($A20,Dati!$A$1:$A$1000,0))&amp;" · ","")&amp;IF(INDEX(Dati!$EX$1:$EX$1000,MATCH($A20,Dati!$A$1:$A$1000,0))&gt;0,Dati!$BV$3&amp;": "&amp;INDEX(Dati!$BV$1:$BV$1000,MATCH($A20,Dati!$A$1:$A$1000,0))&amp;" · ",""))="",IF(INDEX(Dati!$FX$1:$FX$1000,MATCH($A20,Dati!$A$1:$A$1000,0))=1,"AS da recuperare",""),LEFT(IF(INDEX(Dati!$EU$1:$EU$1000,MATCH($A20,Dati!$A$1:$A$1000,0))&gt;0,Dati!$BS$3&amp;": "&amp;INDEX(Dati!$BS$1:$BS$1000,MATCH($A20,Dati!$A$1:$A$1000,0))&amp;" · ","")&amp;IF(INDEX(Dati!$EV$1:$EV$1000,MATCH($A20,Dati!$A$1:$A$1000,0))&gt;0,Dati!$BT$3&amp;": "&amp;INDEX(Dati!$BT$1:$BT$1000,MATCH($A20,Dati!$A$1:$A$1000,0))&amp;" · ","")&amp;IF(INDEX(Dati!$EW$1:$EW$1000,MATCH($A20,Dati!$A$1:$A$1000,0))&gt;0,Dati!$BU$3&amp;": "&amp;INDEX(Dati!$BU$1:$BU$1000,MATCH($A20,Dati!$A$1:$A$1000,0))&amp;" · ","")&amp;IF(INDEX(Dati!$EX$1:$EX$1000,MATCH($A20,Dati!$A$1:$A$1000,0))&gt;0,Dati!$BV$3&amp;": "&amp;INDEX(Dati!$BV$1:$BV$1000,MATCH($A20,Dati!$A$1:$A$1000,0))&amp;" · ",""),LEN(IF(INDEX(Dati!$EU$1:$EU$1000,MATCH($A20,Dati!$A$1:$A$1000,0))&gt;0,Dati!$BS$3&amp;": "&amp;INDEX(Dati!$BS$1:$BS$1000,MATCH($A20,Dati!$A$1:$A$1000,0))&amp;" · ","")&amp;IF(INDEX(Dati!$EV$1:$EV$1000,MATCH($A20,Dati!$A$1:$A$1000,0))&gt;0,Dati!$BT$3&amp;": "&amp;INDEX(Dati!$BT$1:$BT$1000,MATCH($A20,Dati!$A$1:$A$1000,0))&amp;" · ","")&amp;IF(INDEX(Dati!$EW$1:$EW$1000,MATCH($A20,Dati!$A$1:$A$1000,0))&gt;0,Dati!$BU$3&amp;": "&amp;INDEX(Dati!$BU$1:$BU$1000,MATCH($A20,Dati!$A$1:$A$1000,0))&amp;" · ","")&amp;IF(INDEX(Dati!$EX$1:$EX$1000,MATCH($A20,Dati!$A$1:$A$1000,0))&gt;0,Dati!$BV$3&amp;": "&amp;INDEX(Dati!$BV$1:$BV$1000,MATCH($A20,Dati!$A$1:$A$1000,0))&amp;" · ",""))-3)),""))</f>
        <v/>
      </c>
      <c r="U20" s="55" t="str">
        <f aca="false">IF($B20="","",IFERROR(IF((IF(INDEX(Dati!$EY$1:$EY$1000,MATCH($A20,Dati!$A$1:$A$1000,0))&gt;0,Dati!$BW$3&amp;": "&amp;INDEX(Dati!$BW$1:$BW$1000,MATCH($A20,Dati!$A$1:$A$1000,0))&amp;" · ","")&amp;IF(INDEX(Dati!$EZ$1:$EZ$1000,MATCH($A20,Dati!$A$1:$A$1000,0))&gt;0,Dati!$BX$3&amp;": "&amp;INDEX(Dati!$BX$1:$BX$1000,MATCH($A20,Dati!$A$1:$A$1000,0))&amp;" · ","")&amp;IF(INDEX(Dati!$FA$1:$FA$1000,MATCH($A20,Dati!$A$1:$A$1000,0))&gt;0,Dati!$BY$3&amp;": "&amp;INDEX(Dati!$BY$1:$BY$1000,MATCH($A20,Dati!$A$1:$A$1000,0))&amp;" · ","")&amp;IF(INDEX(Dati!$FB$1:$FB$1000,MATCH($A20,Dati!$A$1:$A$1000,0))&gt;0,Dati!$BZ$3&amp;": "&amp;INDEX(Dati!$BZ$1:$BZ$1000,MATCH($A20,Dati!$A$1:$A$1000,0))&amp;" · ",""))="",IF(INDEX(Dati!$FY$1:$FY$1000,MATCH($A20,Dati!$A$1:$A$1000,0))=1,"AS da recuperare",""),LEFT(IF(INDEX(Dati!$EY$1:$EY$1000,MATCH($A20,Dati!$A$1:$A$1000,0))&gt;0,Dati!$BW$3&amp;": "&amp;INDEX(Dati!$BW$1:$BW$1000,MATCH($A20,Dati!$A$1:$A$1000,0))&amp;" · ","")&amp;IF(INDEX(Dati!$EZ$1:$EZ$1000,MATCH($A20,Dati!$A$1:$A$1000,0))&gt;0,Dati!$BX$3&amp;": "&amp;INDEX(Dati!$BX$1:$BX$1000,MATCH($A20,Dati!$A$1:$A$1000,0))&amp;" · ","")&amp;IF(INDEX(Dati!$FA$1:$FA$1000,MATCH($A20,Dati!$A$1:$A$1000,0))&gt;0,Dati!$BY$3&amp;": "&amp;INDEX(Dati!$BY$1:$BY$1000,MATCH($A20,Dati!$A$1:$A$1000,0))&amp;" · ","")&amp;IF(INDEX(Dati!$FB$1:$FB$1000,MATCH($A20,Dati!$A$1:$A$1000,0))&gt;0,Dati!$BZ$3&amp;": "&amp;INDEX(Dati!$BZ$1:$BZ$1000,MATCH($A20,Dati!$A$1:$A$1000,0))&amp;" · ",""),LEN(IF(INDEX(Dati!$EY$1:$EY$1000,MATCH($A20,Dati!$A$1:$A$1000,0))&gt;0,Dati!$BW$3&amp;": "&amp;INDEX(Dati!$BW$1:$BW$1000,MATCH($A20,Dati!$A$1:$A$1000,0))&amp;" · ","")&amp;IF(INDEX(Dati!$EZ$1:$EZ$1000,MATCH($A20,Dati!$A$1:$A$1000,0))&gt;0,Dati!$BX$3&amp;": "&amp;INDEX(Dati!$BX$1:$BX$1000,MATCH($A20,Dati!$A$1:$A$1000,0))&amp;" · ","")&amp;IF(INDEX(Dati!$FA$1:$FA$1000,MATCH($A20,Dati!$A$1:$A$1000,0))&gt;0,Dati!$BY$3&amp;": "&amp;INDEX(Dati!$BY$1:$BY$1000,MATCH($A20,Dati!$A$1:$A$1000,0))&amp;" · ","")&amp;IF(INDEX(Dati!$FB$1:$FB$1000,MATCH($A20,Dati!$A$1:$A$1000,0))&gt;0,Dati!$BZ$3&amp;": "&amp;INDEX(Dati!$BZ$1:$BZ$1000,MATCH($A20,Dati!$A$1:$A$1000,0))&amp;" · ",""))-3)),""))</f>
        <v/>
      </c>
      <c r="V20" s="55" t="str">
        <f aca="false">IF($B20="","",IFERROR(IF((IF(INDEX(Dati!$FC$1:$FC$1000,MATCH($A20,Dati!$A$1:$A$1000,0))&gt;0,Dati!$CA$3&amp;": "&amp;INDEX(Dati!$CA$1:$CA$1000,MATCH($A20,Dati!$A$1:$A$1000,0))&amp;" · ","")&amp;IF(INDEX(Dati!$FD$1:$FD$1000,MATCH($A20,Dati!$A$1:$A$1000,0))&gt;0,Dati!$CB$3&amp;": "&amp;INDEX(Dati!$CB$1:$CB$1000,MATCH($A20,Dati!$A$1:$A$1000,0))&amp;" · ","")&amp;IF(INDEX(Dati!$FE$1:$FE$1000,MATCH($A20,Dati!$A$1:$A$1000,0))&gt;0,Dati!$CC$3&amp;": "&amp;INDEX(Dati!$CC$1:$CC$1000,MATCH($A20,Dati!$A$1:$A$1000,0))&amp;" · ","")&amp;IF(INDEX(Dati!$FF$1:$FF$1000,MATCH($A20,Dati!$A$1:$A$1000,0))&gt;0,Dati!$CD$3&amp;": "&amp;INDEX(Dati!$CD$1:$CD$1000,MATCH($A20,Dati!$A$1:$A$1000,0))&amp;" · ",""))="",IF(INDEX(Dati!$FZ$1:$FZ$1000,MATCH($A20,Dati!$A$1:$A$1000,0))=1,"AS da recuperare",""),LEFT(IF(INDEX(Dati!$FC$1:$FC$1000,MATCH($A20,Dati!$A$1:$A$1000,0))&gt;0,Dati!$CA$3&amp;": "&amp;INDEX(Dati!$CA$1:$CA$1000,MATCH($A20,Dati!$A$1:$A$1000,0))&amp;" · ","")&amp;IF(INDEX(Dati!$FD$1:$FD$1000,MATCH($A20,Dati!$A$1:$A$1000,0))&gt;0,Dati!$CB$3&amp;": "&amp;INDEX(Dati!$CB$1:$CB$1000,MATCH($A20,Dati!$A$1:$A$1000,0))&amp;" · ","")&amp;IF(INDEX(Dati!$FE$1:$FE$1000,MATCH($A20,Dati!$A$1:$A$1000,0))&gt;0,Dati!$CC$3&amp;": "&amp;INDEX(Dati!$CC$1:$CC$1000,MATCH($A20,Dati!$A$1:$A$1000,0))&amp;" · ","")&amp;IF(INDEX(Dati!$FF$1:$FF$1000,MATCH($A20,Dati!$A$1:$A$1000,0))&gt;0,Dati!$CD$3&amp;": "&amp;INDEX(Dati!$CD$1:$CD$1000,MATCH($A20,Dati!$A$1:$A$1000,0))&amp;" · ",""),LEN(IF(INDEX(Dati!$FC$1:$FC$1000,MATCH($A20,Dati!$A$1:$A$1000,0))&gt;0,Dati!$CA$3&amp;": "&amp;INDEX(Dati!$CA$1:$CA$1000,MATCH($A20,Dati!$A$1:$A$1000,0))&amp;" · ","")&amp;IF(INDEX(Dati!$FD$1:$FD$1000,MATCH($A20,Dati!$A$1:$A$1000,0))&gt;0,Dati!$CB$3&amp;": "&amp;INDEX(Dati!$CB$1:$CB$1000,MATCH($A20,Dati!$A$1:$A$1000,0))&amp;" · ","")&amp;IF(INDEX(Dati!$FE$1:$FE$1000,MATCH($A20,Dati!$A$1:$A$1000,0))&gt;0,Dati!$CC$3&amp;": "&amp;INDEX(Dati!$CC$1:$CC$1000,MATCH($A20,Dati!$A$1:$A$1000,0))&amp;" · ","")&amp;IF(INDEX(Dati!$FF$1:$FF$1000,MATCH($A20,Dati!$A$1:$A$1000,0))&gt;0,Dati!$CD$3&amp;": "&amp;INDEX(Dati!$CD$1:$CD$1000,MATCH($A20,Dati!$A$1:$A$1000,0))&amp;" · ",""))-3)),""))</f>
        <v/>
      </c>
    </row>
    <row r="21" customFormat="false" ht="19.5" hidden="false" customHeight="true" outlineLevel="0" collapsed="false">
      <c r="A21" s="10" t="n">
        <v>17</v>
      </c>
      <c r="B21" s="16" t="str">
        <f aca="false">IFERROR(INDEX(Alunni!$C$1:$C$1000,MATCH($A21,Alunni!$A$1:$A$1000,0))&amp;"","")</f>
        <v/>
      </c>
      <c r="C21" s="55" t="str">
        <f aca="false">IF($B21="","",IFERROR(IF((IF(INDEX(Dati!$CE$1:$CE$1000,MATCH($A21,Dati!$A$1:$A$1000,0))&gt;0,Dati!$C$3&amp;": "&amp;INDEX(Dati!$C$1:$C$1000,MATCH($A21,Dati!$A$1:$A$1000,0))&amp;" · ","")&amp;IF(INDEX(Dati!$CF$1:$CF$1000,MATCH($A21,Dati!$A$1:$A$1000,0))&gt;0,Dati!$D$3&amp;": "&amp;INDEX(Dati!$D$1:$D$1000,MATCH($A21,Dati!$A$1:$A$1000,0))&amp;" · ","")&amp;IF(INDEX(Dati!$CG$1:$CG$1000,MATCH($A21,Dati!$A$1:$A$1000,0))&gt;0,Dati!$E$3&amp;": "&amp;INDEX(Dati!$E$1:$E$1000,MATCH($A21,Dati!$A$1:$A$1000,0))&amp;" · ","")&amp;IF(INDEX(Dati!$CH$1:$CH$1000,MATCH($A21,Dati!$A$1:$A$1000,0))&gt;0,Dati!$F$3&amp;": "&amp;INDEX(Dati!$F$1:$F$1000,MATCH($A21,Dati!$A$1:$A$1000,0))&amp;" · ",""))="",IF(INDEX(Dati!$FG$1:$FG$1000,MATCH($A21,Dati!$A$1:$A$1000,0))=1,"AS da recuperare",""),LEFT(IF(INDEX(Dati!$CE$1:$CE$1000,MATCH($A21,Dati!$A$1:$A$1000,0))&gt;0,Dati!$C$3&amp;": "&amp;INDEX(Dati!$C$1:$C$1000,MATCH($A21,Dati!$A$1:$A$1000,0))&amp;" · ","")&amp;IF(INDEX(Dati!$CF$1:$CF$1000,MATCH($A21,Dati!$A$1:$A$1000,0))&gt;0,Dati!$D$3&amp;": "&amp;INDEX(Dati!$D$1:$D$1000,MATCH($A21,Dati!$A$1:$A$1000,0))&amp;" · ","")&amp;IF(INDEX(Dati!$CG$1:$CG$1000,MATCH($A21,Dati!$A$1:$A$1000,0))&gt;0,Dati!$E$3&amp;": "&amp;INDEX(Dati!$E$1:$E$1000,MATCH($A21,Dati!$A$1:$A$1000,0))&amp;" · ","")&amp;IF(INDEX(Dati!$CH$1:$CH$1000,MATCH($A21,Dati!$A$1:$A$1000,0))&gt;0,Dati!$F$3&amp;": "&amp;INDEX(Dati!$F$1:$F$1000,MATCH($A21,Dati!$A$1:$A$1000,0))&amp;" · ",""),LEN(IF(INDEX(Dati!$CE$1:$CE$1000,MATCH($A21,Dati!$A$1:$A$1000,0))&gt;0,Dati!$C$3&amp;": "&amp;INDEX(Dati!$C$1:$C$1000,MATCH($A21,Dati!$A$1:$A$1000,0))&amp;" · ","")&amp;IF(INDEX(Dati!$CF$1:$CF$1000,MATCH($A21,Dati!$A$1:$A$1000,0))&gt;0,Dati!$D$3&amp;": "&amp;INDEX(Dati!$D$1:$D$1000,MATCH($A21,Dati!$A$1:$A$1000,0))&amp;" · ","")&amp;IF(INDEX(Dati!$CG$1:$CG$1000,MATCH($A21,Dati!$A$1:$A$1000,0))&gt;0,Dati!$E$3&amp;": "&amp;INDEX(Dati!$E$1:$E$1000,MATCH($A21,Dati!$A$1:$A$1000,0))&amp;" · ","")&amp;IF(INDEX(Dati!$CH$1:$CH$1000,MATCH($A21,Dati!$A$1:$A$1000,0))&gt;0,Dati!$F$3&amp;": "&amp;INDEX(Dati!$F$1:$F$1000,MATCH($A21,Dati!$A$1:$A$1000,0))&amp;" · ",""))-3)),""))</f>
        <v/>
      </c>
      <c r="D21" s="55" t="str">
        <f aca="false">IF($B21="","",IFERROR(IF((IF(INDEX(Dati!$CI$1:$CI$1000,MATCH($A21,Dati!$A$1:$A$1000,0))&gt;0,Dati!$G$3&amp;": "&amp;INDEX(Dati!$G$1:$G$1000,MATCH($A21,Dati!$A$1:$A$1000,0))&amp;" · ","")&amp;IF(INDEX(Dati!$CJ$1:$CJ$1000,MATCH($A21,Dati!$A$1:$A$1000,0))&gt;0,Dati!$H$3&amp;": "&amp;INDEX(Dati!$H$1:$H$1000,MATCH($A21,Dati!$A$1:$A$1000,0))&amp;" · ","")&amp;IF(INDEX(Dati!$CK$1:$CK$1000,MATCH($A21,Dati!$A$1:$A$1000,0))&gt;0,Dati!$I$3&amp;": "&amp;INDEX(Dati!$I$1:$I$1000,MATCH($A21,Dati!$A$1:$A$1000,0))&amp;" · ","")&amp;IF(INDEX(Dati!$CL$1:$CL$1000,MATCH($A21,Dati!$A$1:$A$1000,0))&gt;0,Dati!$J$3&amp;": "&amp;INDEX(Dati!$J$1:$J$1000,MATCH($A21,Dati!$A$1:$A$1000,0))&amp;" · ",""))="",IF(INDEX(Dati!$FH$1:$FH$1000,MATCH($A21,Dati!$A$1:$A$1000,0))=1,"AS da recuperare",""),LEFT(IF(INDEX(Dati!$CI$1:$CI$1000,MATCH($A21,Dati!$A$1:$A$1000,0))&gt;0,Dati!$G$3&amp;": "&amp;INDEX(Dati!$G$1:$G$1000,MATCH($A21,Dati!$A$1:$A$1000,0))&amp;" · ","")&amp;IF(INDEX(Dati!$CJ$1:$CJ$1000,MATCH($A21,Dati!$A$1:$A$1000,0))&gt;0,Dati!$H$3&amp;": "&amp;INDEX(Dati!$H$1:$H$1000,MATCH($A21,Dati!$A$1:$A$1000,0))&amp;" · ","")&amp;IF(INDEX(Dati!$CK$1:$CK$1000,MATCH($A21,Dati!$A$1:$A$1000,0))&gt;0,Dati!$I$3&amp;": "&amp;INDEX(Dati!$I$1:$I$1000,MATCH($A21,Dati!$A$1:$A$1000,0))&amp;" · ","")&amp;IF(INDEX(Dati!$CL$1:$CL$1000,MATCH($A21,Dati!$A$1:$A$1000,0))&gt;0,Dati!$J$3&amp;": "&amp;INDEX(Dati!$J$1:$J$1000,MATCH($A21,Dati!$A$1:$A$1000,0))&amp;" · ",""),LEN(IF(INDEX(Dati!$CI$1:$CI$1000,MATCH($A21,Dati!$A$1:$A$1000,0))&gt;0,Dati!$G$3&amp;": "&amp;INDEX(Dati!$G$1:$G$1000,MATCH($A21,Dati!$A$1:$A$1000,0))&amp;" · ","")&amp;IF(INDEX(Dati!$CJ$1:$CJ$1000,MATCH($A21,Dati!$A$1:$A$1000,0))&gt;0,Dati!$H$3&amp;": "&amp;INDEX(Dati!$H$1:$H$1000,MATCH($A21,Dati!$A$1:$A$1000,0))&amp;" · ","")&amp;IF(INDEX(Dati!$CK$1:$CK$1000,MATCH($A21,Dati!$A$1:$A$1000,0))&gt;0,Dati!$I$3&amp;": "&amp;INDEX(Dati!$I$1:$I$1000,MATCH($A21,Dati!$A$1:$A$1000,0))&amp;" · ","")&amp;IF(INDEX(Dati!$CL$1:$CL$1000,MATCH($A21,Dati!$A$1:$A$1000,0))&gt;0,Dati!$J$3&amp;": "&amp;INDEX(Dati!$J$1:$J$1000,MATCH($A21,Dati!$A$1:$A$1000,0))&amp;" · ",""))-3)),""))</f>
        <v/>
      </c>
      <c r="E21" s="55" t="str">
        <f aca="false">IF($B21="","",IFERROR(IF((IF(INDEX(Dati!$CM$1:$CM$1000,MATCH($A21,Dati!$A$1:$A$1000,0))&gt;0,Dati!$K$3&amp;": "&amp;INDEX(Dati!$K$1:$K$1000,MATCH($A21,Dati!$A$1:$A$1000,0))&amp;" · ","")&amp;IF(INDEX(Dati!$CN$1:$CN$1000,MATCH($A21,Dati!$A$1:$A$1000,0))&gt;0,Dati!$L$3&amp;": "&amp;INDEX(Dati!$L$1:$L$1000,MATCH($A21,Dati!$A$1:$A$1000,0))&amp;" · ","")&amp;IF(INDEX(Dati!$CO$1:$CO$1000,MATCH($A21,Dati!$A$1:$A$1000,0))&gt;0,Dati!$M$3&amp;": "&amp;INDEX(Dati!$M$1:$M$1000,MATCH($A21,Dati!$A$1:$A$1000,0))&amp;" · ","")&amp;IF(INDEX(Dati!$CP$1:$CP$1000,MATCH($A21,Dati!$A$1:$A$1000,0))&gt;0,Dati!$N$3&amp;": "&amp;INDEX(Dati!$N$1:$N$1000,MATCH($A21,Dati!$A$1:$A$1000,0))&amp;" · ",""))="",IF(INDEX(Dati!$FI$1:$FI$1000,MATCH($A21,Dati!$A$1:$A$1000,0))=1,"AS da recuperare",""),LEFT(IF(INDEX(Dati!$CM$1:$CM$1000,MATCH($A21,Dati!$A$1:$A$1000,0))&gt;0,Dati!$K$3&amp;": "&amp;INDEX(Dati!$K$1:$K$1000,MATCH($A21,Dati!$A$1:$A$1000,0))&amp;" · ","")&amp;IF(INDEX(Dati!$CN$1:$CN$1000,MATCH($A21,Dati!$A$1:$A$1000,0))&gt;0,Dati!$L$3&amp;": "&amp;INDEX(Dati!$L$1:$L$1000,MATCH($A21,Dati!$A$1:$A$1000,0))&amp;" · ","")&amp;IF(INDEX(Dati!$CO$1:$CO$1000,MATCH($A21,Dati!$A$1:$A$1000,0))&gt;0,Dati!$M$3&amp;": "&amp;INDEX(Dati!$M$1:$M$1000,MATCH($A21,Dati!$A$1:$A$1000,0))&amp;" · ","")&amp;IF(INDEX(Dati!$CP$1:$CP$1000,MATCH($A21,Dati!$A$1:$A$1000,0))&gt;0,Dati!$N$3&amp;": "&amp;INDEX(Dati!$N$1:$N$1000,MATCH($A21,Dati!$A$1:$A$1000,0))&amp;" · ",""),LEN(IF(INDEX(Dati!$CM$1:$CM$1000,MATCH($A21,Dati!$A$1:$A$1000,0))&gt;0,Dati!$K$3&amp;": "&amp;INDEX(Dati!$K$1:$K$1000,MATCH($A21,Dati!$A$1:$A$1000,0))&amp;" · ","")&amp;IF(INDEX(Dati!$CN$1:$CN$1000,MATCH($A21,Dati!$A$1:$A$1000,0))&gt;0,Dati!$L$3&amp;": "&amp;INDEX(Dati!$L$1:$L$1000,MATCH($A21,Dati!$A$1:$A$1000,0))&amp;" · ","")&amp;IF(INDEX(Dati!$CO$1:$CO$1000,MATCH($A21,Dati!$A$1:$A$1000,0))&gt;0,Dati!$M$3&amp;": "&amp;INDEX(Dati!$M$1:$M$1000,MATCH($A21,Dati!$A$1:$A$1000,0))&amp;" · ","")&amp;IF(INDEX(Dati!$CP$1:$CP$1000,MATCH($A21,Dati!$A$1:$A$1000,0))&gt;0,Dati!$N$3&amp;": "&amp;INDEX(Dati!$N$1:$N$1000,MATCH($A21,Dati!$A$1:$A$1000,0))&amp;" · ",""))-3)),""))</f>
        <v/>
      </c>
      <c r="F21" s="55" t="str">
        <f aca="false">IF($B21="","",IFERROR(IF((IF(INDEX(Dati!$CQ$1:$CQ$1000,MATCH($A21,Dati!$A$1:$A$1000,0))&gt;0,Dati!$O$3&amp;": "&amp;INDEX(Dati!$O$1:$O$1000,MATCH($A21,Dati!$A$1:$A$1000,0))&amp;" · ","")&amp;IF(INDEX(Dati!$CR$1:$CR$1000,MATCH($A21,Dati!$A$1:$A$1000,0))&gt;0,Dati!$P$3&amp;": "&amp;INDEX(Dati!$P$1:$P$1000,MATCH($A21,Dati!$A$1:$A$1000,0))&amp;" · ","")&amp;IF(INDEX(Dati!$CS$1:$CS$1000,MATCH($A21,Dati!$A$1:$A$1000,0))&gt;0,Dati!$Q$3&amp;": "&amp;INDEX(Dati!$Q$1:$Q$1000,MATCH($A21,Dati!$A$1:$A$1000,0))&amp;" · ","")&amp;IF(INDEX(Dati!$CT$1:$CT$1000,MATCH($A21,Dati!$A$1:$A$1000,0))&gt;0,Dati!$R$3&amp;": "&amp;INDEX(Dati!$R$1:$R$1000,MATCH($A21,Dati!$A$1:$A$1000,0))&amp;" · ",""))="",IF(INDEX(Dati!$FJ$1:$FJ$1000,MATCH($A21,Dati!$A$1:$A$1000,0))=1,"AS da recuperare",""),LEFT(IF(INDEX(Dati!$CQ$1:$CQ$1000,MATCH($A21,Dati!$A$1:$A$1000,0))&gt;0,Dati!$O$3&amp;": "&amp;INDEX(Dati!$O$1:$O$1000,MATCH($A21,Dati!$A$1:$A$1000,0))&amp;" · ","")&amp;IF(INDEX(Dati!$CR$1:$CR$1000,MATCH($A21,Dati!$A$1:$A$1000,0))&gt;0,Dati!$P$3&amp;": "&amp;INDEX(Dati!$P$1:$P$1000,MATCH($A21,Dati!$A$1:$A$1000,0))&amp;" · ","")&amp;IF(INDEX(Dati!$CS$1:$CS$1000,MATCH($A21,Dati!$A$1:$A$1000,0))&gt;0,Dati!$Q$3&amp;": "&amp;INDEX(Dati!$Q$1:$Q$1000,MATCH($A21,Dati!$A$1:$A$1000,0))&amp;" · ","")&amp;IF(INDEX(Dati!$CT$1:$CT$1000,MATCH($A21,Dati!$A$1:$A$1000,0))&gt;0,Dati!$R$3&amp;": "&amp;INDEX(Dati!$R$1:$R$1000,MATCH($A21,Dati!$A$1:$A$1000,0))&amp;" · ",""),LEN(IF(INDEX(Dati!$CQ$1:$CQ$1000,MATCH($A21,Dati!$A$1:$A$1000,0))&gt;0,Dati!$O$3&amp;": "&amp;INDEX(Dati!$O$1:$O$1000,MATCH($A21,Dati!$A$1:$A$1000,0))&amp;" · ","")&amp;IF(INDEX(Dati!$CR$1:$CR$1000,MATCH($A21,Dati!$A$1:$A$1000,0))&gt;0,Dati!$P$3&amp;": "&amp;INDEX(Dati!$P$1:$P$1000,MATCH($A21,Dati!$A$1:$A$1000,0))&amp;" · ","")&amp;IF(INDEX(Dati!$CS$1:$CS$1000,MATCH($A21,Dati!$A$1:$A$1000,0))&gt;0,Dati!$Q$3&amp;": "&amp;INDEX(Dati!$Q$1:$Q$1000,MATCH($A21,Dati!$A$1:$A$1000,0))&amp;" · ","")&amp;IF(INDEX(Dati!$CT$1:$CT$1000,MATCH($A21,Dati!$A$1:$A$1000,0))&gt;0,Dati!$R$3&amp;": "&amp;INDEX(Dati!$R$1:$R$1000,MATCH($A21,Dati!$A$1:$A$1000,0))&amp;" · ",""))-3)),""))</f>
        <v/>
      </c>
      <c r="G21" s="55" t="str">
        <f aca="false">IF($B21="","",IFERROR(IF((IF(INDEX(Dati!$CU$1:$CU$1000,MATCH($A21,Dati!$A$1:$A$1000,0))&gt;0,Dati!$S$3&amp;": "&amp;INDEX(Dati!$S$1:$S$1000,MATCH($A21,Dati!$A$1:$A$1000,0))&amp;" · ","")&amp;IF(INDEX(Dati!$CV$1:$CV$1000,MATCH($A21,Dati!$A$1:$A$1000,0))&gt;0,Dati!$T$3&amp;": "&amp;INDEX(Dati!$T$1:$T$1000,MATCH($A21,Dati!$A$1:$A$1000,0))&amp;" · ","")&amp;IF(INDEX(Dati!$CW$1:$CW$1000,MATCH($A21,Dati!$A$1:$A$1000,0))&gt;0,Dati!$U$3&amp;": "&amp;INDEX(Dati!$U$1:$U$1000,MATCH($A21,Dati!$A$1:$A$1000,0))&amp;" · ","")&amp;IF(INDEX(Dati!$CX$1:$CX$1000,MATCH($A21,Dati!$A$1:$A$1000,0))&gt;0,Dati!$V$3&amp;": "&amp;INDEX(Dati!$V$1:$V$1000,MATCH($A21,Dati!$A$1:$A$1000,0))&amp;" · ",""))="",IF(INDEX(Dati!$FK$1:$FK$1000,MATCH($A21,Dati!$A$1:$A$1000,0))=1,"AS da recuperare",""),LEFT(IF(INDEX(Dati!$CU$1:$CU$1000,MATCH($A21,Dati!$A$1:$A$1000,0))&gt;0,Dati!$S$3&amp;": "&amp;INDEX(Dati!$S$1:$S$1000,MATCH($A21,Dati!$A$1:$A$1000,0))&amp;" · ","")&amp;IF(INDEX(Dati!$CV$1:$CV$1000,MATCH($A21,Dati!$A$1:$A$1000,0))&gt;0,Dati!$T$3&amp;": "&amp;INDEX(Dati!$T$1:$T$1000,MATCH($A21,Dati!$A$1:$A$1000,0))&amp;" · ","")&amp;IF(INDEX(Dati!$CW$1:$CW$1000,MATCH($A21,Dati!$A$1:$A$1000,0))&gt;0,Dati!$U$3&amp;": "&amp;INDEX(Dati!$U$1:$U$1000,MATCH($A21,Dati!$A$1:$A$1000,0))&amp;" · ","")&amp;IF(INDEX(Dati!$CX$1:$CX$1000,MATCH($A21,Dati!$A$1:$A$1000,0))&gt;0,Dati!$V$3&amp;": "&amp;INDEX(Dati!$V$1:$V$1000,MATCH($A21,Dati!$A$1:$A$1000,0))&amp;" · ",""),LEN(IF(INDEX(Dati!$CU$1:$CU$1000,MATCH($A21,Dati!$A$1:$A$1000,0))&gt;0,Dati!$S$3&amp;": "&amp;INDEX(Dati!$S$1:$S$1000,MATCH($A21,Dati!$A$1:$A$1000,0))&amp;" · ","")&amp;IF(INDEX(Dati!$CV$1:$CV$1000,MATCH($A21,Dati!$A$1:$A$1000,0))&gt;0,Dati!$T$3&amp;": "&amp;INDEX(Dati!$T$1:$T$1000,MATCH($A21,Dati!$A$1:$A$1000,0))&amp;" · ","")&amp;IF(INDEX(Dati!$CW$1:$CW$1000,MATCH($A21,Dati!$A$1:$A$1000,0))&gt;0,Dati!$U$3&amp;": "&amp;INDEX(Dati!$U$1:$U$1000,MATCH($A21,Dati!$A$1:$A$1000,0))&amp;" · ","")&amp;IF(INDEX(Dati!$CX$1:$CX$1000,MATCH($A21,Dati!$A$1:$A$1000,0))&gt;0,Dati!$V$3&amp;": "&amp;INDEX(Dati!$V$1:$V$1000,MATCH($A21,Dati!$A$1:$A$1000,0))&amp;" · ",""))-3)),""))</f>
        <v/>
      </c>
      <c r="H21" s="55" t="str">
        <f aca="false">IF($B21="","",IFERROR(IF((IF(INDEX(Dati!$CY$1:$CY$1000,MATCH($A21,Dati!$A$1:$A$1000,0))&gt;0,Dati!$W$3&amp;": "&amp;INDEX(Dati!$W$1:$W$1000,MATCH($A21,Dati!$A$1:$A$1000,0))&amp;" · ","")&amp;IF(INDEX(Dati!$CZ$1:$CZ$1000,MATCH($A21,Dati!$A$1:$A$1000,0))&gt;0,Dati!$X$3&amp;": "&amp;INDEX(Dati!$X$1:$X$1000,MATCH($A21,Dati!$A$1:$A$1000,0))&amp;" · ","")&amp;IF(INDEX(Dati!$DA$1:$DA$1000,MATCH($A21,Dati!$A$1:$A$1000,0))&gt;0,Dati!$Y$3&amp;": "&amp;INDEX(Dati!$Y$1:$Y$1000,MATCH($A21,Dati!$A$1:$A$1000,0))&amp;" · ","")&amp;IF(INDEX(Dati!$DB$1:$DB$1000,MATCH($A21,Dati!$A$1:$A$1000,0))&gt;0,Dati!$Z$3&amp;": "&amp;INDEX(Dati!$Z$1:$Z$1000,MATCH($A21,Dati!$A$1:$A$1000,0))&amp;" · ",""))="",IF(INDEX(Dati!$FL$1:$FL$1000,MATCH($A21,Dati!$A$1:$A$1000,0))=1,"AS da recuperare",""),LEFT(IF(INDEX(Dati!$CY$1:$CY$1000,MATCH($A21,Dati!$A$1:$A$1000,0))&gt;0,Dati!$W$3&amp;": "&amp;INDEX(Dati!$W$1:$W$1000,MATCH($A21,Dati!$A$1:$A$1000,0))&amp;" · ","")&amp;IF(INDEX(Dati!$CZ$1:$CZ$1000,MATCH($A21,Dati!$A$1:$A$1000,0))&gt;0,Dati!$X$3&amp;": "&amp;INDEX(Dati!$X$1:$X$1000,MATCH($A21,Dati!$A$1:$A$1000,0))&amp;" · ","")&amp;IF(INDEX(Dati!$DA$1:$DA$1000,MATCH($A21,Dati!$A$1:$A$1000,0))&gt;0,Dati!$Y$3&amp;": "&amp;INDEX(Dati!$Y$1:$Y$1000,MATCH($A21,Dati!$A$1:$A$1000,0))&amp;" · ","")&amp;IF(INDEX(Dati!$DB$1:$DB$1000,MATCH($A21,Dati!$A$1:$A$1000,0))&gt;0,Dati!$Z$3&amp;": "&amp;INDEX(Dati!$Z$1:$Z$1000,MATCH($A21,Dati!$A$1:$A$1000,0))&amp;" · ",""),LEN(IF(INDEX(Dati!$CY$1:$CY$1000,MATCH($A21,Dati!$A$1:$A$1000,0))&gt;0,Dati!$W$3&amp;": "&amp;INDEX(Dati!$W$1:$W$1000,MATCH($A21,Dati!$A$1:$A$1000,0))&amp;" · ","")&amp;IF(INDEX(Dati!$CZ$1:$CZ$1000,MATCH($A21,Dati!$A$1:$A$1000,0))&gt;0,Dati!$X$3&amp;": "&amp;INDEX(Dati!$X$1:$X$1000,MATCH($A21,Dati!$A$1:$A$1000,0))&amp;" · ","")&amp;IF(INDEX(Dati!$DA$1:$DA$1000,MATCH($A21,Dati!$A$1:$A$1000,0))&gt;0,Dati!$Y$3&amp;": "&amp;INDEX(Dati!$Y$1:$Y$1000,MATCH($A21,Dati!$A$1:$A$1000,0))&amp;" · ","")&amp;IF(INDEX(Dati!$DB$1:$DB$1000,MATCH($A21,Dati!$A$1:$A$1000,0))&gt;0,Dati!$Z$3&amp;": "&amp;INDEX(Dati!$Z$1:$Z$1000,MATCH($A21,Dati!$A$1:$A$1000,0))&amp;" · ",""))-3)),""))</f>
        <v/>
      </c>
      <c r="I21" s="55" t="str">
        <f aca="false">IF($B21="","",IFERROR(IF((IF(INDEX(Dati!$DC$1:$DC$1000,MATCH($A21,Dati!$A$1:$A$1000,0))&gt;0,Dati!$AA$3&amp;": "&amp;INDEX(Dati!$AA$1:$AA$1000,MATCH($A21,Dati!$A$1:$A$1000,0))&amp;" · ","")&amp;IF(INDEX(Dati!$DD$1:$DD$1000,MATCH($A21,Dati!$A$1:$A$1000,0))&gt;0,Dati!$AB$3&amp;": "&amp;INDEX(Dati!$AB$1:$AB$1000,MATCH($A21,Dati!$A$1:$A$1000,0))&amp;" · ","")&amp;IF(INDEX(Dati!$DE$1:$DE$1000,MATCH($A21,Dati!$A$1:$A$1000,0))&gt;0,Dati!$AC$3&amp;": "&amp;INDEX(Dati!$AC$1:$AC$1000,MATCH($A21,Dati!$A$1:$A$1000,0))&amp;" · ","")&amp;IF(INDEX(Dati!$DF$1:$DF$1000,MATCH($A21,Dati!$A$1:$A$1000,0))&gt;0,Dati!$AD$3&amp;": "&amp;INDEX(Dati!$AD$1:$AD$1000,MATCH($A21,Dati!$A$1:$A$1000,0))&amp;" · ",""))="",IF(INDEX(Dati!$FM$1:$FM$1000,MATCH($A21,Dati!$A$1:$A$1000,0))=1,"AS da recuperare",""),LEFT(IF(INDEX(Dati!$DC$1:$DC$1000,MATCH($A21,Dati!$A$1:$A$1000,0))&gt;0,Dati!$AA$3&amp;": "&amp;INDEX(Dati!$AA$1:$AA$1000,MATCH($A21,Dati!$A$1:$A$1000,0))&amp;" · ","")&amp;IF(INDEX(Dati!$DD$1:$DD$1000,MATCH($A21,Dati!$A$1:$A$1000,0))&gt;0,Dati!$AB$3&amp;": "&amp;INDEX(Dati!$AB$1:$AB$1000,MATCH($A21,Dati!$A$1:$A$1000,0))&amp;" · ","")&amp;IF(INDEX(Dati!$DE$1:$DE$1000,MATCH($A21,Dati!$A$1:$A$1000,0))&gt;0,Dati!$AC$3&amp;": "&amp;INDEX(Dati!$AC$1:$AC$1000,MATCH($A21,Dati!$A$1:$A$1000,0))&amp;" · ","")&amp;IF(INDEX(Dati!$DF$1:$DF$1000,MATCH($A21,Dati!$A$1:$A$1000,0))&gt;0,Dati!$AD$3&amp;": "&amp;INDEX(Dati!$AD$1:$AD$1000,MATCH($A21,Dati!$A$1:$A$1000,0))&amp;" · ",""),LEN(IF(INDEX(Dati!$DC$1:$DC$1000,MATCH($A21,Dati!$A$1:$A$1000,0))&gt;0,Dati!$AA$3&amp;": "&amp;INDEX(Dati!$AA$1:$AA$1000,MATCH($A21,Dati!$A$1:$A$1000,0))&amp;" · ","")&amp;IF(INDEX(Dati!$DD$1:$DD$1000,MATCH($A21,Dati!$A$1:$A$1000,0))&gt;0,Dati!$AB$3&amp;": "&amp;INDEX(Dati!$AB$1:$AB$1000,MATCH($A21,Dati!$A$1:$A$1000,0))&amp;" · ","")&amp;IF(INDEX(Dati!$DE$1:$DE$1000,MATCH($A21,Dati!$A$1:$A$1000,0))&gt;0,Dati!$AC$3&amp;": "&amp;INDEX(Dati!$AC$1:$AC$1000,MATCH($A21,Dati!$A$1:$A$1000,0))&amp;" · ","")&amp;IF(INDEX(Dati!$DF$1:$DF$1000,MATCH($A21,Dati!$A$1:$A$1000,0))&gt;0,Dati!$AD$3&amp;": "&amp;INDEX(Dati!$AD$1:$AD$1000,MATCH($A21,Dati!$A$1:$A$1000,0))&amp;" · ",""))-3)),""))</f>
        <v/>
      </c>
      <c r="J21" s="55" t="str">
        <f aca="false">IF($B21="","",IFERROR(IF((IF(INDEX(Dati!$DG$1:$DG$1000,MATCH($A21,Dati!$A$1:$A$1000,0))&gt;0,Dati!$AE$3&amp;": "&amp;INDEX(Dati!$AE$1:$AE$1000,MATCH($A21,Dati!$A$1:$A$1000,0))&amp;" · ","")&amp;IF(INDEX(Dati!$DH$1:$DH$1000,MATCH($A21,Dati!$A$1:$A$1000,0))&gt;0,Dati!$AF$3&amp;": "&amp;INDEX(Dati!$AF$1:$AF$1000,MATCH($A21,Dati!$A$1:$A$1000,0))&amp;" · ","")&amp;IF(INDEX(Dati!$DI$1:$DI$1000,MATCH($A21,Dati!$A$1:$A$1000,0))&gt;0,Dati!$AG$3&amp;": "&amp;INDEX(Dati!$AG$1:$AG$1000,MATCH($A21,Dati!$A$1:$A$1000,0))&amp;" · ","")&amp;IF(INDEX(Dati!$DJ$1:$DJ$1000,MATCH($A21,Dati!$A$1:$A$1000,0))&gt;0,Dati!$AH$3&amp;": "&amp;INDEX(Dati!$AH$1:$AH$1000,MATCH($A21,Dati!$A$1:$A$1000,0))&amp;" · ",""))="",IF(INDEX(Dati!$FN$1:$FN$1000,MATCH($A21,Dati!$A$1:$A$1000,0))=1,"AS da recuperare",""),LEFT(IF(INDEX(Dati!$DG$1:$DG$1000,MATCH($A21,Dati!$A$1:$A$1000,0))&gt;0,Dati!$AE$3&amp;": "&amp;INDEX(Dati!$AE$1:$AE$1000,MATCH($A21,Dati!$A$1:$A$1000,0))&amp;" · ","")&amp;IF(INDEX(Dati!$DH$1:$DH$1000,MATCH($A21,Dati!$A$1:$A$1000,0))&gt;0,Dati!$AF$3&amp;": "&amp;INDEX(Dati!$AF$1:$AF$1000,MATCH($A21,Dati!$A$1:$A$1000,0))&amp;" · ","")&amp;IF(INDEX(Dati!$DI$1:$DI$1000,MATCH($A21,Dati!$A$1:$A$1000,0))&gt;0,Dati!$AG$3&amp;": "&amp;INDEX(Dati!$AG$1:$AG$1000,MATCH($A21,Dati!$A$1:$A$1000,0))&amp;" · ","")&amp;IF(INDEX(Dati!$DJ$1:$DJ$1000,MATCH($A21,Dati!$A$1:$A$1000,0))&gt;0,Dati!$AH$3&amp;": "&amp;INDEX(Dati!$AH$1:$AH$1000,MATCH($A21,Dati!$A$1:$A$1000,0))&amp;" · ",""),LEN(IF(INDEX(Dati!$DG$1:$DG$1000,MATCH($A21,Dati!$A$1:$A$1000,0))&gt;0,Dati!$AE$3&amp;": "&amp;INDEX(Dati!$AE$1:$AE$1000,MATCH($A21,Dati!$A$1:$A$1000,0))&amp;" · ","")&amp;IF(INDEX(Dati!$DH$1:$DH$1000,MATCH($A21,Dati!$A$1:$A$1000,0))&gt;0,Dati!$AF$3&amp;": "&amp;INDEX(Dati!$AF$1:$AF$1000,MATCH($A21,Dati!$A$1:$A$1000,0))&amp;" · ","")&amp;IF(INDEX(Dati!$DI$1:$DI$1000,MATCH($A21,Dati!$A$1:$A$1000,0))&gt;0,Dati!$AG$3&amp;": "&amp;INDEX(Dati!$AG$1:$AG$1000,MATCH($A21,Dati!$A$1:$A$1000,0))&amp;" · ","")&amp;IF(INDEX(Dati!$DJ$1:$DJ$1000,MATCH($A21,Dati!$A$1:$A$1000,0))&gt;0,Dati!$AH$3&amp;": "&amp;INDEX(Dati!$AH$1:$AH$1000,MATCH($A21,Dati!$A$1:$A$1000,0))&amp;" · ",""))-3)),""))</f>
        <v/>
      </c>
      <c r="K21" s="55" t="str">
        <f aca="false">IF($B21="","",IFERROR(IF((IF(INDEX(Dati!$DK$1:$DK$1000,MATCH($A21,Dati!$A$1:$A$1000,0))&gt;0,Dati!$AI$3&amp;": "&amp;INDEX(Dati!$AI$1:$AI$1000,MATCH($A21,Dati!$A$1:$A$1000,0))&amp;" · ","")&amp;IF(INDEX(Dati!$DL$1:$DL$1000,MATCH($A21,Dati!$A$1:$A$1000,0))&gt;0,Dati!$AJ$3&amp;": "&amp;INDEX(Dati!$AJ$1:$AJ$1000,MATCH($A21,Dati!$A$1:$A$1000,0))&amp;" · ","")&amp;IF(INDEX(Dati!$DM$1:$DM$1000,MATCH($A21,Dati!$A$1:$A$1000,0))&gt;0,Dati!$AK$3&amp;": "&amp;INDEX(Dati!$AK$1:$AK$1000,MATCH($A21,Dati!$A$1:$A$1000,0))&amp;" · ","")&amp;IF(INDEX(Dati!$DN$1:$DN$1000,MATCH($A21,Dati!$A$1:$A$1000,0))&gt;0,Dati!$AL$3&amp;": "&amp;INDEX(Dati!$AL$1:$AL$1000,MATCH($A21,Dati!$A$1:$A$1000,0))&amp;" · ",""))="",IF(INDEX(Dati!$FO$1:$FO$1000,MATCH($A21,Dati!$A$1:$A$1000,0))=1,"AS da recuperare",""),LEFT(IF(INDEX(Dati!$DK$1:$DK$1000,MATCH($A21,Dati!$A$1:$A$1000,0))&gt;0,Dati!$AI$3&amp;": "&amp;INDEX(Dati!$AI$1:$AI$1000,MATCH($A21,Dati!$A$1:$A$1000,0))&amp;" · ","")&amp;IF(INDEX(Dati!$DL$1:$DL$1000,MATCH($A21,Dati!$A$1:$A$1000,0))&gt;0,Dati!$AJ$3&amp;": "&amp;INDEX(Dati!$AJ$1:$AJ$1000,MATCH($A21,Dati!$A$1:$A$1000,0))&amp;" · ","")&amp;IF(INDEX(Dati!$DM$1:$DM$1000,MATCH($A21,Dati!$A$1:$A$1000,0))&gt;0,Dati!$AK$3&amp;": "&amp;INDEX(Dati!$AK$1:$AK$1000,MATCH($A21,Dati!$A$1:$A$1000,0))&amp;" · ","")&amp;IF(INDEX(Dati!$DN$1:$DN$1000,MATCH($A21,Dati!$A$1:$A$1000,0))&gt;0,Dati!$AL$3&amp;": "&amp;INDEX(Dati!$AL$1:$AL$1000,MATCH($A21,Dati!$A$1:$A$1000,0))&amp;" · ",""),LEN(IF(INDEX(Dati!$DK$1:$DK$1000,MATCH($A21,Dati!$A$1:$A$1000,0))&gt;0,Dati!$AI$3&amp;": "&amp;INDEX(Dati!$AI$1:$AI$1000,MATCH($A21,Dati!$A$1:$A$1000,0))&amp;" · ","")&amp;IF(INDEX(Dati!$DL$1:$DL$1000,MATCH($A21,Dati!$A$1:$A$1000,0))&gt;0,Dati!$AJ$3&amp;": "&amp;INDEX(Dati!$AJ$1:$AJ$1000,MATCH($A21,Dati!$A$1:$A$1000,0))&amp;" · ","")&amp;IF(INDEX(Dati!$DM$1:$DM$1000,MATCH($A21,Dati!$A$1:$A$1000,0))&gt;0,Dati!$AK$3&amp;": "&amp;INDEX(Dati!$AK$1:$AK$1000,MATCH($A21,Dati!$A$1:$A$1000,0))&amp;" · ","")&amp;IF(INDEX(Dati!$DN$1:$DN$1000,MATCH($A21,Dati!$A$1:$A$1000,0))&gt;0,Dati!$AL$3&amp;": "&amp;INDEX(Dati!$AL$1:$AL$1000,MATCH($A21,Dati!$A$1:$A$1000,0))&amp;" · ",""))-3)),""))</f>
        <v/>
      </c>
      <c r="L21" s="55" t="str">
        <f aca="false">IF($B21="","",IFERROR(IF((IF(INDEX(Dati!$DO$1:$DO$1000,MATCH($A21,Dati!$A$1:$A$1000,0))&gt;0,Dati!$AM$3&amp;": "&amp;INDEX(Dati!$AM$1:$AM$1000,MATCH($A21,Dati!$A$1:$A$1000,0))&amp;" · ","")&amp;IF(INDEX(Dati!$DP$1:$DP$1000,MATCH($A21,Dati!$A$1:$A$1000,0))&gt;0,Dati!$AN$3&amp;": "&amp;INDEX(Dati!$AN$1:$AN$1000,MATCH($A21,Dati!$A$1:$A$1000,0))&amp;" · ","")&amp;IF(INDEX(Dati!$DQ$1:$DQ$1000,MATCH($A21,Dati!$A$1:$A$1000,0))&gt;0,Dati!$AO$3&amp;": "&amp;INDEX(Dati!$AO$1:$AO$1000,MATCH($A21,Dati!$A$1:$A$1000,0))&amp;" · ","")&amp;IF(INDEX(Dati!$DR$1:$DR$1000,MATCH($A21,Dati!$A$1:$A$1000,0))&gt;0,Dati!$AP$3&amp;": "&amp;INDEX(Dati!$AP$1:$AP$1000,MATCH($A21,Dati!$A$1:$A$1000,0))&amp;" · ",""))="",IF(INDEX(Dati!$FP$1:$FP$1000,MATCH($A21,Dati!$A$1:$A$1000,0))=1,"AS da recuperare",""),LEFT(IF(INDEX(Dati!$DO$1:$DO$1000,MATCH($A21,Dati!$A$1:$A$1000,0))&gt;0,Dati!$AM$3&amp;": "&amp;INDEX(Dati!$AM$1:$AM$1000,MATCH($A21,Dati!$A$1:$A$1000,0))&amp;" · ","")&amp;IF(INDEX(Dati!$DP$1:$DP$1000,MATCH($A21,Dati!$A$1:$A$1000,0))&gt;0,Dati!$AN$3&amp;": "&amp;INDEX(Dati!$AN$1:$AN$1000,MATCH($A21,Dati!$A$1:$A$1000,0))&amp;" · ","")&amp;IF(INDEX(Dati!$DQ$1:$DQ$1000,MATCH($A21,Dati!$A$1:$A$1000,0))&gt;0,Dati!$AO$3&amp;": "&amp;INDEX(Dati!$AO$1:$AO$1000,MATCH($A21,Dati!$A$1:$A$1000,0))&amp;" · ","")&amp;IF(INDEX(Dati!$DR$1:$DR$1000,MATCH($A21,Dati!$A$1:$A$1000,0))&gt;0,Dati!$AP$3&amp;": "&amp;INDEX(Dati!$AP$1:$AP$1000,MATCH($A21,Dati!$A$1:$A$1000,0))&amp;" · ",""),LEN(IF(INDEX(Dati!$DO$1:$DO$1000,MATCH($A21,Dati!$A$1:$A$1000,0))&gt;0,Dati!$AM$3&amp;": "&amp;INDEX(Dati!$AM$1:$AM$1000,MATCH($A21,Dati!$A$1:$A$1000,0))&amp;" · ","")&amp;IF(INDEX(Dati!$DP$1:$DP$1000,MATCH($A21,Dati!$A$1:$A$1000,0))&gt;0,Dati!$AN$3&amp;": "&amp;INDEX(Dati!$AN$1:$AN$1000,MATCH($A21,Dati!$A$1:$A$1000,0))&amp;" · ","")&amp;IF(INDEX(Dati!$DQ$1:$DQ$1000,MATCH($A21,Dati!$A$1:$A$1000,0))&gt;0,Dati!$AO$3&amp;": "&amp;INDEX(Dati!$AO$1:$AO$1000,MATCH($A21,Dati!$A$1:$A$1000,0))&amp;" · ","")&amp;IF(INDEX(Dati!$DR$1:$DR$1000,MATCH($A21,Dati!$A$1:$A$1000,0))&gt;0,Dati!$AP$3&amp;": "&amp;INDEX(Dati!$AP$1:$AP$1000,MATCH($A21,Dati!$A$1:$A$1000,0))&amp;" · ",""))-3)),""))</f>
        <v/>
      </c>
      <c r="M21" s="55" t="str">
        <f aca="false">IF($B21="","",IFERROR(IF((IF(INDEX(Dati!$DS$1:$DS$1000,MATCH($A21,Dati!$A$1:$A$1000,0))&gt;0,Dati!$AQ$3&amp;": "&amp;INDEX(Dati!$AQ$1:$AQ$1000,MATCH($A21,Dati!$A$1:$A$1000,0))&amp;" · ","")&amp;IF(INDEX(Dati!$DT$1:$DT$1000,MATCH($A21,Dati!$A$1:$A$1000,0))&gt;0,Dati!$AR$3&amp;": "&amp;INDEX(Dati!$AR$1:$AR$1000,MATCH($A21,Dati!$A$1:$A$1000,0))&amp;" · ","")&amp;IF(INDEX(Dati!$DU$1:$DU$1000,MATCH($A21,Dati!$A$1:$A$1000,0))&gt;0,Dati!$AS$3&amp;": "&amp;INDEX(Dati!$AS$1:$AS$1000,MATCH($A21,Dati!$A$1:$A$1000,0))&amp;" · ","")&amp;IF(INDEX(Dati!$DV$1:$DV$1000,MATCH($A21,Dati!$A$1:$A$1000,0))&gt;0,Dati!$AT$3&amp;": "&amp;INDEX(Dati!$AT$1:$AT$1000,MATCH($A21,Dati!$A$1:$A$1000,0))&amp;" · ",""))="",IF(INDEX(Dati!$FQ$1:$FQ$1000,MATCH($A21,Dati!$A$1:$A$1000,0))=1,"AS da recuperare",""),LEFT(IF(INDEX(Dati!$DS$1:$DS$1000,MATCH($A21,Dati!$A$1:$A$1000,0))&gt;0,Dati!$AQ$3&amp;": "&amp;INDEX(Dati!$AQ$1:$AQ$1000,MATCH($A21,Dati!$A$1:$A$1000,0))&amp;" · ","")&amp;IF(INDEX(Dati!$DT$1:$DT$1000,MATCH($A21,Dati!$A$1:$A$1000,0))&gt;0,Dati!$AR$3&amp;": "&amp;INDEX(Dati!$AR$1:$AR$1000,MATCH($A21,Dati!$A$1:$A$1000,0))&amp;" · ","")&amp;IF(INDEX(Dati!$DU$1:$DU$1000,MATCH($A21,Dati!$A$1:$A$1000,0))&gt;0,Dati!$AS$3&amp;": "&amp;INDEX(Dati!$AS$1:$AS$1000,MATCH($A21,Dati!$A$1:$A$1000,0))&amp;" · ","")&amp;IF(INDEX(Dati!$DV$1:$DV$1000,MATCH($A21,Dati!$A$1:$A$1000,0))&gt;0,Dati!$AT$3&amp;": "&amp;INDEX(Dati!$AT$1:$AT$1000,MATCH($A21,Dati!$A$1:$A$1000,0))&amp;" · ",""),LEN(IF(INDEX(Dati!$DS$1:$DS$1000,MATCH($A21,Dati!$A$1:$A$1000,0))&gt;0,Dati!$AQ$3&amp;": "&amp;INDEX(Dati!$AQ$1:$AQ$1000,MATCH($A21,Dati!$A$1:$A$1000,0))&amp;" · ","")&amp;IF(INDEX(Dati!$DT$1:$DT$1000,MATCH($A21,Dati!$A$1:$A$1000,0))&gt;0,Dati!$AR$3&amp;": "&amp;INDEX(Dati!$AR$1:$AR$1000,MATCH($A21,Dati!$A$1:$A$1000,0))&amp;" · ","")&amp;IF(INDEX(Dati!$DU$1:$DU$1000,MATCH($A21,Dati!$A$1:$A$1000,0))&gt;0,Dati!$AS$3&amp;": "&amp;INDEX(Dati!$AS$1:$AS$1000,MATCH($A21,Dati!$A$1:$A$1000,0))&amp;" · ","")&amp;IF(INDEX(Dati!$DV$1:$DV$1000,MATCH($A21,Dati!$A$1:$A$1000,0))&gt;0,Dati!$AT$3&amp;": "&amp;INDEX(Dati!$AT$1:$AT$1000,MATCH($A21,Dati!$A$1:$A$1000,0))&amp;" · ",""))-3)),""))</f>
        <v/>
      </c>
      <c r="N21" s="55" t="str">
        <f aca="false">IF($B21="","",IFERROR(IF((IF(INDEX(Dati!$DW$1:$DW$1000,MATCH($A21,Dati!$A$1:$A$1000,0))&gt;0,Dati!$AU$3&amp;": "&amp;INDEX(Dati!$AU$1:$AU$1000,MATCH($A21,Dati!$A$1:$A$1000,0))&amp;" · ","")&amp;IF(INDEX(Dati!$DX$1:$DX$1000,MATCH($A21,Dati!$A$1:$A$1000,0))&gt;0,Dati!$AV$3&amp;": "&amp;INDEX(Dati!$AV$1:$AV$1000,MATCH($A21,Dati!$A$1:$A$1000,0))&amp;" · ","")&amp;IF(INDEX(Dati!$DY$1:$DY$1000,MATCH($A21,Dati!$A$1:$A$1000,0))&gt;0,Dati!$AW$3&amp;": "&amp;INDEX(Dati!$AW$1:$AW$1000,MATCH($A21,Dati!$A$1:$A$1000,0))&amp;" · ","")&amp;IF(INDEX(Dati!$DZ$1:$DZ$1000,MATCH($A21,Dati!$A$1:$A$1000,0))&gt;0,Dati!$AX$3&amp;": "&amp;INDEX(Dati!$AX$1:$AX$1000,MATCH($A21,Dati!$A$1:$A$1000,0))&amp;" · ",""))="",IF(INDEX(Dati!$FR$1:$FR$1000,MATCH($A21,Dati!$A$1:$A$1000,0))=1,"AS da recuperare",""),LEFT(IF(INDEX(Dati!$DW$1:$DW$1000,MATCH($A21,Dati!$A$1:$A$1000,0))&gt;0,Dati!$AU$3&amp;": "&amp;INDEX(Dati!$AU$1:$AU$1000,MATCH($A21,Dati!$A$1:$A$1000,0))&amp;" · ","")&amp;IF(INDEX(Dati!$DX$1:$DX$1000,MATCH($A21,Dati!$A$1:$A$1000,0))&gt;0,Dati!$AV$3&amp;": "&amp;INDEX(Dati!$AV$1:$AV$1000,MATCH($A21,Dati!$A$1:$A$1000,0))&amp;" · ","")&amp;IF(INDEX(Dati!$DY$1:$DY$1000,MATCH($A21,Dati!$A$1:$A$1000,0))&gt;0,Dati!$AW$3&amp;": "&amp;INDEX(Dati!$AW$1:$AW$1000,MATCH($A21,Dati!$A$1:$A$1000,0))&amp;" · ","")&amp;IF(INDEX(Dati!$DZ$1:$DZ$1000,MATCH($A21,Dati!$A$1:$A$1000,0))&gt;0,Dati!$AX$3&amp;": "&amp;INDEX(Dati!$AX$1:$AX$1000,MATCH($A21,Dati!$A$1:$A$1000,0))&amp;" · ",""),LEN(IF(INDEX(Dati!$DW$1:$DW$1000,MATCH($A21,Dati!$A$1:$A$1000,0))&gt;0,Dati!$AU$3&amp;": "&amp;INDEX(Dati!$AU$1:$AU$1000,MATCH($A21,Dati!$A$1:$A$1000,0))&amp;" · ","")&amp;IF(INDEX(Dati!$DX$1:$DX$1000,MATCH($A21,Dati!$A$1:$A$1000,0))&gt;0,Dati!$AV$3&amp;": "&amp;INDEX(Dati!$AV$1:$AV$1000,MATCH($A21,Dati!$A$1:$A$1000,0))&amp;" · ","")&amp;IF(INDEX(Dati!$DY$1:$DY$1000,MATCH($A21,Dati!$A$1:$A$1000,0))&gt;0,Dati!$AW$3&amp;": "&amp;INDEX(Dati!$AW$1:$AW$1000,MATCH($A21,Dati!$A$1:$A$1000,0))&amp;" · ","")&amp;IF(INDEX(Dati!$DZ$1:$DZ$1000,MATCH($A21,Dati!$A$1:$A$1000,0))&gt;0,Dati!$AX$3&amp;": "&amp;INDEX(Dati!$AX$1:$AX$1000,MATCH($A21,Dati!$A$1:$A$1000,0))&amp;" · ",""))-3)),""))</f>
        <v/>
      </c>
      <c r="O21" s="55" t="str">
        <f aca="false">IF($B21="","",IFERROR(IF((IF(INDEX(Dati!$EA$1:$EA$1000,MATCH($A21,Dati!$A$1:$A$1000,0))&gt;0,Dati!$AY$3&amp;": "&amp;INDEX(Dati!$AY$1:$AY$1000,MATCH($A21,Dati!$A$1:$A$1000,0))&amp;" · ","")&amp;IF(INDEX(Dati!$EB$1:$EB$1000,MATCH($A21,Dati!$A$1:$A$1000,0))&gt;0,Dati!$AZ$3&amp;": "&amp;INDEX(Dati!$AZ$1:$AZ$1000,MATCH($A21,Dati!$A$1:$A$1000,0))&amp;" · ","")&amp;IF(INDEX(Dati!$EC$1:$EC$1000,MATCH($A21,Dati!$A$1:$A$1000,0))&gt;0,Dati!$BA$3&amp;": "&amp;INDEX(Dati!$BA$1:$BA$1000,MATCH($A21,Dati!$A$1:$A$1000,0))&amp;" · ","")&amp;IF(INDEX(Dati!$ED$1:$ED$1000,MATCH($A21,Dati!$A$1:$A$1000,0))&gt;0,Dati!$BB$3&amp;": "&amp;INDEX(Dati!$BB$1:$BB$1000,MATCH($A21,Dati!$A$1:$A$1000,0))&amp;" · ",""))="",IF(INDEX(Dati!$FS$1:$FS$1000,MATCH($A21,Dati!$A$1:$A$1000,0))=1,"AS da recuperare",""),LEFT(IF(INDEX(Dati!$EA$1:$EA$1000,MATCH($A21,Dati!$A$1:$A$1000,0))&gt;0,Dati!$AY$3&amp;": "&amp;INDEX(Dati!$AY$1:$AY$1000,MATCH($A21,Dati!$A$1:$A$1000,0))&amp;" · ","")&amp;IF(INDEX(Dati!$EB$1:$EB$1000,MATCH($A21,Dati!$A$1:$A$1000,0))&gt;0,Dati!$AZ$3&amp;": "&amp;INDEX(Dati!$AZ$1:$AZ$1000,MATCH($A21,Dati!$A$1:$A$1000,0))&amp;" · ","")&amp;IF(INDEX(Dati!$EC$1:$EC$1000,MATCH($A21,Dati!$A$1:$A$1000,0))&gt;0,Dati!$BA$3&amp;": "&amp;INDEX(Dati!$BA$1:$BA$1000,MATCH($A21,Dati!$A$1:$A$1000,0))&amp;" · ","")&amp;IF(INDEX(Dati!$ED$1:$ED$1000,MATCH($A21,Dati!$A$1:$A$1000,0))&gt;0,Dati!$BB$3&amp;": "&amp;INDEX(Dati!$BB$1:$BB$1000,MATCH($A21,Dati!$A$1:$A$1000,0))&amp;" · ",""),LEN(IF(INDEX(Dati!$EA$1:$EA$1000,MATCH($A21,Dati!$A$1:$A$1000,0))&gt;0,Dati!$AY$3&amp;": "&amp;INDEX(Dati!$AY$1:$AY$1000,MATCH($A21,Dati!$A$1:$A$1000,0))&amp;" · ","")&amp;IF(INDEX(Dati!$EB$1:$EB$1000,MATCH($A21,Dati!$A$1:$A$1000,0))&gt;0,Dati!$AZ$3&amp;": "&amp;INDEX(Dati!$AZ$1:$AZ$1000,MATCH($A21,Dati!$A$1:$A$1000,0))&amp;" · ","")&amp;IF(INDEX(Dati!$EC$1:$EC$1000,MATCH($A21,Dati!$A$1:$A$1000,0))&gt;0,Dati!$BA$3&amp;": "&amp;INDEX(Dati!$BA$1:$BA$1000,MATCH($A21,Dati!$A$1:$A$1000,0))&amp;" · ","")&amp;IF(INDEX(Dati!$ED$1:$ED$1000,MATCH($A21,Dati!$A$1:$A$1000,0))&gt;0,Dati!$BB$3&amp;": "&amp;INDEX(Dati!$BB$1:$BB$1000,MATCH($A21,Dati!$A$1:$A$1000,0))&amp;" · ",""))-3)),""))</f>
        <v/>
      </c>
      <c r="P21" s="55" t="str">
        <f aca="false">IF($B21="","",IFERROR(IF((IF(INDEX(Dati!$EE$1:$EE$1000,MATCH($A21,Dati!$A$1:$A$1000,0))&gt;0,Dati!$BC$3&amp;": "&amp;INDEX(Dati!$BC$1:$BC$1000,MATCH($A21,Dati!$A$1:$A$1000,0))&amp;" · ","")&amp;IF(INDEX(Dati!$EF$1:$EF$1000,MATCH($A21,Dati!$A$1:$A$1000,0))&gt;0,Dati!$BD$3&amp;": "&amp;INDEX(Dati!$BD$1:$BD$1000,MATCH($A21,Dati!$A$1:$A$1000,0))&amp;" · ","")&amp;IF(INDEX(Dati!$EG$1:$EG$1000,MATCH($A21,Dati!$A$1:$A$1000,0))&gt;0,Dati!$BE$3&amp;": "&amp;INDEX(Dati!$BE$1:$BE$1000,MATCH($A21,Dati!$A$1:$A$1000,0))&amp;" · ","")&amp;IF(INDEX(Dati!$EH$1:$EH$1000,MATCH($A21,Dati!$A$1:$A$1000,0))&gt;0,Dati!$BF$3&amp;": "&amp;INDEX(Dati!$BF$1:$BF$1000,MATCH($A21,Dati!$A$1:$A$1000,0))&amp;" · ",""))="",IF(INDEX(Dati!$FT$1:$FT$1000,MATCH($A21,Dati!$A$1:$A$1000,0))=1,"AS da recuperare",""),LEFT(IF(INDEX(Dati!$EE$1:$EE$1000,MATCH($A21,Dati!$A$1:$A$1000,0))&gt;0,Dati!$BC$3&amp;": "&amp;INDEX(Dati!$BC$1:$BC$1000,MATCH($A21,Dati!$A$1:$A$1000,0))&amp;" · ","")&amp;IF(INDEX(Dati!$EF$1:$EF$1000,MATCH($A21,Dati!$A$1:$A$1000,0))&gt;0,Dati!$BD$3&amp;": "&amp;INDEX(Dati!$BD$1:$BD$1000,MATCH($A21,Dati!$A$1:$A$1000,0))&amp;" · ","")&amp;IF(INDEX(Dati!$EG$1:$EG$1000,MATCH($A21,Dati!$A$1:$A$1000,0))&gt;0,Dati!$BE$3&amp;": "&amp;INDEX(Dati!$BE$1:$BE$1000,MATCH($A21,Dati!$A$1:$A$1000,0))&amp;" · ","")&amp;IF(INDEX(Dati!$EH$1:$EH$1000,MATCH($A21,Dati!$A$1:$A$1000,0))&gt;0,Dati!$BF$3&amp;": "&amp;INDEX(Dati!$BF$1:$BF$1000,MATCH($A21,Dati!$A$1:$A$1000,0))&amp;" · ",""),LEN(IF(INDEX(Dati!$EE$1:$EE$1000,MATCH($A21,Dati!$A$1:$A$1000,0))&gt;0,Dati!$BC$3&amp;": "&amp;INDEX(Dati!$BC$1:$BC$1000,MATCH($A21,Dati!$A$1:$A$1000,0))&amp;" · ","")&amp;IF(INDEX(Dati!$EF$1:$EF$1000,MATCH($A21,Dati!$A$1:$A$1000,0))&gt;0,Dati!$BD$3&amp;": "&amp;INDEX(Dati!$BD$1:$BD$1000,MATCH($A21,Dati!$A$1:$A$1000,0))&amp;" · ","")&amp;IF(INDEX(Dati!$EG$1:$EG$1000,MATCH($A21,Dati!$A$1:$A$1000,0))&gt;0,Dati!$BE$3&amp;": "&amp;INDEX(Dati!$BE$1:$BE$1000,MATCH($A21,Dati!$A$1:$A$1000,0))&amp;" · ","")&amp;IF(INDEX(Dati!$EH$1:$EH$1000,MATCH($A21,Dati!$A$1:$A$1000,0))&gt;0,Dati!$BF$3&amp;": "&amp;INDEX(Dati!$BF$1:$BF$1000,MATCH($A21,Dati!$A$1:$A$1000,0))&amp;" · ",""))-3)),""))</f>
        <v/>
      </c>
      <c r="Q21" s="55" t="str">
        <f aca="false">IF($B21="","",IFERROR(IF((IF(INDEX(Dati!$EI$1:$EI$1000,MATCH($A21,Dati!$A$1:$A$1000,0))&gt;0,Dati!$BG$3&amp;": "&amp;INDEX(Dati!$BG$1:$BG$1000,MATCH($A21,Dati!$A$1:$A$1000,0))&amp;" · ","")&amp;IF(INDEX(Dati!$EJ$1:$EJ$1000,MATCH($A21,Dati!$A$1:$A$1000,0))&gt;0,Dati!$BH$3&amp;": "&amp;INDEX(Dati!$BH$1:$BH$1000,MATCH($A21,Dati!$A$1:$A$1000,0))&amp;" · ","")&amp;IF(INDEX(Dati!$EK$1:$EK$1000,MATCH($A21,Dati!$A$1:$A$1000,0))&gt;0,Dati!$BI$3&amp;": "&amp;INDEX(Dati!$BI$1:$BI$1000,MATCH($A21,Dati!$A$1:$A$1000,0))&amp;" · ","")&amp;IF(INDEX(Dati!$EL$1:$EL$1000,MATCH($A21,Dati!$A$1:$A$1000,0))&gt;0,Dati!$BJ$3&amp;": "&amp;INDEX(Dati!$BJ$1:$BJ$1000,MATCH($A21,Dati!$A$1:$A$1000,0))&amp;" · ",""))="",IF(INDEX(Dati!$FU$1:$FU$1000,MATCH($A21,Dati!$A$1:$A$1000,0))=1,"AS da recuperare",""),LEFT(IF(INDEX(Dati!$EI$1:$EI$1000,MATCH($A21,Dati!$A$1:$A$1000,0))&gt;0,Dati!$BG$3&amp;": "&amp;INDEX(Dati!$BG$1:$BG$1000,MATCH($A21,Dati!$A$1:$A$1000,0))&amp;" · ","")&amp;IF(INDEX(Dati!$EJ$1:$EJ$1000,MATCH($A21,Dati!$A$1:$A$1000,0))&gt;0,Dati!$BH$3&amp;": "&amp;INDEX(Dati!$BH$1:$BH$1000,MATCH($A21,Dati!$A$1:$A$1000,0))&amp;" · ","")&amp;IF(INDEX(Dati!$EK$1:$EK$1000,MATCH($A21,Dati!$A$1:$A$1000,0))&gt;0,Dati!$BI$3&amp;": "&amp;INDEX(Dati!$BI$1:$BI$1000,MATCH($A21,Dati!$A$1:$A$1000,0))&amp;" · ","")&amp;IF(INDEX(Dati!$EL$1:$EL$1000,MATCH($A21,Dati!$A$1:$A$1000,0))&gt;0,Dati!$BJ$3&amp;": "&amp;INDEX(Dati!$BJ$1:$BJ$1000,MATCH($A21,Dati!$A$1:$A$1000,0))&amp;" · ",""),LEN(IF(INDEX(Dati!$EI$1:$EI$1000,MATCH($A21,Dati!$A$1:$A$1000,0))&gt;0,Dati!$BG$3&amp;": "&amp;INDEX(Dati!$BG$1:$BG$1000,MATCH($A21,Dati!$A$1:$A$1000,0))&amp;" · ","")&amp;IF(INDEX(Dati!$EJ$1:$EJ$1000,MATCH($A21,Dati!$A$1:$A$1000,0))&gt;0,Dati!$BH$3&amp;": "&amp;INDEX(Dati!$BH$1:$BH$1000,MATCH($A21,Dati!$A$1:$A$1000,0))&amp;" · ","")&amp;IF(INDEX(Dati!$EK$1:$EK$1000,MATCH($A21,Dati!$A$1:$A$1000,0))&gt;0,Dati!$BI$3&amp;": "&amp;INDEX(Dati!$BI$1:$BI$1000,MATCH($A21,Dati!$A$1:$A$1000,0))&amp;" · ","")&amp;IF(INDEX(Dati!$EL$1:$EL$1000,MATCH($A21,Dati!$A$1:$A$1000,0))&gt;0,Dati!$BJ$3&amp;": "&amp;INDEX(Dati!$BJ$1:$BJ$1000,MATCH($A21,Dati!$A$1:$A$1000,0))&amp;" · ",""))-3)),""))</f>
        <v/>
      </c>
      <c r="R21" s="55" t="str">
        <f aca="false">IF($B21="","",IFERROR(IF((IF(INDEX(Dati!$EM$1:$EM$1000,MATCH($A21,Dati!$A$1:$A$1000,0))&gt;0,Dati!$BK$3&amp;": "&amp;INDEX(Dati!$BK$1:$BK$1000,MATCH($A21,Dati!$A$1:$A$1000,0))&amp;" · ","")&amp;IF(INDEX(Dati!$EN$1:$EN$1000,MATCH($A21,Dati!$A$1:$A$1000,0))&gt;0,Dati!$BL$3&amp;": "&amp;INDEX(Dati!$BL$1:$BL$1000,MATCH($A21,Dati!$A$1:$A$1000,0))&amp;" · ","")&amp;IF(INDEX(Dati!$EO$1:$EO$1000,MATCH($A21,Dati!$A$1:$A$1000,0))&gt;0,Dati!$BM$3&amp;": "&amp;INDEX(Dati!$BM$1:$BM$1000,MATCH($A21,Dati!$A$1:$A$1000,0))&amp;" · ","")&amp;IF(INDEX(Dati!$EP$1:$EP$1000,MATCH($A21,Dati!$A$1:$A$1000,0))&gt;0,Dati!$BN$3&amp;": "&amp;INDEX(Dati!$BN$1:$BN$1000,MATCH($A21,Dati!$A$1:$A$1000,0))&amp;" · ",""))="",IF(INDEX(Dati!$FV$1:$FV$1000,MATCH($A21,Dati!$A$1:$A$1000,0))=1,"AS da recuperare",""),LEFT(IF(INDEX(Dati!$EM$1:$EM$1000,MATCH($A21,Dati!$A$1:$A$1000,0))&gt;0,Dati!$BK$3&amp;": "&amp;INDEX(Dati!$BK$1:$BK$1000,MATCH($A21,Dati!$A$1:$A$1000,0))&amp;" · ","")&amp;IF(INDEX(Dati!$EN$1:$EN$1000,MATCH($A21,Dati!$A$1:$A$1000,0))&gt;0,Dati!$BL$3&amp;": "&amp;INDEX(Dati!$BL$1:$BL$1000,MATCH($A21,Dati!$A$1:$A$1000,0))&amp;" · ","")&amp;IF(INDEX(Dati!$EO$1:$EO$1000,MATCH($A21,Dati!$A$1:$A$1000,0))&gt;0,Dati!$BM$3&amp;": "&amp;INDEX(Dati!$BM$1:$BM$1000,MATCH($A21,Dati!$A$1:$A$1000,0))&amp;" · ","")&amp;IF(INDEX(Dati!$EP$1:$EP$1000,MATCH($A21,Dati!$A$1:$A$1000,0))&gt;0,Dati!$BN$3&amp;": "&amp;INDEX(Dati!$BN$1:$BN$1000,MATCH($A21,Dati!$A$1:$A$1000,0))&amp;" · ",""),LEN(IF(INDEX(Dati!$EM$1:$EM$1000,MATCH($A21,Dati!$A$1:$A$1000,0))&gt;0,Dati!$BK$3&amp;": "&amp;INDEX(Dati!$BK$1:$BK$1000,MATCH($A21,Dati!$A$1:$A$1000,0))&amp;" · ","")&amp;IF(INDEX(Dati!$EN$1:$EN$1000,MATCH($A21,Dati!$A$1:$A$1000,0))&gt;0,Dati!$BL$3&amp;": "&amp;INDEX(Dati!$BL$1:$BL$1000,MATCH($A21,Dati!$A$1:$A$1000,0))&amp;" · ","")&amp;IF(INDEX(Dati!$EO$1:$EO$1000,MATCH($A21,Dati!$A$1:$A$1000,0))&gt;0,Dati!$BM$3&amp;": "&amp;INDEX(Dati!$BM$1:$BM$1000,MATCH($A21,Dati!$A$1:$A$1000,0))&amp;" · ","")&amp;IF(INDEX(Dati!$EP$1:$EP$1000,MATCH($A21,Dati!$A$1:$A$1000,0))&gt;0,Dati!$BN$3&amp;": "&amp;INDEX(Dati!$BN$1:$BN$1000,MATCH($A21,Dati!$A$1:$A$1000,0))&amp;" · ",""))-3)),""))</f>
        <v/>
      </c>
      <c r="S21" s="55" t="str">
        <f aca="false">IF($B21="","",IFERROR(IF((IF(INDEX(Dati!$EQ$1:$EQ$1000,MATCH($A21,Dati!$A$1:$A$1000,0))&gt;0,Dati!$BO$3&amp;": "&amp;INDEX(Dati!$BO$1:$BO$1000,MATCH($A21,Dati!$A$1:$A$1000,0))&amp;" · ","")&amp;IF(INDEX(Dati!$ER$1:$ER$1000,MATCH($A21,Dati!$A$1:$A$1000,0))&gt;0,Dati!$BP$3&amp;": "&amp;INDEX(Dati!$BP$1:$BP$1000,MATCH($A21,Dati!$A$1:$A$1000,0))&amp;" · ","")&amp;IF(INDEX(Dati!$ES$1:$ES$1000,MATCH($A21,Dati!$A$1:$A$1000,0))&gt;0,Dati!$BQ$3&amp;": "&amp;INDEX(Dati!$BQ$1:$BQ$1000,MATCH($A21,Dati!$A$1:$A$1000,0))&amp;" · ","")&amp;IF(INDEX(Dati!$ET$1:$ET$1000,MATCH($A21,Dati!$A$1:$A$1000,0))&gt;0,Dati!$BR$3&amp;": "&amp;INDEX(Dati!$BR$1:$BR$1000,MATCH($A21,Dati!$A$1:$A$1000,0))&amp;" · ",""))="",IF(INDEX(Dati!$FW$1:$FW$1000,MATCH($A21,Dati!$A$1:$A$1000,0))=1,"AS da recuperare",""),LEFT(IF(INDEX(Dati!$EQ$1:$EQ$1000,MATCH($A21,Dati!$A$1:$A$1000,0))&gt;0,Dati!$BO$3&amp;": "&amp;INDEX(Dati!$BO$1:$BO$1000,MATCH($A21,Dati!$A$1:$A$1000,0))&amp;" · ","")&amp;IF(INDEX(Dati!$ER$1:$ER$1000,MATCH($A21,Dati!$A$1:$A$1000,0))&gt;0,Dati!$BP$3&amp;": "&amp;INDEX(Dati!$BP$1:$BP$1000,MATCH($A21,Dati!$A$1:$A$1000,0))&amp;" · ","")&amp;IF(INDEX(Dati!$ES$1:$ES$1000,MATCH($A21,Dati!$A$1:$A$1000,0))&gt;0,Dati!$BQ$3&amp;": "&amp;INDEX(Dati!$BQ$1:$BQ$1000,MATCH($A21,Dati!$A$1:$A$1000,0))&amp;" · ","")&amp;IF(INDEX(Dati!$ET$1:$ET$1000,MATCH($A21,Dati!$A$1:$A$1000,0))&gt;0,Dati!$BR$3&amp;": "&amp;INDEX(Dati!$BR$1:$BR$1000,MATCH($A21,Dati!$A$1:$A$1000,0))&amp;" · ",""),LEN(IF(INDEX(Dati!$EQ$1:$EQ$1000,MATCH($A21,Dati!$A$1:$A$1000,0))&gt;0,Dati!$BO$3&amp;": "&amp;INDEX(Dati!$BO$1:$BO$1000,MATCH($A21,Dati!$A$1:$A$1000,0))&amp;" · ","")&amp;IF(INDEX(Dati!$ER$1:$ER$1000,MATCH($A21,Dati!$A$1:$A$1000,0))&gt;0,Dati!$BP$3&amp;": "&amp;INDEX(Dati!$BP$1:$BP$1000,MATCH($A21,Dati!$A$1:$A$1000,0))&amp;" · ","")&amp;IF(INDEX(Dati!$ES$1:$ES$1000,MATCH($A21,Dati!$A$1:$A$1000,0))&gt;0,Dati!$BQ$3&amp;": "&amp;INDEX(Dati!$BQ$1:$BQ$1000,MATCH($A21,Dati!$A$1:$A$1000,0))&amp;" · ","")&amp;IF(INDEX(Dati!$ET$1:$ET$1000,MATCH($A21,Dati!$A$1:$A$1000,0))&gt;0,Dati!$BR$3&amp;": "&amp;INDEX(Dati!$BR$1:$BR$1000,MATCH($A21,Dati!$A$1:$A$1000,0))&amp;" · ",""))-3)),""))</f>
        <v/>
      </c>
      <c r="T21" s="55" t="str">
        <f aca="false">IF($B21="","",IFERROR(IF((IF(INDEX(Dati!$EU$1:$EU$1000,MATCH($A21,Dati!$A$1:$A$1000,0))&gt;0,Dati!$BS$3&amp;": "&amp;INDEX(Dati!$BS$1:$BS$1000,MATCH($A21,Dati!$A$1:$A$1000,0))&amp;" · ","")&amp;IF(INDEX(Dati!$EV$1:$EV$1000,MATCH($A21,Dati!$A$1:$A$1000,0))&gt;0,Dati!$BT$3&amp;": "&amp;INDEX(Dati!$BT$1:$BT$1000,MATCH($A21,Dati!$A$1:$A$1000,0))&amp;" · ","")&amp;IF(INDEX(Dati!$EW$1:$EW$1000,MATCH($A21,Dati!$A$1:$A$1000,0))&gt;0,Dati!$BU$3&amp;": "&amp;INDEX(Dati!$BU$1:$BU$1000,MATCH($A21,Dati!$A$1:$A$1000,0))&amp;" · ","")&amp;IF(INDEX(Dati!$EX$1:$EX$1000,MATCH($A21,Dati!$A$1:$A$1000,0))&gt;0,Dati!$BV$3&amp;": "&amp;INDEX(Dati!$BV$1:$BV$1000,MATCH($A21,Dati!$A$1:$A$1000,0))&amp;" · ",""))="",IF(INDEX(Dati!$FX$1:$FX$1000,MATCH($A21,Dati!$A$1:$A$1000,0))=1,"AS da recuperare",""),LEFT(IF(INDEX(Dati!$EU$1:$EU$1000,MATCH($A21,Dati!$A$1:$A$1000,0))&gt;0,Dati!$BS$3&amp;": "&amp;INDEX(Dati!$BS$1:$BS$1000,MATCH($A21,Dati!$A$1:$A$1000,0))&amp;" · ","")&amp;IF(INDEX(Dati!$EV$1:$EV$1000,MATCH($A21,Dati!$A$1:$A$1000,0))&gt;0,Dati!$BT$3&amp;": "&amp;INDEX(Dati!$BT$1:$BT$1000,MATCH($A21,Dati!$A$1:$A$1000,0))&amp;" · ","")&amp;IF(INDEX(Dati!$EW$1:$EW$1000,MATCH($A21,Dati!$A$1:$A$1000,0))&gt;0,Dati!$BU$3&amp;": "&amp;INDEX(Dati!$BU$1:$BU$1000,MATCH($A21,Dati!$A$1:$A$1000,0))&amp;" · ","")&amp;IF(INDEX(Dati!$EX$1:$EX$1000,MATCH($A21,Dati!$A$1:$A$1000,0))&gt;0,Dati!$BV$3&amp;": "&amp;INDEX(Dati!$BV$1:$BV$1000,MATCH($A21,Dati!$A$1:$A$1000,0))&amp;" · ",""),LEN(IF(INDEX(Dati!$EU$1:$EU$1000,MATCH($A21,Dati!$A$1:$A$1000,0))&gt;0,Dati!$BS$3&amp;": "&amp;INDEX(Dati!$BS$1:$BS$1000,MATCH($A21,Dati!$A$1:$A$1000,0))&amp;" · ","")&amp;IF(INDEX(Dati!$EV$1:$EV$1000,MATCH($A21,Dati!$A$1:$A$1000,0))&gt;0,Dati!$BT$3&amp;": "&amp;INDEX(Dati!$BT$1:$BT$1000,MATCH($A21,Dati!$A$1:$A$1000,0))&amp;" · ","")&amp;IF(INDEX(Dati!$EW$1:$EW$1000,MATCH($A21,Dati!$A$1:$A$1000,0))&gt;0,Dati!$BU$3&amp;": "&amp;INDEX(Dati!$BU$1:$BU$1000,MATCH($A21,Dati!$A$1:$A$1000,0))&amp;" · ","")&amp;IF(INDEX(Dati!$EX$1:$EX$1000,MATCH($A21,Dati!$A$1:$A$1000,0))&gt;0,Dati!$BV$3&amp;": "&amp;INDEX(Dati!$BV$1:$BV$1000,MATCH($A21,Dati!$A$1:$A$1000,0))&amp;" · ",""))-3)),""))</f>
        <v/>
      </c>
      <c r="U21" s="55" t="str">
        <f aca="false">IF($B21="","",IFERROR(IF((IF(INDEX(Dati!$EY$1:$EY$1000,MATCH($A21,Dati!$A$1:$A$1000,0))&gt;0,Dati!$BW$3&amp;": "&amp;INDEX(Dati!$BW$1:$BW$1000,MATCH($A21,Dati!$A$1:$A$1000,0))&amp;" · ","")&amp;IF(INDEX(Dati!$EZ$1:$EZ$1000,MATCH($A21,Dati!$A$1:$A$1000,0))&gt;0,Dati!$BX$3&amp;": "&amp;INDEX(Dati!$BX$1:$BX$1000,MATCH($A21,Dati!$A$1:$A$1000,0))&amp;" · ","")&amp;IF(INDEX(Dati!$FA$1:$FA$1000,MATCH($A21,Dati!$A$1:$A$1000,0))&gt;0,Dati!$BY$3&amp;": "&amp;INDEX(Dati!$BY$1:$BY$1000,MATCH($A21,Dati!$A$1:$A$1000,0))&amp;" · ","")&amp;IF(INDEX(Dati!$FB$1:$FB$1000,MATCH($A21,Dati!$A$1:$A$1000,0))&gt;0,Dati!$BZ$3&amp;": "&amp;INDEX(Dati!$BZ$1:$BZ$1000,MATCH($A21,Dati!$A$1:$A$1000,0))&amp;" · ",""))="",IF(INDEX(Dati!$FY$1:$FY$1000,MATCH($A21,Dati!$A$1:$A$1000,0))=1,"AS da recuperare",""),LEFT(IF(INDEX(Dati!$EY$1:$EY$1000,MATCH($A21,Dati!$A$1:$A$1000,0))&gt;0,Dati!$BW$3&amp;": "&amp;INDEX(Dati!$BW$1:$BW$1000,MATCH($A21,Dati!$A$1:$A$1000,0))&amp;" · ","")&amp;IF(INDEX(Dati!$EZ$1:$EZ$1000,MATCH($A21,Dati!$A$1:$A$1000,0))&gt;0,Dati!$BX$3&amp;": "&amp;INDEX(Dati!$BX$1:$BX$1000,MATCH($A21,Dati!$A$1:$A$1000,0))&amp;" · ","")&amp;IF(INDEX(Dati!$FA$1:$FA$1000,MATCH($A21,Dati!$A$1:$A$1000,0))&gt;0,Dati!$BY$3&amp;": "&amp;INDEX(Dati!$BY$1:$BY$1000,MATCH($A21,Dati!$A$1:$A$1000,0))&amp;" · ","")&amp;IF(INDEX(Dati!$FB$1:$FB$1000,MATCH($A21,Dati!$A$1:$A$1000,0))&gt;0,Dati!$BZ$3&amp;": "&amp;INDEX(Dati!$BZ$1:$BZ$1000,MATCH($A21,Dati!$A$1:$A$1000,0))&amp;" · ",""),LEN(IF(INDEX(Dati!$EY$1:$EY$1000,MATCH($A21,Dati!$A$1:$A$1000,0))&gt;0,Dati!$BW$3&amp;": "&amp;INDEX(Dati!$BW$1:$BW$1000,MATCH($A21,Dati!$A$1:$A$1000,0))&amp;" · ","")&amp;IF(INDEX(Dati!$EZ$1:$EZ$1000,MATCH($A21,Dati!$A$1:$A$1000,0))&gt;0,Dati!$BX$3&amp;": "&amp;INDEX(Dati!$BX$1:$BX$1000,MATCH($A21,Dati!$A$1:$A$1000,0))&amp;" · ","")&amp;IF(INDEX(Dati!$FA$1:$FA$1000,MATCH($A21,Dati!$A$1:$A$1000,0))&gt;0,Dati!$BY$3&amp;": "&amp;INDEX(Dati!$BY$1:$BY$1000,MATCH($A21,Dati!$A$1:$A$1000,0))&amp;" · ","")&amp;IF(INDEX(Dati!$FB$1:$FB$1000,MATCH($A21,Dati!$A$1:$A$1000,0))&gt;0,Dati!$BZ$3&amp;": "&amp;INDEX(Dati!$BZ$1:$BZ$1000,MATCH($A21,Dati!$A$1:$A$1000,0))&amp;" · ",""))-3)),""))</f>
        <v/>
      </c>
      <c r="V21" s="55" t="str">
        <f aca="false">IF($B21="","",IFERROR(IF((IF(INDEX(Dati!$FC$1:$FC$1000,MATCH($A21,Dati!$A$1:$A$1000,0))&gt;0,Dati!$CA$3&amp;": "&amp;INDEX(Dati!$CA$1:$CA$1000,MATCH($A21,Dati!$A$1:$A$1000,0))&amp;" · ","")&amp;IF(INDEX(Dati!$FD$1:$FD$1000,MATCH($A21,Dati!$A$1:$A$1000,0))&gt;0,Dati!$CB$3&amp;": "&amp;INDEX(Dati!$CB$1:$CB$1000,MATCH($A21,Dati!$A$1:$A$1000,0))&amp;" · ","")&amp;IF(INDEX(Dati!$FE$1:$FE$1000,MATCH($A21,Dati!$A$1:$A$1000,0))&gt;0,Dati!$CC$3&amp;": "&amp;INDEX(Dati!$CC$1:$CC$1000,MATCH($A21,Dati!$A$1:$A$1000,0))&amp;" · ","")&amp;IF(INDEX(Dati!$FF$1:$FF$1000,MATCH($A21,Dati!$A$1:$A$1000,0))&gt;0,Dati!$CD$3&amp;": "&amp;INDEX(Dati!$CD$1:$CD$1000,MATCH($A21,Dati!$A$1:$A$1000,0))&amp;" · ",""))="",IF(INDEX(Dati!$FZ$1:$FZ$1000,MATCH($A21,Dati!$A$1:$A$1000,0))=1,"AS da recuperare",""),LEFT(IF(INDEX(Dati!$FC$1:$FC$1000,MATCH($A21,Dati!$A$1:$A$1000,0))&gt;0,Dati!$CA$3&amp;": "&amp;INDEX(Dati!$CA$1:$CA$1000,MATCH($A21,Dati!$A$1:$A$1000,0))&amp;" · ","")&amp;IF(INDEX(Dati!$FD$1:$FD$1000,MATCH($A21,Dati!$A$1:$A$1000,0))&gt;0,Dati!$CB$3&amp;": "&amp;INDEX(Dati!$CB$1:$CB$1000,MATCH($A21,Dati!$A$1:$A$1000,0))&amp;" · ","")&amp;IF(INDEX(Dati!$FE$1:$FE$1000,MATCH($A21,Dati!$A$1:$A$1000,0))&gt;0,Dati!$CC$3&amp;": "&amp;INDEX(Dati!$CC$1:$CC$1000,MATCH($A21,Dati!$A$1:$A$1000,0))&amp;" · ","")&amp;IF(INDEX(Dati!$FF$1:$FF$1000,MATCH($A21,Dati!$A$1:$A$1000,0))&gt;0,Dati!$CD$3&amp;": "&amp;INDEX(Dati!$CD$1:$CD$1000,MATCH($A21,Dati!$A$1:$A$1000,0))&amp;" · ",""),LEN(IF(INDEX(Dati!$FC$1:$FC$1000,MATCH($A21,Dati!$A$1:$A$1000,0))&gt;0,Dati!$CA$3&amp;": "&amp;INDEX(Dati!$CA$1:$CA$1000,MATCH($A21,Dati!$A$1:$A$1000,0))&amp;" · ","")&amp;IF(INDEX(Dati!$FD$1:$FD$1000,MATCH($A21,Dati!$A$1:$A$1000,0))&gt;0,Dati!$CB$3&amp;": "&amp;INDEX(Dati!$CB$1:$CB$1000,MATCH($A21,Dati!$A$1:$A$1000,0))&amp;" · ","")&amp;IF(INDEX(Dati!$FE$1:$FE$1000,MATCH($A21,Dati!$A$1:$A$1000,0))&gt;0,Dati!$CC$3&amp;": "&amp;INDEX(Dati!$CC$1:$CC$1000,MATCH($A21,Dati!$A$1:$A$1000,0))&amp;" · ","")&amp;IF(INDEX(Dati!$FF$1:$FF$1000,MATCH($A21,Dati!$A$1:$A$1000,0))&gt;0,Dati!$CD$3&amp;": "&amp;INDEX(Dati!$CD$1:$CD$1000,MATCH($A21,Dati!$A$1:$A$1000,0))&amp;" · ",""))-3)),""))</f>
        <v/>
      </c>
    </row>
    <row r="22" customFormat="false" ht="19.5" hidden="false" customHeight="true" outlineLevel="0" collapsed="false">
      <c r="A22" s="10" t="n">
        <v>18</v>
      </c>
      <c r="B22" s="16" t="str">
        <f aca="false">IFERROR(INDEX(Alunni!$C$1:$C$1000,MATCH($A22,Alunni!$A$1:$A$1000,0))&amp;"","")</f>
        <v/>
      </c>
      <c r="C22" s="55" t="str">
        <f aca="false">IF($B22="","",IFERROR(IF((IF(INDEX(Dati!$CE$1:$CE$1000,MATCH($A22,Dati!$A$1:$A$1000,0))&gt;0,Dati!$C$3&amp;": "&amp;INDEX(Dati!$C$1:$C$1000,MATCH($A22,Dati!$A$1:$A$1000,0))&amp;" · ","")&amp;IF(INDEX(Dati!$CF$1:$CF$1000,MATCH($A22,Dati!$A$1:$A$1000,0))&gt;0,Dati!$D$3&amp;": "&amp;INDEX(Dati!$D$1:$D$1000,MATCH($A22,Dati!$A$1:$A$1000,0))&amp;" · ","")&amp;IF(INDEX(Dati!$CG$1:$CG$1000,MATCH($A22,Dati!$A$1:$A$1000,0))&gt;0,Dati!$E$3&amp;": "&amp;INDEX(Dati!$E$1:$E$1000,MATCH($A22,Dati!$A$1:$A$1000,0))&amp;" · ","")&amp;IF(INDEX(Dati!$CH$1:$CH$1000,MATCH($A22,Dati!$A$1:$A$1000,0))&gt;0,Dati!$F$3&amp;": "&amp;INDEX(Dati!$F$1:$F$1000,MATCH($A22,Dati!$A$1:$A$1000,0))&amp;" · ",""))="",IF(INDEX(Dati!$FG$1:$FG$1000,MATCH($A22,Dati!$A$1:$A$1000,0))=1,"AS da recuperare",""),LEFT(IF(INDEX(Dati!$CE$1:$CE$1000,MATCH($A22,Dati!$A$1:$A$1000,0))&gt;0,Dati!$C$3&amp;": "&amp;INDEX(Dati!$C$1:$C$1000,MATCH($A22,Dati!$A$1:$A$1000,0))&amp;" · ","")&amp;IF(INDEX(Dati!$CF$1:$CF$1000,MATCH($A22,Dati!$A$1:$A$1000,0))&gt;0,Dati!$D$3&amp;": "&amp;INDEX(Dati!$D$1:$D$1000,MATCH($A22,Dati!$A$1:$A$1000,0))&amp;" · ","")&amp;IF(INDEX(Dati!$CG$1:$CG$1000,MATCH($A22,Dati!$A$1:$A$1000,0))&gt;0,Dati!$E$3&amp;": "&amp;INDEX(Dati!$E$1:$E$1000,MATCH($A22,Dati!$A$1:$A$1000,0))&amp;" · ","")&amp;IF(INDEX(Dati!$CH$1:$CH$1000,MATCH($A22,Dati!$A$1:$A$1000,0))&gt;0,Dati!$F$3&amp;": "&amp;INDEX(Dati!$F$1:$F$1000,MATCH($A22,Dati!$A$1:$A$1000,0))&amp;" · ",""),LEN(IF(INDEX(Dati!$CE$1:$CE$1000,MATCH($A22,Dati!$A$1:$A$1000,0))&gt;0,Dati!$C$3&amp;": "&amp;INDEX(Dati!$C$1:$C$1000,MATCH($A22,Dati!$A$1:$A$1000,0))&amp;" · ","")&amp;IF(INDEX(Dati!$CF$1:$CF$1000,MATCH($A22,Dati!$A$1:$A$1000,0))&gt;0,Dati!$D$3&amp;": "&amp;INDEX(Dati!$D$1:$D$1000,MATCH($A22,Dati!$A$1:$A$1000,0))&amp;" · ","")&amp;IF(INDEX(Dati!$CG$1:$CG$1000,MATCH($A22,Dati!$A$1:$A$1000,0))&gt;0,Dati!$E$3&amp;": "&amp;INDEX(Dati!$E$1:$E$1000,MATCH($A22,Dati!$A$1:$A$1000,0))&amp;" · ","")&amp;IF(INDEX(Dati!$CH$1:$CH$1000,MATCH($A22,Dati!$A$1:$A$1000,0))&gt;0,Dati!$F$3&amp;": "&amp;INDEX(Dati!$F$1:$F$1000,MATCH($A22,Dati!$A$1:$A$1000,0))&amp;" · ",""))-3)),""))</f>
        <v/>
      </c>
      <c r="D22" s="55" t="str">
        <f aca="false">IF($B22="","",IFERROR(IF((IF(INDEX(Dati!$CI$1:$CI$1000,MATCH($A22,Dati!$A$1:$A$1000,0))&gt;0,Dati!$G$3&amp;": "&amp;INDEX(Dati!$G$1:$G$1000,MATCH($A22,Dati!$A$1:$A$1000,0))&amp;" · ","")&amp;IF(INDEX(Dati!$CJ$1:$CJ$1000,MATCH($A22,Dati!$A$1:$A$1000,0))&gt;0,Dati!$H$3&amp;": "&amp;INDEX(Dati!$H$1:$H$1000,MATCH($A22,Dati!$A$1:$A$1000,0))&amp;" · ","")&amp;IF(INDEX(Dati!$CK$1:$CK$1000,MATCH($A22,Dati!$A$1:$A$1000,0))&gt;0,Dati!$I$3&amp;": "&amp;INDEX(Dati!$I$1:$I$1000,MATCH($A22,Dati!$A$1:$A$1000,0))&amp;" · ","")&amp;IF(INDEX(Dati!$CL$1:$CL$1000,MATCH($A22,Dati!$A$1:$A$1000,0))&gt;0,Dati!$J$3&amp;": "&amp;INDEX(Dati!$J$1:$J$1000,MATCH($A22,Dati!$A$1:$A$1000,0))&amp;" · ",""))="",IF(INDEX(Dati!$FH$1:$FH$1000,MATCH($A22,Dati!$A$1:$A$1000,0))=1,"AS da recuperare",""),LEFT(IF(INDEX(Dati!$CI$1:$CI$1000,MATCH($A22,Dati!$A$1:$A$1000,0))&gt;0,Dati!$G$3&amp;": "&amp;INDEX(Dati!$G$1:$G$1000,MATCH($A22,Dati!$A$1:$A$1000,0))&amp;" · ","")&amp;IF(INDEX(Dati!$CJ$1:$CJ$1000,MATCH($A22,Dati!$A$1:$A$1000,0))&gt;0,Dati!$H$3&amp;": "&amp;INDEX(Dati!$H$1:$H$1000,MATCH($A22,Dati!$A$1:$A$1000,0))&amp;" · ","")&amp;IF(INDEX(Dati!$CK$1:$CK$1000,MATCH($A22,Dati!$A$1:$A$1000,0))&gt;0,Dati!$I$3&amp;": "&amp;INDEX(Dati!$I$1:$I$1000,MATCH($A22,Dati!$A$1:$A$1000,0))&amp;" · ","")&amp;IF(INDEX(Dati!$CL$1:$CL$1000,MATCH($A22,Dati!$A$1:$A$1000,0))&gt;0,Dati!$J$3&amp;": "&amp;INDEX(Dati!$J$1:$J$1000,MATCH($A22,Dati!$A$1:$A$1000,0))&amp;" · ",""),LEN(IF(INDEX(Dati!$CI$1:$CI$1000,MATCH($A22,Dati!$A$1:$A$1000,0))&gt;0,Dati!$G$3&amp;": "&amp;INDEX(Dati!$G$1:$G$1000,MATCH($A22,Dati!$A$1:$A$1000,0))&amp;" · ","")&amp;IF(INDEX(Dati!$CJ$1:$CJ$1000,MATCH($A22,Dati!$A$1:$A$1000,0))&gt;0,Dati!$H$3&amp;": "&amp;INDEX(Dati!$H$1:$H$1000,MATCH($A22,Dati!$A$1:$A$1000,0))&amp;" · ","")&amp;IF(INDEX(Dati!$CK$1:$CK$1000,MATCH($A22,Dati!$A$1:$A$1000,0))&gt;0,Dati!$I$3&amp;": "&amp;INDEX(Dati!$I$1:$I$1000,MATCH($A22,Dati!$A$1:$A$1000,0))&amp;" · ","")&amp;IF(INDEX(Dati!$CL$1:$CL$1000,MATCH($A22,Dati!$A$1:$A$1000,0))&gt;0,Dati!$J$3&amp;": "&amp;INDEX(Dati!$J$1:$J$1000,MATCH($A22,Dati!$A$1:$A$1000,0))&amp;" · ",""))-3)),""))</f>
        <v/>
      </c>
      <c r="E22" s="55" t="str">
        <f aca="false">IF($B22="","",IFERROR(IF((IF(INDEX(Dati!$CM$1:$CM$1000,MATCH($A22,Dati!$A$1:$A$1000,0))&gt;0,Dati!$K$3&amp;": "&amp;INDEX(Dati!$K$1:$K$1000,MATCH($A22,Dati!$A$1:$A$1000,0))&amp;" · ","")&amp;IF(INDEX(Dati!$CN$1:$CN$1000,MATCH($A22,Dati!$A$1:$A$1000,0))&gt;0,Dati!$L$3&amp;": "&amp;INDEX(Dati!$L$1:$L$1000,MATCH($A22,Dati!$A$1:$A$1000,0))&amp;" · ","")&amp;IF(INDEX(Dati!$CO$1:$CO$1000,MATCH($A22,Dati!$A$1:$A$1000,0))&gt;0,Dati!$M$3&amp;": "&amp;INDEX(Dati!$M$1:$M$1000,MATCH($A22,Dati!$A$1:$A$1000,0))&amp;" · ","")&amp;IF(INDEX(Dati!$CP$1:$CP$1000,MATCH($A22,Dati!$A$1:$A$1000,0))&gt;0,Dati!$N$3&amp;": "&amp;INDEX(Dati!$N$1:$N$1000,MATCH($A22,Dati!$A$1:$A$1000,0))&amp;" · ",""))="",IF(INDEX(Dati!$FI$1:$FI$1000,MATCH($A22,Dati!$A$1:$A$1000,0))=1,"AS da recuperare",""),LEFT(IF(INDEX(Dati!$CM$1:$CM$1000,MATCH($A22,Dati!$A$1:$A$1000,0))&gt;0,Dati!$K$3&amp;": "&amp;INDEX(Dati!$K$1:$K$1000,MATCH($A22,Dati!$A$1:$A$1000,0))&amp;" · ","")&amp;IF(INDEX(Dati!$CN$1:$CN$1000,MATCH($A22,Dati!$A$1:$A$1000,0))&gt;0,Dati!$L$3&amp;": "&amp;INDEX(Dati!$L$1:$L$1000,MATCH($A22,Dati!$A$1:$A$1000,0))&amp;" · ","")&amp;IF(INDEX(Dati!$CO$1:$CO$1000,MATCH($A22,Dati!$A$1:$A$1000,0))&gt;0,Dati!$M$3&amp;": "&amp;INDEX(Dati!$M$1:$M$1000,MATCH($A22,Dati!$A$1:$A$1000,0))&amp;" · ","")&amp;IF(INDEX(Dati!$CP$1:$CP$1000,MATCH($A22,Dati!$A$1:$A$1000,0))&gt;0,Dati!$N$3&amp;": "&amp;INDEX(Dati!$N$1:$N$1000,MATCH($A22,Dati!$A$1:$A$1000,0))&amp;" · ",""),LEN(IF(INDEX(Dati!$CM$1:$CM$1000,MATCH($A22,Dati!$A$1:$A$1000,0))&gt;0,Dati!$K$3&amp;": "&amp;INDEX(Dati!$K$1:$K$1000,MATCH($A22,Dati!$A$1:$A$1000,0))&amp;" · ","")&amp;IF(INDEX(Dati!$CN$1:$CN$1000,MATCH($A22,Dati!$A$1:$A$1000,0))&gt;0,Dati!$L$3&amp;": "&amp;INDEX(Dati!$L$1:$L$1000,MATCH($A22,Dati!$A$1:$A$1000,0))&amp;" · ","")&amp;IF(INDEX(Dati!$CO$1:$CO$1000,MATCH($A22,Dati!$A$1:$A$1000,0))&gt;0,Dati!$M$3&amp;": "&amp;INDEX(Dati!$M$1:$M$1000,MATCH($A22,Dati!$A$1:$A$1000,0))&amp;" · ","")&amp;IF(INDEX(Dati!$CP$1:$CP$1000,MATCH($A22,Dati!$A$1:$A$1000,0))&gt;0,Dati!$N$3&amp;": "&amp;INDEX(Dati!$N$1:$N$1000,MATCH($A22,Dati!$A$1:$A$1000,0))&amp;" · ",""))-3)),""))</f>
        <v/>
      </c>
      <c r="F22" s="55" t="str">
        <f aca="false">IF($B22="","",IFERROR(IF((IF(INDEX(Dati!$CQ$1:$CQ$1000,MATCH($A22,Dati!$A$1:$A$1000,0))&gt;0,Dati!$O$3&amp;": "&amp;INDEX(Dati!$O$1:$O$1000,MATCH($A22,Dati!$A$1:$A$1000,0))&amp;" · ","")&amp;IF(INDEX(Dati!$CR$1:$CR$1000,MATCH($A22,Dati!$A$1:$A$1000,0))&gt;0,Dati!$P$3&amp;": "&amp;INDEX(Dati!$P$1:$P$1000,MATCH($A22,Dati!$A$1:$A$1000,0))&amp;" · ","")&amp;IF(INDEX(Dati!$CS$1:$CS$1000,MATCH($A22,Dati!$A$1:$A$1000,0))&gt;0,Dati!$Q$3&amp;": "&amp;INDEX(Dati!$Q$1:$Q$1000,MATCH($A22,Dati!$A$1:$A$1000,0))&amp;" · ","")&amp;IF(INDEX(Dati!$CT$1:$CT$1000,MATCH($A22,Dati!$A$1:$A$1000,0))&gt;0,Dati!$R$3&amp;": "&amp;INDEX(Dati!$R$1:$R$1000,MATCH($A22,Dati!$A$1:$A$1000,0))&amp;" · ",""))="",IF(INDEX(Dati!$FJ$1:$FJ$1000,MATCH($A22,Dati!$A$1:$A$1000,0))=1,"AS da recuperare",""),LEFT(IF(INDEX(Dati!$CQ$1:$CQ$1000,MATCH($A22,Dati!$A$1:$A$1000,0))&gt;0,Dati!$O$3&amp;": "&amp;INDEX(Dati!$O$1:$O$1000,MATCH($A22,Dati!$A$1:$A$1000,0))&amp;" · ","")&amp;IF(INDEX(Dati!$CR$1:$CR$1000,MATCH($A22,Dati!$A$1:$A$1000,0))&gt;0,Dati!$P$3&amp;": "&amp;INDEX(Dati!$P$1:$P$1000,MATCH($A22,Dati!$A$1:$A$1000,0))&amp;" · ","")&amp;IF(INDEX(Dati!$CS$1:$CS$1000,MATCH($A22,Dati!$A$1:$A$1000,0))&gt;0,Dati!$Q$3&amp;": "&amp;INDEX(Dati!$Q$1:$Q$1000,MATCH($A22,Dati!$A$1:$A$1000,0))&amp;" · ","")&amp;IF(INDEX(Dati!$CT$1:$CT$1000,MATCH($A22,Dati!$A$1:$A$1000,0))&gt;0,Dati!$R$3&amp;": "&amp;INDEX(Dati!$R$1:$R$1000,MATCH($A22,Dati!$A$1:$A$1000,0))&amp;" · ",""),LEN(IF(INDEX(Dati!$CQ$1:$CQ$1000,MATCH($A22,Dati!$A$1:$A$1000,0))&gt;0,Dati!$O$3&amp;": "&amp;INDEX(Dati!$O$1:$O$1000,MATCH($A22,Dati!$A$1:$A$1000,0))&amp;" · ","")&amp;IF(INDEX(Dati!$CR$1:$CR$1000,MATCH($A22,Dati!$A$1:$A$1000,0))&gt;0,Dati!$P$3&amp;": "&amp;INDEX(Dati!$P$1:$P$1000,MATCH($A22,Dati!$A$1:$A$1000,0))&amp;" · ","")&amp;IF(INDEX(Dati!$CS$1:$CS$1000,MATCH($A22,Dati!$A$1:$A$1000,0))&gt;0,Dati!$Q$3&amp;": "&amp;INDEX(Dati!$Q$1:$Q$1000,MATCH($A22,Dati!$A$1:$A$1000,0))&amp;" · ","")&amp;IF(INDEX(Dati!$CT$1:$CT$1000,MATCH($A22,Dati!$A$1:$A$1000,0))&gt;0,Dati!$R$3&amp;": "&amp;INDEX(Dati!$R$1:$R$1000,MATCH($A22,Dati!$A$1:$A$1000,0))&amp;" · ",""))-3)),""))</f>
        <v/>
      </c>
      <c r="G22" s="55" t="str">
        <f aca="false">IF($B22="","",IFERROR(IF((IF(INDEX(Dati!$CU$1:$CU$1000,MATCH($A22,Dati!$A$1:$A$1000,0))&gt;0,Dati!$S$3&amp;": "&amp;INDEX(Dati!$S$1:$S$1000,MATCH($A22,Dati!$A$1:$A$1000,0))&amp;" · ","")&amp;IF(INDEX(Dati!$CV$1:$CV$1000,MATCH($A22,Dati!$A$1:$A$1000,0))&gt;0,Dati!$T$3&amp;": "&amp;INDEX(Dati!$T$1:$T$1000,MATCH($A22,Dati!$A$1:$A$1000,0))&amp;" · ","")&amp;IF(INDEX(Dati!$CW$1:$CW$1000,MATCH($A22,Dati!$A$1:$A$1000,0))&gt;0,Dati!$U$3&amp;": "&amp;INDEX(Dati!$U$1:$U$1000,MATCH($A22,Dati!$A$1:$A$1000,0))&amp;" · ","")&amp;IF(INDEX(Dati!$CX$1:$CX$1000,MATCH($A22,Dati!$A$1:$A$1000,0))&gt;0,Dati!$V$3&amp;": "&amp;INDEX(Dati!$V$1:$V$1000,MATCH($A22,Dati!$A$1:$A$1000,0))&amp;" · ",""))="",IF(INDEX(Dati!$FK$1:$FK$1000,MATCH($A22,Dati!$A$1:$A$1000,0))=1,"AS da recuperare",""),LEFT(IF(INDEX(Dati!$CU$1:$CU$1000,MATCH($A22,Dati!$A$1:$A$1000,0))&gt;0,Dati!$S$3&amp;": "&amp;INDEX(Dati!$S$1:$S$1000,MATCH($A22,Dati!$A$1:$A$1000,0))&amp;" · ","")&amp;IF(INDEX(Dati!$CV$1:$CV$1000,MATCH($A22,Dati!$A$1:$A$1000,0))&gt;0,Dati!$T$3&amp;": "&amp;INDEX(Dati!$T$1:$T$1000,MATCH($A22,Dati!$A$1:$A$1000,0))&amp;" · ","")&amp;IF(INDEX(Dati!$CW$1:$CW$1000,MATCH($A22,Dati!$A$1:$A$1000,0))&gt;0,Dati!$U$3&amp;": "&amp;INDEX(Dati!$U$1:$U$1000,MATCH($A22,Dati!$A$1:$A$1000,0))&amp;" · ","")&amp;IF(INDEX(Dati!$CX$1:$CX$1000,MATCH($A22,Dati!$A$1:$A$1000,0))&gt;0,Dati!$V$3&amp;": "&amp;INDEX(Dati!$V$1:$V$1000,MATCH($A22,Dati!$A$1:$A$1000,0))&amp;" · ",""),LEN(IF(INDEX(Dati!$CU$1:$CU$1000,MATCH($A22,Dati!$A$1:$A$1000,0))&gt;0,Dati!$S$3&amp;": "&amp;INDEX(Dati!$S$1:$S$1000,MATCH($A22,Dati!$A$1:$A$1000,0))&amp;" · ","")&amp;IF(INDEX(Dati!$CV$1:$CV$1000,MATCH($A22,Dati!$A$1:$A$1000,0))&gt;0,Dati!$T$3&amp;": "&amp;INDEX(Dati!$T$1:$T$1000,MATCH($A22,Dati!$A$1:$A$1000,0))&amp;" · ","")&amp;IF(INDEX(Dati!$CW$1:$CW$1000,MATCH($A22,Dati!$A$1:$A$1000,0))&gt;0,Dati!$U$3&amp;": "&amp;INDEX(Dati!$U$1:$U$1000,MATCH($A22,Dati!$A$1:$A$1000,0))&amp;" · ","")&amp;IF(INDEX(Dati!$CX$1:$CX$1000,MATCH($A22,Dati!$A$1:$A$1000,0))&gt;0,Dati!$V$3&amp;": "&amp;INDEX(Dati!$V$1:$V$1000,MATCH($A22,Dati!$A$1:$A$1000,0))&amp;" · ",""))-3)),""))</f>
        <v/>
      </c>
      <c r="H22" s="55" t="str">
        <f aca="false">IF($B22="","",IFERROR(IF((IF(INDEX(Dati!$CY$1:$CY$1000,MATCH($A22,Dati!$A$1:$A$1000,0))&gt;0,Dati!$W$3&amp;": "&amp;INDEX(Dati!$W$1:$W$1000,MATCH($A22,Dati!$A$1:$A$1000,0))&amp;" · ","")&amp;IF(INDEX(Dati!$CZ$1:$CZ$1000,MATCH($A22,Dati!$A$1:$A$1000,0))&gt;0,Dati!$X$3&amp;": "&amp;INDEX(Dati!$X$1:$X$1000,MATCH($A22,Dati!$A$1:$A$1000,0))&amp;" · ","")&amp;IF(INDEX(Dati!$DA$1:$DA$1000,MATCH($A22,Dati!$A$1:$A$1000,0))&gt;0,Dati!$Y$3&amp;": "&amp;INDEX(Dati!$Y$1:$Y$1000,MATCH($A22,Dati!$A$1:$A$1000,0))&amp;" · ","")&amp;IF(INDEX(Dati!$DB$1:$DB$1000,MATCH($A22,Dati!$A$1:$A$1000,0))&gt;0,Dati!$Z$3&amp;": "&amp;INDEX(Dati!$Z$1:$Z$1000,MATCH($A22,Dati!$A$1:$A$1000,0))&amp;" · ",""))="",IF(INDEX(Dati!$FL$1:$FL$1000,MATCH($A22,Dati!$A$1:$A$1000,0))=1,"AS da recuperare",""),LEFT(IF(INDEX(Dati!$CY$1:$CY$1000,MATCH($A22,Dati!$A$1:$A$1000,0))&gt;0,Dati!$W$3&amp;": "&amp;INDEX(Dati!$W$1:$W$1000,MATCH($A22,Dati!$A$1:$A$1000,0))&amp;" · ","")&amp;IF(INDEX(Dati!$CZ$1:$CZ$1000,MATCH($A22,Dati!$A$1:$A$1000,0))&gt;0,Dati!$X$3&amp;": "&amp;INDEX(Dati!$X$1:$X$1000,MATCH($A22,Dati!$A$1:$A$1000,0))&amp;" · ","")&amp;IF(INDEX(Dati!$DA$1:$DA$1000,MATCH($A22,Dati!$A$1:$A$1000,0))&gt;0,Dati!$Y$3&amp;": "&amp;INDEX(Dati!$Y$1:$Y$1000,MATCH($A22,Dati!$A$1:$A$1000,0))&amp;" · ","")&amp;IF(INDEX(Dati!$DB$1:$DB$1000,MATCH($A22,Dati!$A$1:$A$1000,0))&gt;0,Dati!$Z$3&amp;": "&amp;INDEX(Dati!$Z$1:$Z$1000,MATCH($A22,Dati!$A$1:$A$1000,0))&amp;" · ",""),LEN(IF(INDEX(Dati!$CY$1:$CY$1000,MATCH($A22,Dati!$A$1:$A$1000,0))&gt;0,Dati!$W$3&amp;": "&amp;INDEX(Dati!$W$1:$W$1000,MATCH($A22,Dati!$A$1:$A$1000,0))&amp;" · ","")&amp;IF(INDEX(Dati!$CZ$1:$CZ$1000,MATCH($A22,Dati!$A$1:$A$1000,0))&gt;0,Dati!$X$3&amp;": "&amp;INDEX(Dati!$X$1:$X$1000,MATCH($A22,Dati!$A$1:$A$1000,0))&amp;" · ","")&amp;IF(INDEX(Dati!$DA$1:$DA$1000,MATCH($A22,Dati!$A$1:$A$1000,0))&gt;0,Dati!$Y$3&amp;": "&amp;INDEX(Dati!$Y$1:$Y$1000,MATCH($A22,Dati!$A$1:$A$1000,0))&amp;" · ","")&amp;IF(INDEX(Dati!$DB$1:$DB$1000,MATCH($A22,Dati!$A$1:$A$1000,0))&gt;0,Dati!$Z$3&amp;": "&amp;INDEX(Dati!$Z$1:$Z$1000,MATCH($A22,Dati!$A$1:$A$1000,0))&amp;" · ",""))-3)),""))</f>
        <v/>
      </c>
      <c r="I22" s="55" t="str">
        <f aca="false">IF($B22="","",IFERROR(IF((IF(INDEX(Dati!$DC$1:$DC$1000,MATCH($A22,Dati!$A$1:$A$1000,0))&gt;0,Dati!$AA$3&amp;": "&amp;INDEX(Dati!$AA$1:$AA$1000,MATCH($A22,Dati!$A$1:$A$1000,0))&amp;" · ","")&amp;IF(INDEX(Dati!$DD$1:$DD$1000,MATCH($A22,Dati!$A$1:$A$1000,0))&gt;0,Dati!$AB$3&amp;": "&amp;INDEX(Dati!$AB$1:$AB$1000,MATCH($A22,Dati!$A$1:$A$1000,0))&amp;" · ","")&amp;IF(INDEX(Dati!$DE$1:$DE$1000,MATCH($A22,Dati!$A$1:$A$1000,0))&gt;0,Dati!$AC$3&amp;": "&amp;INDEX(Dati!$AC$1:$AC$1000,MATCH($A22,Dati!$A$1:$A$1000,0))&amp;" · ","")&amp;IF(INDEX(Dati!$DF$1:$DF$1000,MATCH($A22,Dati!$A$1:$A$1000,0))&gt;0,Dati!$AD$3&amp;": "&amp;INDEX(Dati!$AD$1:$AD$1000,MATCH($A22,Dati!$A$1:$A$1000,0))&amp;" · ",""))="",IF(INDEX(Dati!$FM$1:$FM$1000,MATCH($A22,Dati!$A$1:$A$1000,0))=1,"AS da recuperare",""),LEFT(IF(INDEX(Dati!$DC$1:$DC$1000,MATCH($A22,Dati!$A$1:$A$1000,0))&gt;0,Dati!$AA$3&amp;": "&amp;INDEX(Dati!$AA$1:$AA$1000,MATCH($A22,Dati!$A$1:$A$1000,0))&amp;" · ","")&amp;IF(INDEX(Dati!$DD$1:$DD$1000,MATCH($A22,Dati!$A$1:$A$1000,0))&gt;0,Dati!$AB$3&amp;": "&amp;INDEX(Dati!$AB$1:$AB$1000,MATCH($A22,Dati!$A$1:$A$1000,0))&amp;" · ","")&amp;IF(INDEX(Dati!$DE$1:$DE$1000,MATCH($A22,Dati!$A$1:$A$1000,0))&gt;0,Dati!$AC$3&amp;": "&amp;INDEX(Dati!$AC$1:$AC$1000,MATCH($A22,Dati!$A$1:$A$1000,0))&amp;" · ","")&amp;IF(INDEX(Dati!$DF$1:$DF$1000,MATCH($A22,Dati!$A$1:$A$1000,0))&gt;0,Dati!$AD$3&amp;": "&amp;INDEX(Dati!$AD$1:$AD$1000,MATCH($A22,Dati!$A$1:$A$1000,0))&amp;" · ",""),LEN(IF(INDEX(Dati!$DC$1:$DC$1000,MATCH($A22,Dati!$A$1:$A$1000,0))&gt;0,Dati!$AA$3&amp;": "&amp;INDEX(Dati!$AA$1:$AA$1000,MATCH($A22,Dati!$A$1:$A$1000,0))&amp;" · ","")&amp;IF(INDEX(Dati!$DD$1:$DD$1000,MATCH($A22,Dati!$A$1:$A$1000,0))&gt;0,Dati!$AB$3&amp;": "&amp;INDEX(Dati!$AB$1:$AB$1000,MATCH($A22,Dati!$A$1:$A$1000,0))&amp;" · ","")&amp;IF(INDEX(Dati!$DE$1:$DE$1000,MATCH($A22,Dati!$A$1:$A$1000,0))&gt;0,Dati!$AC$3&amp;": "&amp;INDEX(Dati!$AC$1:$AC$1000,MATCH($A22,Dati!$A$1:$A$1000,0))&amp;" · ","")&amp;IF(INDEX(Dati!$DF$1:$DF$1000,MATCH($A22,Dati!$A$1:$A$1000,0))&gt;0,Dati!$AD$3&amp;": "&amp;INDEX(Dati!$AD$1:$AD$1000,MATCH($A22,Dati!$A$1:$A$1000,0))&amp;" · ",""))-3)),""))</f>
        <v/>
      </c>
      <c r="J22" s="55" t="str">
        <f aca="false">IF($B22="","",IFERROR(IF((IF(INDEX(Dati!$DG$1:$DG$1000,MATCH($A22,Dati!$A$1:$A$1000,0))&gt;0,Dati!$AE$3&amp;": "&amp;INDEX(Dati!$AE$1:$AE$1000,MATCH($A22,Dati!$A$1:$A$1000,0))&amp;" · ","")&amp;IF(INDEX(Dati!$DH$1:$DH$1000,MATCH($A22,Dati!$A$1:$A$1000,0))&gt;0,Dati!$AF$3&amp;": "&amp;INDEX(Dati!$AF$1:$AF$1000,MATCH($A22,Dati!$A$1:$A$1000,0))&amp;" · ","")&amp;IF(INDEX(Dati!$DI$1:$DI$1000,MATCH($A22,Dati!$A$1:$A$1000,0))&gt;0,Dati!$AG$3&amp;": "&amp;INDEX(Dati!$AG$1:$AG$1000,MATCH($A22,Dati!$A$1:$A$1000,0))&amp;" · ","")&amp;IF(INDEX(Dati!$DJ$1:$DJ$1000,MATCH($A22,Dati!$A$1:$A$1000,0))&gt;0,Dati!$AH$3&amp;": "&amp;INDEX(Dati!$AH$1:$AH$1000,MATCH($A22,Dati!$A$1:$A$1000,0))&amp;" · ",""))="",IF(INDEX(Dati!$FN$1:$FN$1000,MATCH($A22,Dati!$A$1:$A$1000,0))=1,"AS da recuperare",""),LEFT(IF(INDEX(Dati!$DG$1:$DG$1000,MATCH($A22,Dati!$A$1:$A$1000,0))&gt;0,Dati!$AE$3&amp;": "&amp;INDEX(Dati!$AE$1:$AE$1000,MATCH($A22,Dati!$A$1:$A$1000,0))&amp;" · ","")&amp;IF(INDEX(Dati!$DH$1:$DH$1000,MATCH($A22,Dati!$A$1:$A$1000,0))&gt;0,Dati!$AF$3&amp;": "&amp;INDEX(Dati!$AF$1:$AF$1000,MATCH($A22,Dati!$A$1:$A$1000,0))&amp;" · ","")&amp;IF(INDEX(Dati!$DI$1:$DI$1000,MATCH($A22,Dati!$A$1:$A$1000,0))&gt;0,Dati!$AG$3&amp;": "&amp;INDEX(Dati!$AG$1:$AG$1000,MATCH($A22,Dati!$A$1:$A$1000,0))&amp;" · ","")&amp;IF(INDEX(Dati!$DJ$1:$DJ$1000,MATCH($A22,Dati!$A$1:$A$1000,0))&gt;0,Dati!$AH$3&amp;": "&amp;INDEX(Dati!$AH$1:$AH$1000,MATCH($A22,Dati!$A$1:$A$1000,0))&amp;" · ",""),LEN(IF(INDEX(Dati!$DG$1:$DG$1000,MATCH($A22,Dati!$A$1:$A$1000,0))&gt;0,Dati!$AE$3&amp;": "&amp;INDEX(Dati!$AE$1:$AE$1000,MATCH($A22,Dati!$A$1:$A$1000,0))&amp;" · ","")&amp;IF(INDEX(Dati!$DH$1:$DH$1000,MATCH($A22,Dati!$A$1:$A$1000,0))&gt;0,Dati!$AF$3&amp;": "&amp;INDEX(Dati!$AF$1:$AF$1000,MATCH($A22,Dati!$A$1:$A$1000,0))&amp;" · ","")&amp;IF(INDEX(Dati!$DI$1:$DI$1000,MATCH($A22,Dati!$A$1:$A$1000,0))&gt;0,Dati!$AG$3&amp;": "&amp;INDEX(Dati!$AG$1:$AG$1000,MATCH($A22,Dati!$A$1:$A$1000,0))&amp;" · ","")&amp;IF(INDEX(Dati!$DJ$1:$DJ$1000,MATCH($A22,Dati!$A$1:$A$1000,0))&gt;0,Dati!$AH$3&amp;": "&amp;INDEX(Dati!$AH$1:$AH$1000,MATCH($A22,Dati!$A$1:$A$1000,0))&amp;" · ",""))-3)),""))</f>
        <v/>
      </c>
      <c r="K22" s="55" t="str">
        <f aca="false">IF($B22="","",IFERROR(IF((IF(INDEX(Dati!$DK$1:$DK$1000,MATCH($A22,Dati!$A$1:$A$1000,0))&gt;0,Dati!$AI$3&amp;": "&amp;INDEX(Dati!$AI$1:$AI$1000,MATCH($A22,Dati!$A$1:$A$1000,0))&amp;" · ","")&amp;IF(INDEX(Dati!$DL$1:$DL$1000,MATCH($A22,Dati!$A$1:$A$1000,0))&gt;0,Dati!$AJ$3&amp;": "&amp;INDEX(Dati!$AJ$1:$AJ$1000,MATCH($A22,Dati!$A$1:$A$1000,0))&amp;" · ","")&amp;IF(INDEX(Dati!$DM$1:$DM$1000,MATCH($A22,Dati!$A$1:$A$1000,0))&gt;0,Dati!$AK$3&amp;": "&amp;INDEX(Dati!$AK$1:$AK$1000,MATCH($A22,Dati!$A$1:$A$1000,0))&amp;" · ","")&amp;IF(INDEX(Dati!$DN$1:$DN$1000,MATCH($A22,Dati!$A$1:$A$1000,0))&gt;0,Dati!$AL$3&amp;": "&amp;INDEX(Dati!$AL$1:$AL$1000,MATCH($A22,Dati!$A$1:$A$1000,0))&amp;" · ",""))="",IF(INDEX(Dati!$FO$1:$FO$1000,MATCH($A22,Dati!$A$1:$A$1000,0))=1,"AS da recuperare",""),LEFT(IF(INDEX(Dati!$DK$1:$DK$1000,MATCH($A22,Dati!$A$1:$A$1000,0))&gt;0,Dati!$AI$3&amp;": "&amp;INDEX(Dati!$AI$1:$AI$1000,MATCH($A22,Dati!$A$1:$A$1000,0))&amp;" · ","")&amp;IF(INDEX(Dati!$DL$1:$DL$1000,MATCH($A22,Dati!$A$1:$A$1000,0))&gt;0,Dati!$AJ$3&amp;": "&amp;INDEX(Dati!$AJ$1:$AJ$1000,MATCH($A22,Dati!$A$1:$A$1000,0))&amp;" · ","")&amp;IF(INDEX(Dati!$DM$1:$DM$1000,MATCH($A22,Dati!$A$1:$A$1000,0))&gt;0,Dati!$AK$3&amp;": "&amp;INDEX(Dati!$AK$1:$AK$1000,MATCH($A22,Dati!$A$1:$A$1000,0))&amp;" · ","")&amp;IF(INDEX(Dati!$DN$1:$DN$1000,MATCH($A22,Dati!$A$1:$A$1000,0))&gt;0,Dati!$AL$3&amp;": "&amp;INDEX(Dati!$AL$1:$AL$1000,MATCH($A22,Dati!$A$1:$A$1000,0))&amp;" · ",""),LEN(IF(INDEX(Dati!$DK$1:$DK$1000,MATCH($A22,Dati!$A$1:$A$1000,0))&gt;0,Dati!$AI$3&amp;": "&amp;INDEX(Dati!$AI$1:$AI$1000,MATCH($A22,Dati!$A$1:$A$1000,0))&amp;" · ","")&amp;IF(INDEX(Dati!$DL$1:$DL$1000,MATCH($A22,Dati!$A$1:$A$1000,0))&gt;0,Dati!$AJ$3&amp;": "&amp;INDEX(Dati!$AJ$1:$AJ$1000,MATCH($A22,Dati!$A$1:$A$1000,0))&amp;" · ","")&amp;IF(INDEX(Dati!$DM$1:$DM$1000,MATCH($A22,Dati!$A$1:$A$1000,0))&gt;0,Dati!$AK$3&amp;": "&amp;INDEX(Dati!$AK$1:$AK$1000,MATCH($A22,Dati!$A$1:$A$1000,0))&amp;" · ","")&amp;IF(INDEX(Dati!$DN$1:$DN$1000,MATCH($A22,Dati!$A$1:$A$1000,0))&gt;0,Dati!$AL$3&amp;": "&amp;INDEX(Dati!$AL$1:$AL$1000,MATCH($A22,Dati!$A$1:$A$1000,0))&amp;" · ",""))-3)),""))</f>
        <v/>
      </c>
      <c r="L22" s="55" t="str">
        <f aca="false">IF($B22="","",IFERROR(IF((IF(INDEX(Dati!$DO$1:$DO$1000,MATCH($A22,Dati!$A$1:$A$1000,0))&gt;0,Dati!$AM$3&amp;": "&amp;INDEX(Dati!$AM$1:$AM$1000,MATCH($A22,Dati!$A$1:$A$1000,0))&amp;" · ","")&amp;IF(INDEX(Dati!$DP$1:$DP$1000,MATCH($A22,Dati!$A$1:$A$1000,0))&gt;0,Dati!$AN$3&amp;": "&amp;INDEX(Dati!$AN$1:$AN$1000,MATCH($A22,Dati!$A$1:$A$1000,0))&amp;" · ","")&amp;IF(INDEX(Dati!$DQ$1:$DQ$1000,MATCH($A22,Dati!$A$1:$A$1000,0))&gt;0,Dati!$AO$3&amp;": "&amp;INDEX(Dati!$AO$1:$AO$1000,MATCH($A22,Dati!$A$1:$A$1000,0))&amp;" · ","")&amp;IF(INDEX(Dati!$DR$1:$DR$1000,MATCH($A22,Dati!$A$1:$A$1000,0))&gt;0,Dati!$AP$3&amp;": "&amp;INDEX(Dati!$AP$1:$AP$1000,MATCH($A22,Dati!$A$1:$A$1000,0))&amp;" · ",""))="",IF(INDEX(Dati!$FP$1:$FP$1000,MATCH($A22,Dati!$A$1:$A$1000,0))=1,"AS da recuperare",""),LEFT(IF(INDEX(Dati!$DO$1:$DO$1000,MATCH($A22,Dati!$A$1:$A$1000,0))&gt;0,Dati!$AM$3&amp;": "&amp;INDEX(Dati!$AM$1:$AM$1000,MATCH($A22,Dati!$A$1:$A$1000,0))&amp;" · ","")&amp;IF(INDEX(Dati!$DP$1:$DP$1000,MATCH($A22,Dati!$A$1:$A$1000,0))&gt;0,Dati!$AN$3&amp;": "&amp;INDEX(Dati!$AN$1:$AN$1000,MATCH($A22,Dati!$A$1:$A$1000,0))&amp;" · ","")&amp;IF(INDEX(Dati!$DQ$1:$DQ$1000,MATCH($A22,Dati!$A$1:$A$1000,0))&gt;0,Dati!$AO$3&amp;": "&amp;INDEX(Dati!$AO$1:$AO$1000,MATCH($A22,Dati!$A$1:$A$1000,0))&amp;" · ","")&amp;IF(INDEX(Dati!$DR$1:$DR$1000,MATCH($A22,Dati!$A$1:$A$1000,0))&gt;0,Dati!$AP$3&amp;": "&amp;INDEX(Dati!$AP$1:$AP$1000,MATCH($A22,Dati!$A$1:$A$1000,0))&amp;" · ",""),LEN(IF(INDEX(Dati!$DO$1:$DO$1000,MATCH($A22,Dati!$A$1:$A$1000,0))&gt;0,Dati!$AM$3&amp;": "&amp;INDEX(Dati!$AM$1:$AM$1000,MATCH($A22,Dati!$A$1:$A$1000,0))&amp;" · ","")&amp;IF(INDEX(Dati!$DP$1:$DP$1000,MATCH($A22,Dati!$A$1:$A$1000,0))&gt;0,Dati!$AN$3&amp;": "&amp;INDEX(Dati!$AN$1:$AN$1000,MATCH($A22,Dati!$A$1:$A$1000,0))&amp;" · ","")&amp;IF(INDEX(Dati!$DQ$1:$DQ$1000,MATCH($A22,Dati!$A$1:$A$1000,0))&gt;0,Dati!$AO$3&amp;": "&amp;INDEX(Dati!$AO$1:$AO$1000,MATCH($A22,Dati!$A$1:$A$1000,0))&amp;" · ","")&amp;IF(INDEX(Dati!$DR$1:$DR$1000,MATCH($A22,Dati!$A$1:$A$1000,0))&gt;0,Dati!$AP$3&amp;": "&amp;INDEX(Dati!$AP$1:$AP$1000,MATCH($A22,Dati!$A$1:$A$1000,0))&amp;" · ",""))-3)),""))</f>
        <v/>
      </c>
      <c r="M22" s="55" t="str">
        <f aca="false">IF($B22="","",IFERROR(IF((IF(INDEX(Dati!$DS$1:$DS$1000,MATCH($A22,Dati!$A$1:$A$1000,0))&gt;0,Dati!$AQ$3&amp;": "&amp;INDEX(Dati!$AQ$1:$AQ$1000,MATCH($A22,Dati!$A$1:$A$1000,0))&amp;" · ","")&amp;IF(INDEX(Dati!$DT$1:$DT$1000,MATCH($A22,Dati!$A$1:$A$1000,0))&gt;0,Dati!$AR$3&amp;": "&amp;INDEX(Dati!$AR$1:$AR$1000,MATCH($A22,Dati!$A$1:$A$1000,0))&amp;" · ","")&amp;IF(INDEX(Dati!$DU$1:$DU$1000,MATCH($A22,Dati!$A$1:$A$1000,0))&gt;0,Dati!$AS$3&amp;": "&amp;INDEX(Dati!$AS$1:$AS$1000,MATCH($A22,Dati!$A$1:$A$1000,0))&amp;" · ","")&amp;IF(INDEX(Dati!$DV$1:$DV$1000,MATCH($A22,Dati!$A$1:$A$1000,0))&gt;0,Dati!$AT$3&amp;": "&amp;INDEX(Dati!$AT$1:$AT$1000,MATCH($A22,Dati!$A$1:$A$1000,0))&amp;" · ",""))="",IF(INDEX(Dati!$FQ$1:$FQ$1000,MATCH($A22,Dati!$A$1:$A$1000,0))=1,"AS da recuperare",""),LEFT(IF(INDEX(Dati!$DS$1:$DS$1000,MATCH($A22,Dati!$A$1:$A$1000,0))&gt;0,Dati!$AQ$3&amp;": "&amp;INDEX(Dati!$AQ$1:$AQ$1000,MATCH($A22,Dati!$A$1:$A$1000,0))&amp;" · ","")&amp;IF(INDEX(Dati!$DT$1:$DT$1000,MATCH($A22,Dati!$A$1:$A$1000,0))&gt;0,Dati!$AR$3&amp;": "&amp;INDEX(Dati!$AR$1:$AR$1000,MATCH($A22,Dati!$A$1:$A$1000,0))&amp;" · ","")&amp;IF(INDEX(Dati!$DU$1:$DU$1000,MATCH($A22,Dati!$A$1:$A$1000,0))&gt;0,Dati!$AS$3&amp;": "&amp;INDEX(Dati!$AS$1:$AS$1000,MATCH($A22,Dati!$A$1:$A$1000,0))&amp;" · ","")&amp;IF(INDEX(Dati!$DV$1:$DV$1000,MATCH($A22,Dati!$A$1:$A$1000,0))&gt;0,Dati!$AT$3&amp;": "&amp;INDEX(Dati!$AT$1:$AT$1000,MATCH($A22,Dati!$A$1:$A$1000,0))&amp;" · ",""),LEN(IF(INDEX(Dati!$DS$1:$DS$1000,MATCH($A22,Dati!$A$1:$A$1000,0))&gt;0,Dati!$AQ$3&amp;": "&amp;INDEX(Dati!$AQ$1:$AQ$1000,MATCH($A22,Dati!$A$1:$A$1000,0))&amp;" · ","")&amp;IF(INDEX(Dati!$DT$1:$DT$1000,MATCH($A22,Dati!$A$1:$A$1000,0))&gt;0,Dati!$AR$3&amp;": "&amp;INDEX(Dati!$AR$1:$AR$1000,MATCH($A22,Dati!$A$1:$A$1000,0))&amp;" · ","")&amp;IF(INDEX(Dati!$DU$1:$DU$1000,MATCH($A22,Dati!$A$1:$A$1000,0))&gt;0,Dati!$AS$3&amp;": "&amp;INDEX(Dati!$AS$1:$AS$1000,MATCH($A22,Dati!$A$1:$A$1000,0))&amp;" · ","")&amp;IF(INDEX(Dati!$DV$1:$DV$1000,MATCH($A22,Dati!$A$1:$A$1000,0))&gt;0,Dati!$AT$3&amp;": "&amp;INDEX(Dati!$AT$1:$AT$1000,MATCH($A22,Dati!$A$1:$A$1000,0))&amp;" · ",""))-3)),""))</f>
        <v/>
      </c>
      <c r="N22" s="55" t="str">
        <f aca="false">IF($B22="","",IFERROR(IF((IF(INDEX(Dati!$DW$1:$DW$1000,MATCH($A22,Dati!$A$1:$A$1000,0))&gt;0,Dati!$AU$3&amp;": "&amp;INDEX(Dati!$AU$1:$AU$1000,MATCH($A22,Dati!$A$1:$A$1000,0))&amp;" · ","")&amp;IF(INDEX(Dati!$DX$1:$DX$1000,MATCH($A22,Dati!$A$1:$A$1000,0))&gt;0,Dati!$AV$3&amp;": "&amp;INDEX(Dati!$AV$1:$AV$1000,MATCH($A22,Dati!$A$1:$A$1000,0))&amp;" · ","")&amp;IF(INDEX(Dati!$DY$1:$DY$1000,MATCH($A22,Dati!$A$1:$A$1000,0))&gt;0,Dati!$AW$3&amp;": "&amp;INDEX(Dati!$AW$1:$AW$1000,MATCH($A22,Dati!$A$1:$A$1000,0))&amp;" · ","")&amp;IF(INDEX(Dati!$DZ$1:$DZ$1000,MATCH($A22,Dati!$A$1:$A$1000,0))&gt;0,Dati!$AX$3&amp;": "&amp;INDEX(Dati!$AX$1:$AX$1000,MATCH($A22,Dati!$A$1:$A$1000,0))&amp;" · ",""))="",IF(INDEX(Dati!$FR$1:$FR$1000,MATCH($A22,Dati!$A$1:$A$1000,0))=1,"AS da recuperare",""),LEFT(IF(INDEX(Dati!$DW$1:$DW$1000,MATCH($A22,Dati!$A$1:$A$1000,0))&gt;0,Dati!$AU$3&amp;": "&amp;INDEX(Dati!$AU$1:$AU$1000,MATCH($A22,Dati!$A$1:$A$1000,0))&amp;" · ","")&amp;IF(INDEX(Dati!$DX$1:$DX$1000,MATCH($A22,Dati!$A$1:$A$1000,0))&gt;0,Dati!$AV$3&amp;": "&amp;INDEX(Dati!$AV$1:$AV$1000,MATCH($A22,Dati!$A$1:$A$1000,0))&amp;" · ","")&amp;IF(INDEX(Dati!$DY$1:$DY$1000,MATCH($A22,Dati!$A$1:$A$1000,0))&gt;0,Dati!$AW$3&amp;": "&amp;INDEX(Dati!$AW$1:$AW$1000,MATCH($A22,Dati!$A$1:$A$1000,0))&amp;" · ","")&amp;IF(INDEX(Dati!$DZ$1:$DZ$1000,MATCH($A22,Dati!$A$1:$A$1000,0))&gt;0,Dati!$AX$3&amp;": "&amp;INDEX(Dati!$AX$1:$AX$1000,MATCH($A22,Dati!$A$1:$A$1000,0))&amp;" · ",""),LEN(IF(INDEX(Dati!$DW$1:$DW$1000,MATCH($A22,Dati!$A$1:$A$1000,0))&gt;0,Dati!$AU$3&amp;": "&amp;INDEX(Dati!$AU$1:$AU$1000,MATCH($A22,Dati!$A$1:$A$1000,0))&amp;" · ","")&amp;IF(INDEX(Dati!$DX$1:$DX$1000,MATCH($A22,Dati!$A$1:$A$1000,0))&gt;0,Dati!$AV$3&amp;": "&amp;INDEX(Dati!$AV$1:$AV$1000,MATCH($A22,Dati!$A$1:$A$1000,0))&amp;" · ","")&amp;IF(INDEX(Dati!$DY$1:$DY$1000,MATCH($A22,Dati!$A$1:$A$1000,0))&gt;0,Dati!$AW$3&amp;": "&amp;INDEX(Dati!$AW$1:$AW$1000,MATCH($A22,Dati!$A$1:$A$1000,0))&amp;" · ","")&amp;IF(INDEX(Dati!$DZ$1:$DZ$1000,MATCH($A22,Dati!$A$1:$A$1000,0))&gt;0,Dati!$AX$3&amp;": "&amp;INDEX(Dati!$AX$1:$AX$1000,MATCH($A22,Dati!$A$1:$A$1000,0))&amp;" · ",""))-3)),""))</f>
        <v/>
      </c>
      <c r="O22" s="55" t="str">
        <f aca="false">IF($B22="","",IFERROR(IF((IF(INDEX(Dati!$EA$1:$EA$1000,MATCH($A22,Dati!$A$1:$A$1000,0))&gt;0,Dati!$AY$3&amp;": "&amp;INDEX(Dati!$AY$1:$AY$1000,MATCH($A22,Dati!$A$1:$A$1000,0))&amp;" · ","")&amp;IF(INDEX(Dati!$EB$1:$EB$1000,MATCH($A22,Dati!$A$1:$A$1000,0))&gt;0,Dati!$AZ$3&amp;": "&amp;INDEX(Dati!$AZ$1:$AZ$1000,MATCH($A22,Dati!$A$1:$A$1000,0))&amp;" · ","")&amp;IF(INDEX(Dati!$EC$1:$EC$1000,MATCH($A22,Dati!$A$1:$A$1000,0))&gt;0,Dati!$BA$3&amp;": "&amp;INDEX(Dati!$BA$1:$BA$1000,MATCH($A22,Dati!$A$1:$A$1000,0))&amp;" · ","")&amp;IF(INDEX(Dati!$ED$1:$ED$1000,MATCH($A22,Dati!$A$1:$A$1000,0))&gt;0,Dati!$BB$3&amp;": "&amp;INDEX(Dati!$BB$1:$BB$1000,MATCH($A22,Dati!$A$1:$A$1000,0))&amp;" · ",""))="",IF(INDEX(Dati!$FS$1:$FS$1000,MATCH($A22,Dati!$A$1:$A$1000,0))=1,"AS da recuperare",""),LEFT(IF(INDEX(Dati!$EA$1:$EA$1000,MATCH($A22,Dati!$A$1:$A$1000,0))&gt;0,Dati!$AY$3&amp;": "&amp;INDEX(Dati!$AY$1:$AY$1000,MATCH($A22,Dati!$A$1:$A$1000,0))&amp;" · ","")&amp;IF(INDEX(Dati!$EB$1:$EB$1000,MATCH($A22,Dati!$A$1:$A$1000,0))&gt;0,Dati!$AZ$3&amp;": "&amp;INDEX(Dati!$AZ$1:$AZ$1000,MATCH($A22,Dati!$A$1:$A$1000,0))&amp;" · ","")&amp;IF(INDEX(Dati!$EC$1:$EC$1000,MATCH($A22,Dati!$A$1:$A$1000,0))&gt;0,Dati!$BA$3&amp;": "&amp;INDEX(Dati!$BA$1:$BA$1000,MATCH($A22,Dati!$A$1:$A$1000,0))&amp;" · ","")&amp;IF(INDEX(Dati!$ED$1:$ED$1000,MATCH($A22,Dati!$A$1:$A$1000,0))&gt;0,Dati!$BB$3&amp;": "&amp;INDEX(Dati!$BB$1:$BB$1000,MATCH($A22,Dati!$A$1:$A$1000,0))&amp;" · ",""),LEN(IF(INDEX(Dati!$EA$1:$EA$1000,MATCH($A22,Dati!$A$1:$A$1000,0))&gt;0,Dati!$AY$3&amp;": "&amp;INDEX(Dati!$AY$1:$AY$1000,MATCH($A22,Dati!$A$1:$A$1000,0))&amp;" · ","")&amp;IF(INDEX(Dati!$EB$1:$EB$1000,MATCH($A22,Dati!$A$1:$A$1000,0))&gt;0,Dati!$AZ$3&amp;": "&amp;INDEX(Dati!$AZ$1:$AZ$1000,MATCH($A22,Dati!$A$1:$A$1000,0))&amp;" · ","")&amp;IF(INDEX(Dati!$EC$1:$EC$1000,MATCH($A22,Dati!$A$1:$A$1000,0))&gt;0,Dati!$BA$3&amp;": "&amp;INDEX(Dati!$BA$1:$BA$1000,MATCH($A22,Dati!$A$1:$A$1000,0))&amp;" · ","")&amp;IF(INDEX(Dati!$ED$1:$ED$1000,MATCH($A22,Dati!$A$1:$A$1000,0))&gt;0,Dati!$BB$3&amp;": "&amp;INDEX(Dati!$BB$1:$BB$1000,MATCH($A22,Dati!$A$1:$A$1000,0))&amp;" · ",""))-3)),""))</f>
        <v/>
      </c>
      <c r="P22" s="55" t="str">
        <f aca="false">IF($B22="","",IFERROR(IF((IF(INDEX(Dati!$EE$1:$EE$1000,MATCH($A22,Dati!$A$1:$A$1000,0))&gt;0,Dati!$BC$3&amp;": "&amp;INDEX(Dati!$BC$1:$BC$1000,MATCH($A22,Dati!$A$1:$A$1000,0))&amp;" · ","")&amp;IF(INDEX(Dati!$EF$1:$EF$1000,MATCH($A22,Dati!$A$1:$A$1000,0))&gt;0,Dati!$BD$3&amp;": "&amp;INDEX(Dati!$BD$1:$BD$1000,MATCH($A22,Dati!$A$1:$A$1000,0))&amp;" · ","")&amp;IF(INDEX(Dati!$EG$1:$EG$1000,MATCH($A22,Dati!$A$1:$A$1000,0))&gt;0,Dati!$BE$3&amp;": "&amp;INDEX(Dati!$BE$1:$BE$1000,MATCH($A22,Dati!$A$1:$A$1000,0))&amp;" · ","")&amp;IF(INDEX(Dati!$EH$1:$EH$1000,MATCH($A22,Dati!$A$1:$A$1000,0))&gt;0,Dati!$BF$3&amp;": "&amp;INDEX(Dati!$BF$1:$BF$1000,MATCH($A22,Dati!$A$1:$A$1000,0))&amp;" · ",""))="",IF(INDEX(Dati!$FT$1:$FT$1000,MATCH($A22,Dati!$A$1:$A$1000,0))=1,"AS da recuperare",""),LEFT(IF(INDEX(Dati!$EE$1:$EE$1000,MATCH($A22,Dati!$A$1:$A$1000,0))&gt;0,Dati!$BC$3&amp;": "&amp;INDEX(Dati!$BC$1:$BC$1000,MATCH($A22,Dati!$A$1:$A$1000,0))&amp;" · ","")&amp;IF(INDEX(Dati!$EF$1:$EF$1000,MATCH($A22,Dati!$A$1:$A$1000,0))&gt;0,Dati!$BD$3&amp;": "&amp;INDEX(Dati!$BD$1:$BD$1000,MATCH($A22,Dati!$A$1:$A$1000,0))&amp;" · ","")&amp;IF(INDEX(Dati!$EG$1:$EG$1000,MATCH($A22,Dati!$A$1:$A$1000,0))&gt;0,Dati!$BE$3&amp;": "&amp;INDEX(Dati!$BE$1:$BE$1000,MATCH($A22,Dati!$A$1:$A$1000,0))&amp;" · ","")&amp;IF(INDEX(Dati!$EH$1:$EH$1000,MATCH($A22,Dati!$A$1:$A$1000,0))&gt;0,Dati!$BF$3&amp;": "&amp;INDEX(Dati!$BF$1:$BF$1000,MATCH($A22,Dati!$A$1:$A$1000,0))&amp;" · ",""),LEN(IF(INDEX(Dati!$EE$1:$EE$1000,MATCH($A22,Dati!$A$1:$A$1000,0))&gt;0,Dati!$BC$3&amp;": "&amp;INDEX(Dati!$BC$1:$BC$1000,MATCH($A22,Dati!$A$1:$A$1000,0))&amp;" · ","")&amp;IF(INDEX(Dati!$EF$1:$EF$1000,MATCH($A22,Dati!$A$1:$A$1000,0))&gt;0,Dati!$BD$3&amp;": "&amp;INDEX(Dati!$BD$1:$BD$1000,MATCH($A22,Dati!$A$1:$A$1000,0))&amp;" · ","")&amp;IF(INDEX(Dati!$EG$1:$EG$1000,MATCH($A22,Dati!$A$1:$A$1000,0))&gt;0,Dati!$BE$3&amp;": "&amp;INDEX(Dati!$BE$1:$BE$1000,MATCH($A22,Dati!$A$1:$A$1000,0))&amp;" · ","")&amp;IF(INDEX(Dati!$EH$1:$EH$1000,MATCH($A22,Dati!$A$1:$A$1000,0))&gt;0,Dati!$BF$3&amp;": "&amp;INDEX(Dati!$BF$1:$BF$1000,MATCH($A22,Dati!$A$1:$A$1000,0))&amp;" · ",""))-3)),""))</f>
        <v/>
      </c>
      <c r="Q22" s="55" t="str">
        <f aca="false">IF($B22="","",IFERROR(IF((IF(INDEX(Dati!$EI$1:$EI$1000,MATCH($A22,Dati!$A$1:$A$1000,0))&gt;0,Dati!$BG$3&amp;": "&amp;INDEX(Dati!$BG$1:$BG$1000,MATCH($A22,Dati!$A$1:$A$1000,0))&amp;" · ","")&amp;IF(INDEX(Dati!$EJ$1:$EJ$1000,MATCH($A22,Dati!$A$1:$A$1000,0))&gt;0,Dati!$BH$3&amp;": "&amp;INDEX(Dati!$BH$1:$BH$1000,MATCH($A22,Dati!$A$1:$A$1000,0))&amp;" · ","")&amp;IF(INDEX(Dati!$EK$1:$EK$1000,MATCH($A22,Dati!$A$1:$A$1000,0))&gt;0,Dati!$BI$3&amp;": "&amp;INDEX(Dati!$BI$1:$BI$1000,MATCH($A22,Dati!$A$1:$A$1000,0))&amp;" · ","")&amp;IF(INDEX(Dati!$EL$1:$EL$1000,MATCH($A22,Dati!$A$1:$A$1000,0))&gt;0,Dati!$BJ$3&amp;": "&amp;INDEX(Dati!$BJ$1:$BJ$1000,MATCH($A22,Dati!$A$1:$A$1000,0))&amp;" · ",""))="",IF(INDEX(Dati!$FU$1:$FU$1000,MATCH($A22,Dati!$A$1:$A$1000,0))=1,"AS da recuperare",""),LEFT(IF(INDEX(Dati!$EI$1:$EI$1000,MATCH($A22,Dati!$A$1:$A$1000,0))&gt;0,Dati!$BG$3&amp;": "&amp;INDEX(Dati!$BG$1:$BG$1000,MATCH($A22,Dati!$A$1:$A$1000,0))&amp;" · ","")&amp;IF(INDEX(Dati!$EJ$1:$EJ$1000,MATCH($A22,Dati!$A$1:$A$1000,0))&gt;0,Dati!$BH$3&amp;": "&amp;INDEX(Dati!$BH$1:$BH$1000,MATCH($A22,Dati!$A$1:$A$1000,0))&amp;" · ","")&amp;IF(INDEX(Dati!$EK$1:$EK$1000,MATCH($A22,Dati!$A$1:$A$1000,0))&gt;0,Dati!$BI$3&amp;": "&amp;INDEX(Dati!$BI$1:$BI$1000,MATCH($A22,Dati!$A$1:$A$1000,0))&amp;" · ","")&amp;IF(INDEX(Dati!$EL$1:$EL$1000,MATCH($A22,Dati!$A$1:$A$1000,0))&gt;0,Dati!$BJ$3&amp;": "&amp;INDEX(Dati!$BJ$1:$BJ$1000,MATCH($A22,Dati!$A$1:$A$1000,0))&amp;" · ",""),LEN(IF(INDEX(Dati!$EI$1:$EI$1000,MATCH($A22,Dati!$A$1:$A$1000,0))&gt;0,Dati!$BG$3&amp;": "&amp;INDEX(Dati!$BG$1:$BG$1000,MATCH($A22,Dati!$A$1:$A$1000,0))&amp;" · ","")&amp;IF(INDEX(Dati!$EJ$1:$EJ$1000,MATCH($A22,Dati!$A$1:$A$1000,0))&gt;0,Dati!$BH$3&amp;": "&amp;INDEX(Dati!$BH$1:$BH$1000,MATCH($A22,Dati!$A$1:$A$1000,0))&amp;" · ","")&amp;IF(INDEX(Dati!$EK$1:$EK$1000,MATCH($A22,Dati!$A$1:$A$1000,0))&gt;0,Dati!$BI$3&amp;": "&amp;INDEX(Dati!$BI$1:$BI$1000,MATCH($A22,Dati!$A$1:$A$1000,0))&amp;" · ","")&amp;IF(INDEX(Dati!$EL$1:$EL$1000,MATCH($A22,Dati!$A$1:$A$1000,0))&gt;0,Dati!$BJ$3&amp;": "&amp;INDEX(Dati!$BJ$1:$BJ$1000,MATCH($A22,Dati!$A$1:$A$1000,0))&amp;" · ",""))-3)),""))</f>
        <v/>
      </c>
      <c r="R22" s="55" t="str">
        <f aca="false">IF($B22="","",IFERROR(IF((IF(INDEX(Dati!$EM$1:$EM$1000,MATCH($A22,Dati!$A$1:$A$1000,0))&gt;0,Dati!$BK$3&amp;": "&amp;INDEX(Dati!$BK$1:$BK$1000,MATCH($A22,Dati!$A$1:$A$1000,0))&amp;" · ","")&amp;IF(INDEX(Dati!$EN$1:$EN$1000,MATCH($A22,Dati!$A$1:$A$1000,0))&gt;0,Dati!$BL$3&amp;": "&amp;INDEX(Dati!$BL$1:$BL$1000,MATCH($A22,Dati!$A$1:$A$1000,0))&amp;" · ","")&amp;IF(INDEX(Dati!$EO$1:$EO$1000,MATCH($A22,Dati!$A$1:$A$1000,0))&gt;0,Dati!$BM$3&amp;": "&amp;INDEX(Dati!$BM$1:$BM$1000,MATCH($A22,Dati!$A$1:$A$1000,0))&amp;" · ","")&amp;IF(INDEX(Dati!$EP$1:$EP$1000,MATCH($A22,Dati!$A$1:$A$1000,0))&gt;0,Dati!$BN$3&amp;": "&amp;INDEX(Dati!$BN$1:$BN$1000,MATCH($A22,Dati!$A$1:$A$1000,0))&amp;" · ",""))="",IF(INDEX(Dati!$FV$1:$FV$1000,MATCH($A22,Dati!$A$1:$A$1000,0))=1,"AS da recuperare",""),LEFT(IF(INDEX(Dati!$EM$1:$EM$1000,MATCH($A22,Dati!$A$1:$A$1000,0))&gt;0,Dati!$BK$3&amp;": "&amp;INDEX(Dati!$BK$1:$BK$1000,MATCH($A22,Dati!$A$1:$A$1000,0))&amp;" · ","")&amp;IF(INDEX(Dati!$EN$1:$EN$1000,MATCH($A22,Dati!$A$1:$A$1000,0))&gt;0,Dati!$BL$3&amp;": "&amp;INDEX(Dati!$BL$1:$BL$1000,MATCH($A22,Dati!$A$1:$A$1000,0))&amp;" · ","")&amp;IF(INDEX(Dati!$EO$1:$EO$1000,MATCH($A22,Dati!$A$1:$A$1000,0))&gt;0,Dati!$BM$3&amp;": "&amp;INDEX(Dati!$BM$1:$BM$1000,MATCH($A22,Dati!$A$1:$A$1000,0))&amp;" · ","")&amp;IF(INDEX(Dati!$EP$1:$EP$1000,MATCH($A22,Dati!$A$1:$A$1000,0))&gt;0,Dati!$BN$3&amp;": "&amp;INDEX(Dati!$BN$1:$BN$1000,MATCH($A22,Dati!$A$1:$A$1000,0))&amp;" · ",""),LEN(IF(INDEX(Dati!$EM$1:$EM$1000,MATCH($A22,Dati!$A$1:$A$1000,0))&gt;0,Dati!$BK$3&amp;": "&amp;INDEX(Dati!$BK$1:$BK$1000,MATCH($A22,Dati!$A$1:$A$1000,0))&amp;" · ","")&amp;IF(INDEX(Dati!$EN$1:$EN$1000,MATCH($A22,Dati!$A$1:$A$1000,0))&gt;0,Dati!$BL$3&amp;": "&amp;INDEX(Dati!$BL$1:$BL$1000,MATCH($A22,Dati!$A$1:$A$1000,0))&amp;" · ","")&amp;IF(INDEX(Dati!$EO$1:$EO$1000,MATCH($A22,Dati!$A$1:$A$1000,0))&gt;0,Dati!$BM$3&amp;": "&amp;INDEX(Dati!$BM$1:$BM$1000,MATCH($A22,Dati!$A$1:$A$1000,0))&amp;" · ","")&amp;IF(INDEX(Dati!$EP$1:$EP$1000,MATCH($A22,Dati!$A$1:$A$1000,0))&gt;0,Dati!$BN$3&amp;": "&amp;INDEX(Dati!$BN$1:$BN$1000,MATCH($A22,Dati!$A$1:$A$1000,0))&amp;" · ",""))-3)),""))</f>
        <v/>
      </c>
      <c r="S22" s="55" t="str">
        <f aca="false">IF($B22="","",IFERROR(IF((IF(INDEX(Dati!$EQ$1:$EQ$1000,MATCH($A22,Dati!$A$1:$A$1000,0))&gt;0,Dati!$BO$3&amp;": "&amp;INDEX(Dati!$BO$1:$BO$1000,MATCH($A22,Dati!$A$1:$A$1000,0))&amp;" · ","")&amp;IF(INDEX(Dati!$ER$1:$ER$1000,MATCH($A22,Dati!$A$1:$A$1000,0))&gt;0,Dati!$BP$3&amp;": "&amp;INDEX(Dati!$BP$1:$BP$1000,MATCH($A22,Dati!$A$1:$A$1000,0))&amp;" · ","")&amp;IF(INDEX(Dati!$ES$1:$ES$1000,MATCH($A22,Dati!$A$1:$A$1000,0))&gt;0,Dati!$BQ$3&amp;": "&amp;INDEX(Dati!$BQ$1:$BQ$1000,MATCH($A22,Dati!$A$1:$A$1000,0))&amp;" · ","")&amp;IF(INDEX(Dati!$ET$1:$ET$1000,MATCH($A22,Dati!$A$1:$A$1000,0))&gt;0,Dati!$BR$3&amp;": "&amp;INDEX(Dati!$BR$1:$BR$1000,MATCH($A22,Dati!$A$1:$A$1000,0))&amp;" · ",""))="",IF(INDEX(Dati!$FW$1:$FW$1000,MATCH($A22,Dati!$A$1:$A$1000,0))=1,"AS da recuperare",""),LEFT(IF(INDEX(Dati!$EQ$1:$EQ$1000,MATCH($A22,Dati!$A$1:$A$1000,0))&gt;0,Dati!$BO$3&amp;": "&amp;INDEX(Dati!$BO$1:$BO$1000,MATCH($A22,Dati!$A$1:$A$1000,0))&amp;" · ","")&amp;IF(INDEX(Dati!$ER$1:$ER$1000,MATCH($A22,Dati!$A$1:$A$1000,0))&gt;0,Dati!$BP$3&amp;": "&amp;INDEX(Dati!$BP$1:$BP$1000,MATCH($A22,Dati!$A$1:$A$1000,0))&amp;" · ","")&amp;IF(INDEX(Dati!$ES$1:$ES$1000,MATCH($A22,Dati!$A$1:$A$1000,0))&gt;0,Dati!$BQ$3&amp;": "&amp;INDEX(Dati!$BQ$1:$BQ$1000,MATCH($A22,Dati!$A$1:$A$1000,0))&amp;" · ","")&amp;IF(INDEX(Dati!$ET$1:$ET$1000,MATCH($A22,Dati!$A$1:$A$1000,0))&gt;0,Dati!$BR$3&amp;": "&amp;INDEX(Dati!$BR$1:$BR$1000,MATCH($A22,Dati!$A$1:$A$1000,0))&amp;" · ",""),LEN(IF(INDEX(Dati!$EQ$1:$EQ$1000,MATCH($A22,Dati!$A$1:$A$1000,0))&gt;0,Dati!$BO$3&amp;": "&amp;INDEX(Dati!$BO$1:$BO$1000,MATCH($A22,Dati!$A$1:$A$1000,0))&amp;" · ","")&amp;IF(INDEX(Dati!$ER$1:$ER$1000,MATCH($A22,Dati!$A$1:$A$1000,0))&gt;0,Dati!$BP$3&amp;": "&amp;INDEX(Dati!$BP$1:$BP$1000,MATCH($A22,Dati!$A$1:$A$1000,0))&amp;" · ","")&amp;IF(INDEX(Dati!$ES$1:$ES$1000,MATCH($A22,Dati!$A$1:$A$1000,0))&gt;0,Dati!$BQ$3&amp;": "&amp;INDEX(Dati!$BQ$1:$BQ$1000,MATCH($A22,Dati!$A$1:$A$1000,0))&amp;" · ","")&amp;IF(INDEX(Dati!$ET$1:$ET$1000,MATCH($A22,Dati!$A$1:$A$1000,0))&gt;0,Dati!$BR$3&amp;": "&amp;INDEX(Dati!$BR$1:$BR$1000,MATCH($A22,Dati!$A$1:$A$1000,0))&amp;" · ",""))-3)),""))</f>
        <v/>
      </c>
      <c r="T22" s="55" t="str">
        <f aca="false">IF($B22="","",IFERROR(IF((IF(INDEX(Dati!$EU$1:$EU$1000,MATCH($A22,Dati!$A$1:$A$1000,0))&gt;0,Dati!$BS$3&amp;": "&amp;INDEX(Dati!$BS$1:$BS$1000,MATCH($A22,Dati!$A$1:$A$1000,0))&amp;" · ","")&amp;IF(INDEX(Dati!$EV$1:$EV$1000,MATCH($A22,Dati!$A$1:$A$1000,0))&gt;0,Dati!$BT$3&amp;": "&amp;INDEX(Dati!$BT$1:$BT$1000,MATCH($A22,Dati!$A$1:$A$1000,0))&amp;" · ","")&amp;IF(INDEX(Dati!$EW$1:$EW$1000,MATCH($A22,Dati!$A$1:$A$1000,0))&gt;0,Dati!$BU$3&amp;": "&amp;INDEX(Dati!$BU$1:$BU$1000,MATCH($A22,Dati!$A$1:$A$1000,0))&amp;" · ","")&amp;IF(INDEX(Dati!$EX$1:$EX$1000,MATCH($A22,Dati!$A$1:$A$1000,0))&gt;0,Dati!$BV$3&amp;": "&amp;INDEX(Dati!$BV$1:$BV$1000,MATCH($A22,Dati!$A$1:$A$1000,0))&amp;" · ",""))="",IF(INDEX(Dati!$FX$1:$FX$1000,MATCH($A22,Dati!$A$1:$A$1000,0))=1,"AS da recuperare",""),LEFT(IF(INDEX(Dati!$EU$1:$EU$1000,MATCH($A22,Dati!$A$1:$A$1000,0))&gt;0,Dati!$BS$3&amp;": "&amp;INDEX(Dati!$BS$1:$BS$1000,MATCH($A22,Dati!$A$1:$A$1000,0))&amp;" · ","")&amp;IF(INDEX(Dati!$EV$1:$EV$1000,MATCH($A22,Dati!$A$1:$A$1000,0))&gt;0,Dati!$BT$3&amp;": "&amp;INDEX(Dati!$BT$1:$BT$1000,MATCH($A22,Dati!$A$1:$A$1000,0))&amp;" · ","")&amp;IF(INDEX(Dati!$EW$1:$EW$1000,MATCH($A22,Dati!$A$1:$A$1000,0))&gt;0,Dati!$BU$3&amp;": "&amp;INDEX(Dati!$BU$1:$BU$1000,MATCH($A22,Dati!$A$1:$A$1000,0))&amp;" · ","")&amp;IF(INDEX(Dati!$EX$1:$EX$1000,MATCH($A22,Dati!$A$1:$A$1000,0))&gt;0,Dati!$BV$3&amp;": "&amp;INDEX(Dati!$BV$1:$BV$1000,MATCH($A22,Dati!$A$1:$A$1000,0))&amp;" · ",""),LEN(IF(INDEX(Dati!$EU$1:$EU$1000,MATCH($A22,Dati!$A$1:$A$1000,0))&gt;0,Dati!$BS$3&amp;": "&amp;INDEX(Dati!$BS$1:$BS$1000,MATCH($A22,Dati!$A$1:$A$1000,0))&amp;" · ","")&amp;IF(INDEX(Dati!$EV$1:$EV$1000,MATCH($A22,Dati!$A$1:$A$1000,0))&gt;0,Dati!$BT$3&amp;": "&amp;INDEX(Dati!$BT$1:$BT$1000,MATCH($A22,Dati!$A$1:$A$1000,0))&amp;" · ","")&amp;IF(INDEX(Dati!$EW$1:$EW$1000,MATCH($A22,Dati!$A$1:$A$1000,0))&gt;0,Dati!$BU$3&amp;": "&amp;INDEX(Dati!$BU$1:$BU$1000,MATCH($A22,Dati!$A$1:$A$1000,0))&amp;" · ","")&amp;IF(INDEX(Dati!$EX$1:$EX$1000,MATCH($A22,Dati!$A$1:$A$1000,0))&gt;0,Dati!$BV$3&amp;": "&amp;INDEX(Dati!$BV$1:$BV$1000,MATCH($A22,Dati!$A$1:$A$1000,0))&amp;" · ",""))-3)),""))</f>
        <v/>
      </c>
      <c r="U22" s="55" t="str">
        <f aca="false">IF($B22="","",IFERROR(IF((IF(INDEX(Dati!$EY$1:$EY$1000,MATCH($A22,Dati!$A$1:$A$1000,0))&gt;0,Dati!$BW$3&amp;": "&amp;INDEX(Dati!$BW$1:$BW$1000,MATCH($A22,Dati!$A$1:$A$1000,0))&amp;" · ","")&amp;IF(INDEX(Dati!$EZ$1:$EZ$1000,MATCH($A22,Dati!$A$1:$A$1000,0))&gt;0,Dati!$BX$3&amp;": "&amp;INDEX(Dati!$BX$1:$BX$1000,MATCH($A22,Dati!$A$1:$A$1000,0))&amp;" · ","")&amp;IF(INDEX(Dati!$FA$1:$FA$1000,MATCH($A22,Dati!$A$1:$A$1000,0))&gt;0,Dati!$BY$3&amp;": "&amp;INDEX(Dati!$BY$1:$BY$1000,MATCH($A22,Dati!$A$1:$A$1000,0))&amp;" · ","")&amp;IF(INDEX(Dati!$FB$1:$FB$1000,MATCH($A22,Dati!$A$1:$A$1000,0))&gt;0,Dati!$BZ$3&amp;": "&amp;INDEX(Dati!$BZ$1:$BZ$1000,MATCH($A22,Dati!$A$1:$A$1000,0))&amp;" · ",""))="",IF(INDEX(Dati!$FY$1:$FY$1000,MATCH($A22,Dati!$A$1:$A$1000,0))=1,"AS da recuperare",""),LEFT(IF(INDEX(Dati!$EY$1:$EY$1000,MATCH($A22,Dati!$A$1:$A$1000,0))&gt;0,Dati!$BW$3&amp;": "&amp;INDEX(Dati!$BW$1:$BW$1000,MATCH($A22,Dati!$A$1:$A$1000,0))&amp;" · ","")&amp;IF(INDEX(Dati!$EZ$1:$EZ$1000,MATCH($A22,Dati!$A$1:$A$1000,0))&gt;0,Dati!$BX$3&amp;": "&amp;INDEX(Dati!$BX$1:$BX$1000,MATCH($A22,Dati!$A$1:$A$1000,0))&amp;" · ","")&amp;IF(INDEX(Dati!$FA$1:$FA$1000,MATCH($A22,Dati!$A$1:$A$1000,0))&gt;0,Dati!$BY$3&amp;": "&amp;INDEX(Dati!$BY$1:$BY$1000,MATCH($A22,Dati!$A$1:$A$1000,0))&amp;" · ","")&amp;IF(INDEX(Dati!$FB$1:$FB$1000,MATCH($A22,Dati!$A$1:$A$1000,0))&gt;0,Dati!$BZ$3&amp;": "&amp;INDEX(Dati!$BZ$1:$BZ$1000,MATCH($A22,Dati!$A$1:$A$1000,0))&amp;" · ",""),LEN(IF(INDEX(Dati!$EY$1:$EY$1000,MATCH($A22,Dati!$A$1:$A$1000,0))&gt;0,Dati!$BW$3&amp;": "&amp;INDEX(Dati!$BW$1:$BW$1000,MATCH($A22,Dati!$A$1:$A$1000,0))&amp;" · ","")&amp;IF(INDEX(Dati!$EZ$1:$EZ$1000,MATCH($A22,Dati!$A$1:$A$1000,0))&gt;0,Dati!$BX$3&amp;": "&amp;INDEX(Dati!$BX$1:$BX$1000,MATCH($A22,Dati!$A$1:$A$1000,0))&amp;" · ","")&amp;IF(INDEX(Dati!$FA$1:$FA$1000,MATCH($A22,Dati!$A$1:$A$1000,0))&gt;0,Dati!$BY$3&amp;": "&amp;INDEX(Dati!$BY$1:$BY$1000,MATCH($A22,Dati!$A$1:$A$1000,0))&amp;" · ","")&amp;IF(INDEX(Dati!$FB$1:$FB$1000,MATCH($A22,Dati!$A$1:$A$1000,0))&gt;0,Dati!$BZ$3&amp;": "&amp;INDEX(Dati!$BZ$1:$BZ$1000,MATCH($A22,Dati!$A$1:$A$1000,0))&amp;" · ",""))-3)),""))</f>
        <v/>
      </c>
      <c r="V22" s="55" t="str">
        <f aca="false">IF($B22="","",IFERROR(IF((IF(INDEX(Dati!$FC$1:$FC$1000,MATCH($A22,Dati!$A$1:$A$1000,0))&gt;0,Dati!$CA$3&amp;": "&amp;INDEX(Dati!$CA$1:$CA$1000,MATCH($A22,Dati!$A$1:$A$1000,0))&amp;" · ","")&amp;IF(INDEX(Dati!$FD$1:$FD$1000,MATCH($A22,Dati!$A$1:$A$1000,0))&gt;0,Dati!$CB$3&amp;": "&amp;INDEX(Dati!$CB$1:$CB$1000,MATCH($A22,Dati!$A$1:$A$1000,0))&amp;" · ","")&amp;IF(INDEX(Dati!$FE$1:$FE$1000,MATCH($A22,Dati!$A$1:$A$1000,0))&gt;0,Dati!$CC$3&amp;": "&amp;INDEX(Dati!$CC$1:$CC$1000,MATCH($A22,Dati!$A$1:$A$1000,0))&amp;" · ","")&amp;IF(INDEX(Dati!$FF$1:$FF$1000,MATCH($A22,Dati!$A$1:$A$1000,0))&gt;0,Dati!$CD$3&amp;": "&amp;INDEX(Dati!$CD$1:$CD$1000,MATCH($A22,Dati!$A$1:$A$1000,0))&amp;" · ",""))="",IF(INDEX(Dati!$FZ$1:$FZ$1000,MATCH($A22,Dati!$A$1:$A$1000,0))=1,"AS da recuperare",""),LEFT(IF(INDEX(Dati!$FC$1:$FC$1000,MATCH($A22,Dati!$A$1:$A$1000,0))&gt;0,Dati!$CA$3&amp;": "&amp;INDEX(Dati!$CA$1:$CA$1000,MATCH($A22,Dati!$A$1:$A$1000,0))&amp;" · ","")&amp;IF(INDEX(Dati!$FD$1:$FD$1000,MATCH($A22,Dati!$A$1:$A$1000,0))&gt;0,Dati!$CB$3&amp;": "&amp;INDEX(Dati!$CB$1:$CB$1000,MATCH($A22,Dati!$A$1:$A$1000,0))&amp;" · ","")&amp;IF(INDEX(Dati!$FE$1:$FE$1000,MATCH($A22,Dati!$A$1:$A$1000,0))&gt;0,Dati!$CC$3&amp;": "&amp;INDEX(Dati!$CC$1:$CC$1000,MATCH($A22,Dati!$A$1:$A$1000,0))&amp;" · ","")&amp;IF(INDEX(Dati!$FF$1:$FF$1000,MATCH($A22,Dati!$A$1:$A$1000,0))&gt;0,Dati!$CD$3&amp;": "&amp;INDEX(Dati!$CD$1:$CD$1000,MATCH($A22,Dati!$A$1:$A$1000,0))&amp;" · ",""),LEN(IF(INDEX(Dati!$FC$1:$FC$1000,MATCH($A22,Dati!$A$1:$A$1000,0))&gt;0,Dati!$CA$3&amp;": "&amp;INDEX(Dati!$CA$1:$CA$1000,MATCH($A22,Dati!$A$1:$A$1000,0))&amp;" · ","")&amp;IF(INDEX(Dati!$FD$1:$FD$1000,MATCH($A22,Dati!$A$1:$A$1000,0))&gt;0,Dati!$CB$3&amp;": "&amp;INDEX(Dati!$CB$1:$CB$1000,MATCH($A22,Dati!$A$1:$A$1000,0))&amp;" · ","")&amp;IF(INDEX(Dati!$FE$1:$FE$1000,MATCH($A22,Dati!$A$1:$A$1000,0))&gt;0,Dati!$CC$3&amp;": "&amp;INDEX(Dati!$CC$1:$CC$1000,MATCH($A22,Dati!$A$1:$A$1000,0))&amp;" · ","")&amp;IF(INDEX(Dati!$FF$1:$FF$1000,MATCH($A22,Dati!$A$1:$A$1000,0))&gt;0,Dati!$CD$3&amp;": "&amp;INDEX(Dati!$CD$1:$CD$1000,MATCH($A22,Dati!$A$1:$A$1000,0))&amp;" · ",""))-3)),""))</f>
        <v/>
      </c>
    </row>
    <row r="23" customFormat="false" ht="19.5" hidden="false" customHeight="true" outlineLevel="0" collapsed="false">
      <c r="A23" s="10" t="n">
        <v>19</v>
      </c>
      <c r="B23" s="16" t="str">
        <f aca="false">IFERROR(INDEX(Alunni!$C$1:$C$1000,MATCH($A23,Alunni!$A$1:$A$1000,0))&amp;"","")</f>
        <v/>
      </c>
      <c r="C23" s="55" t="str">
        <f aca="false">IF($B23="","",IFERROR(IF((IF(INDEX(Dati!$CE$1:$CE$1000,MATCH($A23,Dati!$A$1:$A$1000,0))&gt;0,Dati!$C$3&amp;": "&amp;INDEX(Dati!$C$1:$C$1000,MATCH($A23,Dati!$A$1:$A$1000,0))&amp;" · ","")&amp;IF(INDEX(Dati!$CF$1:$CF$1000,MATCH($A23,Dati!$A$1:$A$1000,0))&gt;0,Dati!$D$3&amp;": "&amp;INDEX(Dati!$D$1:$D$1000,MATCH($A23,Dati!$A$1:$A$1000,0))&amp;" · ","")&amp;IF(INDEX(Dati!$CG$1:$CG$1000,MATCH($A23,Dati!$A$1:$A$1000,0))&gt;0,Dati!$E$3&amp;": "&amp;INDEX(Dati!$E$1:$E$1000,MATCH($A23,Dati!$A$1:$A$1000,0))&amp;" · ","")&amp;IF(INDEX(Dati!$CH$1:$CH$1000,MATCH($A23,Dati!$A$1:$A$1000,0))&gt;0,Dati!$F$3&amp;": "&amp;INDEX(Dati!$F$1:$F$1000,MATCH($A23,Dati!$A$1:$A$1000,0))&amp;" · ",""))="",IF(INDEX(Dati!$FG$1:$FG$1000,MATCH($A23,Dati!$A$1:$A$1000,0))=1,"AS da recuperare",""),LEFT(IF(INDEX(Dati!$CE$1:$CE$1000,MATCH($A23,Dati!$A$1:$A$1000,0))&gt;0,Dati!$C$3&amp;": "&amp;INDEX(Dati!$C$1:$C$1000,MATCH($A23,Dati!$A$1:$A$1000,0))&amp;" · ","")&amp;IF(INDEX(Dati!$CF$1:$CF$1000,MATCH($A23,Dati!$A$1:$A$1000,0))&gt;0,Dati!$D$3&amp;": "&amp;INDEX(Dati!$D$1:$D$1000,MATCH($A23,Dati!$A$1:$A$1000,0))&amp;" · ","")&amp;IF(INDEX(Dati!$CG$1:$CG$1000,MATCH($A23,Dati!$A$1:$A$1000,0))&gt;0,Dati!$E$3&amp;": "&amp;INDEX(Dati!$E$1:$E$1000,MATCH($A23,Dati!$A$1:$A$1000,0))&amp;" · ","")&amp;IF(INDEX(Dati!$CH$1:$CH$1000,MATCH($A23,Dati!$A$1:$A$1000,0))&gt;0,Dati!$F$3&amp;": "&amp;INDEX(Dati!$F$1:$F$1000,MATCH($A23,Dati!$A$1:$A$1000,0))&amp;" · ",""),LEN(IF(INDEX(Dati!$CE$1:$CE$1000,MATCH($A23,Dati!$A$1:$A$1000,0))&gt;0,Dati!$C$3&amp;": "&amp;INDEX(Dati!$C$1:$C$1000,MATCH($A23,Dati!$A$1:$A$1000,0))&amp;" · ","")&amp;IF(INDEX(Dati!$CF$1:$CF$1000,MATCH($A23,Dati!$A$1:$A$1000,0))&gt;0,Dati!$D$3&amp;": "&amp;INDEX(Dati!$D$1:$D$1000,MATCH($A23,Dati!$A$1:$A$1000,0))&amp;" · ","")&amp;IF(INDEX(Dati!$CG$1:$CG$1000,MATCH($A23,Dati!$A$1:$A$1000,0))&gt;0,Dati!$E$3&amp;": "&amp;INDEX(Dati!$E$1:$E$1000,MATCH($A23,Dati!$A$1:$A$1000,0))&amp;" · ","")&amp;IF(INDEX(Dati!$CH$1:$CH$1000,MATCH($A23,Dati!$A$1:$A$1000,0))&gt;0,Dati!$F$3&amp;": "&amp;INDEX(Dati!$F$1:$F$1000,MATCH($A23,Dati!$A$1:$A$1000,0))&amp;" · ",""))-3)),""))</f>
        <v/>
      </c>
      <c r="D23" s="55" t="str">
        <f aca="false">IF($B23="","",IFERROR(IF((IF(INDEX(Dati!$CI$1:$CI$1000,MATCH($A23,Dati!$A$1:$A$1000,0))&gt;0,Dati!$G$3&amp;": "&amp;INDEX(Dati!$G$1:$G$1000,MATCH($A23,Dati!$A$1:$A$1000,0))&amp;" · ","")&amp;IF(INDEX(Dati!$CJ$1:$CJ$1000,MATCH($A23,Dati!$A$1:$A$1000,0))&gt;0,Dati!$H$3&amp;": "&amp;INDEX(Dati!$H$1:$H$1000,MATCH($A23,Dati!$A$1:$A$1000,0))&amp;" · ","")&amp;IF(INDEX(Dati!$CK$1:$CK$1000,MATCH($A23,Dati!$A$1:$A$1000,0))&gt;0,Dati!$I$3&amp;": "&amp;INDEX(Dati!$I$1:$I$1000,MATCH($A23,Dati!$A$1:$A$1000,0))&amp;" · ","")&amp;IF(INDEX(Dati!$CL$1:$CL$1000,MATCH($A23,Dati!$A$1:$A$1000,0))&gt;0,Dati!$J$3&amp;": "&amp;INDEX(Dati!$J$1:$J$1000,MATCH($A23,Dati!$A$1:$A$1000,0))&amp;" · ",""))="",IF(INDEX(Dati!$FH$1:$FH$1000,MATCH($A23,Dati!$A$1:$A$1000,0))=1,"AS da recuperare",""),LEFT(IF(INDEX(Dati!$CI$1:$CI$1000,MATCH($A23,Dati!$A$1:$A$1000,0))&gt;0,Dati!$G$3&amp;": "&amp;INDEX(Dati!$G$1:$G$1000,MATCH($A23,Dati!$A$1:$A$1000,0))&amp;" · ","")&amp;IF(INDEX(Dati!$CJ$1:$CJ$1000,MATCH($A23,Dati!$A$1:$A$1000,0))&gt;0,Dati!$H$3&amp;": "&amp;INDEX(Dati!$H$1:$H$1000,MATCH($A23,Dati!$A$1:$A$1000,0))&amp;" · ","")&amp;IF(INDEX(Dati!$CK$1:$CK$1000,MATCH($A23,Dati!$A$1:$A$1000,0))&gt;0,Dati!$I$3&amp;": "&amp;INDEX(Dati!$I$1:$I$1000,MATCH($A23,Dati!$A$1:$A$1000,0))&amp;" · ","")&amp;IF(INDEX(Dati!$CL$1:$CL$1000,MATCH($A23,Dati!$A$1:$A$1000,0))&gt;0,Dati!$J$3&amp;": "&amp;INDEX(Dati!$J$1:$J$1000,MATCH($A23,Dati!$A$1:$A$1000,0))&amp;" · ",""),LEN(IF(INDEX(Dati!$CI$1:$CI$1000,MATCH($A23,Dati!$A$1:$A$1000,0))&gt;0,Dati!$G$3&amp;": "&amp;INDEX(Dati!$G$1:$G$1000,MATCH($A23,Dati!$A$1:$A$1000,0))&amp;" · ","")&amp;IF(INDEX(Dati!$CJ$1:$CJ$1000,MATCH($A23,Dati!$A$1:$A$1000,0))&gt;0,Dati!$H$3&amp;": "&amp;INDEX(Dati!$H$1:$H$1000,MATCH($A23,Dati!$A$1:$A$1000,0))&amp;" · ","")&amp;IF(INDEX(Dati!$CK$1:$CK$1000,MATCH($A23,Dati!$A$1:$A$1000,0))&gt;0,Dati!$I$3&amp;": "&amp;INDEX(Dati!$I$1:$I$1000,MATCH($A23,Dati!$A$1:$A$1000,0))&amp;" · ","")&amp;IF(INDEX(Dati!$CL$1:$CL$1000,MATCH($A23,Dati!$A$1:$A$1000,0))&gt;0,Dati!$J$3&amp;": "&amp;INDEX(Dati!$J$1:$J$1000,MATCH($A23,Dati!$A$1:$A$1000,0))&amp;" · ",""))-3)),""))</f>
        <v/>
      </c>
      <c r="E23" s="55" t="str">
        <f aca="false">IF($B23="","",IFERROR(IF((IF(INDEX(Dati!$CM$1:$CM$1000,MATCH($A23,Dati!$A$1:$A$1000,0))&gt;0,Dati!$K$3&amp;": "&amp;INDEX(Dati!$K$1:$K$1000,MATCH($A23,Dati!$A$1:$A$1000,0))&amp;" · ","")&amp;IF(INDEX(Dati!$CN$1:$CN$1000,MATCH($A23,Dati!$A$1:$A$1000,0))&gt;0,Dati!$L$3&amp;": "&amp;INDEX(Dati!$L$1:$L$1000,MATCH($A23,Dati!$A$1:$A$1000,0))&amp;" · ","")&amp;IF(INDEX(Dati!$CO$1:$CO$1000,MATCH($A23,Dati!$A$1:$A$1000,0))&gt;0,Dati!$M$3&amp;": "&amp;INDEX(Dati!$M$1:$M$1000,MATCH($A23,Dati!$A$1:$A$1000,0))&amp;" · ","")&amp;IF(INDEX(Dati!$CP$1:$CP$1000,MATCH($A23,Dati!$A$1:$A$1000,0))&gt;0,Dati!$N$3&amp;": "&amp;INDEX(Dati!$N$1:$N$1000,MATCH($A23,Dati!$A$1:$A$1000,0))&amp;" · ",""))="",IF(INDEX(Dati!$FI$1:$FI$1000,MATCH($A23,Dati!$A$1:$A$1000,0))=1,"AS da recuperare",""),LEFT(IF(INDEX(Dati!$CM$1:$CM$1000,MATCH($A23,Dati!$A$1:$A$1000,0))&gt;0,Dati!$K$3&amp;": "&amp;INDEX(Dati!$K$1:$K$1000,MATCH($A23,Dati!$A$1:$A$1000,0))&amp;" · ","")&amp;IF(INDEX(Dati!$CN$1:$CN$1000,MATCH($A23,Dati!$A$1:$A$1000,0))&gt;0,Dati!$L$3&amp;": "&amp;INDEX(Dati!$L$1:$L$1000,MATCH($A23,Dati!$A$1:$A$1000,0))&amp;" · ","")&amp;IF(INDEX(Dati!$CO$1:$CO$1000,MATCH($A23,Dati!$A$1:$A$1000,0))&gt;0,Dati!$M$3&amp;": "&amp;INDEX(Dati!$M$1:$M$1000,MATCH($A23,Dati!$A$1:$A$1000,0))&amp;" · ","")&amp;IF(INDEX(Dati!$CP$1:$CP$1000,MATCH($A23,Dati!$A$1:$A$1000,0))&gt;0,Dati!$N$3&amp;": "&amp;INDEX(Dati!$N$1:$N$1000,MATCH($A23,Dati!$A$1:$A$1000,0))&amp;" · ",""),LEN(IF(INDEX(Dati!$CM$1:$CM$1000,MATCH($A23,Dati!$A$1:$A$1000,0))&gt;0,Dati!$K$3&amp;": "&amp;INDEX(Dati!$K$1:$K$1000,MATCH($A23,Dati!$A$1:$A$1000,0))&amp;" · ","")&amp;IF(INDEX(Dati!$CN$1:$CN$1000,MATCH($A23,Dati!$A$1:$A$1000,0))&gt;0,Dati!$L$3&amp;": "&amp;INDEX(Dati!$L$1:$L$1000,MATCH($A23,Dati!$A$1:$A$1000,0))&amp;" · ","")&amp;IF(INDEX(Dati!$CO$1:$CO$1000,MATCH($A23,Dati!$A$1:$A$1000,0))&gt;0,Dati!$M$3&amp;": "&amp;INDEX(Dati!$M$1:$M$1000,MATCH($A23,Dati!$A$1:$A$1000,0))&amp;" · ","")&amp;IF(INDEX(Dati!$CP$1:$CP$1000,MATCH($A23,Dati!$A$1:$A$1000,0))&gt;0,Dati!$N$3&amp;": "&amp;INDEX(Dati!$N$1:$N$1000,MATCH($A23,Dati!$A$1:$A$1000,0))&amp;" · ",""))-3)),""))</f>
        <v/>
      </c>
      <c r="F23" s="55" t="str">
        <f aca="false">IF($B23="","",IFERROR(IF((IF(INDEX(Dati!$CQ$1:$CQ$1000,MATCH($A23,Dati!$A$1:$A$1000,0))&gt;0,Dati!$O$3&amp;": "&amp;INDEX(Dati!$O$1:$O$1000,MATCH($A23,Dati!$A$1:$A$1000,0))&amp;" · ","")&amp;IF(INDEX(Dati!$CR$1:$CR$1000,MATCH($A23,Dati!$A$1:$A$1000,0))&gt;0,Dati!$P$3&amp;": "&amp;INDEX(Dati!$P$1:$P$1000,MATCH($A23,Dati!$A$1:$A$1000,0))&amp;" · ","")&amp;IF(INDEX(Dati!$CS$1:$CS$1000,MATCH($A23,Dati!$A$1:$A$1000,0))&gt;0,Dati!$Q$3&amp;": "&amp;INDEX(Dati!$Q$1:$Q$1000,MATCH($A23,Dati!$A$1:$A$1000,0))&amp;" · ","")&amp;IF(INDEX(Dati!$CT$1:$CT$1000,MATCH($A23,Dati!$A$1:$A$1000,0))&gt;0,Dati!$R$3&amp;": "&amp;INDEX(Dati!$R$1:$R$1000,MATCH($A23,Dati!$A$1:$A$1000,0))&amp;" · ",""))="",IF(INDEX(Dati!$FJ$1:$FJ$1000,MATCH($A23,Dati!$A$1:$A$1000,0))=1,"AS da recuperare",""),LEFT(IF(INDEX(Dati!$CQ$1:$CQ$1000,MATCH($A23,Dati!$A$1:$A$1000,0))&gt;0,Dati!$O$3&amp;": "&amp;INDEX(Dati!$O$1:$O$1000,MATCH($A23,Dati!$A$1:$A$1000,0))&amp;" · ","")&amp;IF(INDEX(Dati!$CR$1:$CR$1000,MATCH($A23,Dati!$A$1:$A$1000,0))&gt;0,Dati!$P$3&amp;": "&amp;INDEX(Dati!$P$1:$P$1000,MATCH($A23,Dati!$A$1:$A$1000,0))&amp;" · ","")&amp;IF(INDEX(Dati!$CS$1:$CS$1000,MATCH($A23,Dati!$A$1:$A$1000,0))&gt;0,Dati!$Q$3&amp;": "&amp;INDEX(Dati!$Q$1:$Q$1000,MATCH($A23,Dati!$A$1:$A$1000,0))&amp;" · ","")&amp;IF(INDEX(Dati!$CT$1:$CT$1000,MATCH($A23,Dati!$A$1:$A$1000,0))&gt;0,Dati!$R$3&amp;": "&amp;INDEX(Dati!$R$1:$R$1000,MATCH($A23,Dati!$A$1:$A$1000,0))&amp;" · ",""),LEN(IF(INDEX(Dati!$CQ$1:$CQ$1000,MATCH($A23,Dati!$A$1:$A$1000,0))&gt;0,Dati!$O$3&amp;": "&amp;INDEX(Dati!$O$1:$O$1000,MATCH($A23,Dati!$A$1:$A$1000,0))&amp;" · ","")&amp;IF(INDEX(Dati!$CR$1:$CR$1000,MATCH($A23,Dati!$A$1:$A$1000,0))&gt;0,Dati!$P$3&amp;": "&amp;INDEX(Dati!$P$1:$P$1000,MATCH($A23,Dati!$A$1:$A$1000,0))&amp;" · ","")&amp;IF(INDEX(Dati!$CS$1:$CS$1000,MATCH($A23,Dati!$A$1:$A$1000,0))&gt;0,Dati!$Q$3&amp;": "&amp;INDEX(Dati!$Q$1:$Q$1000,MATCH($A23,Dati!$A$1:$A$1000,0))&amp;" · ","")&amp;IF(INDEX(Dati!$CT$1:$CT$1000,MATCH($A23,Dati!$A$1:$A$1000,0))&gt;0,Dati!$R$3&amp;": "&amp;INDEX(Dati!$R$1:$R$1000,MATCH($A23,Dati!$A$1:$A$1000,0))&amp;" · ",""))-3)),""))</f>
        <v/>
      </c>
      <c r="G23" s="55" t="str">
        <f aca="false">IF($B23="","",IFERROR(IF((IF(INDEX(Dati!$CU$1:$CU$1000,MATCH($A23,Dati!$A$1:$A$1000,0))&gt;0,Dati!$S$3&amp;": "&amp;INDEX(Dati!$S$1:$S$1000,MATCH($A23,Dati!$A$1:$A$1000,0))&amp;" · ","")&amp;IF(INDEX(Dati!$CV$1:$CV$1000,MATCH($A23,Dati!$A$1:$A$1000,0))&gt;0,Dati!$T$3&amp;": "&amp;INDEX(Dati!$T$1:$T$1000,MATCH($A23,Dati!$A$1:$A$1000,0))&amp;" · ","")&amp;IF(INDEX(Dati!$CW$1:$CW$1000,MATCH($A23,Dati!$A$1:$A$1000,0))&gt;0,Dati!$U$3&amp;": "&amp;INDEX(Dati!$U$1:$U$1000,MATCH($A23,Dati!$A$1:$A$1000,0))&amp;" · ","")&amp;IF(INDEX(Dati!$CX$1:$CX$1000,MATCH($A23,Dati!$A$1:$A$1000,0))&gt;0,Dati!$V$3&amp;": "&amp;INDEX(Dati!$V$1:$V$1000,MATCH($A23,Dati!$A$1:$A$1000,0))&amp;" · ",""))="",IF(INDEX(Dati!$FK$1:$FK$1000,MATCH($A23,Dati!$A$1:$A$1000,0))=1,"AS da recuperare",""),LEFT(IF(INDEX(Dati!$CU$1:$CU$1000,MATCH($A23,Dati!$A$1:$A$1000,0))&gt;0,Dati!$S$3&amp;": "&amp;INDEX(Dati!$S$1:$S$1000,MATCH($A23,Dati!$A$1:$A$1000,0))&amp;" · ","")&amp;IF(INDEX(Dati!$CV$1:$CV$1000,MATCH($A23,Dati!$A$1:$A$1000,0))&gt;0,Dati!$T$3&amp;": "&amp;INDEX(Dati!$T$1:$T$1000,MATCH($A23,Dati!$A$1:$A$1000,0))&amp;" · ","")&amp;IF(INDEX(Dati!$CW$1:$CW$1000,MATCH($A23,Dati!$A$1:$A$1000,0))&gt;0,Dati!$U$3&amp;": "&amp;INDEX(Dati!$U$1:$U$1000,MATCH($A23,Dati!$A$1:$A$1000,0))&amp;" · ","")&amp;IF(INDEX(Dati!$CX$1:$CX$1000,MATCH($A23,Dati!$A$1:$A$1000,0))&gt;0,Dati!$V$3&amp;": "&amp;INDEX(Dati!$V$1:$V$1000,MATCH($A23,Dati!$A$1:$A$1000,0))&amp;" · ",""),LEN(IF(INDEX(Dati!$CU$1:$CU$1000,MATCH($A23,Dati!$A$1:$A$1000,0))&gt;0,Dati!$S$3&amp;": "&amp;INDEX(Dati!$S$1:$S$1000,MATCH($A23,Dati!$A$1:$A$1000,0))&amp;" · ","")&amp;IF(INDEX(Dati!$CV$1:$CV$1000,MATCH($A23,Dati!$A$1:$A$1000,0))&gt;0,Dati!$T$3&amp;": "&amp;INDEX(Dati!$T$1:$T$1000,MATCH($A23,Dati!$A$1:$A$1000,0))&amp;" · ","")&amp;IF(INDEX(Dati!$CW$1:$CW$1000,MATCH($A23,Dati!$A$1:$A$1000,0))&gt;0,Dati!$U$3&amp;": "&amp;INDEX(Dati!$U$1:$U$1000,MATCH($A23,Dati!$A$1:$A$1000,0))&amp;" · ","")&amp;IF(INDEX(Dati!$CX$1:$CX$1000,MATCH($A23,Dati!$A$1:$A$1000,0))&gt;0,Dati!$V$3&amp;": "&amp;INDEX(Dati!$V$1:$V$1000,MATCH($A23,Dati!$A$1:$A$1000,0))&amp;" · ",""))-3)),""))</f>
        <v/>
      </c>
      <c r="H23" s="55" t="str">
        <f aca="false">IF($B23="","",IFERROR(IF((IF(INDEX(Dati!$CY$1:$CY$1000,MATCH($A23,Dati!$A$1:$A$1000,0))&gt;0,Dati!$W$3&amp;": "&amp;INDEX(Dati!$W$1:$W$1000,MATCH($A23,Dati!$A$1:$A$1000,0))&amp;" · ","")&amp;IF(INDEX(Dati!$CZ$1:$CZ$1000,MATCH($A23,Dati!$A$1:$A$1000,0))&gt;0,Dati!$X$3&amp;": "&amp;INDEX(Dati!$X$1:$X$1000,MATCH($A23,Dati!$A$1:$A$1000,0))&amp;" · ","")&amp;IF(INDEX(Dati!$DA$1:$DA$1000,MATCH($A23,Dati!$A$1:$A$1000,0))&gt;0,Dati!$Y$3&amp;": "&amp;INDEX(Dati!$Y$1:$Y$1000,MATCH($A23,Dati!$A$1:$A$1000,0))&amp;" · ","")&amp;IF(INDEX(Dati!$DB$1:$DB$1000,MATCH($A23,Dati!$A$1:$A$1000,0))&gt;0,Dati!$Z$3&amp;": "&amp;INDEX(Dati!$Z$1:$Z$1000,MATCH($A23,Dati!$A$1:$A$1000,0))&amp;" · ",""))="",IF(INDEX(Dati!$FL$1:$FL$1000,MATCH($A23,Dati!$A$1:$A$1000,0))=1,"AS da recuperare",""),LEFT(IF(INDEX(Dati!$CY$1:$CY$1000,MATCH($A23,Dati!$A$1:$A$1000,0))&gt;0,Dati!$W$3&amp;": "&amp;INDEX(Dati!$W$1:$W$1000,MATCH($A23,Dati!$A$1:$A$1000,0))&amp;" · ","")&amp;IF(INDEX(Dati!$CZ$1:$CZ$1000,MATCH($A23,Dati!$A$1:$A$1000,0))&gt;0,Dati!$X$3&amp;": "&amp;INDEX(Dati!$X$1:$X$1000,MATCH($A23,Dati!$A$1:$A$1000,0))&amp;" · ","")&amp;IF(INDEX(Dati!$DA$1:$DA$1000,MATCH($A23,Dati!$A$1:$A$1000,0))&gt;0,Dati!$Y$3&amp;": "&amp;INDEX(Dati!$Y$1:$Y$1000,MATCH($A23,Dati!$A$1:$A$1000,0))&amp;" · ","")&amp;IF(INDEX(Dati!$DB$1:$DB$1000,MATCH($A23,Dati!$A$1:$A$1000,0))&gt;0,Dati!$Z$3&amp;": "&amp;INDEX(Dati!$Z$1:$Z$1000,MATCH($A23,Dati!$A$1:$A$1000,0))&amp;" · ",""),LEN(IF(INDEX(Dati!$CY$1:$CY$1000,MATCH($A23,Dati!$A$1:$A$1000,0))&gt;0,Dati!$W$3&amp;": "&amp;INDEX(Dati!$W$1:$W$1000,MATCH($A23,Dati!$A$1:$A$1000,0))&amp;" · ","")&amp;IF(INDEX(Dati!$CZ$1:$CZ$1000,MATCH($A23,Dati!$A$1:$A$1000,0))&gt;0,Dati!$X$3&amp;": "&amp;INDEX(Dati!$X$1:$X$1000,MATCH($A23,Dati!$A$1:$A$1000,0))&amp;" · ","")&amp;IF(INDEX(Dati!$DA$1:$DA$1000,MATCH($A23,Dati!$A$1:$A$1000,0))&gt;0,Dati!$Y$3&amp;": "&amp;INDEX(Dati!$Y$1:$Y$1000,MATCH($A23,Dati!$A$1:$A$1000,0))&amp;" · ","")&amp;IF(INDEX(Dati!$DB$1:$DB$1000,MATCH($A23,Dati!$A$1:$A$1000,0))&gt;0,Dati!$Z$3&amp;": "&amp;INDEX(Dati!$Z$1:$Z$1000,MATCH($A23,Dati!$A$1:$A$1000,0))&amp;" · ",""))-3)),""))</f>
        <v/>
      </c>
      <c r="I23" s="55" t="str">
        <f aca="false">IF($B23="","",IFERROR(IF((IF(INDEX(Dati!$DC$1:$DC$1000,MATCH($A23,Dati!$A$1:$A$1000,0))&gt;0,Dati!$AA$3&amp;": "&amp;INDEX(Dati!$AA$1:$AA$1000,MATCH($A23,Dati!$A$1:$A$1000,0))&amp;" · ","")&amp;IF(INDEX(Dati!$DD$1:$DD$1000,MATCH($A23,Dati!$A$1:$A$1000,0))&gt;0,Dati!$AB$3&amp;": "&amp;INDEX(Dati!$AB$1:$AB$1000,MATCH($A23,Dati!$A$1:$A$1000,0))&amp;" · ","")&amp;IF(INDEX(Dati!$DE$1:$DE$1000,MATCH($A23,Dati!$A$1:$A$1000,0))&gt;0,Dati!$AC$3&amp;": "&amp;INDEX(Dati!$AC$1:$AC$1000,MATCH($A23,Dati!$A$1:$A$1000,0))&amp;" · ","")&amp;IF(INDEX(Dati!$DF$1:$DF$1000,MATCH($A23,Dati!$A$1:$A$1000,0))&gt;0,Dati!$AD$3&amp;": "&amp;INDEX(Dati!$AD$1:$AD$1000,MATCH($A23,Dati!$A$1:$A$1000,0))&amp;" · ",""))="",IF(INDEX(Dati!$FM$1:$FM$1000,MATCH($A23,Dati!$A$1:$A$1000,0))=1,"AS da recuperare",""),LEFT(IF(INDEX(Dati!$DC$1:$DC$1000,MATCH($A23,Dati!$A$1:$A$1000,0))&gt;0,Dati!$AA$3&amp;": "&amp;INDEX(Dati!$AA$1:$AA$1000,MATCH($A23,Dati!$A$1:$A$1000,0))&amp;" · ","")&amp;IF(INDEX(Dati!$DD$1:$DD$1000,MATCH($A23,Dati!$A$1:$A$1000,0))&gt;0,Dati!$AB$3&amp;": "&amp;INDEX(Dati!$AB$1:$AB$1000,MATCH($A23,Dati!$A$1:$A$1000,0))&amp;" · ","")&amp;IF(INDEX(Dati!$DE$1:$DE$1000,MATCH($A23,Dati!$A$1:$A$1000,0))&gt;0,Dati!$AC$3&amp;": "&amp;INDEX(Dati!$AC$1:$AC$1000,MATCH($A23,Dati!$A$1:$A$1000,0))&amp;" · ","")&amp;IF(INDEX(Dati!$DF$1:$DF$1000,MATCH($A23,Dati!$A$1:$A$1000,0))&gt;0,Dati!$AD$3&amp;": "&amp;INDEX(Dati!$AD$1:$AD$1000,MATCH($A23,Dati!$A$1:$A$1000,0))&amp;" · ",""),LEN(IF(INDEX(Dati!$DC$1:$DC$1000,MATCH($A23,Dati!$A$1:$A$1000,0))&gt;0,Dati!$AA$3&amp;": "&amp;INDEX(Dati!$AA$1:$AA$1000,MATCH($A23,Dati!$A$1:$A$1000,0))&amp;" · ","")&amp;IF(INDEX(Dati!$DD$1:$DD$1000,MATCH($A23,Dati!$A$1:$A$1000,0))&gt;0,Dati!$AB$3&amp;": "&amp;INDEX(Dati!$AB$1:$AB$1000,MATCH($A23,Dati!$A$1:$A$1000,0))&amp;" · ","")&amp;IF(INDEX(Dati!$DE$1:$DE$1000,MATCH($A23,Dati!$A$1:$A$1000,0))&gt;0,Dati!$AC$3&amp;": "&amp;INDEX(Dati!$AC$1:$AC$1000,MATCH($A23,Dati!$A$1:$A$1000,0))&amp;" · ","")&amp;IF(INDEX(Dati!$DF$1:$DF$1000,MATCH($A23,Dati!$A$1:$A$1000,0))&gt;0,Dati!$AD$3&amp;": "&amp;INDEX(Dati!$AD$1:$AD$1000,MATCH($A23,Dati!$A$1:$A$1000,0))&amp;" · ",""))-3)),""))</f>
        <v/>
      </c>
      <c r="J23" s="55" t="str">
        <f aca="false">IF($B23="","",IFERROR(IF((IF(INDEX(Dati!$DG$1:$DG$1000,MATCH($A23,Dati!$A$1:$A$1000,0))&gt;0,Dati!$AE$3&amp;": "&amp;INDEX(Dati!$AE$1:$AE$1000,MATCH($A23,Dati!$A$1:$A$1000,0))&amp;" · ","")&amp;IF(INDEX(Dati!$DH$1:$DH$1000,MATCH($A23,Dati!$A$1:$A$1000,0))&gt;0,Dati!$AF$3&amp;": "&amp;INDEX(Dati!$AF$1:$AF$1000,MATCH($A23,Dati!$A$1:$A$1000,0))&amp;" · ","")&amp;IF(INDEX(Dati!$DI$1:$DI$1000,MATCH($A23,Dati!$A$1:$A$1000,0))&gt;0,Dati!$AG$3&amp;": "&amp;INDEX(Dati!$AG$1:$AG$1000,MATCH($A23,Dati!$A$1:$A$1000,0))&amp;" · ","")&amp;IF(INDEX(Dati!$DJ$1:$DJ$1000,MATCH($A23,Dati!$A$1:$A$1000,0))&gt;0,Dati!$AH$3&amp;": "&amp;INDEX(Dati!$AH$1:$AH$1000,MATCH($A23,Dati!$A$1:$A$1000,0))&amp;" · ",""))="",IF(INDEX(Dati!$FN$1:$FN$1000,MATCH($A23,Dati!$A$1:$A$1000,0))=1,"AS da recuperare",""),LEFT(IF(INDEX(Dati!$DG$1:$DG$1000,MATCH($A23,Dati!$A$1:$A$1000,0))&gt;0,Dati!$AE$3&amp;": "&amp;INDEX(Dati!$AE$1:$AE$1000,MATCH($A23,Dati!$A$1:$A$1000,0))&amp;" · ","")&amp;IF(INDEX(Dati!$DH$1:$DH$1000,MATCH($A23,Dati!$A$1:$A$1000,0))&gt;0,Dati!$AF$3&amp;": "&amp;INDEX(Dati!$AF$1:$AF$1000,MATCH($A23,Dati!$A$1:$A$1000,0))&amp;" · ","")&amp;IF(INDEX(Dati!$DI$1:$DI$1000,MATCH($A23,Dati!$A$1:$A$1000,0))&gt;0,Dati!$AG$3&amp;": "&amp;INDEX(Dati!$AG$1:$AG$1000,MATCH($A23,Dati!$A$1:$A$1000,0))&amp;" · ","")&amp;IF(INDEX(Dati!$DJ$1:$DJ$1000,MATCH($A23,Dati!$A$1:$A$1000,0))&gt;0,Dati!$AH$3&amp;": "&amp;INDEX(Dati!$AH$1:$AH$1000,MATCH($A23,Dati!$A$1:$A$1000,0))&amp;" · ",""),LEN(IF(INDEX(Dati!$DG$1:$DG$1000,MATCH($A23,Dati!$A$1:$A$1000,0))&gt;0,Dati!$AE$3&amp;": "&amp;INDEX(Dati!$AE$1:$AE$1000,MATCH($A23,Dati!$A$1:$A$1000,0))&amp;" · ","")&amp;IF(INDEX(Dati!$DH$1:$DH$1000,MATCH($A23,Dati!$A$1:$A$1000,0))&gt;0,Dati!$AF$3&amp;": "&amp;INDEX(Dati!$AF$1:$AF$1000,MATCH($A23,Dati!$A$1:$A$1000,0))&amp;" · ","")&amp;IF(INDEX(Dati!$DI$1:$DI$1000,MATCH($A23,Dati!$A$1:$A$1000,0))&gt;0,Dati!$AG$3&amp;": "&amp;INDEX(Dati!$AG$1:$AG$1000,MATCH($A23,Dati!$A$1:$A$1000,0))&amp;" · ","")&amp;IF(INDEX(Dati!$DJ$1:$DJ$1000,MATCH($A23,Dati!$A$1:$A$1000,0))&gt;0,Dati!$AH$3&amp;": "&amp;INDEX(Dati!$AH$1:$AH$1000,MATCH($A23,Dati!$A$1:$A$1000,0))&amp;" · ",""))-3)),""))</f>
        <v/>
      </c>
      <c r="K23" s="55" t="str">
        <f aca="false">IF($B23="","",IFERROR(IF((IF(INDEX(Dati!$DK$1:$DK$1000,MATCH($A23,Dati!$A$1:$A$1000,0))&gt;0,Dati!$AI$3&amp;": "&amp;INDEX(Dati!$AI$1:$AI$1000,MATCH($A23,Dati!$A$1:$A$1000,0))&amp;" · ","")&amp;IF(INDEX(Dati!$DL$1:$DL$1000,MATCH($A23,Dati!$A$1:$A$1000,0))&gt;0,Dati!$AJ$3&amp;": "&amp;INDEX(Dati!$AJ$1:$AJ$1000,MATCH($A23,Dati!$A$1:$A$1000,0))&amp;" · ","")&amp;IF(INDEX(Dati!$DM$1:$DM$1000,MATCH($A23,Dati!$A$1:$A$1000,0))&gt;0,Dati!$AK$3&amp;": "&amp;INDEX(Dati!$AK$1:$AK$1000,MATCH($A23,Dati!$A$1:$A$1000,0))&amp;" · ","")&amp;IF(INDEX(Dati!$DN$1:$DN$1000,MATCH($A23,Dati!$A$1:$A$1000,0))&gt;0,Dati!$AL$3&amp;": "&amp;INDEX(Dati!$AL$1:$AL$1000,MATCH($A23,Dati!$A$1:$A$1000,0))&amp;" · ",""))="",IF(INDEX(Dati!$FO$1:$FO$1000,MATCH($A23,Dati!$A$1:$A$1000,0))=1,"AS da recuperare",""),LEFT(IF(INDEX(Dati!$DK$1:$DK$1000,MATCH($A23,Dati!$A$1:$A$1000,0))&gt;0,Dati!$AI$3&amp;": "&amp;INDEX(Dati!$AI$1:$AI$1000,MATCH($A23,Dati!$A$1:$A$1000,0))&amp;" · ","")&amp;IF(INDEX(Dati!$DL$1:$DL$1000,MATCH($A23,Dati!$A$1:$A$1000,0))&gt;0,Dati!$AJ$3&amp;": "&amp;INDEX(Dati!$AJ$1:$AJ$1000,MATCH($A23,Dati!$A$1:$A$1000,0))&amp;" · ","")&amp;IF(INDEX(Dati!$DM$1:$DM$1000,MATCH($A23,Dati!$A$1:$A$1000,0))&gt;0,Dati!$AK$3&amp;": "&amp;INDEX(Dati!$AK$1:$AK$1000,MATCH($A23,Dati!$A$1:$A$1000,0))&amp;" · ","")&amp;IF(INDEX(Dati!$DN$1:$DN$1000,MATCH($A23,Dati!$A$1:$A$1000,0))&gt;0,Dati!$AL$3&amp;": "&amp;INDEX(Dati!$AL$1:$AL$1000,MATCH($A23,Dati!$A$1:$A$1000,0))&amp;" · ",""),LEN(IF(INDEX(Dati!$DK$1:$DK$1000,MATCH($A23,Dati!$A$1:$A$1000,0))&gt;0,Dati!$AI$3&amp;": "&amp;INDEX(Dati!$AI$1:$AI$1000,MATCH($A23,Dati!$A$1:$A$1000,0))&amp;" · ","")&amp;IF(INDEX(Dati!$DL$1:$DL$1000,MATCH($A23,Dati!$A$1:$A$1000,0))&gt;0,Dati!$AJ$3&amp;": "&amp;INDEX(Dati!$AJ$1:$AJ$1000,MATCH($A23,Dati!$A$1:$A$1000,0))&amp;" · ","")&amp;IF(INDEX(Dati!$DM$1:$DM$1000,MATCH($A23,Dati!$A$1:$A$1000,0))&gt;0,Dati!$AK$3&amp;": "&amp;INDEX(Dati!$AK$1:$AK$1000,MATCH($A23,Dati!$A$1:$A$1000,0))&amp;" · ","")&amp;IF(INDEX(Dati!$DN$1:$DN$1000,MATCH($A23,Dati!$A$1:$A$1000,0))&gt;0,Dati!$AL$3&amp;": "&amp;INDEX(Dati!$AL$1:$AL$1000,MATCH($A23,Dati!$A$1:$A$1000,0))&amp;" · ",""))-3)),""))</f>
        <v/>
      </c>
      <c r="L23" s="55" t="str">
        <f aca="false">IF($B23="","",IFERROR(IF((IF(INDEX(Dati!$DO$1:$DO$1000,MATCH($A23,Dati!$A$1:$A$1000,0))&gt;0,Dati!$AM$3&amp;": "&amp;INDEX(Dati!$AM$1:$AM$1000,MATCH($A23,Dati!$A$1:$A$1000,0))&amp;" · ","")&amp;IF(INDEX(Dati!$DP$1:$DP$1000,MATCH($A23,Dati!$A$1:$A$1000,0))&gt;0,Dati!$AN$3&amp;": "&amp;INDEX(Dati!$AN$1:$AN$1000,MATCH($A23,Dati!$A$1:$A$1000,0))&amp;" · ","")&amp;IF(INDEX(Dati!$DQ$1:$DQ$1000,MATCH($A23,Dati!$A$1:$A$1000,0))&gt;0,Dati!$AO$3&amp;": "&amp;INDEX(Dati!$AO$1:$AO$1000,MATCH($A23,Dati!$A$1:$A$1000,0))&amp;" · ","")&amp;IF(INDEX(Dati!$DR$1:$DR$1000,MATCH($A23,Dati!$A$1:$A$1000,0))&gt;0,Dati!$AP$3&amp;": "&amp;INDEX(Dati!$AP$1:$AP$1000,MATCH($A23,Dati!$A$1:$A$1000,0))&amp;" · ",""))="",IF(INDEX(Dati!$FP$1:$FP$1000,MATCH($A23,Dati!$A$1:$A$1000,0))=1,"AS da recuperare",""),LEFT(IF(INDEX(Dati!$DO$1:$DO$1000,MATCH($A23,Dati!$A$1:$A$1000,0))&gt;0,Dati!$AM$3&amp;": "&amp;INDEX(Dati!$AM$1:$AM$1000,MATCH($A23,Dati!$A$1:$A$1000,0))&amp;" · ","")&amp;IF(INDEX(Dati!$DP$1:$DP$1000,MATCH($A23,Dati!$A$1:$A$1000,0))&gt;0,Dati!$AN$3&amp;": "&amp;INDEX(Dati!$AN$1:$AN$1000,MATCH($A23,Dati!$A$1:$A$1000,0))&amp;" · ","")&amp;IF(INDEX(Dati!$DQ$1:$DQ$1000,MATCH($A23,Dati!$A$1:$A$1000,0))&gt;0,Dati!$AO$3&amp;": "&amp;INDEX(Dati!$AO$1:$AO$1000,MATCH($A23,Dati!$A$1:$A$1000,0))&amp;" · ","")&amp;IF(INDEX(Dati!$DR$1:$DR$1000,MATCH($A23,Dati!$A$1:$A$1000,0))&gt;0,Dati!$AP$3&amp;": "&amp;INDEX(Dati!$AP$1:$AP$1000,MATCH($A23,Dati!$A$1:$A$1000,0))&amp;" · ",""),LEN(IF(INDEX(Dati!$DO$1:$DO$1000,MATCH($A23,Dati!$A$1:$A$1000,0))&gt;0,Dati!$AM$3&amp;": "&amp;INDEX(Dati!$AM$1:$AM$1000,MATCH($A23,Dati!$A$1:$A$1000,0))&amp;" · ","")&amp;IF(INDEX(Dati!$DP$1:$DP$1000,MATCH($A23,Dati!$A$1:$A$1000,0))&gt;0,Dati!$AN$3&amp;": "&amp;INDEX(Dati!$AN$1:$AN$1000,MATCH($A23,Dati!$A$1:$A$1000,0))&amp;" · ","")&amp;IF(INDEX(Dati!$DQ$1:$DQ$1000,MATCH($A23,Dati!$A$1:$A$1000,0))&gt;0,Dati!$AO$3&amp;": "&amp;INDEX(Dati!$AO$1:$AO$1000,MATCH($A23,Dati!$A$1:$A$1000,0))&amp;" · ","")&amp;IF(INDEX(Dati!$DR$1:$DR$1000,MATCH($A23,Dati!$A$1:$A$1000,0))&gt;0,Dati!$AP$3&amp;": "&amp;INDEX(Dati!$AP$1:$AP$1000,MATCH($A23,Dati!$A$1:$A$1000,0))&amp;" · ",""))-3)),""))</f>
        <v/>
      </c>
      <c r="M23" s="55" t="str">
        <f aca="false">IF($B23="","",IFERROR(IF((IF(INDEX(Dati!$DS$1:$DS$1000,MATCH($A23,Dati!$A$1:$A$1000,0))&gt;0,Dati!$AQ$3&amp;": "&amp;INDEX(Dati!$AQ$1:$AQ$1000,MATCH($A23,Dati!$A$1:$A$1000,0))&amp;" · ","")&amp;IF(INDEX(Dati!$DT$1:$DT$1000,MATCH($A23,Dati!$A$1:$A$1000,0))&gt;0,Dati!$AR$3&amp;": "&amp;INDEX(Dati!$AR$1:$AR$1000,MATCH($A23,Dati!$A$1:$A$1000,0))&amp;" · ","")&amp;IF(INDEX(Dati!$DU$1:$DU$1000,MATCH($A23,Dati!$A$1:$A$1000,0))&gt;0,Dati!$AS$3&amp;": "&amp;INDEX(Dati!$AS$1:$AS$1000,MATCH($A23,Dati!$A$1:$A$1000,0))&amp;" · ","")&amp;IF(INDEX(Dati!$DV$1:$DV$1000,MATCH($A23,Dati!$A$1:$A$1000,0))&gt;0,Dati!$AT$3&amp;": "&amp;INDEX(Dati!$AT$1:$AT$1000,MATCH($A23,Dati!$A$1:$A$1000,0))&amp;" · ",""))="",IF(INDEX(Dati!$FQ$1:$FQ$1000,MATCH($A23,Dati!$A$1:$A$1000,0))=1,"AS da recuperare",""),LEFT(IF(INDEX(Dati!$DS$1:$DS$1000,MATCH($A23,Dati!$A$1:$A$1000,0))&gt;0,Dati!$AQ$3&amp;": "&amp;INDEX(Dati!$AQ$1:$AQ$1000,MATCH($A23,Dati!$A$1:$A$1000,0))&amp;" · ","")&amp;IF(INDEX(Dati!$DT$1:$DT$1000,MATCH($A23,Dati!$A$1:$A$1000,0))&gt;0,Dati!$AR$3&amp;": "&amp;INDEX(Dati!$AR$1:$AR$1000,MATCH($A23,Dati!$A$1:$A$1000,0))&amp;" · ","")&amp;IF(INDEX(Dati!$DU$1:$DU$1000,MATCH($A23,Dati!$A$1:$A$1000,0))&gt;0,Dati!$AS$3&amp;": "&amp;INDEX(Dati!$AS$1:$AS$1000,MATCH($A23,Dati!$A$1:$A$1000,0))&amp;" · ","")&amp;IF(INDEX(Dati!$DV$1:$DV$1000,MATCH($A23,Dati!$A$1:$A$1000,0))&gt;0,Dati!$AT$3&amp;": "&amp;INDEX(Dati!$AT$1:$AT$1000,MATCH($A23,Dati!$A$1:$A$1000,0))&amp;" · ",""),LEN(IF(INDEX(Dati!$DS$1:$DS$1000,MATCH($A23,Dati!$A$1:$A$1000,0))&gt;0,Dati!$AQ$3&amp;": "&amp;INDEX(Dati!$AQ$1:$AQ$1000,MATCH($A23,Dati!$A$1:$A$1000,0))&amp;" · ","")&amp;IF(INDEX(Dati!$DT$1:$DT$1000,MATCH($A23,Dati!$A$1:$A$1000,0))&gt;0,Dati!$AR$3&amp;": "&amp;INDEX(Dati!$AR$1:$AR$1000,MATCH($A23,Dati!$A$1:$A$1000,0))&amp;" · ","")&amp;IF(INDEX(Dati!$DU$1:$DU$1000,MATCH($A23,Dati!$A$1:$A$1000,0))&gt;0,Dati!$AS$3&amp;": "&amp;INDEX(Dati!$AS$1:$AS$1000,MATCH($A23,Dati!$A$1:$A$1000,0))&amp;" · ","")&amp;IF(INDEX(Dati!$DV$1:$DV$1000,MATCH($A23,Dati!$A$1:$A$1000,0))&gt;0,Dati!$AT$3&amp;": "&amp;INDEX(Dati!$AT$1:$AT$1000,MATCH($A23,Dati!$A$1:$A$1000,0))&amp;" · ",""))-3)),""))</f>
        <v/>
      </c>
      <c r="N23" s="55" t="str">
        <f aca="false">IF($B23="","",IFERROR(IF((IF(INDEX(Dati!$DW$1:$DW$1000,MATCH($A23,Dati!$A$1:$A$1000,0))&gt;0,Dati!$AU$3&amp;": "&amp;INDEX(Dati!$AU$1:$AU$1000,MATCH($A23,Dati!$A$1:$A$1000,0))&amp;" · ","")&amp;IF(INDEX(Dati!$DX$1:$DX$1000,MATCH($A23,Dati!$A$1:$A$1000,0))&gt;0,Dati!$AV$3&amp;": "&amp;INDEX(Dati!$AV$1:$AV$1000,MATCH($A23,Dati!$A$1:$A$1000,0))&amp;" · ","")&amp;IF(INDEX(Dati!$DY$1:$DY$1000,MATCH($A23,Dati!$A$1:$A$1000,0))&gt;0,Dati!$AW$3&amp;": "&amp;INDEX(Dati!$AW$1:$AW$1000,MATCH($A23,Dati!$A$1:$A$1000,0))&amp;" · ","")&amp;IF(INDEX(Dati!$DZ$1:$DZ$1000,MATCH($A23,Dati!$A$1:$A$1000,0))&gt;0,Dati!$AX$3&amp;": "&amp;INDEX(Dati!$AX$1:$AX$1000,MATCH($A23,Dati!$A$1:$A$1000,0))&amp;" · ",""))="",IF(INDEX(Dati!$FR$1:$FR$1000,MATCH($A23,Dati!$A$1:$A$1000,0))=1,"AS da recuperare",""),LEFT(IF(INDEX(Dati!$DW$1:$DW$1000,MATCH($A23,Dati!$A$1:$A$1000,0))&gt;0,Dati!$AU$3&amp;": "&amp;INDEX(Dati!$AU$1:$AU$1000,MATCH($A23,Dati!$A$1:$A$1000,0))&amp;" · ","")&amp;IF(INDEX(Dati!$DX$1:$DX$1000,MATCH($A23,Dati!$A$1:$A$1000,0))&gt;0,Dati!$AV$3&amp;": "&amp;INDEX(Dati!$AV$1:$AV$1000,MATCH($A23,Dati!$A$1:$A$1000,0))&amp;" · ","")&amp;IF(INDEX(Dati!$DY$1:$DY$1000,MATCH($A23,Dati!$A$1:$A$1000,0))&gt;0,Dati!$AW$3&amp;": "&amp;INDEX(Dati!$AW$1:$AW$1000,MATCH($A23,Dati!$A$1:$A$1000,0))&amp;" · ","")&amp;IF(INDEX(Dati!$DZ$1:$DZ$1000,MATCH($A23,Dati!$A$1:$A$1000,0))&gt;0,Dati!$AX$3&amp;": "&amp;INDEX(Dati!$AX$1:$AX$1000,MATCH($A23,Dati!$A$1:$A$1000,0))&amp;" · ",""),LEN(IF(INDEX(Dati!$DW$1:$DW$1000,MATCH($A23,Dati!$A$1:$A$1000,0))&gt;0,Dati!$AU$3&amp;": "&amp;INDEX(Dati!$AU$1:$AU$1000,MATCH($A23,Dati!$A$1:$A$1000,0))&amp;" · ","")&amp;IF(INDEX(Dati!$DX$1:$DX$1000,MATCH($A23,Dati!$A$1:$A$1000,0))&gt;0,Dati!$AV$3&amp;": "&amp;INDEX(Dati!$AV$1:$AV$1000,MATCH($A23,Dati!$A$1:$A$1000,0))&amp;" · ","")&amp;IF(INDEX(Dati!$DY$1:$DY$1000,MATCH($A23,Dati!$A$1:$A$1000,0))&gt;0,Dati!$AW$3&amp;": "&amp;INDEX(Dati!$AW$1:$AW$1000,MATCH($A23,Dati!$A$1:$A$1000,0))&amp;" · ","")&amp;IF(INDEX(Dati!$DZ$1:$DZ$1000,MATCH($A23,Dati!$A$1:$A$1000,0))&gt;0,Dati!$AX$3&amp;": "&amp;INDEX(Dati!$AX$1:$AX$1000,MATCH($A23,Dati!$A$1:$A$1000,0))&amp;" · ",""))-3)),""))</f>
        <v/>
      </c>
      <c r="O23" s="55" t="str">
        <f aca="false">IF($B23="","",IFERROR(IF((IF(INDEX(Dati!$EA$1:$EA$1000,MATCH($A23,Dati!$A$1:$A$1000,0))&gt;0,Dati!$AY$3&amp;": "&amp;INDEX(Dati!$AY$1:$AY$1000,MATCH($A23,Dati!$A$1:$A$1000,0))&amp;" · ","")&amp;IF(INDEX(Dati!$EB$1:$EB$1000,MATCH($A23,Dati!$A$1:$A$1000,0))&gt;0,Dati!$AZ$3&amp;": "&amp;INDEX(Dati!$AZ$1:$AZ$1000,MATCH($A23,Dati!$A$1:$A$1000,0))&amp;" · ","")&amp;IF(INDEX(Dati!$EC$1:$EC$1000,MATCH($A23,Dati!$A$1:$A$1000,0))&gt;0,Dati!$BA$3&amp;": "&amp;INDEX(Dati!$BA$1:$BA$1000,MATCH($A23,Dati!$A$1:$A$1000,0))&amp;" · ","")&amp;IF(INDEX(Dati!$ED$1:$ED$1000,MATCH($A23,Dati!$A$1:$A$1000,0))&gt;0,Dati!$BB$3&amp;": "&amp;INDEX(Dati!$BB$1:$BB$1000,MATCH($A23,Dati!$A$1:$A$1000,0))&amp;" · ",""))="",IF(INDEX(Dati!$FS$1:$FS$1000,MATCH($A23,Dati!$A$1:$A$1000,0))=1,"AS da recuperare",""),LEFT(IF(INDEX(Dati!$EA$1:$EA$1000,MATCH($A23,Dati!$A$1:$A$1000,0))&gt;0,Dati!$AY$3&amp;": "&amp;INDEX(Dati!$AY$1:$AY$1000,MATCH($A23,Dati!$A$1:$A$1000,0))&amp;" · ","")&amp;IF(INDEX(Dati!$EB$1:$EB$1000,MATCH($A23,Dati!$A$1:$A$1000,0))&gt;0,Dati!$AZ$3&amp;": "&amp;INDEX(Dati!$AZ$1:$AZ$1000,MATCH($A23,Dati!$A$1:$A$1000,0))&amp;" · ","")&amp;IF(INDEX(Dati!$EC$1:$EC$1000,MATCH($A23,Dati!$A$1:$A$1000,0))&gt;0,Dati!$BA$3&amp;": "&amp;INDEX(Dati!$BA$1:$BA$1000,MATCH($A23,Dati!$A$1:$A$1000,0))&amp;" · ","")&amp;IF(INDEX(Dati!$ED$1:$ED$1000,MATCH($A23,Dati!$A$1:$A$1000,0))&gt;0,Dati!$BB$3&amp;": "&amp;INDEX(Dati!$BB$1:$BB$1000,MATCH($A23,Dati!$A$1:$A$1000,0))&amp;" · ",""),LEN(IF(INDEX(Dati!$EA$1:$EA$1000,MATCH($A23,Dati!$A$1:$A$1000,0))&gt;0,Dati!$AY$3&amp;": "&amp;INDEX(Dati!$AY$1:$AY$1000,MATCH($A23,Dati!$A$1:$A$1000,0))&amp;" · ","")&amp;IF(INDEX(Dati!$EB$1:$EB$1000,MATCH($A23,Dati!$A$1:$A$1000,0))&gt;0,Dati!$AZ$3&amp;": "&amp;INDEX(Dati!$AZ$1:$AZ$1000,MATCH($A23,Dati!$A$1:$A$1000,0))&amp;" · ","")&amp;IF(INDEX(Dati!$EC$1:$EC$1000,MATCH($A23,Dati!$A$1:$A$1000,0))&gt;0,Dati!$BA$3&amp;": "&amp;INDEX(Dati!$BA$1:$BA$1000,MATCH($A23,Dati!$A$1:$A$1000,0))&amp;" · ","")&amp;IF(INDEX(Dati!$ED$1:$ED$1000,MATCH($A23,Dati!$A$1:$A$1000,0))&gt;0,Dati!$BB$3&amp;": "&amp;INDEX(Dati!$BB$1:$BB$1000,MATCH($A23,Dati!$A$1:$A$1000,0))&amp;" · ",""))-3)),""))</f>
        <v/>
      </c>
      <c r="P23" s="55" t="str">
        <f aca="false">IF($B23="","",IFERROR(IF((IF(INDEX(Dati!$EE$1:$EE$1000,MATCH($A23,Dati!$A$1:$A$1000,0))&gt;0,Dati!$BC$3&amp;": "&amp;INDEX(Dati!$BC$1:$BC$1000,MATCH($A23,Dati!$A$1:$A$1000,0))&amp;" · ","")&amp;IF(INDEX(Dati!$EF$1:$EF$1000,MATCH($A23,Dati!$A$1:$A$1000,0))&gt;0,Dati!$BD$3&amp;": "&amp;INDEX(Dati!$BD$1:$BD$1000,MATCH($A23,Dati!$A$1:$A$1000,0))&amp;" · ","")&amp;IF(INDEX(Dati!$EG$1:$EG$1000,MATCH($A23,Dati!$A$1:$A$1000,0))&gt;0,Dati!$BE$3&amp;": "&amp;INDEX(Dati!$BE$1:$BE$1000,MATCH($A23,Dati!$A$1:$A$1000,0))&amp;" · ","")&amp;IF(INDEX(Dati!$EH$1:$EH$1000,MATCH($A23,Dati!$A$1:$A$1000,0))&gt;0,Dati!$BF$3&amp;": "&amp;INDEX(Dati!$BF$1:$BF$1000,MATCH($A23,Dati!$A$1:$A$1000,0))&amp;" · ",""))="",IF(INDEX(Dati!$FT$1:$FT$1000,MATCH($A23,Dati!$A$1:$A$1000,0))=1,"AS da recuperare",""),LEFT(IF(INDEX(Dati!$EE$1:$EE$1000,MATCH($A23,Dati!$A$1:$A$1000,0))&gt;0,Dati!$BC$3&amp;": "&amp;INDEX(Dati!$BC$1:$BC$1000,MATCH($A23,Dati!$A$1:$A$1000,0))&amp;" · ","")&amp;IF(INDEX(Dati!$EF$1:$EF$1000,MATCH($A23,Dati!$A$1:$A$1000,0))&gt;0,Dati!$BD$3&amp;": "&amp;INDEX(Dati!$BD$1:$BD$1000,MATCH($A23,Dati!$A$1:$A$1000,0))&amp;" · ","")&amp;IF(INDEX(Dati!$EG$1:$EG$1000,MATCH($A23,Dati!$A$1:$A$1000,0))&gt;0,Dati!$BE$3&amp;": "&amp;INDEX(Dati!$BE$1:$BE$1000,MATCH($A23,Dati!$A$1:$A$1000,0))&amp;" · ","")&amp;IF(INDEX(Dati!$EH$1:$EH$1000,MATCH($A23,Dati!$A$1:$A$1000,0))&gt;0,Dati!$BF$3&amp;": "&amp;INDEX(Dati!$BF$1:$BF$1000,MATCH($A23,Dati!$A$1:$A$1000,0))&amp;" · ",""),LEN(IF(INDEX(Dati!$EE$1:$EE$1000,MATCH($A23,Dati!$A$1:$A$1000,0))&gt;0,Dati!$BC$3&amp;": "&amp;INDEX(Dati!$BC$1:$BC$1000,MATCH($A23,Dati!$A$1:$A$1000,0))&amp;" · ","")&amp;IF(INDEX(Dati!$EF$1:$EF$1000,MATCH($A23,Dati!$A$1:$A$1000,0))&gt;0,Dati!$BD$3&amp;": "&amp;INDEX(Dati!$BD$1:$BD$1000,MATCH($A23,Dati!$A$1:$A$1000,0))&amp;" · ","")&amp;IF(INDEX(Dati!$EG$1:$EG$1000,MATCH($A23,Dati!$A$1:$A$1000,0))&gt;0,Dati!$BE$3&amp;": "&amp;INDEX(Dati!$BE$1:$BE$1000,MATCH($A23,Dati!$A$1:$A$1000,0))&amp;" · ","")&amp;IF(INDEX(Dati!$EH$1:$EH$1000,MATCH($A23,Dati!$A$1:$A$1000,0))&gt;0,Dati!$BF$3&amp;": "&amp;INDEX(Dati!$BF$1:$BF$1000,MATCH($A23,Dati!$A$1:$A$1000,0))&amp;" · ",""))-3)),""))</f>
        <v/>
      </c>
      <c r="Q23" s="55" t="str">
        <f aca="false">IF($B23="","",IFERROR(IF((IF(INDEX(Dati!$EI$1:$EI$1000,MATCH($A23,Dati!$A$1:$A$1000,0))&gt;0,Dati!$BG$3&amp;": "&amp;INDEX(Dati!$BG$1:$BG$1000,MATCH($A23,Dati!$A$1:$A$1000,0))&amp;" · ","")&amp;IF(INDEX(Dati!$EJ$1:$EJ$1000,MATCH($A23,Dati!$A$1:$A$1000,0))&gt;0,Dati!$BH$3&amp;": "&amp;INDEX(Dati!$BH$1:$BH$1000,MATCH($A23,Dati!$A$1:$A$1000,0))&amp;" · ","")&amp;IF(INDEX(Dati!$EK$1:$EK$1000,MATCH($A23,Dati!$A$1:$A$1000,0))&gt;0,Dati!$BI$3&amp;": "&amp;INDEX(Dati!$BI$1:$BI$1000,MATCH($A23,Dati!$A$1:$A$1000,0))&amp;" · ","")&amp;IF(INDEX(Dati!$EL$1:$EL$1000,MATCH($A23,Dati!$A$1:$A$1000,0))&gt;0,Dati!$BJ$3&amp;": "&amp;INDEX(Dati!$BJ$1:$BJ$1000,MATCH($A23,Dati!$A$1:$A$1000,0))&amp;" · ",""))="",IF(INDEX(Dati!$FU$1:$FU$1000,MATCH($A23,Dati!$A$1:$A$1000,0))=1,"AS da recuperare",""),LEFT(IF(INDEX(Dati!$EI$1:$EI$1000,MATCH($A23,Dati!$A$1:$A$1000,0))&gt;0,Dati!$BG$3&amp;": "&amp;INDEX(Dati!$BG$1:$BG$1000,MATCH($A23,Dati!$A$1:$A$1000,0))&amp;" · ","")&amp;IF(INDEX(Dati!$EJ$1:$EJ$1000,MATCH($A23,Dati!$A$1:$A$1000,0))&gt;0,Dati!$BH$3&amp;": "&amp;INDEX(Dati!$BH$1:$BH$1000,MATCH($A23,Dati!$A$1:$A$1000,0))&amp;" · ","")&amp;IF(INDEX(Dati!$EK$1:$EK$1000,MATCH($A23,Dati!$A$1:$A$1000,0))&gt;0,Dati!$BI$3&amp;": "&amp;INDEX(Dati!$BI$1:$BI$1000,MATCH($A23,Dati!$A$1:$A$1000,0))&amp;" · ","")&amp;IF(INDEX(Dati!$EL$1:$EL$1000,MATCH($A23,Dati!$A$1:$A$1000,0))&gt;0,Dati!$BJ$3&amp;": "&amp;INDEX(Dati!$BJ$1:$BJ$1000,MATCH($A23,Dati!$A$1:$A$1000,0))&amp;" · ",""),LEN(IF(INDEX(Dati!$EI$1:$EI$1000,MATCH($A23,Dati!$A$1:$A$1000,0))&gt;0,Dati!$BG$3&amp;": "&amp;INDEX(Dati!$BG$1:$BG$1000,MATCH($A23,Dati!$A$1:$A$1000,0))&amp;" · ","")&amp;IF(INDEX(Dati!$EJ$1:$EJ$1000,MATCH($A23,Dati!$A$1:$A$1000,0))&gt;0,Dati!$BH$3&amp;": "&amp;INDEX(Dati!$BH$1:$BH$1000,MATCH($A23,Dati!$A$1:$A$1000,0))&amp;" · ","")&amp;IF(INDEX(Dati!$EK$1:$EK$1000,MATCH($A23,Dati!$A$1:$A$1000,0))&gt;0,Dati!$BI$3&amp;": "&amp;INDEX(Dati!$BI$1:$BI$1000,MATCH($A23,Dati!$A$1:$A$1000,0))&amp;" · ","")&amp;IF(INDEX(Dati!$EL$1:$EL$1000,MATCH($A23,Dati!$A$1:$A$1000,0))&gt;0,Dati!$BJ$3&amp;": "&amp;INDEX(Dati!$BJ$1:$BJ$1000,MATCH($A23,Dati!$A$1:$A$1000,0))&amp;" · ",""))-3)),""))</f>
        <v/>
      </c>
      <c r="R23" s="55" t="str">
        <f aca="false">IF($B23="","",IFERROR(IF((IF(INDEX(Dati!$EM$1:$EM$1000,MATCH($A23,Dati!$A$1:$A$1000,0))&gt;0,Dati!$BK$3&amp;": "&amp;INDEX(Dati!$BK$1:$BK$1000,MATCH($A23,Dati!$A$1:$A$1000,0))&amp;" · ","")&amp;IF(INDEX(Dati!$EN$1:$EN$1000,MATCH($A23,Dati!$A$1:$A$1000,0))&gt;0,Dati!$BL$3&amp;": "&amp;INDEX(Dati!$BL$1:$BL$1000,MATCH($A23,Dati!$A$1:$A$1000,0))&amp;" · ","")&amp;IF(INDEX(Dati!$EO$1:$EO$1000,MATCH($A23,Dati!$A$1:$A$1000,0))&gt;0,Dati!$BM$3&amp;": "&amp;INDEX(Dati!$BM$1:$BM$1000,MATCH($A23,Dati!$A$1:$A$1000,0))&amp;" · ","")&amp;IF(INDEX(Dati!$EP$1:$EP$1000,MATCH($A23,Dati!$A$1:$A$1000,0))&gt;0,Dati!$BN$3&amp;": "&amp;INDEX(Dati!$BN$1:$BN$1000,MATCH($A23,Dati!$A$1:$A$1000,0))&amp;" · ",""))="",IF(INDEX(Dati!$FV$1:$FV$1000,MATCH($A23,Dati!$A$1:$A$1000,0))=1,"AS da recuperare",""),LEFT(IF(INDEX(Dati!$EM$1:$EM$1000,MATCH($A23,Dati!$A$1:$A$1000,0))&gt;0,Dati!$BK$3&amp;": "&amp;INDEX(Dati!$BK$1:$BK$1000,MATCH($A23,Dati!$A$1:$A$1000,0))&amp;" · ","")&amp;IF(INDEX(Dati!$EN$1:$EN$1000,MATCH($A23,Dati!$A$1:$A$1000,0))&gt;0,Dati!$BL$3&amp;": "&amp;INDEX(Dati!$BL$1:$BL$1000,MATCH($A23,Dati!$A$1:$A$1000,0))&amp;" · ","")&amp;IF(INDEX(Dati!$EO$1:$EO$1000,MATCH($A23,Dati!$A$1:$A$1000,0))&gt;0,Dati!$BM$3&amp;": "&amp;INDEX(Dati!$BM$1:$BM$1000,MATCH($A23,Dati!$A$1:$A$1000,0))&amp;" · ","")&amp;IF(INDEX(Dati!$EP$1:$EP$1000,MATCH($A23,Dati!$A$1:$A$1000,0))&gt;0,Dati!$BN$3&amp;": "&amp;INDEX(Dati!$BN$1:$BN$1000,MATCH($A23,Dati!$A$1:$A$1000,0))&amp;" · ",""),LEN(IF(INDEX(Dati!$EM$1:$EM$1000,MATCH($A23,Dati!$A$1:$A$1000,0))&gt;0,Dati!$BK$3&amp;": "&amp;INDEX(Dati!$BK$1:$BK$1000,MATCH($A23,Dati!$A$1:$A$1000,0))&amp;" · ","")&amp;IF(INDEX(Dati!$EN$1:$EN$1000,MATCH($A23,Dati!$A$1:$A$1000,0))&gt;0,Dati!$BL$3&amp;": "&amp;INDEX(Dati!$BL$1:$BL$1000,MATCH($A23,Dati!$A$1:$A$1000,0))&amp;" · ","")&amp;IF(INDEX(Dati!$EO$1:$EO$1000,MATCH($A23,Dati!$A$1:$A$1000,0))&gt;0,Dati!$BM$3&amp;": "&amp;INDEX(Dati!$BM$1:$BM$1000,MATCH($A23,Dati!$A$1:$A$1000,0))&amp;" · ","")&amp;IF(INDEX(Dati!$EP$1:$EP$1000,MATCH($A23,Dati!$A$1:$A$1000,0))&gt;0,Dati!$BN$3&amp;": "&amp;INDEX(Dati!$BN$1:$BN$1000,MATCH($A23,Dati!$A$1:$A$1000,0))&amp;" · ",""))-3)),""))</f>
        <v/>
      </c>
      <c r="S23" s="55" t="str">
        <f aca="false">IF($B23="","",IFERROR(IF((IF(INDEX(Dati!$EQ$1:$EQ$1000,MATCH($A23,Dati!$A$1:$A$1000,0))&gt;0,Dati!$BO$3&amp;": "&amp;INDEX(Dati!$BO$1:$BO$1000,MATCH($A23,Dati!$A$1:$A$1000,0))&amp;" · ","")&amp;IF(INDEX(Dati!$ER$1:$ER$1000,MATCH($A23,Dati!$A$1:$A$1000,0))&gt;0,Dati!$BP$3&amp;": "&amp;INDEX(Dati!$BP$1:$BP$1000,MATCH($A23,Dati!$A$1:$A$1000,0))&amp;" · ","")&amp;IF(INDEX(Dati!$ES$1:$ES$1000,MATCH($A23,Dati!$A$1:$A$1000,0))&gt;0,Dati!$BQ$3&amp;": "&amp;INDEX(Dati!$BQ$1:$BQ$1000,MATCH($A23,Dati!$A$1:$A$1000,0))&amp;" · ","")&amp;IF(INDEX(Dati!$ET$1:$ET$1000,MATCH($A23,Dati!$A$1:$A$1000,0))&gt;0,Dati!$BR$3&amp;": "&amp;INDEX(Dati!$BR$1:$BR$1000,MATCH($A23,Dati!$A$1:$A$1000,0))&amp;" · ",""))="",IF(INDEX(Dati!$FW$1:$FW$1000,MATCH($A23,Dati!$A$1:$A$1000,0))=1,"AS da recuperare",""),LEFT(IF(INDEX(Dati!$EQ$1:$EQ$1000,MATCH($A23,Dati!$A$1:$A$1000,0))&gt;0,Dati!$BO$3&amp;": "&amp;INDEX(Dati!$BO$1:$BO$1000,MATCH($A23,Dati!$A$1:$A$1000,0))&amp;" · ","")&amp;IF(INDEX(Dati!$ER$1:$ER$1000,MATCH($A23,Dati!$A$1:$A$1000,0))&gt;0,Dati!$BP$3&amp;": "&amp;INDEX(Dati!$BP$1:$BP$1000,MATCH($A23,Dati!$A$1:$A$1000,0))&amp;" · ","")&amp;IF(INDEX(Dati!$ES$1:$ES$1000,MATCH($A23,Dati!$A$1:$A$1000,0))&gt;0,Dati!$BQ$3&amp;": "&amp;INDEX(Dati!$BQ$1:$BQ$1000,MATCH($A23,Dati!$A$1:$A$1000,0))&amp;" · ","")&amp;IF(INDEX(Dati!$ET$1:$ET$1000,MATCH($A23,Dati!$A$1:$A$1000,0))&gt;0,Dati!$BR$3&amp;": "&amp;INDEX(Dati!$BR$1:$BR$1000,MATCH($A23,Dati!$A$1:$A$1000,0))&amp;" · ",""),LEN(IF(INDEX(Dati!$EQ$1:$EQ$1000,MATCH($A23,Dati!$A$1:$A$1000,0))&gt;0,Dati!$BO$3&amp;": "&amp;INDEX(Dati!$BO$1:$BO$1000,MATCH($A23,Dati!$A$1:$A$1000,0))&amp;" · ","")&amp;IF(INDEX(Dati!$ER$1:$ER$1000,MATCH($A23,Dati!$A$1:$A$1000,0))&gt;0,Dati!$BP$3&amp;": "&amp;INDEX(Dati!$BP$1:$BP$1000,MATCH($A23,Dati!$A$1:$A$1000,0))&amp;" · ","")&amp;IF(INDEX(Dati!$ES$1:$ES$1000,MATCH($A23,Dati!$A$1:$A$1000,0))&gt;0,Dati!$BQ$3&amp;": "&amp;INDEX(Dati!$BQ$1:$BQ$1000,MATCH($A23,Dati!$A$1:$A$1000,0))&amp;" · ","")&amp;IF(INDEX(Dati!$ET$1:$ET$1000,MATCH($A23,Dati!$A$1:$A$1000,0))&gt;0,Dati!$BR$3&amp;": "&amp;INDEX(Dati!$BR$1:$BR$1000,MATCH($A23,Dati!$A$1:$A$1000,0))&amp;" · ",""))-3)),""))</f>
        <v/>
      </c>
      <c r="T23" s="55" t="str">
        <f aca="false">IF($B23="","",IFERROR(IF((IF(INDEX(Dati!$EU$1:$EU$1000,MATCH($A23,Dati!$A$1:$A$1000,0))&gt;0,Dati!$BS$3&amp;": "&amp;INDEX(Dati!$BS$1:$BS$1000,MATCH($A23,Dati!$A$1:$A$1000,0))&amp;" · ","")&amp;IF(INDEX(Dati!$EV$1:$EV$1000,MATCH($A23,Dati!$A$1:$A$1000,0))&gt;0,Dati!$BT$3&amp;": "&amp;INDEX(Dati!$BT$1:$BT$1000,MATCH($A23,Dati!$A$1:$A$1000,0))&amp;" · ","")&amp;IF(INDEX(Dati!$EW$1:$EW$1000,MATCH($A23,Dati!$A$1:$A$1000,0))&gt;0,Dati!$BU$3&amp;": "&amp;INDEX(Dati!$BU$1:$BU$1000,MATCH($A23,Dati!$A$1:$A$1000,0))&amp;" · ","")&amp;IF(INDEX(Dati!$EX$1:$EX$1000,MATCH($A23,Dati!$A$1:$A$1000,0))&gt;0,Dati!$BV$3&amp;": "&amp;INDEX(Dati!$BV$1:$BV$1000,MATCH($A23,Dati!$A$1:$A$1000,0))&amp;" · ",""))="",IF(INDEX(Dati!$FX$1:$FX$1000,MATCH($A23,Dati!$A$1:$A$1000,0))=1,"AS da recuperare",""),LEFT(IF(INDEX(Dati!$EU$1:$EU$1000,MATCH($A23,Dati!$A$1:$A$1000,0))&gt;0,Dati!$BS$3&amp;": "&amp;INDEX(Dati!$BS$1:$BS$1000,MATCH($A23,Dati!$A$1:$A$1000,0))&amp;" · ","")&amp;IF(INDEX(Dati!$EV$1:$EV$1000,MATCH($A23,Dati!$A$1:$A$1000,0))&gt;0,Dati!$BT$3&amp;": "&amp;INDEX(Dati!$BT$1:$BT$1000,MATCH($A23,Dati!$A$1:$A$1000,0))&amp;" · ","")&amp;IF(INDEX(Dati!$EW$1:$EW$1000,MATCH($A23,Dati!$A$1:$A$1000,0))&gt;0,Dati!$BU$3&amp;": "&amp;INDEX(Dati!$BU$1:$BU$1000,MATCH($A23,Dati!$A$1:$A$1000,0))&amp;" · ","")&amp;IF(INDEX(Dati!$EX$1:$EX$1000,MATCH($A23,Dati!$A$1:$A$1000,0))&gt;0,Dati!$BV$3&amp;": "&amp;INDEX(Dati!$BV$1:$BV$1000,MATCH($A23,Dati!$A$1:$A$1000,0))&amp;" · ",""),LEN(IF(INDEX(Dati!$EU$1:$EU$1000,MATCH($A23,Dati!$A$1:$A$1000,0))&gt;0,Dati!$BS$3&amp;": "&amp;INDEX(Dati!$BS$1:$BS$1000,MATCH($A23,Dati!$A$1:$A$1000,0))&amp;" · ","")&amp;IF(INDEX(Dati!$EV$1:$EV$1000,MATCH($A23,Dati!$A$1:$A$1000,0))&gt;0,Dati!$BT$3&amp;": "&amp;INDEX(Dati!$BT$1:$BT$1000,MATCH($A23,Dati!$A$1:$A$1000,0))&amp;" · ","")&amp;IF(INDEX(Dati!$EW$1:$EW$1000,MATCH($A23,Dati!$A$1:$A$1000,0))&gt;0,Dati!$BU$3&amp;": "&amp;INDEX(Dati!$BU$1:$BU$1000,MATCH($A23,Dati!$A$1:$A$1000,0))&amp;" · ","")&amp;IF(INDEX(Dati!$EX$1:$EX$1000,MATCH($A23,Dati!$A$1:$A$1000,0))&gt;0,Dati!$BV$3&amp;": "&amp;INDEX(Dati!$BV$1:$BV$1000,MATCH($A23,Dati!$A$1:$A$1000,0))&amp;" · ",""))-3)),""))</f>
        <v/>
      </c>
      <c r="U23" s="55" t="str">
        <f aca="false">IF($B23="","",IFERROR(IF((IF(INDEX(Dati!$EY$1:$EY$1000,MATCH($A23,Dati!$A$1:$A$1000,0))&gt;0,Dati!$BW$3&amp;": "&amp;INDEX(Dati!$BW$1:$BW$1000,MATCH($A23,Dati!$A$1:$A$1000,0))&amp;" · ","")&amp;IF(INDEX(Dati!$EZ$1:$EZ$1000,MATCH($A23,Dati!$A$1:$A$1000,0))&gt;0,Dati!$BX$3&amp;": "&amp;INDEX(Dati!$BX$1:$BX$1000,MATCH($A23,Dati!$A$1:$A$1000,0))&amp;" · ","")&amp;IF(INDEX(Dati!$FA$1:$FA$1000,MATCH($A23,Dati!$A$1:$A$1000,0))&gt;0,Dati!$BY$3&amp;": "&amp;INDEX(Dati!$BY$1:$BY$1000,MATCH($A23,Dati!$A$1:$A$1000,0))&amp;" · ","")&amp;IF(INDEX(Dati!$FB$1:$FB$1000,MATCH($A23,Dati!$A$1:$A$1000,0))&gt;0,Dati!$BZ$3&amp;": "&amp;INDEX(Dati!$BZ$1:$BZ$1000,MATCH($A23,Dati!$A$1:$A$1000,0))&amp;" · ",""))="",IF(INDEX(Dati!$FY$1:$FY$1000,MATCH($A23,Dati!$A$1:$A$1000,0))=1,"AS da recuperare",""),LEFT(IF(INDEX(Dati!$EY$1:$EY$1000,MATCH($A23,Dati!$A$1:$A$1000,0))&gt;0,Dati!$BW$3&amp;": "&amp;INDEX(Dati!$BW$1:$BW$1000,MATCH($A23,Dati!$A$1:$A$1000,0))&amp;" · ","")&amp;IF(INDEX(Dati!$EZ$1:$EZ$1000,MATCH($A23,Dati!$A$1:$A$1000,0))&gt;0,Dati!$BX$3&amp;": "&amp;INDEX(Dati!$BX$1:$BX$1000,MATCH($A23,Dati!$A$1:$A$1000,0))&amp;" · ","")&amp;IF(INDEX(Dati!$FA$1:$FA$1000,MATCH($A23,Dati!$A$1:$A$1000,0))&gt;0,Dati!$BY$3&amp;": "&amp;INDEX(Dati!$BY$1:$BY$1000,MATCH($A23,Dati!$A$1:$A$1000,0))&amp;" · ","")&amp;IF(INDEX(Dati!$FB$1:$FB$1000,MATCH($A23,Dati!$A$1:$A$1000,0))&gt;0,Dati!$BZ$3&amp;": "&amp;INDEX(Dati!$BZ$1:$BZ$1000,MATCH($A23,Dati!$A$1:$A$1000,0))&amp;" · ",""),LEN(IF(INDEX(Dati!$EY$1:$EY$1000,MATCH($A23,Dati!$A$1:$A$1000,0))&gt;0,Dati!$BW$3&amp;": "&amp;INDEX(Dati!$BW$1:$BW$1000,MATCH($A23,Dati!$A$1:$A$1000,0))&amp;" · ","")&amp;IF(INDEX(Dati!$EZ$1:$EZ$1000,MATCH($A23,Dati!$A$1:$A$1000,0))&gt;0,Dati!$BX$3&amp;": "&amp;INDEX(Dati!$BX$1:$BX$1000,MATCH($A23,Dati!$A$1:$A$1000,0))&amp;" · ","")&amp;IF(INDEX(Dati!$FA$1:$FA$1000,MATCH($A23,Dati!$A$1:$A$1000,0))&gt;0,Dati!$BY$3&amp;": "&amp;INDEX(Dati!$BY$1:$BY$1000,MATCH($A23,Dati!$A$1:$A$1000,0))&amp;" · ","")&amp;IF(INDEX(Dati!$FB$1:$FB$1000,MATCH($A23,Dati!$A$1:$A$1000,0))&gt;0,Dati!$BZ$3&amp;": "&amp;INDEX(Dati!$BZ$1:$BZ$1000,MATCH($A23,Dati!$A$1:$A$1000,0))&amp;" · ",""))-3)),""))</f>
        <v/>
      </c>
      <c r="V23" s="55" t="str">
        <f aca="false">IF($B23="","",IFERROR(IF((IF(INDEX(Dati!$FC$1:$FC$1000,MATCH($A23,Dati!$A$1:$A$1000,0))&gt;0,Dati!$CA$3&amp;": "&amp;INDEX(Dati!$CA$1:$CA$1000,MATCH($A23,Dati!$A$1:$A$1000,0))&amp;" · ","")&amp;IF(INDEX(Dati!$FD$1:$FD$1000,MATCH($A23,Dati!$A$1:$A$1000,0))&gt;0,Dati!$CB$3&amp;": "&amp;INDEX(Dati!$CB$1:$CB$1000,MATCH($A23,Dati!$A$1:$A$1000,0))&amp;" · ","")&amp;IF(INDEX(Dati!$FE$1:$FE$1000,MATCH($A23,Dati!$A$1:$A$1000,0))&gt;0,Dati!$CC$3&amp;": "&amp;INDEX(Dati!$CC$1:$CC$1000,MATCH($A23,Dati!$A$1:$A$1000,0))&amp;" · ","")&amp;IF(INDEX(Dati!$FF$1:$FF$1000,MATCH($A23,Dati!$A$1:$A$1000,0))&gt;0,Dati!$CD$3&amp;": "&amp;INDEX(Dati!$CD$1:$CD$1000,MATCH($A23,Dati!$A$1:$A$1000,0))&amp;" · ",""))="",IF(INDEX(Dati!$FZ$1:$FZ$1000,MATCH($A23,Dati!$A$1:$A$1000,0))=1,"AS da recuperare",""),LEFT(IF(INDEX(Dati!$FC$1:$FC$1000,MATCH($A23,Dati!$A$1:$A$1000,0))&gt;0,Dati!$CA$3&amp;": "&amp;INDEX(Dati!$CA$1:$CA$1000,MATCH($A23,Dati!$A$1:$A$1000,0))&amp;" · ","")&amp;IF(INDEX(Dati!$FD$1:$FD$1000,MATCH($A23,Dati!$A$1:$A$1000,0))&gt;0,Dati!$CB$3&amp;": "&amp;INDEX(Dati!$CB$1:$CB$1000,MATCH($A23,Dati!$A$1:$A$1000,0))&amp;" · ","")&amp;IF(INDEX(Dati!$FE$1:$FE$1000,MATCH($A23,Dati!$A$1:$A$1000,0))&gt;0,Dati!$CC$3&amp;": "&amp;INDEX(Dati!$CC$1:$CC$1000,MATCH($A23,Dati!$A$1:$A$1000,0))&amp;" · ","")&amp;IF(INDEX(Dati!$FF$1:$FF$1000,MATCH($A23,Dati!$A$1:$A$1000,0))&gt;0,Dati!$CD$3&amp;": "&amp;INDEX(Dati!$CD$1:$CD$1000,MATCH($A23,Dati!$A$1:$A$1000,0))&amp;" · ",""),LEN(IF(INDEX(Dati!$FC$1:$FC$1000,MATCH($A23,Dati!$A$1:$A$1000,0))&gt;0,Dati!$CA$3&amp;": "&amp;INDEX(Dati!$CA$1:$CA$1000,MATCH($A23,Dati!$A$1:$A$1000,0))&amp;" · ","")&amp;IF(INDEX(Dati!$FD$1:$FD$1000,MATCH($A23,Dati!$A$1:$A$1000,0))&gt;0,Dati!$CB$3&amp;": "&amp;INDEX(Dati!$CB$1:$CB$1000,MATCH($A23,Dati!$A$1:$A$1000,0))&amp;" · ","")&amp;IF(INDEX(Dati!$FE$1:$FE$1000,MATCH($A23,Dati!$A$1:$A$1000,0))&gt;0,Dati!$CC$3&amp;": "&amp;INDEX(Dati!$CC$1:$CC$1000,MATCH($A23,Dati!$A$1:$A$1000,0))&amp;" · ","")&amp;IF(INDEX(Dati!$FF$1:$FF$1000,MATCH($A23,Dati!$A$1:$A$1000,0))&gt;0,Dati!$CD$3&amp;": "&amp;INDEX(Dati!$CD$1:$CD$1000,MATCH($A23,Dati!$A$1:$A$1000,0))&amp;" · ",""))-3)),""))</f>
        <v/>
      </c>
    </row>
    <row r="24" customFormat="false" ht="19.5" hidden="false" customHeight="true" outlineLevel="0" collapsed="false">
      <c r="A24" s="10" t="n">
        <v>20</v>
      </c>
      <c r="B24" s="16" t="str">
        <f aca="false">IFERROR(INDEX(Alunni!$C$1:$C$1000,MATCH($A24,Alunni!$A$1:$A$1000,0))&amp;"","")</f>
        <v/>
      </c>
      <c r="C24" s="55" t="str">
        <f aca="false">IF($B24="","",IFERROR(IF((IF(INDEX(Dati!$CE$1:$CE$1000,MATCH($A24,Dati!$A$1:$A$1000,0))&gt;0,Dati!$C$3&amp;": "&amp;INDEX(Dati!$C$1:$C$1000,MATCH($A24,Dati!$A$1:$A$1000,0))&amp;" · ","")&amp;IF(INDEX(Dati!$CF$1:$CF$1000,MATCH($A24,Dati!$A$1:$A$1000,0))&gt;0,Dati!$D$3&amp;": "&amp;INDEX(Dati!$D$1:$D$1000,MATCH($A24,Dati!$A$1:$A$1000,0))&amp;" · ","")&amp;IF(INDEX(Dati!$CG$1:$CG$1000,MATCH($A24,Dati!$A$1:$A$1000,0))&gt;0,Dati!$E$3&amp;": "&amp;INDEX(Dati!$E$1:$E$1000,MATCH($A24,Dati!$A$1:$A$1000,0))&amp;" · ","")&amp;IF(INDEX(Dati!$CH$1:$CH$1000,MATCH($A24,Dati!$A$1:$A$1000,0))&gt;0,Dati!$F$3&amp;": "&amp;INDEX(Dati!$F$1:$F$1000,MATCH($A24,Dati!$A$1:$A$1000,0))&amp;" · ",""))="",IF(INDEX(Dati!$FG$1:$FG$1000,MATCH($A24,Dati!$A$1:$A$1000,0))=1,"AS da recuperare",""),LEFT(IF(INDEX(Dati!$CE$1:$CE$1000,MATCH($A24,Dati!$A$1:$A$1000,0))&gt;0,Dati!$C$3&amp;": "&amp;INDEX(Dati!$C$1:$C$1000,MATCH($A24,Dati!$A$1:$A$1000,0))&amp;" · ","")&amp;IF(INDEX(Dati!$CF$1:$CF$1000,MATCH($A24,Dati!$A$1:$A$1000,0))&gt;0,Dati!$D$3&amp;": "&amp;INDEX(Dati!$D$1:$D$1000,MATCH($A24,Dati!$A$1:$A$1000,0))&amp;" · ","")&amp;IF(INDEX(Dati!$CG$1:$CG$1000,MATCH($A24,Dati!$A$1:$A$1000,0))&gt;0,Dati!$E$3&amp;": "&amp;INDEX(Dati!$E$1:$E$1000,MATCH($A24,Dati!$A$1:$A$1000,0))&amp;" · ","")&amp;IF(INDEX(Dati!$CH$1:$CH$1000,MATCH($A24,Dati!$A$1:$A$1000,0))&gt;0,Dati!$F$3&amp;": "&amp;INDEX(Dati!$F$1:$F$1000,MATCH($A24,Dati!$A$1:$A$1000,0))&amp;" · ",""),LEN(IF(INDEX(Dati!$CE$1:$CE$1000,MATCH($A24,Dati!$A$1:$A$1000,0))&gt;0,Dati!$C$3&amp;": "&amp;INDEX(Dati!$C$1:$C$1000,MATCH($A24,Dati!$A$1:$A$1000,0))&amp;" · ","")&amp;IF(INDEX(Dati!$CF$1:$CF$1000,MATCH($A24,Dati!$A$1:$A$1000,0))&gt;0,Dati!$D$3&amp;": "&amp;INDEX(Dati!$D$1:$D$1000,MATCH($A24,Dati!$A$1:$A$1000,0))&amp;" · ","")&amp;IF(INDEX(Dati!$CG$1:$CG$1000,MATCH($A24,Dati!$A$1:$A$1000,0))&gt;0,Dati!$E$3&amp;": "&amp;INDEX(Dati!$E$1:$E$1000,MATCH($A24,Dati!$A$1:$A$1000,0))&amp;" · ","")&amp;IF(INDEX(Dati!$CH$1:$CH$1000,MATCH($A24,Dati!$A$1:$A$1000,0))&gt;0,Dati!$F$3&amp;": "&amp;INDEX(Dati!$F$1:$F$1000,MATCH($A24,Dati!$A$1:$A$1000,0))&amp;" · ",""))-3)),""))</f>
        <v/>
      </c>
      <c r="D24" s="55" t="str">
        <f aca="false">IF($B24="","",IFERROR(IF((IF(INDEX(Dati!$CI$1:$CI$1000,MATCH($A24,Dati!$A$1:$A$1000,0))&gt;0,Dati!$G$3&amp;": "&amp;INDEX(Dati!$G$1:$G$1000,MATCH($A24,Dati!$A$1:$A$1000,0))&amp;" · ","")&amp;IF(INDEX(Dati!$CJ$1:$CJ$1000,MATCH($A24,Dati!$A$1:$A$1000,0))&gt;0,Dati!$H$3&amp;": "&amp;INDEX(Dati!$H$1:$H$1000,MATCH($A24,Dati!$A$1:$A$1000,0))&amp;" · ","")&amp;IF(INDEX(Dati!$CK$1:$CK$1000,MATCH($A24,Dati!$A$1:$A$1000,0))&gt;0,Dati!$I$3&amp;": "&amp;INDEX(Dati!$I$1:$I$1000,MATCH($A24,Dati!$A$1:$A$1000,0))&amp;" · ","")&amp;IF(INDEX(Dati!$CL$1:$CL$1000,MATCH($A24,Dati!$A$1:$A$1000,0))&gt;0,Dati!$J$3&amp;": "&amp;INDEX(Dati!$J$1:$J$1000,MATCH($A24,Dati!$A$1:$A$1000,0))&amp;" · ",""))="",IF(INDEX(Dati!$FH$1:$FH$1000,MATCH($A24,Dati!$A$1:$A$1000,0))=1,"AS da recuperare",""),LEFT(IF(INDEX(Dati!$CI$1:$CI$1000,MATCH($A24,Dati!$A$1:$A$1000,0))&gt;0,Dati!$G$3&amp;": "&amp;INDEX(Dati!$G$1:$G$1000,MATCH($A24,Dati!$A$1:$A$1000,0))&amp;" · ","")&amp;IF(INDEX(Dati!$CJ$1:$CJ$1000,MATCH($A24,Dati!$A$1:$A$1000,0))&gt;0,Dati!$H$3&amp;": "&amp;INDEX(Dati!$H$1:$H$1000,MATCH($A24,Dati!$A$1:$A$1000,0))&amp;" · ","")&amp;IF(INDEX(Dati!$CK$1:$CK$1000,MATCH($A24,Dati!$A$1:$A$1000,0))&gt;0,Dati!$I$3&amp;": "&amp;INDEX(Dati!$I$1:$I$1000,MATCH($A24,Dati!$A$1:$A$1000,0))&amp;" · ","")&amp;IF(INDEX(Dati!$CL$1:$CL$1000,MATCH($A24,Dati!$A$1:$A$1000,0))&gt;0,Dati!$J$3&amp;": "&amp;INDEX(Dati!$J$1:$J$1000,MATCH($A24,Dati!$A$1:$A$1000,0))&amp;" · ",""),LEN(IF(INDEX(Dati!$CI$1:$CI$1000,MATCH($A24,Dati!$A$1:$A$1000,0))&gt;0,Dati!$G$3&amp;": "&amp;INDEX(Dati!$G$1:$G$1000,MATCH($A24,Dati!$A$1:$A$1000,0))&amp;" · ","")&amp;IF(INDEX(Dati!$CJ$1:$CJ$1000,MATCH($A24,Dati!$A$1:$A$1000,0))&gt;0,Dati!$H$3&amp;": "&amp;INDEX(Dati!$H$1:$H$1000,MATCH($A24,Dati!$A$1:$A$1000,0))&amp;" · ","")&amp;IF(INDEX(Dati!$CK$1:$CK$1000,MATCH($A24,Dati!$A$1:$A$1000,0))&gt;0,Dati!$I$3&amp;": "&amp;INDEX(Dati!$I$1:$I$1000,MATCH($A24,Dati!$A$1:$A$1000,0))&amp;" · ","")&amp;IF(INDEX(Dati!$CL$1:$CL$1000,MATCH($A24,Dati!$A$1:$A$1000,0))&gt;0,Dati!$J$3&amp;": "&amp;INDEX(Dati!$J$1:$J$1000,MATCH($A24,Dati!$A$1:$A$1000,0))&amp;" · ",""))-3)),""))</f>
        <v/>
      </c>
      <c r="E24" s="55" t="str">
        <f aca="false">IF($B24="","",IFERROR(IF((IF(INDEX(Dati!$CM$1:$CM$1000,MATCH($A24,Dati!$A$1:$A$1000,0))&gt;0,Dati!$K$3&amp;": "&amp;INDEX(Dati!$K$1:$K$1000,MATCH($A24,Dati!$A$1:$A$1000,0))&amp;" · ","")&amp;IF(INDEX(Dati!$CN$1:$CN$1000,MATCH($A24,Dati!$A$1:$A$1000,0))&gt;0,Dati!$L$3&amp;": "&amp;INDEX(Dati!$L$1:$L$1000,MATCH($A24,Dati!$A$1:$A$1000,0))&amp;" · ","")&amp;IF(INDEX(Dati!$CO$1:$CO$1000,MATCH($A24,Dati!$A$1:$A$1000,0))&gt;0,Dati!$M$3&amp;": "&amp;INDEX(Dati!$M$1:$M$1000,MATCH($A24,Dati!$A$1:$A$1000,0))&amp;" · ","")&amp;IF(INDEX(Dati!$CP$1:$CP$1000,MATCH($A24,Dati!$A$1:$A$1000,0))&gt;0,Dati!$N$3&amp;": "&amp;INDEX(Dati!$N$1:$N$1000,MATCH($A24,Dati!$A$1:$A$1000,0))&amp;" · ",""))="",IF(INDEX(Dati!$FI$1:$FI$1000,MATCH($A24,Dati!$A$1:$A$1000,0))=1,"AS da recuperare",""),LEFT(IF(INDEX(Dati!$CM$1:$CM$1000,MATCH($A24,Dati!$A$1:$A$1000,0))&gt;0,Dati!$K$3&amp;": "&amp;INDEX(Dati!$K$1:$K$1000,MATCH($A24,Dati!$A$1:$A$1000,0))&amp;" · ","")&amp;IF(INDEX(Dati!$CN$1:$CN$1000,MATCH($A24,Dati!$A$1:$A$1000,0))&gt;0,Dati!$L$3&amp;": "&amp;INDEX(Dati!$L$1:$L$1000,MATCH($A24,Dati!$A$1:$A$1000,0))&amp;" · ","")&amp;IF(INDEX(Dati!$CO$1:$CO$1000,MATCH($A24,Dati!$A$1:$A$1000,0))&gt;0,Dati!$M$3&amp;": "&amp;INDEX(Dati!$M$1:$M$1000,MATCH($A24,Dati!$A$1:$A$1000,0))&amp;" · ","")&amp;IF(INDEX(Dati!$CP$1:$CP$1000,MATCH($A24,Dati!$A$1:$A$1000,0))&gt;0,Dati!$N$3&amp;": "&amp;INDEX(Dati!$N$1:$N$1000,MATCH($A24,Dati!$A$1:$A$1000,0))&amp;" · ",""),LEN(IF(INDEX(Dati!$CM$1:$CM$1000,MATCH($A24,Dati!$A$1:$A$1000,0))&gt;0,Dati!$K$3&amp;": "&amp;INDEX(Dati!$K$1:$K$1000,MATCH($A24,Dati!$A$1:$A$1000,0))&amp;" · ","")&amp;IF(INDEX(Dati!$CN$1:$CN$1000,MATCH($A24,Dati!$A$1:$A$1000,0))&gt;0,Dati!$L$3&amp;": "&amp;INDEX(Dati!$L$1:$L$1000,MATCH($A24,Dati!$A$1:$A$1000,0))&amp;" · ","")&amp;IF(INDEX(Dati!$CO$1:$CO$1000,MATCH($A24,Dati!$A$1:$A$1000,0))&gt;0,Dati!$M$3&amp;": "&amp;INDEX(Dati!$M$1:$M$1000,MATCH($A24,Dati!$A$1:$A$1000,0))&amp;" · ","")&amp;IF(INDEX(Dati!$CP$1:$CP$1000,MATCH($A24,Dati!$A$1:$A$1000,0))&gt;0,Dati!$N$3&amp;": "&amp;INDEX(Dati!$N$1:$N$1000,MATCH($A24,Dati!$A$1:$A$1000,0))&amp;" · ",""))-3)),""))</f>
        <v/>
      </c>
      <c r="F24" s="55" t="str">
        <f aca="false">IF($B24="","",IFERROR(IF((IF(INDEX(Dati!$CQ$1:$CQ$1000,MATCH($A24,Dati!$A$1:$A$1000,0))&gt;0,Dati!$O$3&amp;": "&amp;INDEX(Dati!$O$1:$O$1000,MATCH($A24,Dati!$A$1:$A$1000,0))&amp;" · ","")&amp;IF(INDEX(Dati!$CR$1:$CR$1000,MATCH($A24,Dati!$A$1:$A$1000,0))&gt;0,Dati!$P$3&amp;": "&amp;INDEX(Dati!$P$1:$P$1000,MATCH($A24,Dati!$A$1:$A$1000,0))&amp;" · ","")&amp;IF(INDEX(Dati!$CS$1:$CS$1000,MATCH($A24,Dati!$A$1:$A$1000,0))&gt;0,Dati!$Q$3&amp;": "&amp;INDEX(Dati!$Q$1:$Q$1000,MATCH($A24,Dati!$A$1:$A$1000,0))&amp;" · ","")&amp;IF(INDEX(Dati!$CT$1:$CT$1000,MATCH($A24,Dati!$A$1:$A$1000,0))&gt;0,Dati!$R$3&amp;": "&amp;INDEX(Dati!$R$1:$R$1000,MATCH($A24,Dati!$A$1:$A$1000,0))&amp;" · ",""))="",IF(INDEX(Dati!$FJ$1:$FJ$1000,MATCH($A24,Dati!$A$1:$A$1000,0))=1,"AS da recuperare",""),LEFT(IF(INDEX(Dati!$CQ$1:$CQ$1000,MATCH($A24,Dati!$A$1:$A$1000,0))&gt;0,Dati!$O$3&amp;": "&amp;INDEX(Dati!$O$1:$O$1000,MATCH($A24,Dati!$A$1:$A$1000,0))&amp;" · ","")&amp;IF(INDEX(Dati!$CR$1:$CR$1000,MATCH($A24,Dati!$A$1:$A$1000,0))&gt;0,Dati!$P$3&amp;": "&amp;INDEX(Dati!$P$1:$P$1000,MATCH($A24,Dati!$A$1:$A$1000,0))&amp;" · ","")&amp;IF(INDEX(Dati!$CS$1:$CS$1000,MATCH($A24,Dati!$A$1:$A$1000,0))&gt;0,Dati!$Q$3&amp;": "&amp;INDEX(Dati!$Q$1:$Q$1000,MATCH($A24,Dati!$A$1:$A$1000,0))&amp;" · ","")&amp;IF(INDEX(Dati!$CT$1:$CT$1000,MATCH($A24,Dati!$A$1:$A$1000,0))&gt;0,Dati!$R$3&amp;": "&amp;INDEX(Dati!$R$1:$R$1000,MATCH($A24,Dati!$A$1:$A$1000,0))&amp;" · ",""),LEN(IF(INDEX(Dati!$CQ$1:$CQ$1000,MATCH($A24,Dati!$A$1:$A$1000,0))&gt;0,Dati!$O$3&amp;": "&amp;INDEX(Dati!$O$1:$O$1000,MATCH($A24,Dati!$A$1:$A$1000,0))&amp;" · ","")&amp;IF(INDEX(Dati!$CR$1:$CR$1000,MATCH($A24,Dati!$A$1:$A$1000,0))&gt;0,Dati!$P$3&amp;": "&amp;INDEX(Dati!$P$1:$P$1000,MATCH($A24,Dati!$A$1:$A$1000,0))&amp;" · ","")&amp;IF(INDEX(Dati!$CS$1:$CS$1000,MATCH($A24,Dati!$A$1:$A$1000,0))&gt;0,Dati!$Q$3&amp;": "&amp;INDEX(Dati!$Q$1:$Q$1000,MATCH($A24,Dati!$A$1:$A$1000,0))&amp;" · ","")&amp;IF(INDEX(Dati!$CT$1:$CT$1000,MATCH($A24,Dati!$A$1:$A$1000,0))&gt;0,Dati!$R$3&amp;": "&amp;INDEX(Dati!$R$1:$R$1000,MATCH($A24,Dati!$A$1:$A$1000,0))&amp;" · ",""))-3)),""))</f>
        <v/>
      </c>
      <c r="G24" s="55" t="str">
        <f aca="false">IF($B24="","",IFERROR(IF((IF(INDEX(Dati!$CU$1:$CU$1000,MATCH($A24,Dati!$A$1:$A$1000,0))&gt;0,Dati!$S$3&amp;": "&amp;INDEX(Dati!$S$1:$S$1000,MATCH($A24,Dati!$A$1:$A$1000,0))&amp;" · ","")&amp;IF(INDEX(Dati!$CV$1:$CV$1000,MATCH($A24,Dati!$A$1:$A$1000,0))&gt;0,Dati!$T$3&amp;": "&amp;INDEX(Dati!$T$1:$T$1000,MATCH($A24,Dati!$A$1:$A$1000,0))&amp;" · ","")&amp;IF(INDEX(Dati!$CW$1:$CW$1000,MATCH($A24,Dati!$A$1:$A$1000,0))&gt;0,Dati!$U$3&amp;": "&amp;INDEX(Dati!$U$1:$U$1000,MATCH($A24,Dati!$A$1:$A$1000,0))&amp;" · ","")&amp;IF(INDEX(Dati!$CX$1:$CX$1000,MATCH($A24,Dati!$A$1:$A$1000,0))&gt;0,Dati!$V$3&amp;": "&amp;INDEX(Dati!$V$1:$V$1000,MATCH($A24,Dati!$A$1:$A$1000,0))&amp;" · ",""))="",IF(INDEX(Dati!$FK$1:$FK$1000,MATCH($A24,Dati!$A$1:$A$1000,0))=1,"AS da recuperare",""),LEFT(IF(INDEX(Dati!$CU$1:$CU$1000,MATCH($A24,Dati!$A$1:$A$1000,0))&gt;0,Dati!$S$3&amp;": "&amp;INDEX(Dati!$S$1:$S$1000,MATCH($A24,Dati!$A$1:$A$1000,0))&amp;" · ","")&amp;IF(INDEX(Dati!$CV$1:$CV$1000,MATCH($A24,Dati!$A$1:$A$1000,0))&gt;0,Dati!$T$3&amp;": "&amp;INDEX(Dati!$T$1:$T$1000,MATCH($A24,Dati!$A$1:$A$1000,0))&amp;" · ","")&amp;IF(INDEX(Dati!$CW$1:$CW$1000,MATCH($A24,Dati!$A$1:$A$1000,0))&gt;0,Dati!$U$3&amp;": "&amp;INDEX(Dati!$U$1:$U$1000,MATCH($A24,Dati!$A$1:$A$1000,0))&amp;" · ","")&amp;IF(INDEX(Dati!$CX$1:$CX$1000,MATCH($A24,Dati!$A$1:$A$1000,0))&gt;0,Dati!$V$3&amp;": "&amp;INDEX(Dati!$V$1:$V$1000,MATCH($A24,Dati!$A$1:$A$1000,0))&amp;" · ",""),LEN(IF(INDEX(Dati!$CU$1:$CU$1000,MATCH($A24,Dati!$A$1:$A$1000,0))&gt;0,Dati!$S$3&amp;": "&amp;INDEX(Dati!$S$1:$S$1000,MATCH($A24,Dati!$A$1:$A$1000,0))&amp;" · ","")&amp;IF(INDEX(Dati!$CV$1:$CV$1000,MATCH($A24,Dati!$A$1:$A$1000,0))&gt;0,Dati!$T$3&amp;": "&amp;INDEX(Dati!$T$1:$T$1000,MATCH($A24,Dati!$A$1:$A$1000,0))&amp;" · ","")&amp;IF(INDEX(Dati!$CW$1:$CW$1000,MATCH($A24,Dati!$A$1:$A$1000,0))&gt;0,Dati!$U$3&amp;": "&amp;INDEX(Dati!$U$1:$U$1000,MATCH($A24,Dati!$A$1:$A$1000,0))&amp;" · ","")&amp;IF(INDEX(Dati!$CX$1:$CX$1000,MATCH($A24,Dati!$A$1:$A$1000,0))&gt;0,Dati!$V$3&amp;": "&amp;INDEX(Dati!$V$1:$V$1000,MATCH($A24,Dati!$A$1:$A$1000,0))&amp;" · ",""))-3)),""))</f>
        <v/>
      </c>
      <c r="H24" s="55" t="str">
        <f aca="false">IF($B24="","",IFERROR(IF((IF(INDEX(Dati!$CY$1:$CY$1000,MATCH($A24,Dati!$A$1:$A$1000,0))&gt;0,Dati!$W$3&amp;": "&amp;INDEX(Dati!$W$1:$W$1000,MATCH($A24,Dati!$A$1:$A$1000,0))&amp;" · ","")&amp;IF(INDEX(Dati!$CZ$1:$CZ$1000,MATCH($A24,Dati!$A$1:$A$1000,0))&gt;0,Dati!$X$3&amp;": "&amp;INDEX(Dati!$X$1:$X$1000,MATCH($A24,Dati!$A$1:$A$1000,0))&amp;" · ","")&amp;IF(INDEX(Dati!$DA$1:$DA$1000,MATCH($A24,Dati!$A$1:$A$1000,0))&gt;0,Dati!$Y$3&amp;": "&amp;INDEX(Dati!$Y$1:$Y$1000,MATCH($A24,Dati!$A$1:$A$1000,0))&amp;" · ","")&amp;IF(INDEX(Dati!$DB$1:$DB$1000,MATCH($A24,Dati!$A$1:$A$1000,0))&gt;0,Dati!$Z$3&amp;": "&amp;INDEX(Dati!$Z$1:$Z$1000,MATCH($A24,Dati!$A$1:$A$1000,0))&amp;" · ",""))="",IF(INDEX(Dati!$FL$1:$FL$1000,MATCH($A24,Dati!$A$1:$A$1000,0))=1,"AS da recuperare",""),LEFT(IF(INDEX(Dati!$CY$1:$CY$1000,MATCH($A24,Dati!$A$1:$A$1000,0))&gt;0,Dati!$W$3&amp;": "&amp;INDEX(Dati!$W$1:$W$1000,MATCH($A24,Dati!$A$1:$A$1000,0))&amp;" · ","")&amp;IF(INDEX(Dati!$CZ$1:$CZ$1000,MATCH($A24,Dati!$A$1:$A$1000,0))&gt;0,Dati!$X$3&amp;": "&amp;INDEX(Dati!$X$1:$X$1000,MATCH($A24,Dati!$A$1:$A$1000,0))&amp;" · ","")&amp;IF(INDEX(Dati!$DA$1:$DA$1000,MATCH($A24,Dati!$A$1:$A$1000,0))&gt;0,Dati!$Y$3&amp;": "&amp;INDEX(Dati!$Y$1:$Y$1000,MATCH($A24,Dati!$A$1:$A$1000,0))&amp;" · ","")&amp;IF(INDEX(Dati!$DB$1:$DB$1000,MATCH($A24,Dati!$A$1:$A$1000,0))&gt;0,Dati!$Z$3&amp;": "&amp;INDEX(Dati!$Z$1:$Z$1000,MATCH($A24,Dati!$A$1:$A$1000,0))&amp;" · ",""),LEN(IF(INDEX(Dati!$CY$1:$CY$1000,MATCH($A24,Dati!$A$1:$A$1000,0))&gt;0,Dati!$W$3&amp;": "&amp;INDEX(Dati!$W$1:$W$1000,MATCH($A24,Dati!$A$1:$A$1000,0))&amp;" · ","")&amp;IF(INDEX(Dati!$CZ$1:$CZ$1000,MATCH($A24,Dati!$A$1:$A$1000,0))&gt;0,Dati!$X$3&amp;": "&amp;INDEX(Dati!$X$1:$X$1000,MATCH($A24,Dati!$A$1:$A$1000,0))&amp;" · ","")&amp;IF(INDEX(Dati!$DA$1:$DA$1000,MATCH($A24,Dati!$A$1:$A$1000,0))&gt;0,Dati!$Y$3&amp;": "&amp;INDEX(Dati!$Y$1:$Y$1000,MATCH($A24,Dati!$A$1:$A$1000,0))&amp;" · ","")&amp;IF(INDEX(Dati!$DB$1:$DB$1000,MATCH($A24,Dati!$A$1:$A$1000,0))&gt;0,Dati!$Z$3&amp;": "&amp;INDEX(Dati!$Z$1:$Z$1000,MATCH($A24,Dati!$A$1:$A$1000,0))&amp;" · ",""))-3)),""))</f>
        <v/>
      </c>
      <c r="I24" s="55" t="str">
        <f aca="false">IF($B24="","",IFERROR(IF((IF(INDEX(Dati!$DC$1:$DC$1000,MATCH($A24,Dati!$A$1:$A$1000,0))&gt;0,Dati!$AA$3&amp;": "&amp;INDEX(Dati!$AA$1:$AA$1000,MATCH($A24,Dati!$A$1:$A$1000,0))&amp;" · ","")&amp;IF(INDEX(Dati!$DD$1:$DD$1000,MATCH($A24,Dati!$A$1:$A$1000,0))&gt;0,Dati!$AB$3&amp;": "&amp;INDEX(Dati!$AB$1:$AB$1000,MATCH($A24,Dati!$A$1:$A$1000,0))&amp;" · ","")&amp;IF(INDEX(Dati!$DE$1:$DE$1000,MATCH($A24,Dati!$A$1:$A$1000,0))&gt;0,Dati!$AC$3&amp;": "&amp;INDEX(Dati!$AC$1:$AC$1000,MATCH($A24,Dati!$A$1:$A$1000,0))&amp;" · ","")&amp;IF(INDEX(Dati!$DF$1:$DF$1000,MATCH($A24,Dati!$A$1:$A$1000,0))&gt;0,Dati!$AD$3&amp;": "&amp;INDEX(Dati!$AD$1:$AD$1000,MATCH($A24,Dati!$A$1:$A$1000,0))&amp;" · ",""))="",IF(INDEX(Dati!$FM$1:$FM$1000,MATCH($A24,Dati!$A$1:$A$1000,0))=1,"AS da recuperare",""),LEFT(IF(INDEX(Dati!$DC$1:$DC$1000,MATCH($A24,Dati!$A$1:$A$1000,0))&gt;0,Dati!$AA$3&amp;": "&amp;INDEX(Dati!$AA$1:$AA$1000,MATCH($A24,Dati!$A$1:$A$1000,0))&amp;" · ","")&amp;IF(INDEX(Dati!$DD$1:$DD$1000,MATCH($A24,Dati!$A$1:$A$1000,0))&gt;0,Dati!$AB$3&amp;": "&amp;INDEX(Dati!$AB$1:$AB$1000,MATCH($A24,Dati!$A$1:$A$1000,0))&amp;" · ","")&amp;IF(INDEX(Dati!$DE$1:$DE$1000,MATCH($A24,Dati!$A$1:$A$1000,0))&gt;0,Dati!$AC$3&amp;": "&amp;INDEX(Dati!$AC$1:$AC$1000,MATCH($A24,Dati!$A$1:$A$1000,0))&amp;" · ","")&amp;IF(INDEX(Dati!$DF$1:$DF$1000,MATCH($A24,Dati!$A$1:$A$1000,0))&gt;0,Dati!$AD$3&amp;": "&amp;INDEX(Dati!$AD$1:$AD$1000,MATCH($A24,Dati!$A$1:$A$1000,0))&amp;" · ",""),LEN(IF(INDEX(Dati!$DC$1:$DC$1000,MATCH($A24,Dati!$A$1:$A$1000,0))&gt;0,Dati!$AA$3&amp;": "&amp;INDEX(Dati!$AA$1:$AA$1000,MATCH($A24,Dati!$A$1:$A$1000,0))&amp;" · ","")&amp;IF(INDEX(Dati!$DD$1:$DD$1000,MATCH($A24,Dati!$A$1:$A$1000,0))&gt;0,Dati!$AB$3&amp;": "&amp;INDEX(Dati!$AB$1:$AB$1000,MATCH($A24,Dati!$A$1:$A$1000,0))&amp;" · ","")&amp;IF(INDEX(Dati!$DE$1:$DE$1000,MATCH($A24,Dati!$A$1:$A$1000,0))&gt;0,Dati!$AC$3&amp;": "&amp;INDEX(Dati!$AC$1:$AC$1000,MATCH($A24,Dati!$A$1:$A$1000,0))&amp;" · ","")&amp;IF(INDEX(Dati!$DF$1:$DF$1000,MATCH($A24,Dati!$A$1:$A$1000,0))&gt;0,Dati!$AD$3&amp;": "&amp;INDEX(Dati!$AD$1:$AD$1000,MATCH($A24,Dati!$A$1:$A$1000,0))&amp;" · ",""))-3)),""))</f>
        <v/>
      </c>
      <c r="J24" s="55" t="str">
        <f aca="false">IF($B24="","",IFERROR(IF((IF(INDEX(Dati!$DG$1:$DG$1000,MATCH($A24,Dati!$A$1:$A$1000,0))&gt;0,Dati!$AE$3&amp;": "&amp;INDEX(Dati!$AE$1:$AE$1000,MATCH($A24,Dati!$A$1:$A$1000,0))&amp;" · ","")&amp;IF(INDEX(Dati!$DH$1:$DH$1000,MATCH($A24,Dati!$A$1:$A$1000,0))&gt;0,Dati!$AF$3&amp;": "&amp;INDEX(Dati!$AF$1:$AF$1000,MATCH($A24,Dati!$A$1:$A$1000,0))&amp;" · ","")&amp;IF(INDEX(Dati!$DI$1:$DI$1000,MATCH($A24,Dati!$A$1:$A$1000,0))&gt;0,Dati!$AG$3&amp;": "&amp;INDEX(Dati!$AG$1:$AG$1000,MATCH($A24,Dati!$A$1:$A$1000,0))&amp;" · ","")&amp;IF(INDEX(Dati!$DJ$1:$DJ$1000,MATCH($A24,Dati!$A$1:$A$1000,0))&gt;0,Dati!$AH$3&amp;": "&amp;INDEX(Dati!$AH$1:$AH$1000,MATCH($A24,Dati!$A$1:$A$1000,0))&amp;" · ",""))="",IF(INDEX(Dati!$FN$1:$FN$1000,MATCH($A24,Dati!$A$1:$A$1000,0))=1,"AS da recuperare",""),LEFT(IF(INDEX(Dati!$DG$1:$DG$1000,MATCH($A24,Dati!$A$1:$A$1000,0))&gt;0,Dati!$AE$3&amp;": "&amp;INDEX(Dati!$AE$1:$AE$1000,MATCH($A24,Dati!$A$1:$A$1000,0))&amp;" · ","")&amp;IF(INDEX(Dati!$DH$1:$DH$1000,MATCH($A24,Dati!$A$1:$A$1000,0))&gt;0,Dati!$AF$3&amp;": "&amp;INDEX(Dati!$AF$1:$AF$1000,MATCH($A24,Dati!$A$1:$A$1000,0))&amp;" · ","")&amp;IF(INDEX(Dati!$DI$1:$DI$1000,MATCH($A24,Dati!$A$1:$A$1000,0))&gt;0,Dati!$AG$3&amp;": "&amp;INDEX(Dati!$AG$1:$AG$1000,MATCH($A24,Dati!$A$1:$A$1000,0))&amp;" · ","")&amp;IF(INDEX(Dati!$DJ$1:$DJ$1000,MATCH($A24,Dati!$A$1:$A$1000,0))&gt;0,Dati!$AH$3&amp;": "&amp;INDEX(Dati!$AH$1:$AH$1000,MATCH($A24,Dati!$A$1:$A$1000,0))&amp;" · ",""),LEN(IF(INDEX(Dati!$DG$1:$DG$1000,MATCH($A24,Dati!$A$1:$A$1000,0))&gt;0,Dati!$AE$3&amp;": "&amp;INDEX(Dati!$AE$1:$AE$1000,MATCH($A24,Dati!$A$1:$A$1000,0))&amp;" · ","")&amp;IF(INDEX(Dati!$DH$1:$DH$1000,MATCH($A24,Dati!$A$1:$A$1000,0))&gt;0,Dati!$AF$3&amp;": "&amp;INDEX(Dati!$AF$1:$AF$1000,MATCH($A24,Dati!$A$1:$A$1000,0))&amp;" · ","")&amp;IF(INDEX(Dati!$DI$1:$DI$1000,MATCH($A24,Dati!$A$1:$A$1000,0))&gt;0,Dati!$AG$3&amp;": "&amp;INDEX(Dati!$AG$1:$AG$1000,MATCH($A24,Dati!$A$1:$A$1000,0))&amp;" · ","")&amp;IF(INDEX(Dati!$DJ$1:$DJ$1000,MATCH($A24,Dati!$A$1:$A$1000,0))&gt;0,Dati!$AH$3&amp;": "&amp;INDEX(Dati!$AH$1:$AH$1000,MATCH($A24,Dati!$A$1:$A$1000,0))&amp;" · ",""))-3)),""))</f>
        <v/>
      </c>
      <c r="K24" s="55" t="str">
        <f aca="false">IF($B24="","",IFERROR(IF((IF(INDEX(Dati!$DK$1:$DK$1000,MATCH($A24,Dati!$A$1:$A$1000,0))&gt;0,Dati!$AI$3&amp;": "&amp;INDEX(Dati!$AI$1:$AI$1000,MATCH($A24,Dati!$A$1:$A$1000,0))&amp;" · ","")&amp;IF(INDEX(Dati!$DL$1:$DL$1000,MATCH($A24,Dati!$A$1:$A$1000,0))&gt;0,Dati!$AJ$3&amp;": "&amp;INDEX(Dati!$AJ$1:$AJ$1000,MATCH($A24,Dati!$A$1:$A$1000,0))&amp;" · ","")&amp;IF(INDEX(Dati!$DM$1:$DM$1000,MATCH($A24,Dati!$A$1:$A$1000,0))&gt;0,Dati!$AK$3&amp;": "&amp;INDEX(Dati!$AK$1:$AK$1000,MATCH($A24,Dati!$A$1:$A$1000,0))&amp;" · ","")&amp;IF(INDEX(Dati!$DN$1:$DN$1000,MATCH($A24,Dati!$A$1:$A$1000,0))&gt;0,Dati!$AL$3&amp;": "&amp;INDEX(Dati!$AL$1:$AL$1000,MATCH($A24,Dati!$A$1:$A$1000,0))&amp;" · ",""))="",IF(INDEX(Dati!$FO$1:$FO$1000,MATCH($A24,Dati!$A$1:$A$1000,0))=1,"AS da recuperare",""),LEFT(IF(INDEX(Dati!$DK$1:$DK$1000,MATCH($A24,Dati!$A$1:$A$1000,0))&gt;0,Dati!$AI$3&amp;": "&amp;INDEX(Dati!$AI$1:$AI$1000,MATCH($A24,Dati!$A$1:$A$1000,0))&amp;" · ","")&amp;IF(INDEX(Dati!$DL$1:$DL$1000,MATCH($A24,Dati!$A$1:$A$1000,0))&gt;0,Dati!$AJ$3&amp;": "&amp;INDEX(Dati!$AJ$1:$AJ$1000,MATCH($A24,Dati!$A$1:$A$1000,0))&amp;" · ","")&amp;IF(INDEX(Dati!$DM$1:$DM$1000,MATCH($A24,Dati!$A$1:$A$1000,0))&gt;0,Dati!$AK$3&amp;": "&amp;INDEX(Dati!$AK$1:$AK$1000,MATCH($A24,Dati!$A$1:$A$1000,0))&amp;" · ","")&amp;IF(INDEX(Dati!$DN$1:$DN$1000,MATCH($A24,Dati!$A$1:$A$1000,0))&gt;0,Dati!$AL$3&amp;": "&amp;INDEX(Dati!$AL$1:$AL$1000,MATCH($A24,Dati!$A$1:$A$1000,0))&amp;" · ",""),LEN(IF(INDEX(Dati!$DK$1:$DK$1000,MATCH($A24,Dati!$A$1:$A$1000,0))&gt;0,Dati!$AI$3&amp;": "&amp;INDEX(Dati!$AI$1:$AI$1000,MATCH($A24,Dati!$A$1:$A$1000,0))&amp;" · ","")&amp;IF(INDEX(Dati!$DL$1:$DL$1000,MATCH($A24,Dati!$A$1:$A$1000,0))&gt;0,Dati!$AJ$3&amp;": "&amp;INDEX(Dati!$AJ$1:$AJ$1000,MATCH($A24,Dati!$A$1:$A$1000,0))&amp;" · ","")&amp;IF(INDEX(Dati!$DM$1:$DM$1000,MATCH($A24,Dati!$A$1:$A$1000,0))&gt;0,Dati!$AK$3&amp;": "&amp;INDEX(Dati!$AK$1:$AK$1000,MATCH($A24,Dati!$A$1:$A$1000,0))&amp;" · ","")&amp;IF(INDEX(Dati!$DN$1:$DN$1000,MATCH($A24,Dati!$A$1:$A$1000,0))&gt;0,Dati!$AL$3&amp;": "&amp;INDEX(Dati!$AL$1:$AL$1000,MATCH($A24,Dati!$A$1:$A$1000,0))&amp;" · ",""))-3)),""))</f>
        <v/>
      </c>
      <c r="L24" s="55" t="str">
        <f aca="false">IF($B24="","",IFERROR(IF((IF(INDEX(Dati!$DO$1:$DO$1000,MATCH($A24,Dati!$A$1:$A$1000,0))&gt;0,Dati!$AM$3&amp;": "&amp;INDEX(Dati!$AM$1:$AM$1000,MATCH($A24,Dati!$A$1:$A$1000,0))&amp;" · ","")&amp;IF(INDEX(Dati!$DP$1:$DP$1000,MATCH($A24,Dati!$A$1:$A$1000,0))&gt;0,Dati!$AN$3&amp;": "&amp;INDEX(Dati!$AN$1:$AN$1000,MATCH($A24,Dati!$A$1:$A$1000,0))&amp;" · ","")&amp;IF(INDEX(Dati!$DQ$1:$DQ$1000,MATCH($A24,Dati!$A$1:$A$1000,0))&gt;0,Dati!$AO$3&amp;": "&amp;INDEX(Dati!$AO$1:$AO$1000,MATCH($A24,Dati!$A$1:$A$1000,0))&amp;" · ","")&amp;IF(INDEX(Dati!$DR$1:$DR$1000,MATCH($A24,Dati!$A$1:$A$1000,0))&gt;0,Dati!$AP$3&amp;": "&amp;INDEX(Dati!$AP$1:$AP$1000,MATCH($A24,Dati!$A$1:$A$1000,0))&amp;" · ",""))="",IF(INDEX(Dati!$FP$1:$FP$1000,MATCH($A24,Dati!$A$1:$A$1000,0))=1,"AS da recuperare",""),LEFT(IF(INDEX(Dati!$DO$1:$DO$1000,MATCH($A24,Dati!$A$1:$A$1000,0))&gt;0,Dati!$AM$3&amp;": "&amp;INDEX(Dati!$AM$1:$AM$1000,MATCH($A24,Dati!$A$1:$A$1000,0))&amp;" · ","")&amp;IF(INDEX(Dati!$DP$1:$DP$1000,MATCH($A24,Dati!$A$1:$A$1000,0))&gt;0,Dati!$AN$3&amp;": "&amp;INDEX(Dati!$AN$1:$AN$1000,MATCH($A24,Dati!$A$1:$A$1000,0))&amp;" · ","")&amp;IF(INDEX(Dati!$DQ$1:$DQ$1000,MATCH($A24,Dati!$A$1:$A$1000,0))&gt;0,Dati!$AO$3&amp;": "&amp;INDEX(Dati!$AO$1:$AO$1000,MATCH($A24,Dati!$A$1:$A$1000,0))&amp;" · ","")&amp;IF(INDEX(Dati!$DR$1:$DR$1000,MATCH($A24,Dati!$A$1:$A$1000,0))&gt;0,Dati!$AP$3&amp;": "&amp;INDEX(Dati!$AP$1:$AP$1000,MATCH($A24,Dati!$A$1:$A$1000,0))&amp;" · ",""),LEN(IF(INDEX(Dati!$DO$1:$DO$1000,MATCH($A24,Dati!$A$1:$A$1000,0))&gt;0,Dati!$AM$3&amp;": "&amp;INDEX(Dati!$AM$1:$AM$1000,MATCH($A24,Dati!$A$1:$A$1000,0))&amp;" · ","")&amp;IF(INDEX(Dati!$DP$1:$DP$1000,MATCH($A24,Dati!$A$1:$A$1000,0))&gt;0,Dati!$AN$3&amp;": "&amp;INDEX(Dati!$AN$1:$AN$1000,MATCH($A24,Dati!$A$1:$A$1000,0))&amp;" · ","")&amp;IF(INDEX(Dati!$DQ$1:$DQ$1000,MATCH($A24,Dati!$A$1:$A$1000,0))&gt;0,Dati!$AO$3&amp;": "&amp;INDEX(Dati!$AO$1:$AO$1000,MATCH($A24,Dati!$A$1:$A$1000,0))&amp;" · ","")&amp;IF(INDEX(Dati!$DR$1:$DR$1000,MATCH($A24,Dati!$A$1:$A$1000,0))&gt;0,Dati!$AP$3&amp;": "&amp;INDEX(Dati!$AP$1:$AP$1000,MATCH($A24,Dati!$A$1:$A$1000,0))&amp;" · ",""))-3)),""))</f>
        <v/>
      </c>
      <c r="M24" s="55" t="str">
        <f aca="false">IF($B24="","",IFERROR(IF((IF(INDEX(Dati!$DS$1:$DS$1000,MATCH($A24,Dati!$A$1:$A$1000,0))&gt;0,Dati!$AQ$3&amp;": "&amp;INDEX(Dati!$AQ$1:$AQ$1000,MATCH($A24,Dati!$A$1:$A$1000,0))&amp;" · ","")&amp;IF(INDEX(Dati!$DT$1:$DT$1000,MATCH($A24,Dati!$A$1:$A$1000,0))&gt;0,Dati!$AR$3&amp;": "&amp;INDEX(Dati!$AR$1:$AR$1000,MATCH($A24,Dati!$A$1:$A$1000,0))&amp;" · ","")&amp;IF(INDEX(Dati!$DU$1:$DU$1000,MATCH($A24,Dati!$A$1:$A$1000,0))&gt;0,Dati!$AS$3&amp;": "&amp;INDEX(Dati!$AS$1:$AS$1000,MATCH($A24,Dati!$A$1:$A$1000,0))&amp;" · ","")&amp;IF(INDEX(Dati!$DV$1:$DV$1000,MATCH($A24,Dati!$A$1:$A$1000,0))&gt;0,Dati!$AT$3&amp;": "&amp;INDEX(Dati!$AT$1:$AT$1000,MATCH($A24,Dati!$A$1:$A$1000,0))&amp;" · ",""))="",IF(INDEX(Dati!$FQ$1:$FQ$1000,MATCH($A24,Dati!$A$1:$A$1000,0))=1,"AS da recuperare",""),LEFT(IF(INDEX(Dati!$DS$1:$DS$1000,MATCH($A24,Dati!$A$1:$A$1000,0))&gt;0,Dati!$AQ$3&amp;": "&amp;INDEX(Dati!$AQ$1:$AQ$1000,MATCH($A24,Dati!$A$1:$A$1000,0))&amp;" · ","")&amp;IF(INDEX(Dati!$DT$1:$DT$1000,MATCH($A24,Dati!$A$1:$A$1000,0))&gt;0,Dati!$AR$3&amp;": "&amp;INDEX(Dati!$AR$1:$AR$1000,MATCH($A24,Dati!$A$1:$A$1000,0))&amp;" · ","")&amp;IF(INDEX(Dati!$DU$1:$DU$1000,MATCH($A24,Dati!$A$1:$A$1000,0))&gt;0,Dati!$AS$3&amp;": "&amp;INDEX(Dati!$AS$1:$AS$1000,MATCH($A24,Dati!$A$1:$A$1000,0))&amp;" · ","")&amp;IF(INDEX(Dati!$DV$1:$DV$1000,MATCH($A24,Dati!$A$1:$A$1000,0))&gt;0,Dati!$AT$3&amp;": "&amp;INDEX(Dati!$AT$1:$AT$1000,MATCH($A24,Dati!$A$1:$A$1000,0))&amp;" · ",""),LEN(IF(INDEX(Dati!$DS$1:$DS$1000,MATCH($A24,Dati!$A$1:$A$1000,0))&gt;0,Dati!$AQ$3&amp;": "&amp;INDEX(Dati!$AQ$1:$AQ$1000,MATCH($A24,Dati!$A$1:$A$1000,0))&amp;" · ","")&amp;IF(INDEX(Dati!$DT$1:$DT$1000,MATCH($A24,Dati!$A$1:$A$1000,0))&gt;0,Dati!$AR$3&amp;": "&amp;INDEX(Dati!$AR$1:$AR$1000,MATCH($A24,Dati!$A$1:$A$1000,0))&amp;" · ","")&amp;IF(INDEX(Dati!$DU$1:$DU$1000,MATCH($A24,Dati!$A$1:$A$1000,0))&gt;0,Dati!$AS$3&amp;": "&amp;INDEX(Dati!$AS$1:$AS$1000,MATCH($A24,Dati!$A$1:$A$1000,0))&amp;" · ","")&amp;IF(INDEX(Dati!$DV$1:$DV$1000,MATCH($A24,Dati!$A$1:$A$1000,0))&gt;0,Dati!$AT$3&amp;": "&amp;INDEX(Dati!$AT$1:$AT$1000,MATCH($A24,Dati!$A$1:$A$1000,0))&amp;" · ",""))-3)),""))</f>
        <v/>
      </c>
      <c r="N24" s="55" t="str">
        <f aca="false">IF($B24="","",IFERROR(IF((IF(INDEX(Dati!$DW$1:$DW$1000,MATCH($A24,Dati!$A$1:$A$1000,0))&gt;0,Dati!$AU$3&amp;": "&amp;INDEX(Dati!$AU$1:$AU$1000,MATCH($A24,Dati!$A$1:$A$1000,0))&amp;" · ","")&amp;IF(INDEX(Dati!$DX$1:$DX$1000,MATCH($A24,Dati!$A$1:$A$1000,0))&gt;0,Dati!$AV$3&amp;": "&amp;INDEX(Dati!$AV$1:$AV$1000,MATCH($A24,Dati!$A$1:$A$1000,0))&amp;" · ","")&amp;IF(INDEX(Dati!$DY$1:$DY$1000,MATCH($A24,Dati!$A$1:$A$1000,0))&gt;0,Dati!$AW$3&amp;": "&amp;INDEX(Dati!$AW$1:$AW$1000,MATCH($A24,Dati!$A$1:$A$1000,0))&amp;" · ","")&amp;IF(INDEX(Dati!$DZ$1:$DZ$1000,MATCH($A24,Dati!$A$1:$A$1000,0))&gt;0,Dati!$AX$3&amp;": "&amp;INDEX(Dati!$AX$1:$AX$1000,MATCH($A24,Dati!$A$1:$A$1000,0))&amp;" · ",""))="",IF(INDEX(Dati!$FR$1:$FR$1000,MATCH($A24,Dati!$A$1:$A$1000,0))=1,"AS da recuperare",""),LEFT(IF(INDEX(Dati!$DW$1:$DW$1000,MATCH($A24,Dati!$A$1:$A$1000,0))&gt;0,Dati!$AU$3&amp;": "&amp;INDEX(Dati!$AU$1:$AU$1000,MATCH($A24,Dati!$A$1:$A$1000,0))&amp;" · ","")&amp;IF(INDEX(Dati!$DX$1:$DX$1000,MATCH($A24,Dati!$A$1:$A$1000,0))&gt;0,Dati!$AV$3&amp;": "&amp;INDEX(Dati!$AV$1:$AV$1000,MATCH($A24,Dati!$A$1:$A$1000,0))&amp;" · ","")&amp;IF(INDEX(Dati!$DY$1:$DY$1000,MATCH($A24,Dati!$A$1:$A$1000,0))&gt;0,Dati!$AW$3&amp;": "&amp;INDEX(Dati!$AW$1:$AW$1000,MATCH($A24,Dati!$A$1:$A$1000,0))&amp;" · ","")&amp;IF(INDEX(Dati!$DZ$1:$DZ$1000,MATCH($A24,Dati!$A$1:$A$1000,0))&gt;0,Dati!$AX$3&amp;": "&amp;INDEX(Dati!$AX$1:$AX$1000,MATCH($A24,Dati!$A$1:$A$1000,0))&amp;" · ",""),LEN(IF(INDEX(Dati!$DW$1:$DW$1000,MATCH($A24,Dati!$A$1:$A$1000,0))&gt;0,Dati!$AU$3&amp;": "&amp;INDEX(Dati!$AU$1:$AU$1000,MATCH($A24,Dati!$A$1:$A$1000,0))&amp;" · ","")&amp;IF(INDEX(Dati!$DX$1:$DX$1000,MATCH($A24,Dati!$A$1:$A$1000,0))&gt;0,Dati!$AV$3&amp;": "&amp;INDEX(Dati!$AV$1:$AV$1000,MATCH($A24,Dati!$A$1:$A$1000,0))&amp;" · ","")&amp;IF(INDEX(Dati!$DY$1:$DY$1000,MATCH($A24,Dati!$A$1:$A$1000,0))&gt;0,Dati!$AW$3&amp;": "&amp;INDEX(Dati!$AW$1:$AW$1000,MATCH($A24,Dati!$A$1:$A$1000,0))&amp;" · ","")&amp;IF(INDEX(Dati!$DZ$1:$DZ$1000,MATCH($A24,Dati!$A$1:$A$1000,0))&gt;0,Dati!$AX$3&amp;": "&amp;INDEX(Dati!$AX$1:$AX$1000,MATCH($A24,Dati!$A$1:$A$1000,0))&amp;" · ",""))-3)),""))</f>
        <v/>
      </c>
      <c r="O24" s="55" t="str">
        <f aca="false">IF($B24="","",IFERROR(IF((IF(INDEX(Dati!$EA$1:$EA$1000,MATCH($A24,Dati!$A$1:$A$1000,0))&gt;0,Dati!$AY$3&amp;": "&amp;INDEX(Dati!$AY$1:$AY$1000,MATCH($A24,Dati!$A$1:$A$1000,0))&amp;" · ","")&amp;IF(INDEX(Dati!$EB$1:$EB$1000,MATCH($A24,Dati!$A$1:$A$1000,0))&gt;0,Dati!$AZ$3&amp;": "&amp;INDEX(Dati!$AZ$1:$AZ$1000,MATCH($A24,Dati!$A$1:$A$1000,0))&amp;" · ","")&amp;IF(INDEX(Dati!$EC$1:$EC$1000,MATCH($A24,Dati!$A$1:$A$1000,0))&gt;0,Dati!$BA$3&amp;": "&amp;INDEX(Dati!$BA$1:$BA$1000,MATCH($A24,Dati!$A$1:$A$1000,0))&amp;" · ","")&amp;IF(INDEX(Dati!$ED$1:$ED$1000,MATCH($A24,Dati!$A$1:$A$1000,0))&gt;0,Dati!$BB$3&amp;": "&amp;INDEX(Dati!$BB$1:$BB$1000,MATCH($A24,Dati!$A$1:$A$1000,0))&amp;" · ",""))="",IF(INDEX(Dati!$FS$1:$FS$1000,MATCH($A24,Dati!$A$1:$A$1000,0))=1,"AS da recuperare",""),LEFT(IF(INDEX(Dati!$EA$1:$EA$1000,MATCH($A24,Dati!$A$1:$A$1000,0))&gt;0,Dati!$AY$3&amp;": "&amp;INDEX(Dati!$AY$1:$AY$1000,MATCH($A24,Dati!$A$1:$A$1000,0))&amp;" · ","")&amp;IF(INDEX(Dati!$EB$1:$EB$1000,MATCH($A24,Dati!$A$1:$A$1000,0))&gt;0,Dati!$AZ$3&amp;": "&amp;INDEX(Dati!$AZ$1:$AZ$1000,MATCH($A24,Dati!$A$1:$A$1000,0))&amp;" · ","")&amp;IF(INDEX(Dati!$EC$1:$EC$1000,MATCH($A24,Dati!$A$1:$A$1000,0))&gt;0,Dati!$BA$3&amp;": "&amp;INDEX(Dati!$BA$1:$BA$1000,MATCH($A24,Dati!$A$1:$A$1000,0))&amp;" · ","")&amp;IF(INDEX(Dati!$ED$1:$ED$1000,MATCH($A24,Dati!$A$1:$A$1000,0))&gt;0,Dati!$BB$3&amp;": "&amp;INDEX(Dati!$BB$1:$BB$1000,MATCH($A24,Dati!$A$1:$A$1000,0))&amp;" · ",""),LEN(IF(INDEX(Dati!$EA$1:$EA$1000,MATCH($A24,Dati!$A$1:$A$1000,0))&gt;0,Dati!$AY$3&amp;": "&amp;INDEX(Dati!$AY$1:$AY$1000,MATCH($A24,Dati!$A$1:$A$1000,0))&amp;" · ","")&amp;IF(INDEX(Dati!$EB$1:$EB$1000,MATCH($A24,Dati!$A$1:$A$1000,0))&gt;0,Dati!$AZ$3&amp;": "&amp;INDEX(Dati!$AZ$1:$AZ$1000,MATCH($A24,Dati!$A$1:$A$1000,0))&amp;" · ","")&amp;IF(INDEX(Dati!$EC$1:$EC$1000,MATCH($A24,Dati!$A$1:$A$1000,0))&gt;0,Dati!$BA$3&amp;": "&amp;INDEX(Dati!$BA$1:$BA$1000,MATCH($A24,Dati!$A$1:$A$1000,0))&amp;" · ","")&amp;IF(INDEX(Dati!$ED$1:$ED$1000,MATCH($A24,Dati!$A$1:$A$1000,0))&gt;0,Dati!$BB$3&amp;": "&amp;INDEX(Dati!$BB$1:$BB$1000,MATCH($A24,Dati!$A$1:$A$1000,0))&amp;" · ",""))-3)),""))</f>
        <v/>
      </c>
      <c r="P24" s="55" t="str">
        <f aca="false">IF($B24="","",IFERROR(IF((IF(INDEX(Dati!$EE$1:$EE$1000,MATCH($A24,Dati!$A$1:$A$1000,0))&gt;0,Dati!$BC$3&amp;": "&amp;INDEX(Dati!$BC$1:$BC$1000,MATCH($A24,Dati!$A$1:$A$1000,0))&amp;" · ","")&amp;IF(INDEX(Dati!$EF$1:$EF$1000,MATCH($A24,Dati!$A$1:$A$1000,0))&gt;0,Dati!$BD$3&amp;": "&amp;INDEX(Dati!$BD$1:$BD$1000,MATCH($A24,Dati!$A$1:$A$1000,0))&amp;" · ","")&amp;IF(INDEX(Dati!$EG$1:$EG$1000,MATCH($A24,Dati!$A$1:$A$1000,0))&gt;0,Dati!$BE$3&amp;": "&amp;INDEX(Dati!$BE$1:$BE$1000,MATCH($A24,Dati!$A$1:$A$1000,0))&amp;" · ","")&amp;IF(INDEX(Dati!$EH$1:$EH$1000,MATCH($A24,Dati!$A$1:$A$1000,0))&gt;0,Dati!$BF$3&amp;": "&amp;INDEX(Dati!$BF$1:$BF$1000,MATCH($A24,Dati!$A$1:$A$1000,0))&amp;" · ",""))="",IF(INDEX(Dati!$FT$1:$FT$1000,MATCH($A24,Dati!$A$1:$A$1000,0))=1,"AS da recuperare",""),LEFT(IF(INDEX(Dati!$EE$1:$EE$1000,MATCH($A24,Dati!$A$1:$A$1000,0))&gt;0,Dati!$BC$3&amp;": "&amp;INDEX(Dati!$BC$1:$BC$1000,MATCH($A24,Dati!$A$1:$A$1000,0))&amp;" · ","")&amp;IF(INDEX(Dati!$EF$1:$EF$1000,MATCH($A24,Dati!$A$1:$A$1000,0))&gt;0,Dati!$BD$3&amp;": "&amp;INDEX(Dati!$BD$1:$BD$1000,MATCH($A24,Dati!$A$1:$A$1000,0))&amp;" · ","")&amp;IF(INDEX(Dati!$EG$1:$EG$1000,MATCH($A24,Dati!$A$1:$A$1000,0))&gt;0,Dati!$BE$3&amp;": "&amp;INDEX(Dati!$BE$1:$BE$1000,MATCH($A24,Dati!$A$1:$A$1000,0))&amp;" · ","")&amp;IF(INDEX(Dati!$EH$1:$EH$1000,MATCH($A24,Dati!$A$1:$A$1000,0))&gt;0,Dati!$BF$3&amp;": "&amp;INDEX(Dati!$BF$1:$BF$1000,MATCH($A24,Dati!$A$1:$A$1000,0))&amp;" · ",""),LEN(IF(INDEX(Dati!$EE$1:$EE$1000,MATCH($A24,Dati!$A$1:$A$1000,0))&gt;0,Dati!$BC$3&amp;": "&amp;INDEX(Dati!$BC$1:$BC$1000,MATCH($A24,Dati!$A$1:$A$1000,0))&amp;" · ","")&amp;IF(INDEX(Dati!$EF$1:$EF$1000,MATCH($A24,Dati!$A$1:$A$1000,0))&gt;0,Dati!$BD$3&amp;": "&amp;INDEX(Dati!$BD$1:$BD$1000,MATCH($A24,Dati!$A$1:$A$1000,0))&amp;" · ","")&amp;IF(INDEX(Dati!$EG$1:$EG$1000,MATCH($A24,Dati!$A$1:$A$1000,0))&gt;0,Dati!$BE$3&amp;": "&amp;INDEX(Dati!$BE$1:$BE$1000,MATCH($A24,Dati!$A$1:$A$1000,0))&amp;" · ","")&amp;IF(INDEX(Dati!$EH$1:$EH$1000,MATCH($A24,Dati!$A$1:$A$1000,0))&gt;0,Dati!$BF$3&amp;": "&amp;INDEX(Dati!$BF$1:$BF$1000,MATCH($A24,Dati!$A$1:$A$1000,0))&amp;" · ",""))-3)),""))</f>
        <v/>
      </c>
      <c r="Q24" s="55" t="str">
        <f aca="false">IF($B24="","",IFERROR(IF((IF(INDEX(Dati!$EI$1:$EI$1000,MATCH($A24,Dati!$A$1:$A$1000,0))&gt;0,Dati!$BG$3&amp;": "&amp;INDEX(Dati!$BG$1:$BG$1000,MATCH($A24,Dati!$A$1:$A$1000,0))&amp;" · ","")&amp;IF(INDEX(Dati!$EJ$1:$EJ$1000,MATCH($A24,Dati!$A$1:$A$1000,0))&gt;0,Dati!$BH$3&amp;": "&amp;INDEX(Dati!$BH$1:$BH$1000,MATCH($A24,Dati!$A$1:$A$1000,0))&amp;" · ","")&amp;IF(INDEX(Dati!$EK$1:$EK$1000,MATCH($A24,Dati!$A$1:$A$1000,0))&gt;0,Dati!$BI$3&amp;": "&amp;INDEX(Dati!$BI$1:$BI$1000,MATCH($A24,Dati!$A$1:$A$1000,0))&amp;" · ","")&amp;IF(INDEX(Dati!$EL$1:$EL$1000,MATCH($A24,Dati!$A$1:$A$1000,0))&gt;0,Dati!$BJ$3&amp;": "&amp;INDEX(Dati!$BJ$1:$BJ$1000,MATCH($A24,Dati!$A$1:$A$1000,0))&amp;" · ",""))="",IF(INDEX(Dati!$FU$1:$FU$1000,MATCH($A24,Dati!$A$1:$A$1000,0))=1,"AS da recuperare",""),LEFT(IF(INDEX(Dati!$EI$1:$EI$1000,MATCH($A24,Dati!$A$1:$A$1000,0))&gt;0,Dati!$BG$3&amp;": "&amp;INDEX(Dati!$BG$1:$BG$1000,MATCH($A24,Dati!$A$1:$A$1000,0))&amp;" · ","")&amp;IF(INDEX(Dati!$EJ$1:$EJ$1000,MATCH($A24,Dati!$A$1:$A$1000,0))&gt;0,Dati!$BH$3&amp;": "&amp;INDEX(Dati!$BH$1:$BH$1000,MATCH($A24,Dati!$A$1:$A$1000,0))&amp;" · ","")&amp;IF(INDEX(Dati!$EK$1:$EK$1000,MATCH($A24,Dati!$A$1:$A$1000,0))&gt;0,Dati!$BI$3&amp;": "&amp;INDEX(Dati!$BI$1:$BI$1000,MATCH($A24,Dati!$A$1:$A$1000,0))&amp;" · ","")&amp;IF(INDEX(Dati!$EL$1:$EL$1000,MATCH($A24,Dati!$A$1:$A$1000,0))&gt;0,Dati!$BJ$3&amp;": "&amp;INDEX(Dati!$BJ$1:$BJ$1000,MATCH($A24,Dati!$A$1:$A$1000,0))&amp;" · ",""),LEN(IF(INDEX(Dati!$EI$1:$EI$1000,MATCH($A24,Dati!$A$1:$A$1000,0))&gt;0,Dati!$BG$3&amp;": "&amp;INDEX(Dati!$BG$1:$BG$1000,MATCH($A24,Dati!$A$1:$A$1000,0))&amp;" · ","")&amp;IF(INDEX(Dati!$EJ$1:$EJ$1000,MATCH($A24,Dati!$A$1:$A$1000,0))&gt;0,Dati!$BH$3&amp;": "&amp;INDEX(Dati!$BH$1:$BH$1000,MATCH($A24,Dati!$A$1:$A$1000,0))&amp;" · ","")&amp;IF(INDEX(Dati!$EK$1:$EK$1000,MATCH($A24,Dati!$A$1:$A$1000,0))&gt;0,Dati!$BI$3&amp;": "&amp;INDEX(Dati!$BI$1:$BI$1000,MATCH($A24,Dati!$A$1:$A$1000,0))&amp;" · ","")&amp;IF(INDEX(Dati!$EL$1:$EL$1000,MATCH($A24,Dati!$A$1:$A$1000,0))&gt;0,Dati!$BJ$3&amp;": "&amp;INDEX(Dati!$BJ$1:$BJ$1000,MATCH($A24,Dati!$A$1:$A$1000,0))&amp;" · ",""))-3)),""))</f>
        <v/>
      </c>
      <c r="R24" s="55" t="str">
        <f aca="false">IF($B24="","",IFERROR(IF((IF(INDEX(Dati!$EM$1:$EM$1000,MATCH($A24,Dati!$A$1:$A$1000,0))&gt;0,Dati!$BK$3&amp;": "&amp;INDEX(Dati!$BK$1:$BK$1000,MATCH($A24,Dati!$A$1:$A$1000,0))&amp;" · ","")&amp;IF(INDEX(Dati!$EN$1:$EN$1000,MATCH($A24,Dati!$A$1:$A$1000,0))&gt;0,Dati!$BL$3&amp;": "&amp;INDEX(Dati!$BL$1:$BL$1000,MATCH($A24,Dati!$A$1:$A$1000,0))&amp;" · ","")&amp;IF(INDEX(Dati!$EO$1:$EO$1000,MATCH($A24,Dati!$A$1:$A$1000,0))&gt;0,Dati!$BM$3&amp;": "&amp;INDEX(Dati!$BM$1:$BM$1000,MATCH($A24,Dati!$A$1:$A$1000,0))&amp;" · ","")&amp;IF(INDEX(Dati!$EP$1:$EP$1000,MATCH($A24,Dati!$A$1:$A$1000,0))&gt;0,Dati!$BN$3&amp;": "&amp;INDEX(Dati!$BN$1:$BN$1000,MATCH($A24,Dati!$A$1:$A$1000,0))&amp;" · ",""))="",IF(INDEX(Dati!$FV$1:$FV$1000,MATCH($A24,Dati!$A$1:$A$1000,0))=1,"AS da recuperare",""),LEFT(IF(INDEX(Dati!$EM$1:$EM$1000,MATCH($A24,Dati!$A$1:$A$1000,0))&gt;0,Dati!$BK$3&amp;": "&amp;INDEX(Dati!$BK$1:$BK$1000,MATCH($A24,Dati!$A$1:$A$1000,0))&amp;" · ","")&amp;IF(INDEX(Dati!$EN$1:$EN$1000,MATCH($A24,Dati!$A$1:$A$1000,0))&gt;0,Dati!$BL$3&amp;": "&amp;INDEX(Dati!$BL$1:$BL$1000,MATCH($A24,Dati!$A$1:$A$1000,0))&amp;" · ","")&amp;IF(INDEX(Dati!$EO$1:$EO$1000,MATCH($A24,Dati!$A$1:$A$1000,0))&gt;0,Dati!$BM$3&amp;": "&amp;INDEX(Dati!$BM$1:$BM$1000,MATCH($A24,Dati!$A$1:$A$1000,0))&amp;" · ","")&amp;IF(INDEX(Dati!$EP$1:$EP$1000,MATCH($A24,Dati!$A$1:$A$1000,0))&gt;0,Dati!$BN$3&amp;": "&amp;INDEX(Dati!$BN$1:$BN$1000,MATCH($A24,Dati!$A$1:$A$1000,0))&amp;" · ",""),LEN(IF(INDEX(Dati!$EM$1:$EM$1000,MATCH($A24,Dati!$A$1:$A$1000,0))&gt;0,Dati!$BK$3&amp;": "&amp;INDEX(Dati!$BK$1:$BK$1000,MATCH($A24,Dati!$A$1:$A$1000,0))&amp;" · ","")&amp;IF(INDEX(Dati!$EN$1:$EN$1000,MATCH($A24,Dati!$A$1:$A$1000,0))&gt;0,Dati!$BL$3&amp;": "&amp;INDEX(Dati!$BL$1:$BL$1000,MATCH($A24,Dati!$A$1:$A$1000,0))&amp;" · ","")&amp;IF(INDEX(Dati!$EO$1:$EO$1000,MATCH($A24,Dati!$A$1:$A$1000,0))&gt;0,Dati!$BM$3&amp;": "&amp;INDEX(Dati!$BM$1:$BM$1000,MATCH($A24,Dati!$A$1:$A$1000,0))&amp;" · ","")&amp;IF(INDEX(Dati!$EP$1:$EP$1000,MATCH($A24,Dati!$A$1:$A$1000,0))&gt;0,Dati!$BN$3&amp;": "&amp;INDEX(Dati!$BN$1:$BN$1000,MATCH($A24,Dati!$A$1:$A$1000,0))&amp;" · ",""))-3)),""))</f>
        <v/>
      </c>
      <c r="S24" s="55" t="str">
        <f aca="false">IF($B24="","",IFERROR(IF((IF(INDEX(Dati!$EQ$1:$EQ$1000,MATCH($A24,Dati!$A$1:$A$1000,0))&gt;0,Dati!$BO$3&amp;": "&amp;INDEX(Dati!$BO$1:$BO$1000,MATCH($A24,Dati!$A$1:$A$1000,0))&amp;" · ","")&amp;IF(INDEX(Dati!$ER$1:$ER$1000,MATCH($A24,Dati!$A$1:$A$1000,0))&gt;0,Dati!$BP$3&amp;": "&amp;INDEX(Dati!$BP$1:$BP$1000,MATCH($A24,Dati!$A$1:$A$1000,0))&amp;" · ","")&amp;IF(INDEX(Dati!$ES$1:$ES$1000,MATCH($A24,Dati!$A$1:$A$1000,0))&gt;0,Dati!$BQ$3&amp;": "&amp;INDEX(Dati!$BQ$1:$BQ$1000,MATCH($A24,Dati!$A$1:$A$1000,0))&amp;" · ","")&amp;IF(INDEX(Dati!$ET$1:$ET$1000,MATCH($A24,Dati!$A$1:$A$1000,0))&gt;0,Dati!$BR$3&amp;": "&amp;INDEX(Dati!$BR$1:$BR$1000,MATCH($A24,Dati!$A$1:$A$1000,0))&amp;" · ",""))="",IF(INDEX(Dati!$FW$1:$FW$1000,MATCH($A24,Dati!$A$1:$A$1000,0))=1,"AS da recuperare",""),LEFT(IF(INDEX(Dati!$EQ$1:$EQ$1000,MATCH($A24,Dati!$A$1:$A$1000,0))&gt;0,Dati!$BO$3&amp;": "&amp;INDEX(Dati!$BO$1:$BO$1000,MATCH($A24,Dati!$A$1:$A$1000,0))&amp;" · ","")&amp;IF(INDEX(Dati!$ER$1:$ER$1000,MATCH($A24,Dati!$A$1:$A$1000,0))&gt;0,Dati!$BP$3&amp;": "&amp;INDEX(Dati!$BP$1:$BP$1000,MATCH($A24,Dati!$A$1:$A$1000,0))&amp;" · ","")&amp;IF(INDEX(Dati!$ES$1:$ES$1000,MATCH($A24,Dati!$A$1:$A$1000,0))&gt;0,Dati!$BQ$3&amp;": "&amp;INDEX(Dati!$BQ$1:$BQ$1000,MATCH($A24,Dati!$A$1:$A$1000,0))&amp;" · ","")&amp;IF(INDEX(Dati!$ET$1:$ET$1000,MATCH($A24,Dati!$A$1:$A$1000,0))&gt;0,Dati!$BR$3&amp;": "&amp;INDEX(Dati!$BR$1:$BR$1000,MATCH($A24,Dati!$A$1:$A$1000,0))&amp;" · ",""),LEN(IF(INDEX(Dati!$EQ$1:$EQ$1000,MATCH($A24,Dati!$A$1:$A$1000,0))&gt;0,Dati!$BO$3&amp;": "&amp;INDEX(Dati!$BO$1:$BO$1000,MATCH($A24,Dati!$A$1:$A$1000,0))&amp;" · ","")&amp;IF(INDEX(Dati!$ER$1:$ER$1000,MATCH($A24,Dati!$A$1:$A$1000,0))&gt;0,Dati!$BP$3&amp;": "&amp;INDEX(Dati!$BP$1:$BP$1000,MATCH($A24,Dati!$A$1:$A$1000,0))&amp;" · ","")&amp;IF(INDEX(Dati!$ES$1:$ES$1000,MATCH($A24,Dati!$A$1:$A$1000,0))&gt;0,Dati!$BQ$3&amp;": "&amp;INDEX(Dati!$BQ$1:$BQ$1000,MATCH($A24,Dati!$A$1:$A$1000,0))&amp;" · ","")&amp;IF(INDEX(Dati!$ET$1:$ET$1000,MATCH($A24,Dati!$A$1:$A$1000,0))&gt;0,Dati!$BR$3&amp;": "&amp;INDEX(Dati!$BR$1:$BR$1000,MATCH($A24,Dati!$A$1:$A$1000,0))&amp;" · ",""))-3)),""))</f>
        <v/>
      </c>
      <c r="T24" s="55" t="str">
        <f aca="false">IF($B24="","",IFERROR(IF((IF(INDEX(Dati!$EU$1:$EU$1000,MATCH($A24,Dati!$A$1:$A$1000,0))&gt;0,Dati!$BS$3&amp;": "&amp;INDEX(Dati!$BS$1:$BS$1000,MATCH($A24,Dati!$A$1:$A$1000,0))&amp;" · ","")&amp;IF(INDEX(Dati!$EV$1:$EV$1000,MATCH($A24,Dati!$A$1:$A$1000,0))&gt;0,Dati!$BT$3&amp;": "&amp;INDEX(Dati!$BT$1:$BT$1000,MATCH($A24,Dati!$A$1:$A$1000,0))&amp;" · ","")&amp;IF(INDEX(Dati!$EW$1:$EW$1000,MATCH($A24,Dati!$A$1:$A$1000,0))&gt;0,Dati!$BU$3&amp;": "&amp;INDEX(Dati!$BU$1:$BU$1000,MATCH($A24,Dati!$A$1:$A$1000,0))&amp;" · ","")&amp;IF(INDEX(Dati!$EX$1:$EX$1000,MATCH($A24,Dati!$A$1:$A$1000,0))&gt;0,Dati!$BV$3&amp;": "&amp;INDEX(Dati!$BV$1:$BV$1000,MATCH($A24,Dati!$A$1:$A$1000,0))&amp;" · ",""))="",IF(INDEX(Dati!$FX$1:$FX$1000,MATCH($A24,Dati!$A$1:$A$1000,0))=1,"AS da recuperare",""),LEFT(IF(INDEX(Dati!$EU$1:$EU$1000,MATCH($A24,Dati!$A$1:$A$1000,0))&gt;0,Dati!$BS$3&amp;": "&amp;INDEX(Dati!$BS$1:$BS$1000,MATCH($A24,Dati!$A$1:$A$1000,0))&amp;" · ","")&amp;IF(INDEX(Dati!$EV$1:$EV$1000,MATCH($A24,Dati!$A$1:$A$1000,0))&gt;0,Dati!$BT$3&amp;": "&amp;INDEX(Dati!$BT$1:$BT$1000,MATCH($A24,Dati!$A$1:$A$1000,0))&amp;" · ","")&amp;IF(INDEX(Dati!$EW$1:$EW$1000,MATCH($A24,Dati!$A$1:$A$1000,0))&gt;0,Dati!$BU$3&amp;": "&amp;INDEX(Dati!$BU$1:$BU$1000,MATCH($A24,Dati!$A$1:$A$1000,0))&amp;" · ","")&amp;IF(INDEX(Dati!$EX$1:$EX$1000,MATCH($A24,Dati!$A$1:$A$1000,0))&gt;0,Dati!$BV$3&amp;": "&amp;INDEX(Dati!$BV$1:$BV$1000,MATCH($A24,Dati!$A$1:$A$1000,0))&amp;" · ",""),LEN(IF(INDEX(Dati!$EU$1:$EU$1000,MATCH($A24,Dati!$A$1:$A$1000,0))&gt;0,Dati!$BS$3&amp;": "&amp;INDEX(Dati!$BS$1:$BS$1000,MATCH($A24,Dati!$A$1:$A$1000,0))&amp;" · ","")&amp;IF(INDEX(Dati!$EV$1:$EV$1000,MATCH($A24,Dati!$A$1:$A$1000,0))&gt;0,Dati!$BT$3&amp;": "&amp;INDEX(Dati!$BT$1:$BT$1000,MATCH($A24,Dati!$A$1:$A$1000,0))&amp;" · ","")&amp;IF(INDEX(Dati!$EW$1:$EW$1000,MATCH($A24,Dati!$A$1:$A$1000,0))&gt;0,Dati!$BU$3&amp;": "&amp;INDEX(Dati!$BU$1:$BU$1000,MATCH($A24,Dati!$A$1:$A$1000,0))&amp;" · ","")&amp;IF(INDEX(Dati!$EX$1:$EX$1000,MATCH($A24,Dati!$A$1:$A$1000,0))&gt;0,Dati!$BV$3&amp;": "&amp;INDEX(Dati!$BV$1:$BV$1000,MATCH($A24,Dati!$A$1:$A$1000,0))&amp;" · ",""))-3)),""))</f>
        <v/>
      </c>
      <c r="U24" s="55" t="str">
        <f aca="false">IF($B24="","",IFERROR(IF((IF(INDEX(Dati!$EY$1:$EY$1000,MATCH($A24,Dati!$A$1:$A$1000,0))&gt;0,Dati!$BW$3&amp;": "&amp;INDEX(Dati!$BW$1:$BW$1000,MATCH($A24,Dati!$A$1:$A$1000,0))&amp;" · ","")&amp;IF(INDEX(Dati!$EZ$1:$EZ$1000,MATCH($A24,Dati!$A$1:$A$1000,0))&gt;0,Dati!$BX$3&amp;": "&amp;INDEX(Dati!$BX$1:$BX$1000,MATCH($A24,Dati!$A$1:$A$1000,0))&amp;" · ","")&amp;IF(INDEX(Dati!$FA$1:$FA$1000,MATCH($A24,Dati!$A$1:$A$1000,0))&gt;0,Dati!$BY$3&amp;": "&amp;INDEX(Dati!$BY$1:$BY$1000,MATCH($A24,Dati!$A$1:$A$1000,0))&amp;" · ","")&amp;IF(INDEX(Dati!$FB$1:$FB$1000,MATCH($A24,Dati!$A$1:$A$1000,0))&gt;0,Dati!$BZ$3&amp;": "&amp;INDEX(Dati!$BZ$1:$BZ$1000,MATCH($A24,Dati!$A$1:$A$1000,0))&amp;" · ",""))="",IF(INDEX(Dati!$FY$1:$FY$1000,MATCH($A24,Dati!$A$1:$A$1000,0))=1,"AS da recuperare",""),LEFT(IF(INDEX(Dati!$EY$1:$EY$1000,MATCH($A24,Dati!$A$1:$A$1000,0))&gt;0,Dati!$BW$3&amp;": "&amp;INDEX(Dati!$BW$1:$BW$1000,MATCH($A24,Dati!$A$1:$A$1000,0))&amp;" · ","")&amp;IF(INDEX(Dati!$EZ$1:$EZ$1000,MATCH($A24,Dati!$A$1:$A$1000,0))&gt;0,Dati!$BX$3&amp;": "&amp;INDEX(Dati!$BX$1:$BX$1000,MATCH($A24,Dati!$A$1:$A$1000,0))&amp;" · ","")&amp;IF(INDEX(Dati!$FA$1:$FA$1000,MATCH($A24,Dati!$A$1:$A$1000,0))&gt;0,Dati!$BY$3&amp;": "&amp;INDEX(Dati!$BY$1:$BY$1000,MATCH($A24,Dati!$A$1:$A$1000,0))&amp;" · ","")&amp;IF(INDEX(Dati!$FB$1:$FB$1000,MATCH($A24,Dati!$A$1:$A$1000,0))&gt;0,Dati!$BZ$3&amp;": "&amp;INDEX(Dati!$BZ$1:$BZ$1000,MATCH($A24,Dati!$A$1:$A$1000,0))&amp;" · ",""),LEN(IF(INDEX(Dati!$EY$1:$EY$1000,MATCH($A24,Dati!$A$1:$A$1000,0))&gt;0,Dati!$BW$3&amp;": "&amp;INDEX(Dati!$BW$1:$BW$1000,MATCH($A24,Dati!$A$1:$A$1000,0))&amp;" · ","")&amp;IF(INDEX(Dati!$EZ$1:$EZ$1000,MATCH($A24,Dati!$A$1:$A$1000,0))&gt;0,Dati!$BX$3&amp;": "&amp;INDEX(Dati!$BX$1:$BX$1000,MATCH($A24,Dati!$A$1:$A$1000,0))&amp;" · ","")&amp;IF(INDEX(Dati!$FA$1:$FA$1000,MATCH($A24,Dati!$A$1:$A$1000,0))&gt;0,Dati!$BY$3&amp;": "&amp;INDEX(Dati!$BY$1:$BY$1000,MATCH($A24,Dati!$A$1:$A$1000,0))&amp;" · ","")&amp;IF(INDEX(Dati!$FB$1:$FB$1000,MATCH($A24,Dati!$A$1:$A$1000,0))&gt;0,Dati!$BZ$3&amp;": "&amp;INDEX(Dati!$BZ$1:$BZ$1000,MATCH($A24,Dati!$A$1:$A$1000,0))&amp;" · ",""))-3)),""))</f>
        <v/>
      </c>
      <c r="V24" s="55" t="str">
        <f aca="false">IF($B24="","",IFERROR(IF((IF(INDEX(Dati!$FC$1:$FC$1000,MATCH($A24,Dati!$A$1:$A$1000,0))&gt;0,Dati!$CA$3&amp;": "&amp;INDEX(Dati!$CA$1:$CA$1000,MATCH($A24,Dati!$A$1:$A$1000,0))&amp;" · ","")&amp;IF(INDEX(Dati!$FD$1:$FD$1000,MATCH($A24,Dati!$A$1:$A$1000,0))&gt;0,Dati!$CB$3&amp;": "&amp;INDEX(Dati!$CB$1:$CB$1000,MATCH($A24,Dati!$A$1:$A$1000,0))&amp;" · ","")&amp;IF(INDEX(Dati!$FE$1:$FE$1000,MATCH($A24,Dati!$A$1:$A$1000,0))&gt;0,Dati!$CC$3&amp;": "&amp;INDEX(Dati!$CC$1:$CC$1000,MATCH($A24,Dati!$A$1:$A$1000,0))&amp;" · ","")&amp;IF(INDEX(Dati!$FF$1:$FF$1000,MATCH($A24,Dati!$A$1:$A$1000,0))&gt;0,Dati!$CD$3&amp;": "&amp;INDEX(Dati!$CD$1:$CD$1000,MATCH($A24,Dati!$A$1:$A$1000,0))&amp;" · ",""))="",IF(INDEX(Dati!$FZ$1:$FZ$1000,MATCH($A24,Dati!$A$1:$A$1000,0))=1,"AS da recuperare",""),LEFT(IF(INDEX(Dati!$FC$1:$FC$1000,MATCH($A24,Dati!$A$1:$A$1000,0))&gt;0,Dati!$CA$3&amp;": "&amp;INDEX(Dati!$CA$1:$CA$1000,MATCH($A24,Dati!$A$1:$A$1000,0))&amp;" · ","")&amp;IF(INDEX(Dati!$FD$1:$FD$1000,MATCH($A24,Dati!$A$1:$A$1000,0))&gt;0,Dati!$CB$3&amp;": "&amp;INDEX(Dati!$CB$1:$CB$1000,MATCH($A24,Dati!$A$1:$A$1000,0))&amp;" · ","")&amp;IF(INDEX(Dati!$FE$1:$FE$1000,MATCH($A24,Dati!$A$1:$A$1000,0))&gt;0,Dati!$CC$3&amp;": "&amp;INDEX(Dati!$CC$1:$CC$1000,MATCH($A24,Dati!$A$1:$A$1000,0))&amp;" · ","")&amp;IF(INDEX(Dati!$FF$1:$FF$1000,MATCH($A24,Dati!$A$1:$A$1000,0))&gt;0,Dati!$CD$3&amp;": "&amp;INDEX(Dati!$CD$1:$CD$1000,MATCH($A24,Dati!$A$1:$A$1000,0))&amp;" · ",""),LEN(IF(INDEX(Dati!$FC$1:$FC$1000,MATCH($A24,Dati!$A$1:$A$1000,0))&gt;0,Dati!$CA$3&amp;": "&amp;INDEX(Dati!$CA$1:$CA$1000,MATCH($A24,Dati!$A$1:$A$1000,0))&amp;" · ","")&amp;IF(INDEX(Dati!$FD$1:$FD$1000,MATCH($A24,Dati!$A$1:$A$1000,0))&gt;0,Dati!$CB$3&amp;": "&amp;INDEX(Dati!$CB$1:$CB$1000,MATCH($A24,Dati!$A$1:$A$1000,0))&amp;" · ","")&amp;IF(INDEX(Dati!$FE$1:$FE$1000,MATCH($A24,Dati!$A$1:$A$1000,0))&gt;0,Dati!$CC$3&amp;": "&amp;INDEX(Dati!$CC$1:$CC$1000,MATCH($A24,Dati!$A$1:$A$1000,0))&amp;" · ","")&amp;IF(INDEX(Dati!$FF$1:$FF$1000,MATCH($A24,Dati!$A$1:$A$1000,0))&gt;0,Dati!$CD$3&amp;": "&amp;INDEX(Dati!$CD$1:$CD$1000,MATCH($A24,Dati!$A$1:$A$1000,0))&amp;" · ",""))-3)),""))</f>
        <v/>
      </c>
    </row>
    <row r="25" customFormat="false" ht="19.5" hidden="false" customHeight="true" outlineLevel="0" collapsed="false">
      <c r="A25" s="10" t="n">
        <v>21</v>
      </c>
      <c r="B25" s="16" t="str">
        <f aca="false">IFERROR(INDEX(Alunni!$C$1:$C$1000,MATCH($A25,Alunni!$A$1:$A$1000,0))&amp;"","")</f>
        <v/>
      </c>
      <c r="C25" s="55" t="str">
        <f aca="false">IF($B25="","",IFERROR(IF((IF(INDEX(Dati!$CE$1:$CE$1000,MATCH($A25,Dati!$A$1:$A$1000,0))&gt;0,Dati!$C$3&amp;": "&amp;INDEX(Dati!$C$1:$C$1000,MATCH($A25,Dati!$A$1:$A$1000,0))&amp;" · ","")&amp;IF(INDEX(Dati!$CF$1:$CF$1000,MATCH($A25,Dati!$A$1:$A$1000,0))&gt;0,Dati!$D$3&amp;": "&amp;INDEX(Dati!$D$1:$D$1000,MATCH($A25,Dati!$A$1:$A$1000,0))&amp;" · ","")&amp;IF(INDEX(Dati!$CG$1:$CG$1000,MATCH($A25,Dati!$A$1:$A$1000,0))&gt;0,Dati!$E$3&amp;": "&amp;INDEX(Dati!$E$1:$E$1000,MATCH($A25,Dati!$A$1:$A$1000,0))&amp;" · ","")&amp;IF(INDEX(Dati!$CH$1:$CH$1000,MATCH($A25,Dati!$A$1:$A$1000,0))&gt;0,Dati!$F$3&amp;": "&amp;INDEX(Dati!$F$1:$F$1000,MATCH($A25,Dati!$A$1:$A$1000,0))&amp;" · ",""))="",IF(INDEX(Dati!$FG$1:$FG$1000,MATCH($A25,Dati!$A$1:$A$1000,0))=1,"AS da recuperare",""),LEFT(IF(INDEX(Dati!$CE$1:$CE$1000,MATCH($A25,Dati!$A$1:$A$1000,0))&gt;0,Dati!$C$3&amp;": "&amp;INDEX(Dati!$C$1:$C$1000,MATCH($A25,Dati!$A$1:$A$1000,0))&amp;" · ","")&amp;IF(INDEX(Dati!$CF$1:$CF$1000,MATCH($A25,Dati!$A$1:$A$1000,0))&gt;0,Dati!$D$3&amp;": "&amp;INDEX(Dati!$D$1:$D$1000,MATCH($A25,Dati!$A$1:$A$1000,0))&amp;" · ","")&amp;IF(INDEX(Dati!$CG$1:$CG$1000,MATCH($A25,Dati!$A$1:$A$1000,0))&gt;0,Dati!$E$3&amp;": "&amp;INDEX(Dati!$E$1:$E$1000,MATCH($A25,Dati!$A$1:$A$1000,0))&amp;" · ","")&amp;IF(INDEX(Dati!$CH$1:$CH$1000,MATCH($A25,Dati!$A$1:$A$1000,0))&gt;0,Dati!$F$3&amp;": "&amp;INDEX(Dati!$F$1:$F$1000,MATCH($A25,Dati!$A$1:$A$1000,0))&amp;" · ",""),LEN(IF(INDEX(Dati!$CE$1:$CE$1000,MATCH($A25,Dati!$A$1:$A$1000,0))&gt;0,Dati!$C$3&amp;": "&amp;INDEX(Dati!$C$1:$C$1000,MATCH($A25,Dati!$A$1:$A$1000,0))&amp;" · ","")&amp;IF(INDEX(Dati!$CF$1:$CF$1000,MATCH($A25,Dati!$A$1:$A$1000,0))&gt;0,Dati!$D$3&amp;": "&amp;INDEX(Dati!$D$1:$D$1000,MATCH($A25,Dati!$A$1:$A$1000,0))&amp;" · ","")&amp;IF(INDEX(Dati!$CG$1:$CG$1000,MATCH($A25,Dati!$A$1:$A$1000,0))&gt;0,Dati!$E$3&amp;": "&amp;INDEX(Dati!$E$1:$E$1000,MATCH($A25,Dati!$A$1:$A$1000,0))&amp;" · ","")&amp;IF(INDEX(Dati!$CH$1:$CH$1000,MATCH($A25,Dati!$A$1:$A$1000,0))&gt;0,Dati!$F$3&amp;": "&amp;INDEX(Dati!$F$1:$F$1000,MATCH($A25,Dati!$A$1:$A$1000,0))&amp;" · ",""))-3)),""))</f>
        <v/>
      </c>
      <c r="D25" s="55" t="str">
        <f aca="false">IF($B25="","",IFERROR(IF((IF(INDEX(Dati!$CI$1:$CI$1000,MATCH($A25,Dati!$A$1:$A$1000,0))&gt;0,Dati!$G$3&amp;": "&amp;INDEX(Dati!$G$1:$G$1000,MATCH($A25,Dati!$A$1:$A$1000,0))&amp;" · ","")&amp;IF(INDEX(Dati!$CJ$1:$CJ$1000,MATCH($A25,Dati!$A$1:$A$1000,0))&gt;0,Dati!$H$3&amp;": "&amp;INDEX(Dati!$H$1:$H$1000,MATCH($A25,Dati!$A$1:$A$1000,0))&amp;" · ","")&amp;IF(INDEX(Dati!$CK$1:$CK$1000,MATCH($A25,Dati!$A$1:$A$1000,0))&gt;0,Dati!$I$3&amp;": "&amp;INDEX(Dati!$I$1:$I$1000,MATCH($A25,Dati!$A$1:$A$1000,0))&amp;" · ","")&amp;IF(INDEX(Dati!$CL$1:$CL$1000,MATCH($A25,Dati!$A$1:$A$1000,0))&gt;0,Dati!$J$3&amp;": "&amp;INDEX(Dati!$J$1:$J$1000,MATCH($A25,Dati!$A$1:$A$1000,0))&amp;" · ",""))="",IF(INDEX(Dati!$FH$1:$FH$1000,MATCH($A25,Dati!$A$1:$A$1000,0))=1,"AS da recuperare",""),LEFT(IF(INDEX(Dati!$CI$1:$CI$1000,MATCH($A25,Dati!$A$1:$A$1000,0))&gt;0,Dati!$G$3&amp;": "&amp;INDEX(Dati!$G$1:$G$1000,MATCH($A25,Dati!$A$1:$A$1000,0))&amp;" · ","")&amp;IF(INDEX(Dati!$CJ$1:$CJ$1000,MATCH($A25,Dati!$A$1:$A$1000,0))&gt;0,Dati!$H$3&amp;": "&amp;INDEX(Dati!$H$1:$H$1000,MATCH($A25,Dati!$A$1:$A$1000,0))&amp;" · ","")&amp;IF(INDEX(Dati!$CK$1:$CK$1000,MATCH($A25,Dati!$A$1:$A$1000,0))&gt;0,Dati!$I$3&amp;": "&amp;INDEX(Dati!$I$1:$I$1000,MATCH($A25,Dati!$A$1:$A$1000,0))&amp;" · ","")&amp;IF(INDEX(Dati!$CL$1:$CL$1000,MATCH($A25,Dati!$A$1:$A$1000,0))&gt;0,Dati!$J$3&amp;": "&amp;INDEX(Dati!$J$1:$J$1000,MATCH($A25,Dati!$A$1:$A$1000,0))&amp;" · ",""),LEN(IF(INDEX(Dati!$CI$1:$CI$1000,MATCH($A25,Dati!$A$1:$A$1000,0))&gt;0,Dati!$G$3&amp;": "&amp;INDEX(Dati!$G$1:$G$1000,MATCH($A25,Dati!$A$1:$A$1000,0))&amp;" · ","")&amp;IF(INDEX(Dati!$CJ$1:$CJ$1000,MATCH($A25,Dati!$A$1:$A$1000,0))&gt;0,Dati!$H$3&amp;": "&amp;INDEX(Dati!$H$1:$H$1000,MATCH($A25,Dati!$A$1:$A$1000,0))&amp;" · ","")&amp;IF(INDEX(Dati!$CK$1:$CK$1000,MATCH($A25,Dati!$A$1:$A$1000,0))&gt;0,Dati!$I$3&amp;": "&amp;INDEX(Dati!$I$1:$I$1000,MATCH($A25,Dati!$A$1:$A$1000,0))&amp;" · ","")&amp;IF(INDEX(Dati!$CL$1:$CL$1000,MATCH($A25,Dati!$A$1:$A$1000,0))&gt;0,Dati!$J$3&amp;": "&amp;INDEX(Dati!$J$1:$J$1000,MATCH($A25,Dati!$A$1:$A$1000,0))&amp;" · ",""))-3)),""))</f>
        <v/>
      </c>
      <c r="E25" s="55" t="str">
        <f aca="false">IF($B25="","",IFERROR(IF((IF(INDEX(Dati!$CM$1:$CM$1000,MATCH($A25,Dati!$A$1:$A$1000,0))&gt;0,Dati!$K$3&amp;": "&amp;INDEX(Dati!$K$1:$K$1000,MATCH($A25,Dati!$A$1:$A$1000,0))&amp;" · ","")&amp;IF(INDEX(Dati!$CN$1:$CN$1000,MATCH($A25,Dati!$A$1:$A$1000,0))&gt;0,Dati!$L$3&amp;": "&amp;INDEX(Dati!$L$1:$L$1000,MATCH($A25,Dati!$A$1:$A$1000,0))&amp;" · ","")&amp;IF(INDEX(Dati!$CO$1:$CO$1000,MATCH($A25,Dati!$A$1:$A$1000,0))&gt;0,Dati!$M$3&amp;": "&amp;INDEX(Dati!$M$1:$M$1000,MATCH($A25,Dati!$A$1:$A$1000,0))&amp;" · ","")&amp;IF(INDEX(Dati!$CP$1:$CP$1000,MATCH($A25,Dati!$A$1:$A$1000,0))&gt;0,Dati!$N$3&amp;": "&amp;INDEX(Dati!$N$1:$N$1000,MATCH($A25,Dati!$A$1:$A$1000,0))&amp;" · ",""))="",IF(INDEX(Dati!$FI$1:$FI$1000,MATCH($A25,Dati!$A$1:$A$1000,0))=1,"AS da recuperare",""),LEFT(IF(INDEX(Dati!$CM$1:$CM$1000,MATCH($A25,Dati!$A$1:$A$1000,0))&gt;0,Dati!$K$3&amp;": "&amp;INDEX(Dati!$K$1:$K$1000,MATCH($A25,Dati!$A$1:$A$1000,0))&amp;" · ","")&amp;IF(INDEX(Dati!$CN$1:$CN$1000,MATCH($A25,Dati!$A$1:$A$1000,0))&gt;0,Dati!$L$3&amp;": "&amp;INDEX(Dati!$L$1:$L$1000,MATCH($A25,Dati!$A$1:$A$1000,0))&amp;" · ","")&amp;IF(INDEX(Dati!$CO$1:$CO$1000,MATCH($A25,Dati!$A$1:$A$1000,0))&gt;0,Dati!$M$3&amp;": "&amp;INDEX(Dati!$M$1:$M$1000,MATCH($A25,Dati!$A$1:$A$1000,0))&amp;" · ","")&amp;IF(INDEX(Dati!$CP$1:$CP$1000,MATCH($A25,Dati!$A$1:$A$1000,0))&gt;0,Dati!$N$3&amp;": "&amp;INDEX(Dati!$N$1:$N$1000,MATCH($A25,Dati!$A$1:$A$1000,0))&amp;" · ",""),LEN(IF(INDEX(Dati!$CM$1:$CM$1000,MATCH($A25,Dati!$A$1:$A$1000,0))&gt;0,Dati!$K$3&amp;": "&amp;INDEX(Dati!$K$1:$K$1000,MATCH($A25,Dati!$A$1:$A$1000,0))&amp;" · ","")&amp;IF(INDEX(Dati!$CN$1:$CN$1000,MATCH($A25,Dati!$A$1:$A$1000,0))&gt;0,Dati!$L$3&amp;": "&amp;INDEX(Dati!$L$1:$L$1000,MATCH($A25,Dati!$A$1:$A$1000,0))&amp;" · ","")&amp;IF(INDEX(Dati!$CO$1:$CO$1000,MATCH($A25,Dati!$A$1:$A$1000,0))&gt;0,Dati!$M$3&amp;": "&amp;INDEX(Dati!$M$1:$M$1000,MATCH($A25,Dati!$A$1:$A$1000,0))&amp;" · ","")&amp;IF(INDEX(Dati!$CP$1:$CP$1000,MATCH($A25,Dati!$A$1:$A$1000,0))&gt;0,Dati!$N$3&amp;": "&amp;INDEX(Dati!$N$1:$N$1000,MATCH($A25,Dati!$A$1:$A$1000,0))&amp;" · ",""))-3)),""))</f>
        <v/>
      </c>
      <c r="F25" s="55" t="str">
        <f aca="false">IF($B25="","",IFERROR(IF((IF(INDEX(Dati!$CQ$1:$CQ$1000,MATCH($A25,Dati!$A$1:$A$1000,0))&gt;0,Dati!$O$3&amp;": "&amp;INDEX(Dati!$O$1:$O$1000,MATCH($A25,Dati!$A$1:$A$1000,0))&amp;" · ","")&amp;IF(INDEX(Dati!$CR$1:$CR$1000,MATCH($A25,Dati!$A$1:$A$1000,0))&gt;0,Dati!$P$3&amp;": "&amp;INDEX(Dati!$P$1:$P$1000,MATCH($A25,Dati!$A$1:$A$1000,0))&amp;" · ","")&amp;IF(INDEX(Dati!$CS$1:$CS$1000,MATCH($A25,Dati!$A$1:$A$1000,0))&gt;0,Dati!$Q$3&amp;": "&amp;INDEX(Dati!$Q$1:$Q$1000,MATCH($A25,Dati!$A$1:$A$1000,0))&amp;" · ","")&amp;IF(INDEX(Dati!$CT$1:$CT$1000,MATCH($A25,Dati!$A$1:$A$1000,0))&gt;0,Dati!$R$3&amp;": "&amp;INDEX(Dati!$R$1:$R$1000,MATCH($A25,Dati!$A$1:$A$1000,0))&amp;" · ",""))="",IF(INDEX(Dati!$FJ$1:$FJ$1000,MATCH($A25,Dati!$A$1:$A$1000,0))=1,"AS da recuperare",""),LEFT(IF(INDEX(Dati!$CQ$1:$CQ$1000,MATCH($A25,Dati!$A$1:$A$1000,0))&gt;0,Dati!$O$3&amp;": "&amp;INDEX(Dati!$O$1:$O$1000,MATCH($A25,Dati!$A$1:$A$1000,0))&amp;" · ","")&amp;IF(INDEX(Dati!$CR$1:$CR$1000,MATCH($A25,Dati!$A$1:$A$1000,0))&gt;0,Dati!$P$3&amp;": "&amp;INDEX(Dati!$P$1:$P$1000,MATCH($A25,Dati!$A$1:$A$1000,0))&amp;" · ","")&amp;IF(INDEX(Dati!$CS$1:$CS$1000,MATCH($A25,Dati!$A$1:$A$1000,0))&gt;0,Dati!$Q$3&amp;": "&amp;INDEX(Dati!$Q$1:$Q$1000,MATCH($A25,Dati!$A$1:$A$1000,0))&amp;" · ","")&amp;IF(INDEX(Dati!$CT$1:$CT$1000,MATCH($A25,Dati!$A$1:$A$1000,0))&gt;0,Dati!$R$3&amp;": "&amp;INDEX(Dati!$R$1:$R$1000,MATCH($A25,Dati!$A$1:$A$1000,0))&amp;" · ",""),LEN(IF(INDEX(Dati!$CQ$1:$CQ$1000,MATCH($A25,Dati!$A$1:$A$1000,0))&gt;0,Dati!$O$3&amp;": "&amp;INDEX(Dati!$O$1:$O$1000,MATCH($A25,Dati!$A$1:$A$1000,0))&amp;" · ","")&amp;IF(INDEX(Dati!$CR$1:$CR$1000,MATCH($A25,Dati!$A$1:$A$1000,0))&gt;0,Dati!$P$3&amp;": "&amp;INDEX(Dati!$P$1:$P$1000,MATCH($A25,Dati!$A$1:$A$1000,0))&amp;" · ","")&amp;IF(INDEX(Dati!$CS$1:$CS$1000,MATCH($A25,Dati!$A$1:$A$1000,0))&gt;0,Dati!$Q$3&amp;": "&amp;INDEX(Dati!$Q$1:$Q$1000,MATCH($A25,Dati!$A$1:$A$1000,0))&amp;" · ","")&amp;IF(INDEX(Dati!$CT$1:$CT$1000,MATCH($A25,Dati!$A$1:$A$1000,0))&gt;0,Dati!$R$3&amp;": "&amp;INDEX(Dati!$R$1:$R$1000,MATCH($A25,Dati!$A$1:$A$1000,0))&amp;" · ",""))-3)),""))</f>
        <v/>
      </c>
      <c r="G25" s="55" t="str">
        <f aca="false">IF($B25="","",IFERROR(IF((IF(INDEX(Dati!$CU$1:$CU$1000,MATCH($A25,Dati!$A$1:$A$1000,0))&gt;0,Dati!$S$3&amp;": "&amp;INDEX(Dati!$S$1:$S$1000,MATCH($A25,Dati!$A$1:$A$1000,0))&amp;" · ","")&amp;IF(INDEX(Dati!$CV$1:$CV$1000,MATCH($A25,Dati!$A$1:$A$1000,0))&gt;0,Dati!$T$3&amp;": "&amp;INDEX(Dati!$T$1:$T$1000,MATCH($A25,Dati!$A$1:$A$1000,0))&amp;" · ","")&amp;IF(INDEX(Dati!$CW$1:$CW$1000,MATCH($A25,Dati!$A$1:$A$1000,0))&gt;0,Dati!$U$3&amp;": "&amp;INDEX(Dati!$U$1:$U$1000,MATCH($A25,Dati!$A$1:$A$1000,0))&amp;" · ","")&amp;IF(INDEX(Dati!$CX$1:$CX$1000,MATCH($A25,Dati!$A$1:$A$1000,0))&gt;0,Dati!$V$3&amp;": "&amp;INDEX(Dati!$V$1:$V$1000,MATCH($A25,Dati!$A$1:$A$1000,0))&amp;" · ",""))="",IF(INDEX(Dati!$FK$1:$FK$1000,MATCH($A25,Dati!$A$1:$A$1000,0))=1,"AS da recuperare",""),LEFT(IF(INDEX(Dati!$CU$1:$CU$1000,MATCH($A25,Dati!$A$1:$A$1000,0))&gt;0,Dati!$S$3&amp;": "&amp;INDEX(Dati!$S$1:$S$1000,MATCH($A25,Dati!$A$1:$A$1000,0))&amp;" · ","")&amp;IF(INDEX(Dati!$CV$1:$CV$1000,MATCH($A25,Dati!$A$1:$A$1000,0))&gt;0,Dati!$T$3&amp;": "&amp;INDEX(Dati!$T$1:$T$1000,MATCH($A25,Dati!$A$1:$A$1000,0))&amp;" · ","")&amp;IF(INDEX(Dati!$CW$1:$CW$1000,MATCH($A25,Dati!$A$1:$A$1000,0))&gt;0,Dati!$U$3&amp;": "&amp;INDEX(Dati!$U$1:$U$1000,MATCH($A25,Dati!$A$1:$A$1000,0))&amp;" · ","")&amp;IF(INDEX(Dati!$CX$1:$CX$1000,MATCH($A25,Dati!$A$1:$A$1000,0))&gt;0,Dati!$V$3&amp;": "&amp;INDEX(Dati!$V$1:$V$1000,MATCH($A25,Dati!$A$1:$A$1000,0))&amp;" · ",""),LEN(IF(INDEX(Dati!$CU$1:$CU$1000,MATCH($A25,Dati!$A$1:$A$1000,0))&gt;0,Dati!$S$3&amp;": "&amp;INDEX(Dati!$S$1:$S$1000,MATCH($A25,Dati!$A$1:$A$1000,0))&amp;" · ","")&amp;IF(INDEX(Dati!$CV$1:$CV$1000,MATCH($A25,Dati!$A$1:$A$1000,0))&gt;0,Dati!$T$3&amp;": "&amp;INDEX(Dati!$T$1:$T$1000,MATCH($A25,Dati!$A$1:$A$1000,0))&amp;" · ","")&amp;IF(INDEX(Dati!$CW$1:$CW$1000,MATCH($A25,Dati!$A$1:$A$1000,0))&gt;0,Dati!$U$3&amp;": "&amp;INDEX(Dati!$U$1:$U$1000,MATCH($A25,Dati!$A$1:$A$1000,0))&amp;" · ","")&amp;IF(INDEX(Dati!$CX$1:$CX$1000,MATCH($A25,Dati!$A$1:$A$1000,0))&gt;0,Dati!$V$3&amp;": "&amp;INDEX(Dati!$V$1:$V$1000,MATCH($A25,Dati!$A$1:$A$1000,0))&amp;" · ",""))-3)),""))</f>
        <v/>
      </c>
      <c r="H25" s="55" t="str">
        <f aca="false">IF($B25="","",IFERROR(IF((IF(INDEX(Dati!$CY$1:$CY$1000,MATCH($A25,Dati!$A$1:$A$1000,0))&gt;0,Dati!$W$3&amp;": "&amp;INDEX(Dati!$W$1:$W$1000,MATCH($A25,Dati!$A$1:$A$1000,0))&amp;" · ","")&amp;IF(INDEX(Dati!$CZ$1:$CZ$1000,MATCH($A25,Dati!$A$1:$A$1000,0))&gt;0,Dati!$X$3&amp;": "&amp;INDEX(Dati!$X$1:$X$1000,MATCH($A25,Dati!$A$1:$A$1000,0))&amp;" · ","")&amp;IF(INDEX(Dati!$DA$1:$DA$1000,MATCH($A25,Dati!$A$1:$A$1000,0))&gt;0,Dati!$Y$3&amp;": "&amp;INDEX(Dati!$Y$1:$Y$1000,MATCH($A25,Dati!$A$1:$A$1000,0))&amp;" · ","")&amp;IF(INDEX(Dati!$DB$1:$DB$1000,MATCH($A25,Dati!$A$1:$A$1000,0))&gt;0,Dati!$Z$3&amp;": "&amp;INDEX(Dati!$Z$1:$Z$1000,MATCH($A25,Dati!$A$1:$A$1000,0))&amp;" · ",""))="",IF(INDEX(Dati!$FL$1:$FL$1000,MATCH($A25,Dati!$A$1:$A$1000,0))=1,"AS da recuperare",""),LEFT(IF(INDEX(Dati!$CY$1:$CY$1000,MATCH($A25,Dati!$A$1:$A$1000,0))&gt;0,Dati!$W$3&amp;": "&amp;INDEX(Dati!$W$1:$W$1000,MATCH($A25,Dati!$A$1:$A$1000,0))&amp;" · ","")&amp;IF(INDEX(Dati!$CZ$1:$CZ$1000,MATCH($A25,Dati!$A$1:$A$1000,0))&gt;0,Dati!$X$3&amp;": "&amp;INDEX(Dati!$X$1:$X$1000,MATCH($A25,Dati!$A$1:$A$1000,0))&amp;" · ","")&amp;IF(INDEX(Dati!$DA$1:$DA$1000,MATCH($A25,Dati!$A$1:$A$1000,0))&gt;0,Dati!$Y$3&amp;": "&amp;INDEX(Dati!$Y$1:$Y$1000,MATCH($A25,Dati!$A$1:$A$1000,0))&amp;" · ","")&amp;IF(INDEX(Dati!$DB$1:$DB$1000,MATCH($A25,Dati!$A$1:$A$1000,0))&gt;0,Dati!$Z$3&amp;": "&amp;INDEX(Dati!$Z$1:$Z$1000,MATCH($A25,Dati!$A$1:$A$1000,0))&amp;" · ",""),LEN(IF(INDEX(Dati!$CY$1:$CY$1000,MATCH($A25,Dati!$A$1:$A$1000,0))&gt;0,Dati!$W$3&amp;": "&amp;INDEX(Dati!$W$1:$W$1000,MATCH($A25,Dati!$A$1:$A$1000,0))&amp;" · ","")&amp;IF(INDEX(Dati!$CZ$1:$CZ$1000,MATCH($A25,Dati!$A$1:$A$1000,0))&gt;0,Dati!$X$3&amp;": "&amp;INDEX(Dati!$X$1:$X$1000,MATCH($A25,Dati!$A$1:$A$1000,0))&amp;" · ","")&amp;IF(INDEX(Dati!$DA$1:$DA$1000,MATCH($A25,Dati!$A$1:$A$1000,0))&gt;0,Dati!$Y$3&amp;": "&amp;INDEX(Dati!$Y$1:$Y$1000,MATCH($A25,Dati!$A$1:$A$1000,0))&amp;" · ","")&amp;IF(INDEX(Dati!$DB$1:$DB$1000,MATCH($A25,Dati!$A$1:$A$1000,0))&gt;0,Dati!$Z$3&amp;": "&amp;INDEX(Dati!$Z$1:$Z$1000,MATCH($A25,Dati!$A$1:$A$1000,0))&amp;" · ",""))-3)),""))</f>
        <v/>
      </c>
      <c r="I25" s="55" t="str">
        <f aca="false">IF($B25="","",IFERROR(IF((IF(INDEX(Dati!$DC$1:$DC$1000,MATCH($A25,Dati!$A$1:$A$1000,0))&gt;0,Dati!$AA$3&amp;": "&amp;INDEX(Dati!$AA$1:$AA$1000,MATCH($A25,Dati!$A$1:$A$1000,0))&amp;" · ","")&amp;IF(INDEX(Dati!$DD$1:$DD$1000,MATCH($A25,Dati!$A$1:$A$1000,0))&gt;0,Dati!$AB$3&amp;": "&amp;INDEX(Dati!$AB$1:$AB$1000,MATCH($A25,Dati!$A$1:$A$1000,0))&amp;" · ","")&amp;IF(INDEX(Dati!$DE$1:$DE$1000,MATCH($A25,Dati!$A$1:$A$1000,0))&gt;0,Dati!$AC$3&amp;": "&amp;INDEX(Dati!$AC$1:$AC$1000,MATCH($A25,Dati!$A$1:$A$1000,0))&amp;" · ","")&amp;IF(INDEX(Dati!$DF$1:$DF$1000,MATCH($A25,Dati!$A$1:$A$1000,0))&gt;0,Dati!$AD$3&amp;": "&amp;INDEX(Dati!$AD$1:$AD$1000,MATCH($A25,Dati!$A$1:$A$1000,0))&amp;" · ",""))="",IF(INDEX(Dati!$FM$1:$FM$1000,MATCH($A25,Dati!$A$1:$A$1000,0))=1,"AS da recuperare",""),LEFT(IF(INDEX(Dati!$DC$1:$DC$1000,MATCH($A25,Dati!$A$1:$A$1000,0))&gt;0,Dati!$AA$3&amp;": "&amp;INDEX(Dati!$AA$1:$AA$1000,MATCH($A25,Dati!$A$1:$A$1000,0))&amp;" · ","")&amp;IF(INDEX(Dati!$DD$1:$DD$1000,MATCH($A25,Dati!$A$1:$A$1000,0))&gt;0,Dati!$AB$3&amp;": "&amp;INDEX(Dati!$AB$1:$AB$1000,MATCH($A25,Dati!$A$1:$A$1000,0))&amp;" · ","")&amp;IF(INDEX(Dati!$DE$1:$DE$1000,MATCH($A25,Dati!$A$1:$A$1000,0))&gt;0,Dati!$AC$3&amp;": "&amp;INDEX(Dati!$AC$1:$AC$1000,MATCH($A25,Dati!$A$1:$A$1000,0))&amp;" · ","")&amp;IF(INDEX(Dati!$DF$1:$DF$1000,MATCH($A25,Dati!$A$1:$A$1000,0))&gt;0,Dati!$AD$3&amp;": "&amp;INDEX(Dati!$AD$1:$AD$1000,MATCH($A25,Dati!$A$1:$A$1000,0))&amp;" · ",""),LEN(IF(INDEX(Dati!$DC$1:$DC$1000,MATCH($A25,Dati!$A$1:$A$1000,0))&gt;0,Dati!$AA$3&amp;": "&amp;INDEX(Dati!$AA$1:$AA$1000,MATCH($A25,Dati!$A$1:$A$1000,0))&amp;" · ","")&amp;IF(INDEX(Dati!$DD$1:$DD$1000,MATCH($A25,Dati!$A$1:$A$1000,0))&gt;0,Dati!$AB$3&amp;": "&amp;INDEX(Dati!$AB$1:$AB$1000,MATCH($A25,Dati!$A$1:$A$1000,0))&amp;" · ","")&amp;IF(INDEX(Dati!$DE$1:$DE$1000,MATCH($A25,Dati!$A$1:$A$1000,0))&gt;0,Dati!$AC$3&amp;": "&amp;INDEX(Dati!$AC$1:$AC$1000,MATCH($A25,Dati!$A$1:$A$1000,0))&amp;" · ","")&amp;IF(INDEX(Dati!$DF$1:$DF$1000,MATCH($A25,Dati!$A$1:$A$1000,0))&gt;0,Dati!$AD$3&amp;": "&amp;INDEX(Dati!$AD$1:$AD$1000,MATCH($A25,Dati!$A$1:$A$1000,0))&amp;" · ",""))-3)),""))</f>
        <v/>
      </c>
      <c r="J25" s="55" t="str">
        <f aca="false">IF($B25="","",IFERROR(IF((IF(INDEX(Dati!$DG$1:$DG$1000,MATCH($A25,Dati!$A$1:$A$1000,0))&gt;0,Dati!$AE$3&amp;": "&amp;INDEX(Dati!$AE$1:$AE$1000,MATCH($A25,Dati!$A$1:$A$1000,0))&amp;" · ","")&amp;IF(INDEX(Dati!$DH$1:$DH$1000,MATCH($A25,Dati!$A$1:$A$1000,0))&gt;0,Dati!$AF$3&amp;": "&amp;INDEX(Dati!$AF$1:$AF$1000,MATCH($A25,Dati!$A$1:$A$1000,0))&amp;" · ","")&amp;IF(INDEX(Dati!$DI$1:$DI$1000,MATCH($A25,Dati!$A$1:$A$1000,0))&gt;0,Dati!$AG$3&amp;": "&amp;INDEX(Dati!$AG$1:$AG$1000,MATCH($A25,Dati!$A$1:$A$1000,0))&amp;" · ","")&amp;IF(INDEX(Dati!$DJ$1:$DJ$1000,MATCH($A25,Dati!$A$1:$A$1000,0))&gt;0,Dati!$AH$3&amp;": "&amp;INDEX(Dati!$AH$1:$AH$1000,MATCH($A25,Dati!$A$1:$A$1000,0))&amp;" · ",""))="",IF(INDEX(Dati!$FN$1:$FN$1000,MATCH($A25,Dati!$A$1:$A$1000,0))=1,"AS da recuperare",""),LEFT(IF(INDEX(Dati!$DG$1:$DG$1000,MATCH($A25,Dati!$A$1:$A$1000,0))&gt;0,Dati!$AE$3&amp;": "&amp;INDEX(Dati!$AE$1:$AE$1000,MATCH($A25,Dati!$A$1:$A$1000,0))&amp;" · ","")&amp;IF(INDEX(Dati!$DH$1:$DH$1000,MATCH($A25,Dati!$A$1:$A$1000,0))&gt;0,Dati!$AF$3&amp;": "&amp;INDEX(Dati!$AF$1:$AF$1000,MATCH($A25,Dati!$A$1:$A$1000,0))&amp;" · ","")&amp;IF(INDEX(Dati!$DI$1:$DI$1000,MATCH($A25,Dati!$A$1:$A$1000,0))&gt;0,Dati!$AG$3&amp;": "&amp;INDEX(Dati!$AG$1:$AG$1000,MATCH($A25,Dati!$A$1:$A$1000,0))&amp;" · ","")&amp;IF(INDEX(Dati!$DJ$1:$DJ$1000,MATCH($A25,Dati!$A$1:$A$1000,0))&gt;0,Dati!$AH$3&amp;": "&amp;INDEX(Dati!$AH$1:$AH$1000,MATCH($A25,Dati!$A$1:$A$1000,0))&amp;" · ",""),LEN(IF(INDEX(Dati!$DG$1:$DG$1000,MATCH($A25,Dati!$A$1:$A$1000,0))&gt;0,Dati!$AE$3&amp;": "&amp;INDEX(Dati!$AE$1:$AE$1000,MATCH($A25,Dati!$A$1:$A$1000,0))&amp;" · ","")&amp;IF(INDEX(Dati!$DH$1:$DH$1000,MATCH($A25,Dati!$A$1:$A$1000,0))&gt;0,Dati!$AF$3&amp;": "&amp;INDEX(Dati!$AF$1:$AF$1000,MATCH($A25,Dati!$A$1:$A$1000,0))&amp;" · ","")&amp;IF(INDEX(Dati!$DI$1:$DI$1000,MATCH($A25,Dati!$A$1:$A$1000,0))&gt;0,Dati!$AG$3&amp;": "&amp;INDEX(Dati!$AG$1:$AG$1000,MATCH($A25,Dati!$A$1:$A$1000,0))&amp;" · ","")&amp;IF(INDEX(Dati!$DJ$1:$DJ$1000,MATCH($A25,Dati!$A$1:$A$1000,0))&gt;0,Dati!$AH$3&amp;": "&amp;INDEX(Dati!$AH$1:$AH$1000,MATCH($A25,Dati!$A$1:$A$1000,0))&amp;" · ",""))-3)),""))</f>
        <v/>
      </c>
      <c r="K25" s="55" t="str">
        <f aca="false">IF($B25="","",IFERROR(IF((IF(INDEX(Dati!$DK$1:$DK$1000,MATCH($A25,Dati!$A$1:$A$1000,0))&gt;0,Dati!$AI$3&amp;": "&amp;INDEX(Dati!$AI$1:$AI$1000,MATCH($A25,Dati!$A$1:$A$1000,0))&amp;" · ","")&amp;IF(INDEX(Dati!$DL$1:$DL$1000,MATCH($A25,Dati!$A$1:$A$1000,0))&gt;0,Dati!$AJ$3&amp;": "&amp;INDEX(Dati!$AJ$1:$AJ$1000,MATCH($A25,Dati!$A$1:$A$1000,0))&amp;" · ","")&amp;IF(INDEX(Dati!$DM$1:$DM$1000,MATCH($A25,Dati!$A$1:$A$1000,0))&gt;0,Dati!$AK$3&amp;": "&amp;INDEX(Dati!$AK$1:$AK$1000,MATCH($A25,Dati!$A$1:$A$1000,0))&amp;" · ","")&amp;IF(INDEX(Dati!$DN$1:$DN$1000,MATCH($A25,Dati!$A$1:$A$1000,0))&gt;0,Dati!$AL$3&amp;": "&amp;INDEX(Dati!$AL$1:$AL$1000,MATCH($A25,Dati!$A$1:$A$1000,0))&amp;" · ",""))="",IF(INDEX(Dati!$FO$1:$FO$1000,MATCH($A25,Dati!$A$1:$A$1000,0))=1,"AS da recuperare",""),LEFT(IF(INDEX(Dati!$DK$1:$DK$1000,MATCH($A25,Dati!$A$1:$A$1000,0))&gt;0,Dati!$AI$3&amp;": "&amp;INDEX(Dati!$AI$1:$AI$1000,MATCH($A25,Dati!$A$1:$A$1000,0))&amp;" · ","")&amp;IF(INDEX(Dati!$DL$1:$DL$1000,MATCH($A25,Dati!$A$1:$A$1000,0))&gt;0,Dati!$AJ$3&amp;": "&amp;INDEX(Dati!$AJ$1:$AJ$1000,MATCH($A25,Dati!$A$1:$A$1000,0))&amp;" · ","")&amp;IF(INDEX(Dati!$DM$1:$DM$1000,MATCH($A25,Dati!$A$1:$A$1000,0))&gt;0,Dati!$AK$3&amp;": "&amp;INDEX(Dati!$AK$1:$AK$1000,MATCH($A25,Dati!$A$1:$A$1000,0))&amp;" · ","")&amp;IF(INDEX(Dati!$DN$1:$DN$1000,MATCH($A25,Dati!$A$1:$A$1000,0))&gt;0,Dati!$AL$3&amp;": "&amp;INDEX(Dati!$AL$1:$AL$1000,MATCH($A25,Dati!$A$1:$A$1000,0))&amp;" · ",""),LEN(IF(INDEX(Dati!$DK$1:$DK$1000,MATCH($A25,Dati!$A$1:$A$1000,0))&gt;0,Dati!$AI$3&amp;": "&amp;INDEX(Dati!$AI$1:$AI$1000,MATCH($A25,Dati!$A$1:$A$1000,0))&amp;" · ","")&amp;IF(INDEX(Dati!$DL$1:$DL$1000,MATCH($A25,Dati!$A$1:$A$1000,0))&gt;0,Dati!$AJ$3&amp;": "&amp;INDEX(Dati!$AJ$1:$AJ$1000,MATCH($A25,Dati!$A$1:$A$1000,0))&amp;" · ","")&amp;IF(INDEX(Dati!$DM$1:$DM$1000,MATCH($A25,Dati!$A$1:$A$1000,0))&gt;0,Dati!$AK$3&amp;": "&amp;INDEX(Dati!$AK$1:$AK$1000,MATCH($A25,Dati!$A$1:$A$1000,0))&amp;" · ","")&amp;IF(INDEX(Dati!$DN$1:$DN$1000,MATCH($A25,Dati!$A$1:$A$1000,0))&gt;0,Dati!$AL$3&amp;": "&amp;INDEX(Dati!$AL$1:$AL$1000,MATCH($A25,Dati!$A$1:$A$1000,0))&amp;" · ",""))-3)),""))</f>
        <v/>
      </c>
      <c r="L25" s="55" t="str">
        <f aca="false">IF($B25="","",IFERROR(IF((IF(INDEX(Dati!$DO$1:$DO$1000,MATCH($A25,Dati!$A$1:$A$1000,0))&gt;0,Dati!$AM$3&amp;": "&amp;INDEX(Dati!$AM$1:$AM$1000,MATCH($A25,Dati!$A$1:$A$1000,0))&amp;" · ","")&amp;IF(INDEX(Dati!$DP$1:$DP$1000,MATCH($A25,Dati!$A$1:$A$1000,0))&gt;0,Dati!$AN$3&amp;": "&amp;INDEX(Dati!$AN$1:$AN$1000,MATCH($A25,Dati!$A$1:$A$1000,0))&amp;" · ","")&amp;IF(INDEX(Dati!$DQ$1:$DQ$1000,MATCH($A25,Dati!$A$1:$A$1000,0))&gt;0,Dati!$AO$3&amp;": "&amp;INDEX(Dati!$AO$1:$AO$1000,MATCH($A25,Dati!$A$1:$A$1000,0))&amp;" · ","")&amp;IF(INDEX(Dati!$DR$1:$DR$1000,MATCH($A25,Dati!$A$1:$A$1000,0))&gt;0,Dati!$AP$3&amp;": "&amp;INDEX(Dati!$AP$1:$AP$1000,MATCH($A25,Dati!$A$1:$A$1000,0))&amp;" · ",""))="",IF(INDEX(Dati!$FP$1:$FP$1000,MATCH($A25,Dati!$A$1:$A$1000,0))=1,"AS da recuperare",""),LEFT(IF(INDEX(Dati!$DO$1:$DO$1000,MATCH($A25,Dati!$A$1:$A$1000,0))&gt;0,Dati!$AM$3&amp;": "&amp;INDEX(Dati!$AM$1:$AM$1000,MATCH($A25,Dati!$A$1:$A$1000,0))&amp;" · ","")&amp;IF(INDEX(Dati!$DP$1:$DP$1000,MATCH($A25,Dati!$A$1:$A$1000,0))&gt;0,Dati!$AN$3&amp;": "&amp;INDEX(Dati!$AN$1:$AN$1000,MATCH($A25,Dati!$A$1:$A$1000,0))&amp;" · ","")&amp;IF(INDEX(Dati!$DQ$1:$DQ$1000,MATCH($A25,Dati!$A$1:$A$1000,0))&gt;0,Dati!$AO$3&amp;": "&amp;INDEX(Dati!$AO$1:$AO$1000,MATCH($A25,Dati!$A$1:$A$1000,0))&amp;" · ","")&amp;IF(INDEX(Dati!$DR$1:$DR$1000,MATCH($A25,Dati!$A$1:$A$1000,0))&gt;0,Dati!$AP$3&amp;": "&amp;INDEX(Dati!$AP$1:$AP$1000,MATCH($A25,Dati!$A$1:$A$1000,0))&amp;" · ",""),LEN(IF(INDEX(Dati!$DO$1:$DO$1000,MATCH($A25,Dati!$A$1:$A$1000,0))&gt;0,Dati!$AM$3&amp;": "&amp;INDEX(Dati!$AM$1:$AM$1000,MATCH($A25,Dati!$A$1:$A$1000,0))&amp;" · ","")&amp;IF(INDEX(Dati!$DP$1:$DP$1000,MATCH($A25,Dati!$A$1:$A$1000,0))&gt;0,Dati!$AN$3&amp;": "&amp;INDEX(Dati!$AN$1:$AN$1000,MATCH($A25,Dati!$A$1:$A$1000,0))&amp;" · ","")&amp;IF(INDEX(Dati!$DQ$1:$DQ$1000,MATCH($A25,Dati!$A$1:$A$1000,0))&gt;0,Dati!$AO$3&amp;": "&amp;INDEX(Dati!$AO$1:$AO$1000,MATCH($A25,Dati!$A$1:$A$1000,0))&amp;" · ","")&amp;IF(INDEX(Dati!$DR$1:$DR$1000,MATCH($A25,Dati!$A$1:$A$1000,0))&gt;0,Dati!$AP$3&amp;": "&amp;INDEX(Dati!$AP$1:$AP$1000,MATCH($A25,Dati!$A$1:$A$1000,0))&amp;" · ",""))-3)),""))</f>
        <v/>
      </c>
      <c r="M25" s="55" t="str">
        <f aca="false">IF($B25="","",IFERROR(IF((IF(INDEX(Dati!$DS$1:$DS$1000,MATCH($A25,Dati!$A$1:$A$1000,0))&gt;0,Dati!$AQ$3&amp;": "&amp;INDEX(Dati!$AQ$1:$AQ$1000,MATCH($A25,Dati!$A$1:$A$1000,0))&amp;" · ","")&amp;IF(INDEX(Dati!$DT$1:$DT$1000,MATCH($A25,Dati!$A$1:$A$1000,0))&gt;0,Dati!$AR$3&amp;": "&amp;INDEX(Dati!$AR$1:$AR$1000,MATCH($A25,Dati!$A$1:$A$1000,0))&amp;" · ","")&amp;IF(INDEX(Dati!$DU$1:$DU$1000,MATCH($A25,Dati!$A$1:$A$1000,0))&gt;0,Dati!$AS$3&amp;": "&amp;INDEX(Dati!$AS$1:$AS$1000,MATCH($A25,Dati!$A$1:$A$1000,0))&amp;" · ","")&amp;IF(INDEX(Dati!$DV$1:$DV$1000,MATCH($A25,Dati!$A$1:$A$1000,0))&gt;0,Dati!$AT$3&amp;": "&amp;INDEX(Dati!$AT$1:$AT$1000,MATCH($A25,Dati!$A$1:$A$1000,0))&amp;" · ",""))="",IF(INDEX(Dati!$FQ$1:$FQ$1000,MATCH($A25,Dati!$A$1:$A$1000,0))=1,"AS da recuperare",""),LEFT(IF(INDEX(Dati!$DS$1:$DS$1000,MATCH($A25,Dati!$A$1:$A$1000,0))&gt;0,Dati!$AQ$3&amp;": "&amp;INDEX(Dati!$AQ$1:$AQ$1000,MATCH($A25,Dati!$A$1:$A$1000,0))&amp;" · ","")&amp;IF(INDEX(Dati!$DT$1:$DT$1000,MATCH($A25,Dati!$A$1:$A$1000,0))&gt;0,Dati!$AR$3&amp;": "&amp;INDEX(Dati!$AR$1:$AR$1000,MATCH($A25,Dati!$A$1:$A$1000,0))&amp;" · ","")&amp;IF(INDEX(Dati!$DU$1:$DU$1000,MATCH($A25,Dati!$A$1:$A$1000,0))&gt;0,Dati!$AS$3&amp;": "&amp;INDEX(Dati!$AS$1:$AS$1000,MATCH($A25,Dati!$A$1:$A$1000,0))&amp;" · ","")&amp;IF(INDEX(Dati!$DV$1:$DV$1000,MATCH($A25,Dati!$A$1:$A$1000,0))&gt;0,Dati!$AT$3&amp;": "&amp;INDEX(Dati!$AT$1:$AT$1000,MATCH($A25,Dati!$A$1:$A$1000,0))&amp;" · ",""),LEN(IF(INDEX(Dati!$DS$1:$DS$1000,MATCH($A25,Dati!$A$1:$A$1000,0))&gt;0,Dati!$AQ$3&amp;": "&amp;INDEX(Dati!$AQ$1:$AQ$1000,MATCH($A25,Dati!$A$1:$A$1000,0))&amp;" · ","")&amp;IF(INDEX(Dati!$DT$1:$DT$1000,MATCH($A25,Dati!$A$1:$A$1000,0))&gt;0,Dati!$AR$3&amp;": "&amp;INDEX(Dati!$AR$1:$AR$1000,MATCH($A25,Dati!$A$1:$A$1000,0))&amp;" · ","")&amp;IF(INDEX(Dati!$DU$1:$DU$1000,MATCH($A25,Dati!$A$1:$A$1000,0))&gt;0,Dati!$AS$3&amp;": "&amp;INDEX(Dati!$AS$1:$AS$1000,MATCH($A25,Dati!$A$1:$A$1000,0))&amp;" · ","")&amp;IF(INDEX(Dati!$DV$1:$DV$1000,MATCH($A25,Dati!$A$1:$A$1000,0))&gt;0,Dati!$AT$3&amp;": "&amp;INDEX(Dati!$AT$1:$AT$1000,MATCH($A25,Dati!$A$1:$A$1000,0))&amp;" · ",""))-3)),""))</f>
        <v/>
      </c>
      <c r="N25" s="55" t="str">
        <f aca="false">IF($B25="","",IFERROR(IF((IF(INDEX(Dati!$DW$1:$DW$1000,MATCH($A25,Dati!$A$1:$A$1000,0))&gt;0,Dati!$AU$3&amp;": "&amp;INDEX(Dati!$AU$1:$AU$1000,MATCH($A25,Dati!$A$1:$A$1000,0))&amp;" · ","")&amp;IF(INDEX(Dati!$DX$1:$DX$1000,MATCH($A25,Dati!$A$1:$A$1000,0))&gt;0,Dati!$AV$3&amp;": "&amp;INDEX(Dati!$AV$1:$AV$1000,MATCH($A25,Dati!$A$1:$A$1000,0))&amp;" · ","")&amp;IF(INDEX(Dati!$DY$1:$DY$1000,MATCH($A25,Dati!$A$1:$A$1000,0))&gt;0,Dati!$AW$3&amp;": "&amp;INDEX(Dati!$AW$1:$AW$1000,MATCH($A25,Dati!$A$1:$A$1000,0))&amp;" · ","")&amp;IF(INDEX(Dati!$DZ$1:$DZ$1000,MATCH($A25,Dati!$A$1:$A$1000,0))&gt;0,Dati!$AX$3&amp;": "&amp;INDEX(Dati!$AX$1:$AX$1000,MATCH($A25,Dati!$A$1:$A$1000,0))&amp;" · ",""))="",IF(INDEX(Dati!$FR$1:$FR$1000,MATCH($A25,Dati!$A$1:$A$1000,0))=1,"AS da recuperare",""),LEFT(IF(INDEX(Dati!$DW$1:$DW$1000,MATCH($A25,Dati!$A$1:$A$1000,0))&gt;0,Dati!$AU$3&amp;": "&amp;INDEX(Dati!$AU$1:$AU$1000,MATCH($A25,Dati!$A$1:$A$1000,0))&amp;" · ","")&amp;IF(INDEX(Dati!$DX$1:$DX$1000,MATCH($A25,Dati!$A$1:$A$1000,0))&gt;0,Dati!$AV$3&amp;": "&amp;INDEX(Dati!$AV$1:$AV$1000,MATCH($A25,Dati!$A$1:$A$1000,0))&amp;" · ","")&amp;IF(INDEX(Dati!$DY$1:$DY$1000,MATCH($A25,Dati!$A$1:$A$1000,0))&gt;0,Dati!$AW$3&amp;": "&amp;INDEX(Dati!$AW$1:$AW$1000,MATCH($A25,Dati!$A$1:$A$1000,0))&amp;" · ","")&amp;IF(INDEX(Dati!$DZ$1:$DZ$1000,MATCH($A25,Dati!$A$1:$A$1000,0))&gt;0,Dati!$AX$3&amp;": "&amp;INDEX(Dati!$AX$1:$AX$1000,MATCH($A25,Dati!$A$1:$A$1000,0))&amp;" · ",""),LEN(IF(INDEX(Dati!$DW$1:$DW$1000,MATCH($A25,Dati!$A$1:$A$1000,0))&gt;0,Dati!$AU$3&amp;": "&amp;INDEX(Dati!$AU$1:$AU$1000,MATCH($A25,Dati!$A$1:$A$1000,0))&amp;" · ","")&amp;IF(INDEX(Dati!$DX$1:$DX$1000,MATCH($A25,Dati!$A$1:$A$1000,0))&gt;0,Dati!$AV$3&amp;": "&amp;INDEX(Dati!$AV$1:$AV$1000,MATCH($A25,Dati!$A$1:$A$1000,0))&amp;" · ","")&amp;IF(INDEX(Dati!$DY$1:$DY$1000,MATCH($A25,Dati!$A$1:$A$1000,0))&gt;0,Dati!$AW$3&amp;": "&amp;INDEX(Dati!$AW$1:$AW$1000,MATCH($A25,Dati!$A$1:$A$1000,0))&amp;" · ","")&amp;IF(INDEX(Dati!$DZ$1:$DZ$1000,MATCH($A25,Dati!$A$1:$A$1000,0))&gt;0,Dati!$AX$3&amp;": "&amp;INDEX(Dati!$AX$1:$AX$1000,MATCH($A25,Dati!$A$1:$A$1000,0))&amp;" · ",""))-3)),""))</f>
        <v/>
      </c>
      <c r="O25" s="55" t="str">
        <f aca="false">IF($B25="","",IFERROR(IF((IF(INDEX(Dati!$EA$1:$EA$1000,MATCH($A25,Dati!$A$1:$A$1000,0))&gt;0,Dati!$AY$3&amp;": "&amp;INDEX(Dati!$AY$1:$AY$1000,MATCH($A25,Dati!$A$1:$A$1000,0))&amp;" · ","")&amp;IF(INDEX(Dati!$EB$1:$EB$1000,MATCH($A25,Dati!$A$1:$A$1000,0))&gt;0,Dati!$AZ$3&amp;": "&amp;INDEX(Dati!$AZ$1:$AZ$1000,MATCH($A25,Dati!$A$1:$A$1000,0))&amp;" · ","")&amp;IF(INDEX(Dati!$EC$1:$EC$1000,MATCH($A25,Dati!$A$1:$A$1000,0))&gt;0,Dati!$BA$3&amp;": "&amp;INDEX(Dati!$BA$1:$BA$1000,MATCH($A25,Dati!$A$1:$A$1000,0))&amp;" · ","")&amp;IF(INDEX(Dati!$ED$1:$ED$1000,MATCH($A25,Dati!$A$1:$A$1000,0))&gt;0,Dati!$BB$3&amp;": "&amp;INDEX(Dati!$BB$1:$BB$1000,MATCH($A25,Dati!$A$1:$A$1000,0))&amp;" · ",""))="",IF(INDEX(Dati!$FS$1:$FS$1000,MATCH($A25,Dati!$A$1:$A$1000,0))=1,"AS da recuperare",""),LEFT(IF(INDEX(Dati!$EA$1:$EA$1000,MATCH($A25,Dati!$A$1:$A$1000,0))&gt;0,Dati!$AY$3&amp;": "&amp;INDEX(Dati!$AY$1:$AY$1000,MATCH($A25,Dati!$A$1:$A$1000,0))&amp;" · ","")&amp;IF(INDEX(Dati!$EB$1:$EB$1000,MATCH($A25,Dati!$A$1:$A$1000,0))&gt;0,Dati!$AZ$3&amp;": "&amp;INDEX(Dati!$AZ$1:$AZ$1000,MATCH($A25,Dati!$A$1:$A$1000,0))&amp;" · ","")&amp;IF(INDEX(Dati!$EC$1:$EC$1000,MATCH($A25,Dati!$A$1:$A$1000,0))&gt;0,Dati!$BA$3&amp;": "&amp;INDEX(Dati!$BA$1:$BA$1000,MATCH($A25,Dati!$A$1:$A$1000,0))&amp;" · ","")&amp;IF(INDEX(Dati!$ED$1:$ED$1000,MATCH($A25,Dati!$A$1:$A$1000,0))&gt;0,Dati!$BB$3&amp;": "&amp;INDEX(Dati!$BB$1:$BB$1000,MATCH($A25,Dati!$A$1:$A$1000,0))&amp;" · ",""),LEN(IF(INDEX(Dati!$EA$1:$EA$1000,MATCH($A25,Dati!$A$1:$A$1000,0))&gt;0,Dati!$AY$3&amp;": "&amp;INDEX(Dati!$AY$1:$AY$1000,MATCH($A25,Dati!$A$1:$A$1000,0))&amp;" · ","")&amp;IF(INDEX(Dati!$EB$1:$EB$1000,MATCH($A25,Dati!$A$1:$A$1000,0))&gt;0,Dati!$AZ$3&amp;": "&amp;INDEX(Dati!$AZ$1:$AZ$1000,MATCH($A25,Dati!$A$1:$A$1000,0))&amp;" · ","")&amp;IF(INDEX(Dati!$EC$1:$EC$1000,MATCH($A25,Dati!$A$1:$A$1000,0))&gt;0,Dati!$BA$3&amp;": "&amp;INDEX(Dati!$BA$1:$BA$1000,MATCH($A25,Dati!$A$1:$A$1000,0))&amp;" · ","")&amp;IF(INDEX(Dati!$ED$1:$ED$1000,MATCH($A25,Dati!$A$1:$A$1000,0))&gt;0,Dati!$BB$3&amp;": "&amp;INDEX(Dati!$BB$1:$BB$1000,MATCH($A25,Dati!$A$1:$A$1000,0))&amp;" · ",""))-3)),""))</f>
        <v/>
      </c>
      <c r="P25" s="55" t="str">
        <f aca="false">IF($B25="","",IFERROR(IF((IF(INDEX(Dati!$EE$1:$EE$1000,MATCH($A25,Dati!$A$1:$A$1000,0))&gt;0,Dati!$BC$3&amp;": "&amp;INDEX(Dati!$BC$1:$BC$1000,MATCH($A25,Dati!$A$1:$A$1000,0))&amp;" · ","")&amp;IF(INDEX(Dati!$EF$1:$EF$1000,MATCH($A25,Dati!$A$1:$A$1000,0))&gt;0,Dati!$BD$3&amp;": "&amp;INDEX(Dati!$BD$1:$BD$1000,MATCH($A25,Dati!$A$1:$A$1000,0))&amp;" · ","")&amp;IF(INDEX(Dati!$EG$1:$EG$1000,MATCH($A25,Dati!$A$1:$A$1000,0))&gt;0,Dati!$BE$3&amp;": "&amp;INDEX(Dati!$BE$1:$BE$1000,MATCH($A25,Dati!$A$1:$A$1000,0))&amp;" · ","")&amp;IF(INDEX(Dati!$EH$1:$EH$1000,MATCH($A25,Dati!$A$1:$A$1000,0))&gt;0,Dati!$BF$3&amp;": "&amp;INDEX(Dati!$BF$1:$BF$1000,MATCH($A25,Dati!$A$1:$A$1000,0))&amp;" · ",""))="",IF(INDEX(Dati!$FT$1:$FT$1000,MATCH($A25,Dati!$A$1:$A$1000,0))=1,"AS da recuperare",""),LEFT(IF(INDEX(Dati!$EE$1:$EE$1000,MATCH($A25,Dati!$A$1:$A$1000,0))&gt;0,Dati!$BC$3&amp;": "&amp;INDEX(Dati!$BC$1:$BC$1000,MATCH($A25,Dati!$A$1:$A$1000,0))&amp;" · ","")&amp;IF(INDEX(Dati!$EF$1:$EF$1000,MATCH($A25,Dati!$A$1:$A$1000,0))&gt;0,Dati!$BD$3&amp;": "&amp;INDEX(Dati!$BD$1:$BD$1000,MATCH($A25,Dati!$A$1:$A$1000,0))&amp;" · ","")&amp;IF(INDEX(Dati!$EG$1:$EG$1000,MATCH($A25,Dati!$A$1:$A$1000,0))&gt;0,Dati!$BE$3&amp;": "&amp;INDEX(Dati!$BE$1:$BE$1000,MATCH($A25,Dati!$A$1:$A$1000,0))&amp;" · ","")&amp;IF(INDEX(Dati!$EH$1:$EH$1000,MATCH($A25,Dati!$A$1:$A$1000,0))&gt;0,Dati!$BF$3&amp;": "&amp;INDEX(Dati!$BF$1:$BF$1000,MATCH($A25,Dati!$A$1:$A$1000,0))&amp;" · ",""),LEN(IF(INDEX(Dati!$EE$1:$EE$1000,MATCH($A25,Dati!$A$1:$A$1000,0))&gt;0,Dati!$BC$3&amp;": "&amp;INDEX(Dati!$BC$1:$BC$1000,MATCH($A25,Dati!$A$1:$A$1000,0))&amp;" · ","")&amp;IF(INDEX(Dati!$EF$1:$EF$1000,MATCH($A25,Dati!$A$1:$A$1000,0))&gt;0,Dati!$BD$3&amp;": "&amp;INDEX(Dati!$BD$1:$BD$1000,MATCH($A25,Dati!$A$1:$A$1000,0))&amp;" · ","")&amp;IF(INDEX(Dati!$EG$1:$EG$1000,MATCH($A25,Dati!$A$1:$A$1000,0))&gt;0,Dati!$BE$3&amp;": "&amp;INDEX(Dati!$BE$1:$BE$1000,MATCH($A25,Dati!$A$1:$A$1000,0))&amp;" · ","")&amp;IF(INDEX(Dati!$EH$1:$EH$1000,MATCH($A25,Dati!$A$1:$A$1000,0))&gt;0,Dati!$BF$3&amp;": "&amp;INDEX(Dati!$BF$1:$BF$1000,MATCH($A25,Dati!$A$1:$A$1000,0))&amp;" · ",""))-3)),""))</f>
        <v/>
      </c>
      <c r="Q25" s="55" t="str">
        <f aca="false">IF($B25="","",IFERROR(IF((IF(INDEX(Dati!$EI$1:$EI$1000,MATCH($A25,Dati!$A$1:$A$1000,0))&gt;0,Dati!$BG$3&amp;": "&amp;INDEX(Dati!$BG$1:$BG$1000,MATCH($A25,Dati!$A$1:$A$1000,0))&amp;" · ","")&amp;IF(INDEX(Dati!$EJ$1:$EJ$1000,MATCH($A25,Dati!$A$1:$A$1000,0))&gt;0,Dati!$BH$3&amp;": "&amp;INDEX(Dati!$BH$1:$BH$1000,MATCH($A25,Dati!$A$1:$A$1000,0))&amp;" · ","")&amp;IF(INDEX(Dati!$EK$1:$EK$1000,MATCH($A25,Dati!$A$1:$A$1000,0))&gt;0,Dati!$BI$3&amp;": "&amp;INDEX(Dati!$BI$1:$BI$1000,MATCH($A25,Dati!$A$1:$A$1000,0))&amp;" · ","")&amp;IF(INDEX(Dati!$EL$1:$EL$1000,MATCH($A25,Dati!$A$1:$A$1000,0))&gt;0,Dati!$BJ$3&amp;": "&amp;INDEX(Dati!$BJ$1:$BJ$1000,MATCH($A25,Dati!$A$1:$A$1000,0))&amp;" · ",""))="",IF(INDEX(Dati!$FU$1:$FU$1000,MATCH($A25,Dati!$A$1:$A$1000,0))=1,"AS da recuperare",""),LEFT(IF(INDEX(Dati!$EI$1:$EI$1000,MATCH($A25,Dati!$A$1:$A$1000,0))&gt;0,Dati!$BG$3&amp;": "&amp;INDEX(Dati!$BG$1:$BG$1000,MATCH($A25,Dati!$A$1:$A$1000,0))&amp;" · ","")&amp;IF(INDEX(Dati!$EJ$1:$EJ$1000,MATCH($A25,Dati!$A$1:$A$1000,0))&gt;0,Dati!$BH$3&amp;": "&amp;INDEX(Dati!$BH$1:$BH$1000,MATCH($A25,Dati!$A$1:$A$1000,0))&amp;" · ","")&amp;IF(INDEX(Dati!$EK$1:$EK$1000,MATCH($A25,Dati!$A$1:$A$1000,0))&gt;0,Dati!$BI$3&amp;": "&amp;INDEX(Dati!$BI$1:$BI$1000,MATCH($A25,Dati!$A$1:$A$1000,0))&amp;" · ","")&amp;IF(INDEX(Dati!$EL$1:$EL$1000,MATCH($A25,Dati!$A$1:$A$1000,0))&gt;0,Dati!$BJ$3&amp;": "&amp;INDEX(Dati!$BJ$1:$BJ$1000,MATCH($A25,Dati!$A$1:$A$1000,0))&amp;" · ",""),LEN(IF(INDEX(Dati!$EI$1:$EI$1000,MATCH($A25,Dati!$A$1:$A$1000,0))&gt;0,Dati!$BG$3&amp;": "&amp;INDEX(Dati!$BG$1:$BG$1000,MATCH($A25,Dati!$A$1:$A$1000,0))&amp;" · ","")&amp;IF(INDEX(Dati!$EJ$1:$EJ$1000,MATCH($A25,Dati!$A$1:$A$1000,0))&gt;0,Dati!$BH$3&amp;": "&amp;INDEX(Dati!$BH$1:$BH$1000,MATCH($A25,Dati!$A$1:$A$1000,0))&amp;" · ","")&amp;IF(INDEX(Dati!$EK$1:$EK$1000,MATCH($A25,Dati!$A$1:$A$1000,0))&gt;0,Dati!$BI$3&amp;": "&amp;INDEX(Dati!$BI$1:$BI$1000,MATCH($A25,Dati!$A$1:$A$1000,0))&amp;" · ","")&amp;IF(INDEX(Dati!$EL$1:$EL$1000,MATCH($A25,Dati!$A$1:$A$1000,0))&gt;0,Dati!$BJ$3&amp;": "&amp;INDEX(Dati!$BJ$1:$BJ$1000,MATCH($A25,Dati!$A$1:$A$1000,0))&amp;" · ",""))-3)),""))</f>
        <v/>
      </c>
      <c r="R25" s="55" t="str">
        <f aca="false">IF($B25="","",IFERROR(IF((IF(INDEX(Dati!$EM$1:$EM$1000,MATCH($A25,Dati!$A$1:$A$1000,0))&gt;0,Dati!$BK$3&amp;": "&amp;INDEX(Dati!$BK$1:$BK$1000,MATCH($A25,Dati!$A$1:$A$1000,0))&amp;" · ","")&amp;IF(INDEX(Dati!$EN$1:$EN$1000,MATCH($A25,Dati!$A$1:$A$1000,0))&gt;0,Dati!$BL$3&amp;": "&amp;INDEX(Dati!$BL$1:$BL$1000,MATCH($A25,Dati!$A$1:$A$1000,0))&amp;" · ","")&amp;IF(INDEX(Dati!$EO$1:$EO$1000,MATCH($A25,Dati!$A$1:$A$1000,0))&gt;0,Dati!$BM$3&amp;": "&amp;INDEX(Dati!$BM$1:$BM$1000,MATCH($A25,Dati!$A$1:$A$1000,0))&amp;" · ","")&amp;IF(INDEX(Dati!$EP$1:$EP$1000,MATCH($A25,Dati!$A$1:$A$1000,0))&gt;0,Dati!$BN$3&amp;": "&amp;INDEX(Dati!$BN$1:$BN$1000,MATCH($A25,Dati!$A$1:$A$1000,0))&amp;" · ",""))="",IF(INDEX(Dati!$FV$1:$FV$1000,MATCH($A25,Dati!$A$1:$A$1000,0))=1,"AS da recuperare",""),LEFT(IF(INDEX(Dati!$EM$1:$EM$1000,MATCH($A25,Dati!$A$1:$A$1000,0))&gt;0,Dati!$BK$3&amp;": "&amp;INDEX(Dati!$BK$1:$BK$1000,MATCH($A25,Dati!$A$1:$A$1000,0))&amp;" · ","")&amp;IF(INDEX(Dati!$EN$1:$EN$1000,MATCH($A25,Dati!$A$1:$A$1000,0))&gt;0,Dati!$BL$3&amp;": "&amp;INDEX(Dati!$BL$1:$BL$1000,MATCH($A25,Dati!$A$1:$A$1000,0))&amp;" · ","")&amp;IF(INDEX(Dati!$EO$1:$EO$1000,MATCH($A25,Dati!$A$1:$A$1000,0))&gt;0,Dati!$BM$3&amp;": "&amp;INDEX(Dati!$BM$1:$BM$1000,MATCH($A25,Dati!$A$1:$A$1000,0))&amp;" · ","")&amp;IF(INDEX(Dati!$EP$1:$EP$1000,MATCH($A25,Dati!$A$1:$A$1000,0))&gt;0,Dati!$BN$3&amp;": "&amp;INDEX(Dati!$BN$1:$BN$1000,MATCH($A25,Dati!$A$1:$A$1000,0))&amp;" · ",""),LEN(IF(INDEX(Dati!$EM$1:$EM$1000,MATCH($A25,Dati!$A$1:$A$1000,0))&gt;0,Dati!$BK$3&amp;": "&amp;INDEX(Dati!$BK$1:$BK$1000,MATCH($A25,Dati!$A$1:$A$1000,0))&amp;" · ","")&amp;IF(INDEX(Dati!$EN$1:$EN$1000,MATCH($A25,Dati!$A$1:$A$1000,0))&gt;0,Dati!$BL$3&amp;": "&amp;INDEX(Dati!$BL$1:$BL$1000,MATCH($A25,Dati!$A$1:$A$1000,0))&amp;" · ","")&amp;IF(INDEX(Dati!$EO$1:$EO$1000,MATCH($A25,Dati!$A$1:$A$1000,0))&gt;0,Dati!$BM$3&amp;": "&amp;INDEX(Dati!$BM$1:$BM$1000,MATCH($A25,Dati!$A$1:$A$1000,0))&amp;" · ","")&amp;IF(INDEX(Dati!$EP$1:$EP$1000,MATCH($A25,Dati!$A$1:$A$1000,0))&gt;0,Dati!$BN$3&amp;": "&amp;INDEX(Dati!$BN$1:$BN$1000,MATCH($A25,Dati!$A$1:$A$1000,0))&amp;" · ",""))-3)),""))</f>
        <v/>
      </c>
      <c r="S25" s="55" t="str">
        <f aca="false">IF($B25="","",IFERROR(IF((IF(INDEX(Dati!$EQ$1:$EQ$1000,MATCH($A25,Dati!$A$1:$A$1000,0))&gt;0,Dati!$BO$3&amp;": "&amp;INDEX(Dati!$BO$1:$BO$1000,MATCH($A25,Dati!$A$1:$A$1000,0))&amp;" · ","")&amp;IF(INDEX(Dati!$ER$1:$ER$1000,MATCH($A25,Dati!$A$1:$A$1000,0))&gt;0,Dati!$BP$3&amp;": "&amp;INDEX(Dati!$BP$1:$BP$1000,MATCH($A25,Dati!$A$1:$A$1000,0))&amp;" · ","")&amp;IF(INDEX(Dati!$ES$1:$ES$1000,MATCH($A25,Dati!$A$1:$A$1000,0))&gt;0,Dati!$BQ$3&amp;": "&amp;INDEX(Dati!$BQ$1:$BQ$1000,MATCH($A25,Dati!$A$1:$A$1000,0))&amp;" · ","")&amp;IF(INDEX(Dati!$ET$1:$ET$1000,MATCH($A25,Dati!$A$1:$A$1000,0))&gt;0,Dati!$BR$3&amp;": "&amp;INDEX(Dati!$BR$1:$BR$1000,MATCH($A25,Dati!$A$1:$A$1000,0))&amp;" · ",""))="",IF(INDEX(Dati!$FW$1:$FW$1000,MATCH($A25,Dati!$A$1:$A$1000,0))=1,"AS da recuperare",""),LEFT(IF(INDEX(Dati!$EQ$1:$EQ$1000,MATCH($A25,Dati!$A$1:$A$1000,0))&gt;0,Dati!$BO$3&amp;": "&amp;INDEX(Dati!$BO$1:$BO$1000,MATCH($A25,Dati!$A$1:$A$1000,0))&amp;" · ","")&amp;IF(INDEX(Dati!$ER$1:$ER$1000,MATCH($A25,Dati!$A$1:$A$1000,0))&gt;0,Dati!$BP$3&amp;": "&amp;INDEX(Dati!$BP$1:$BP$1000,MATCH($A25,Dati!$A$1:$A$1000,0))&amp;" · ","")&amp;IF(INDEX(Dati!$ES$1:$ES$1000,MATCH($A25,Dati!$A$1:$A$1000,0))&gt;0,Dati!$BQ$3&amp;": "&amp;INDEX(Dati!$BQ$1:$BQ$1000,MATCH($A25,Dati!$A$1:$A$1000,0))&amp;" · ","")&amp;IF(INDEX(Dati!$ET$1:$ET$1000,MATCH($A25,Dati!$A$1:$A$1000,0))&gt;0,Dati!$BR$3&amp;": "&amp;INDEX(Dati!$BR$1:$BR$1000,MATCH($A25,Dati!$A$1:$A$1000,0))&amp;" · ",""),LEN(IF(INDEX(Dati!$EQ$1:$EQ$1000,MATCH($A25,Dati!$A$1:$A$1000,0))&gt;0,Dati!$BO$3&amp;": "&amp;INDEX(Dati!$BO$1:$BO$1000,MATCH($A25,Dati!$A$1:$A$1000,0))&amp;" · ","")&amp;IF(INDEX(Dati!$ER$1:$ER$1000,MATCH($A25,Dati!$A$1:$A$1000,0))&gt;0,Dati!$BP$3&amp;": "&amp;INDEX(Dati!$BP$1:$BP$1000,MATCH($A25,Dati!$A$1:$A$1000,0))&amp;" · ","")&amp;IF(INDEX(Dati!$ES$1:$ES$1000,MATCH($A25,Dati!$A$1:$A$1000,0))&gt;0,Dati!$BQ$3&amp;": "&amp;INDEX(Dati!$BQ$1:$BQ$1000,MATCH($A25,Dati!$A$1:$A$1000,0))&amp;" · ","")&amp;IF(INDEX(Dati!$ET$1:$ET$1000,MATCH($A25,Dati!$A$1:$A$1000,0))&gt;0,Dati!$BR$3&amp;": "&amp;INDEX(Dati!$BR$1:$BR$1000,MATCH($A25,Dati!$A$1:$A$1000,0))&amp;" · ",""))-3)),""))</f>
        <v/>
      </c>
      <c r="T25" s="55" t="str">
        <f aca="false">IF($B25="","",IFERROR(IF((IF(INDEX(Dati!$EU$1:$EU$1000,MATCH($A25,Dati!$A$1:$A$1000,0))&gt;0,Dati!$BS$3&amp;": "&amp;INDEX(Dati!$BS$1:$BS$1000,MATCH($A25,Dati!$A$1:$A$1000,0))&amp;" · ","")&amp;IF(INDEX(Dati!$EV$1:$EV$1000,MATCH($A25,Dati!$A$1:$A$1000,0))&gt;0,Dati!$BT$3&amp;": "&amp;INDEX(Dati!$BT$1:$BT$1000,MATCH($A25,Dati!$A$1:$A$1000,0))&amp;" · ","")&amp;IF(INDEX(Dati!$EW$1:$EW$1000,MATCH($A25,Dati!$A$1:$A$1000,0))&gt;0,Dati!$BU$3&amp;": "&amp;INDEX(Dati!$BU$1:$BU$1000,MATCH($A25,Dati!$A$1:$A$1000,0))&amp;" · ","")&amp;IF(INDEX(Dati!$EX$1:$EX$1000,MATCH($A25,Dati!$A$1:$A$1000,0))&gt;0,Dati!$BV$3&amp;": "&amp;INDEX(Dati!$BV$1:$BV$1000,MATCH($A25,Dati!$A$1:$A$1000,0))&amp;" · ",""))="",IF(INDEX(Dati!$FX$1:$FX$1000,MATCH($A25,Dati!$A$1:$A$1000,0))=1,"AS da recuperare",""),LEFT(IF(INDEX(Dati!$EU$1:$EU$1000,MATCH($A25,Dati!$A$1:$A$1000,0))&gt;0,Dati!$BS$3&amp;": "&amp;INDEX(Dati!$BS$1:$BS$1000,MATCH($A25,Dati!$A$1:$A$1000,0))&amp;" · ","")&amp;IF(INDEX(Dati!$EV$1:$EV$1000,MATCH($A25,Dati!$A$1:$A$1000,0))&gt;0,Dati!$BT$3&amp;": "&amp;INDEX(Dati!$BT$1:$BT$1000,MATCH($A25,Dati!$A$1:$A$1000,0))&amp;" · ","")&amp;IF(INDEX(Dati!$EW$1:$EW$1000,MATCH($A25,Dati!$A$1:$A$1000,0))&gt;0,Dati!$BU$3&amp;": "&amp;INDEX(Dati!$BU$1:$BU$1000,MATCH($A25,Dati!$A$1:$A$1000,0))&amp;" · ","")&amp;IF(INDEX(Dati!$EX$1:$EX$1000,MATCH($A25,Dati!$A$1:$A$1000,0))&gt;0,Dati!$BV$3&amp;": "&amp;INDEX(Dati!$BV$1:$BV$1000,MATCH($A25,Dati!$A$1:$A$1000,0))&amp;" · ",""),LEN(IF(INDEX(Dati!$EU$1:$EU$1000,MATCH($A25,Dati!$A$1:$A$1000,0))&gt;0,Dati!$BS$3&amp;": "&amp;INDEX(Dati!$BS$1:$BS$1000,MATCH($A25,Dati!$A$1:$A$1000,0))&amp;" · ","")&amp;IF(INDEX(Dati!$EV$1:$EV$1000,MATCH($A25,Dati!$A$1:$A$1000,0))&gt;0,Dati!$BT$3&amp;": "&amp;INDEX(Dati!$BT$1:$BT$1000,MATCH($A25,Dati!$A$1:$A$1000,0))&amp;" · ","")&amp;IF(INDEX(Dati!$EW$1:$EW$1000,MATCH($A25,Dati!$A$1:$A$1000,0))&gt;0,Dati!$BU$3&amp;": "&amp;INDEX(Dati!$BU$1:$BU$1000,MATCH($A25,Dati!$A$1:$A$1000,0))&amp;" · ","")&amp;IF(INDEX(Dati!$EX$1:$EX$1000,MATCH($A25,Dati!$A$1:$A$1000,0))&gt;0,Dati!$BV$3&amp;": "&amp;INDEX(Dati!$BV$1:$BV$1000,MATCH($A25,Dati!$A$1:$A$1000,0))&amp;" · ",""))-3)),""))</f>
        <v/>
      </c>
      <c r="U25" s="55" t="str">
        <f aca="false">IF($B25="","",IFERROR(IF((IF(INDEX(Dati!$EY$1:$EY$1000,MATCH($A25,Dati!$A$1:$A$1000,0))&gt;0,Dati!$BW$3&amp;": "&amp;INDEX(Dati!$BW$1:$BW$1000,MATCH($A25,Dati!$A$1:$A$1000,0))&amp;" · ","")&amp;IF(INDEX(Dati!$EZ$1:$EZ$1000,MATCH($A25,Dati!$A$1:$A$1000,0))&gt;0,Dati!$BX$3&amp;": "&amp;INDEX(Dati!$BX$1:$BX$1000,MATCH($A25,Dati!$A$1:$A$1000,0))&amp;" · ","")&amp;IF(INDEX(Dati!$FA$1:$FA$1000,MATCH($A25,Dati!$A$1:$A$1000,0))&gt;0,Dati!$BY$3&amp;": "&amp;INDEX(Dati!$BY$1:$BY$1000,MATCH($A25,Dati!$A$1:$A$1000,0))&amp;" · ","")&amp;IF(INDEX(Dati!$FB$1:$FB$1000,MATCH($A25,Dati!$A$1:$A$1000,0))&gt;0,Dati!$BZ$3&amp;": "&amp;INDEX(Dati!$BZ$1:$BZ$1000,MATCH($A25,Dati!$A$1:$A$1000,0))&amp;" · ",""))="",IF(INDEX(Dati!$FY$1:$FY$1000,MATCH($A25,Dati!$A$1:$A$1000,0))=1,"AS da recuperare",""),LEFT(IF(INDEX(Dati!$EY$1:$EY$1000,MATCH($A25,Dati!$A$1:$A$1000,0))&gt;0,Dati!$BW$3&amp;": "&amp;INDEX(Dati!$BW$1:$BW$1000,MATCH($A25,Dati!$A$1:$A$1000,0))&amp;" · ","")&amp;IF(INDEX(Dati!$EZ$1:$EZ$1000,MATCH($A25,Dati!$A$1:$A$1000,0))&gt;0,Dati!$BX$3&amp;": "&amp;INDEX(Dati!$BX$1:$BX$1000,MATCH($A25,Dati!$A$1:$A$1000,0))&amp;" · ","")&amp;IF(INDEX(Dati!$FA$1:$FA$1000,MATCH($A25,Dati!$A$1:$A$1000,0))&gt;0,Dati!$BY$3&amp;": "&amp;INDEX(Dati!$BY$1:$BY$1000,MATCH($A25,Dati!$A$1:$A$1000,0))&amp;" · ","")&amp;IF(INDEX(Dati!$FB$1:$FB$1000,MATCH($A25,Dati!$A$1:$A$1000,0))&gt;0,Dati!$BZ$3&amp;": "&amp;INDEX(Dati!$BZ$1:$BZ$1000,MATCH($A25,Dati!$A$1:$A$1000,0))&amp;" · ",""),LEN(IF(INDEX(Dati!$EY$1:$EY$1000,MATCH($A25,Dati!$A$1:$A$1000,0))&gt;0,Dati!$BW$3&amp;": "&amp;INDEX(Dati!$BW$1:$BW$1000,MATCH($A25,Dati!$A$1:$A$1000,0))&amp;" · ","")&amp;IF(INDEX(Dati!$EZ$1:$EZ$1000,MATCH($A25,Dati!$A$1:$A$1000,0))&gt;0,Dati!$BX$3&amp;": "&amp;INDEX(Dati!$BX$1:$BX$1000,MATCH($A25,Dati!$A$1:$A$1000,0))&amp;" · ","")&amp;IF(INDEX(Dati!$FA$1:$FA$1000,MATCH($A25,Dati!$A$1:$A$1000,0))&gt;0,Dati!$BY$3&amp;": "&amp;INDEX(Dati!$BY$1:$BY$1000,MATCH($A25,Dati!$A$1:$A$1000,0))&amp;" · ","")&amp;IF(INDEX(Dati!$FB$1:$FB$1000,MATCH($A25,Dati!$A$1:$A$1000,0))&gt;0,Dati!$BZ$3&amp;": "&amp;INDEX(Dati!$BZ$1:$BZ$1000,MATCH($A25,Dati!$A$1:$A$1000,0))&amp;" · ",""))-3)),""))</f>
        <v/>
      </c>
      <c r="V25" s="55" t="str">
        <f aca="false">IF($B25="","",IFERROR(IF((IF(INDEX(Dati!$FC$1:$FC$1000,MATCH($A25,Dati!$A$1:$A$1000,0))&gt;0,Dati!$CA$3&amp;": "&amp;INDEX(Dati!$CA$1:$CA$1000,MATCH($A25,Dati!$A$1:$A$1000,0))&amp;" · ","")&amp;IF(INDEX(Dati!$FD$1:$FD$1000,MATCH($A25,Dati!$A$1:$A$1000,0))&gt;0,Dati!$CB$3&amp;": "&amp;INDEX(Dati!$CB$1:$CB$1000,MATCH($A25,Dati!$A$1:$A$1000,0))&amp;" · ","")&amp;IF(INDEX(Dati!$FE$1:$FE$1000,MATCH($A25,Dati!$A$1:$A$1000,0))&gt;0,Dati!$CC$3&amp;": "&amp;INDEX(Dati!$CC$1:$CC$1000,MATCH($A25,Dati!$A$1:$A$1000,0))&amp;" · ","")&amp;IF(INDEX(Dati!$FF$1:$FF$1000,MATCH($A25,Dati!$A$1:$A$1000,0))&gt;0,Dati!$CD$3&amp;": "&amp;INDEX(Dati!$CD$1:$CD$1000,MATCH($A25,Dati!$A$1:$A$1000,0))&amp;" · ",""))="",IF(INDEX(Dati!$FZ$1:$FZ$1000,MATCH($A25,Dati!$A$1:$A$1000,0))=1,"AS da recuperare",""),LEFT(IF(INDEX(Dati!$FC$1:$FC$1000,MATCH($A25,Dati!$A$1:$A$1000,0))&gt;0,Dati!$CA$3&amp;": "&amp;INDEX(Dati!$CA$1:$CA$1000,MATCH($A25,Dati!$A$1:$A$1000,0))&amp;" · ","")&amp;IF(INDEX(Dati!$FD$1:$FD$1000,MATCH($A25,Dati!$A$1:$A$1000,0))&gt;0,Dati!$CB$3&amp;": "&amp;INDEX(Dati!$CB$1:$CB$1000,MATCH($A25,Dati!$A$1:$A$1000,0))&amp;" · ","")&amp;IF(INDEX(Dati!$FE$1:$FE$1000,MATCH($A25,Dati!$A$1:$A$1000,0))&gt;0,Dati!$CC$3&amp;": "&amp;INDEX(Dati!$CC$1:$CC$1000,MATCH($A25,Dati!$A$1:$A$1000,0))&amp;" · ","")&amp;IF(INDEX(Dati!$FF$1:$FF$1000,MATCH($A25,Dati!$A$1:$A$1000,0))&gt;0,Dati!$CD$3&amp;": "&amp;INDEX(Dati!$CD$1:$CD$1000,MATCH($A25,Dati!$A$1:$A$1000,0))&amp;" · ",""),LEN(IF(INDEX(Dati!$FC$1:$FC$1000,MATCH($A25,Dati!$A$1:$A$1000,0))&gt;0,Dati!$CA$3&amp;": "&amp;INDEX(Dati!$CA$1:$CA$1000,MATCH($A25,Dati!$A$1:$A$1000,0))&amp;" · ","")&amp;IF(INDEX(Dati!$FD$1:$FD$1000,MATCH($A25,Dati!$A$1:$A$1000,0))&gt;0,Dati!$CB$3&amp;": "&amp;INDEX(Dati!$CB$1:$CB$1000,MATCH($A25,Dati!$A$1:$A$1000,0))&amp;" · ","")&amp;IF(INDEX(Dati!$FE$1:$FE$1000,MATCH($A25,Dati!$A$1:$A$1000,0))&gt;0,Dati!$CC$3&amp;": "&amp;INDEX(Dati!$CC$1:$CC$1000,MATCH($A25,Dati!$A$1:$A$1000,0))&amp;" · ","")&amp;IF(INDEX(Dati!$FF$1:$FF$1000,MATCH($A25,Dati!$A$1:$A$1000,0))&gt;0,Dati!$CD$3&amp;": "&amp;INDEX(Dati!$CD$1:$CD$1000,MATCH($A25,Dati!$A$1:$A$1000,0))&amp;" · ",""))-3)),""))</f>
        <v/>
      </c>
    </row>
    <row r="26" customFormat="false" ht="19.5" hidden="false" customHeight="true" outlineLevel="0" collapsed="false">
      <c r="A26" s="10" t="n">
        <v>22</v>
      </c>
      <c r="B26" s="16" t="str">
        <f aca="false">IFERROR(INDEX(Alunni!$C$1:$C$1000,MATCH($A26,Alunni!$A$1:$A$1000,0))&amp;"","")</f>
        <v/>
      </c>
      <c r="C26" s="55" t="str">
        <f aca="false">IF($B26="","",IFERROR(IF((IF(INDEX(Dati!$CE$1:$CE$1000,MATCH($A26,Dati!$A$1:$A$1000,0))&gt;0,Dati!$C$3&amp;": "&amp;INDEX(Dati!$C$1:$C$1000,MATCH($A26,Dati!$A$1:$A$1000,0))&amp;" · ","")&amp;IF(INDEX(Dati!$CF$1:$CF$1000,MATCH($A26,Dati!$A$1:$A$1000,0))&gt;0,Dati!$D$3&amp;": "&amp;INDEX(Dati!$D$1:$D$1000,MATCH($A26,Dati!$A$1:$A$1000,0))&amp;" · ","")&amp;IF(INDEX(Dati!$CG$1:$CG$1000,MATCH($A26,Dati!$A$1:$A$1000,0))&gt;0,Dati!$E$3&amp;": "&amp;INDEX(Dati!$E$1:$E$1000,MATCH($A26,Dati!$A$1:$A$1000,0))&amp;" · ","")&amp;IF(INDEX(Dati!$CH$1:$CH$1000,MATCH($A26,Dati!$A$1:$A$1000,0))&gt;0,Dati!$F$3&amp;": "&amp;INDEX(Dati!$F$1:$F$1000,MATCH($A26,Dati!$A$1:$A$1000,0))&amp;" · ",""))="",IF(INDEX(Dati!$FG$1:$FG$1000,MATCH($A26,Dati!$A$1:$A$1000,0))=1,"AS da recuperare",""),LEFT(IF(INDEX(Dati!$CE$1:$CE$1000,MATCH($A26,Dati!$A$1:$A$1000,0))&gt;0,Dati!$C$3&amp;": "&amp;INDEX(Dati!$C$1:$C$1000,MATCH($A26,Dati!$A$1:$A$1000,0))&amp;" · ","")&amp;IF(INDEX(Dati!$CF$1:$CF$1000,MATCH($A26,Dati!$A$1:$A$1000,0))&gt;0,Dati!$D$3&amp;": "&amp;INDEX(Dati!$D$1:$D$1000,MATCH($A26,Dati!$A$1:$A$1000,0))&amp;" · ","")&amp;IF(INDEX(Dati!$CG$1:$CG$1000,MATCH($A26,Dati!$A$1:$A$1000,0))&gt;0,Dati!$E$3&amp;": "&amp;INDEX(Dati!$E$1:$E$1000,MATCH($A26,Dati!$A$1:$A$1000,0))&amp;" · ","")&amp;IF(INDEX(Dati!$CH$1:$CH$1000,MATCH($A26,Dati!$A$1:$A$1000,0))&gt;0,Dati!$F$3&amp;": "&amp;INDEX(Dati!$F$1:$F$1000,MATCH($A26,Dati!$A$1:$A$1000,0))&amp;" · ",""),LEN(IF(INDEX(Dati!$CE$1:$CE$1000,MATCH($A26,Dati!$A$1:$A$1000,0))&gt;0,Dati!$C$3&amp;": "&amp;INDEX(Dati!$C$1:$C$1000,MATCH($A26,Dati!$A$1:$A$1000,0))&amp;" · ","")&amp;IF(INDEX(Dati!$CF$1:$CF$1000,MATCH($A26,Dati!$A$1:$A$1000,0))&gt;0,Dati!$D$3&amp;": "&amp;INDEX(Dati!$D$1:$D$1000,MATCH($A26,Dati!$A$1:$A$1000,0))&amp;" · ","")&amp;IF(INDEX(Dati!$CG$1:$CG$1000,MATCH($A26,Dati!$A$1:$A$1000,0))&gt;0,Dati!$E$3&amp;": "&amp;INDEX(Dati!$E$1:$E$1000,MATCH($A26,Dati!$A$1:$A$1000,0))&amp;" · ","")&amp;IF(INDEX(Dati!$CH$1:$CH$1000,MATCH($A26,Dati!$A$1:$A$1000,0))&gt;0,Dati!$F$3&amp;": "&amp;INDEX(Dati!$F$1:$F$1000,MATCH($A26,Dati!$A$1:$A$1000,0))&amp;" · ",""))-3)),""))</f>
        <v/>
      </c>
      <c r="D26" s="55" t="str">
        <f aca="false">IF($B26="","",IFERROR(IF((IF(INDEX(Dati!$CI$1:$CI$1000,MATCH($A26,Dati!$A$1:$A$1000,0))&gt;0,Dati!$G$3&amp;": "&amp;INDEX(Dati!$G$1:$G$1000,MATCH($A26,Dati!$A$1:$A$1000,0))&amp;" · ","")&amp;IF(INDEX(Dati!$CJ$1:$CJ$1000,MATCH($A26,Dati!$A$1:$A$1000,0))&gt;0,Dati!$H$3&amp;": "&amp;INDEX(Dati!$H$1:$H$1000,MATCH($A26,Dati!$A$1:$A$1000,0))&amp;" · ","")&amp;IF(INDEX(Dati!$CK$1:$CK$1000,MATCH($A26,Dati!$A$1:$A$1000,0))&gt;0,Dati!$I$3&amp;": "&amp;INDEX(Dati!$I$1:$I$1000,MATCH($A26,Dati!$A$1:$A$1000,0))&amp;" · ","")&amp;IF(INDEX(Dati!$CL$1:$CL$1000,MATCH($A26,Dati!$A$1:$A$1000,0))&gt;0,Dati!$J$3&amp;": "&amp;INDEX(Dati!$J$1:$J$1000,MATCH($A26,Dati!$A$1:$A$1000,0))&amp;" · ",""))="",IF(INDEX(Dati!$FH$1:$FH$1000,MATCH($A26,Dati!$A$1:$A$1000,0))=1,"AS da recuperare",""),LEFT(IF(INDEX(Dati!$CI$1:$CI$1000,MATCH($A26,Dati!$A$1:$A$1000,0))&gt;0,Dati!$G$3&amp;": "&amp;INDEX(Dati!$G$1:$G$1000,MATCH($A26,Dati!$A$1:$A$1000,0))&amp;" · ","")&amp;IF(INDEX(Dati!$CJ$1:$CJ$1000,MATCH($A26,Dati!$A$1:$A$1000,0))&gt;0,Dati!$H$3&amp;": "&amp;INDEX(Dati!$H$1:$H$1000,MATCH($A26,Dati!$A$1:$A$1000,0))&amp;" · ","")&amp;IF(INDEX(Dati!$CK$1:$CK$1000,MATCH($A26,Dati!$A$1:$A$1000,0))&gt;0,Dati!$I$3&amp;": "&amp;INDEX(Dati!$I$1:$I$1000,MATCH($A26,Dati!$A$1:$A$1000,0))&amp;" · ","")&amp;IF(INDEX(Dati!$CL$1:$CL$1000,MATCH($A26,Dati!$A$1:$A$1000,0))&gt;0,Dati!$J$3&amp;": "&amp;INDEX(Dati!$J$1:$J$1000,MATCH($A26,Dati!$A$1:$A$1000,0))&amp;" · ",""),LEN(IF(INDEX(Dati!$CI$1:$CI$1000,MATCH($A26,Dati!$A$1:$A$1000,0))&gt;0,Dati!$G$3&amp;": "&amp;INDEX(Dati!$G$1:$G$1000,MATCH($A26,Dati!$A$1:$A$1000,0))&amp;" · ","")&amp;IF(INDEX(Dati!$CJ$1:$CJ$1000,MATCH($A26,Dati!$A$1:$A$1000,0))&gt;0,Dati!$H$3&amp;": "&amp;INDEX(Dati!$H$1:$H$1000,MATCH($A26,Dati!$A$1:$A$1000,0))&amp;" · ","")&amp;IF(INDEX(Dati!$CK$1:$CK$1000,MATCH($A26,Dati!$A$1:$A$1000,0))&gt;0,Dati!$I$3&amp;": "&amp;INDEX(Dati!$I$1:$I$1000,MATCH($A26,Dati!$A$1:$A$1000,0))&amp;" · ","")&amp;IF(INDEX(Dati!$CL$1:$CL$1000,MATCH($A26,Dati!$A$1:$A$1000,0))&gt;0,Dati!$J$3&amp;": "&amp;INDEX(Dati!$J$1:$J$1000,MATCH($A26,Dati!$A$1:$A$1000,0))&amp;" · ",""))-3)),""))</f>
        <v/>
      </c>
      <c r="E26" s="55" t="str">
        <f aca="false">IF($B26="","",IFERROR(IF((IF(INDEX(Dati!$CM$1:$CM$1000,MATCH($A26,Dati!$A$1:$A$1000,0))&gt;0,Dati!$K$3&amp;": "&amp;INDEX(Dati!$K$1:$K$1000,MATCH($A26,Dati!$A$1:$A$1000,0))&amp;" · ","")&amp;IF(INDEX(Dati!$CN$1:$CN$1000,MATCH($A26,Dati!$A$1:$A$1000,0))&gt;0,Dati!$L$3&amp;": "&amp;INDEX(Dati!$L$1:$L$1000,MATCH($A26,Dati!$A$1:$A$1000,0))&amp;" · ","")&amp;IF(INDEX(Dati!$CO$1:$CO$1000,MATCH($A26,Dati!$A$1:$A$1000,0))&gt;0,Dati!$M$3&amp;": "&amp;INDEX(Dati!$M$1:$M$1000,MATCH($A26,Dati!$A$1:$A$1000,0))&amp;" · ","")&amp;IF(INDEX(Dati!$CP$1:$CP$1000,MATCH($A26,Dati!$A$1:$A$1000,0))&gt;0,Dati!$N$3&amp;": "&amp;INDEX(Dati!$N$1:$N$1000,MATCH($A26,Dati!$A$1:$A$1000,0))&amp;" · ",""))="",IF(INDEX(Dati!$FI$1:$FI$1000,MATCH($A26,Dati!$A$1:$A$1000,0))=1,"AS da recuperare",""),LEFT(IF(INDEX(Dati!$CM$1:$CM$1000,MATCH($A26,Dati!$A$1:$A$1000,0))&gt;0,Dati!$K$3&amp;": "&amp;INDEX(Dati!$K$1:$K$1000,MATCH($A26,Dati!$A$1:$A$1000,0))&amp;" · ","")&amp;IF(INDEX(Dati!$CN$1:$CN$1000,MATCH($A26,Dati!$A$1:$A$1000,0))&gt;0,Dati!$L$3&amp;": "&amp;INDEX(Dati!$L$1:$L$1000,MATCH($A26,Dati!$A$1:$A$1000,0))&amp;" · ","")&amp;IF(INDEX(Dati!$CO$1:$CO$1000,MATCH($A26,Dati!$A$1:$A$1000,0))&gt;0,Dati!$M$3&amp;": "&amp;INDEX(Dati!$M$1:$M$1000,MATCH($A26,Dati!$A$1:$A$1000,0))&amp;" · ","")&amp;IF(INDEX(Dati!$CP$1:$CP$1000,MATCH($A26,Dati!$A$1:$A$1000,0))&gt;0,Dati!$N$3&amp;": "&amp;INDEX(Dati!$N$1:$N$1000,MATCH($A26,Dati!$A$1:$A$1000,0))&amp;" · ",""),LEN(IF(INDEX(Dati!$CM$1:$CM$1000,MATCH($A26,Dati!$A$1:$A$1000,0))&gt;0,Dati!$K$3&amp;": "&amp;INDEX(Dati!$K$1:$K$1000,MATCH($A26,Dati!$A$1:$A$1000,0))&amp;" · ","")&amp;IF(INDEX(Dati!$CN$1:$CN$1000,MATCH($A26,Dati!$A$1:$A$1000,0))&gt;0,Dati!$L$3&amp;": "&amp;INDEX(Dati!$L$1:$L$1000,MATCH($A26,Dati!$A$1:$A$1000,0))&amp;" · ","")&amp;IF(INDEX(Dati!$CO$1:$CO$1000,MATCH($A26,Dati!$A$1:$A$1000,0))&gt;0,Dati!$M$3&amp;": "&amp;INDEX(Dati!$M$1:$M$1000,MATCH($A26,Dati!$A$1:$A$1000,0))&amp;" · ","")&amp;IF(INDEX(Dati!$CP$1:$CP$1000,MATCH($A26,Dati!$A$1:$A$1000,0))&gt;0,Dati!$N$3&amp;": "&amp;INDEX(Dati!$N$1:$N$1000,MATCH($A26,Dati!$A$1:$A$1000,0))&amp;" · ",""))-3)),""))</f>
        <v/>
      </c>
      <c r="F26" s="55" t="str">
        <f aca="false">IF($B26="","",IFERROR(IF((IF(INDEX(Dati!$CQ$1:$CQ$1000,MATCH($A26,Dati!$A$1:$A$1000,0))&gt;0,Dati!$O$3&amp;": "&amp;INDEX(Dati!$O$1:$O$1000,MATCH($A26,Dati!$A$1:$A$1000,0))&amp;" · ","")&amp;IF(INDEX(Dati!$CR$1:$CR$1000,MATCH($A26,Dati!$A$1:$A$1000,0))&gt;0,Dati!$P$3&amp;": "&amp;INDEX(Dati!$P$1:$P$1000,MATCH($A26,Dati!$A$1:$A$1000,0))&amp;" · ","")&amp;IF(INDEX(Dati!$CS$1:$CS$1000,MATCH($A26,Dati!$A$1:$A$1000,0))&gt;0,Dati!$Q$3&amp;": "&amp;INDEX(Dati!$Q$1:$Q$1000,MATCH($A26,Dati!$A$1:$A$1000,0))&amp;" · ","")&amp;IF(INDEX(Dati!$CT$1:$CT$1000,MATCH($A26,Dati!$A$1:$A$1000,0))&gt;0,Dati!$R$3&amp;": "&amp;INDEX(Dati!$R$1:$R$1000,MATCH($A26,Dati!$A$1:$A$1000,0))&amp;" · ",""))="",IF(INDEX(Dati!$FJ$1:$FJ$1000,MATCH($A26,Dati!$A$1:$A$1000,0))=1,"AS da recuperare",""),LEFT(IF(INDEX(Dati!$CQ$1:$CQ$1000,MATCH($A26,Dati!$A$1:$A$1000,0))&gt;0,Dati!$O$3&amp;": "&amp;INDEX(Dati!$O$1:$O$1000,MATCH($A26,Dati!$A$1:$A$1000,0))&amp;" · ","")&amp;IF(INDEX(Dati!$CR$1:$CR$1000,MATCH($A26,Dati!$A$1:$A$1000,0))&gt;0,Dati!$P$3&amp;": "&amp;INDEX(Dati!$P$1:$P$1000,MATCH($A26,Dati!$A$1:$A$1000,0))&amp;" · ","")&amp;IF(INDEX(Dati!$CS$1:$CS$1000,MATCH($A26,Dati!$A$1:$A$1000,0))&gt;0,Dati!$Q$3&amp;": "&amp;INDEX(Dati!$Q$1:$Q$1000,MATCH($A26,Dati!$A$1:$A$1000,0))&amp;" · ","")&amp;IF(INDEX(Dati!$CT$1:$CT$1000,MATCH($A26,Dati!$A$1:$A$1000,0))&gt;0,Dati!$R$3&amp;": "&amp;INDEX(Dati!$R$1:$R$1000,MATCH($A26,Dati!$A$1:$A$1000,0))&amp;" · ",""),LEN(IF(INDEX(Dati!$CQ$1:$CQ$1000,MATCH($A26,Dati!$A$1:$A$1000,0))&gt;0,Dati!$O$3&amp;": "&amp;INDEX(Dati!$O$1:$O$1000,MATCH($A26,Dati!$A$1:$A$1000,0))&amp;" · ","")&amp;IF(INDEX(Dati!$CR$1:$CR$1000,MATCH($A26,Dati!$A$1:$A$1000,0))&gt;0,Dati!$P$3&amp;": "&amp;INDEX(Dati!$P$1:$P$1000,MATCH($A26,Dati!$A$1:$A$1000,0))&amp;" · ","")&amp;IF(INDEX(Dati!$CS$1:$CS$1000,MATCH($A26,Dati!$A$1:$A$1000,0))&gt;0,Dati!$Q$3&amp;": "&amp;INDEX(Dati!$Q$1:$Q$1000,MATCH($A26,Dati!$A$1:$A$1000,0))&amp;" · ","")&amp;IF(INDEX(Dati!$CT$1:$CT$1000,MATCH($A26,Dati!$A$1:$A$1000,0))&gt;0,Dati!$R$3&amp;": "&amp;INDEX(Dati!$R$1:$R$1000,MATCH($A26,Dati!$A$1:$A$1000,0))&amp;" · ",""))-3)),""))</f>
        <v/>
      </c>
      <c r="G26" s="55" t="str">
        <f aca="false">IF($B26="","",IFERROR(IF((IF(INDEX(Dati!$CU$1:$CU$1000,MATCH($A26,Dati!$A$1:$A$1000,0))&gt;0,Dati!$S$3&amp;": "&amp;INDEX(Dati!$S$1:$S$1000,MATCH($A26,Dati!$A$1:$A$1000,0))&amp;" · ","")&amp;IF(INDEX(Dati!$CV$1:$CV$1000,MATCH($A26,Dati!$A$1:$A$1000,0))&gt;0,Dati!$T$3&amp;": "&amp;INDEX(Dati!$T$1:$T$1000,MATCH($A26,Dati!$A$1:$A$1000,0))&amp;" · ","")&amp;IF(INDEX(Dati!$CW$1:$CW$1000,MATCH($A26,Dati!$A$1:$A$1000,0))&gt;0,Dati!$U$3&amp;": "&amp;INDEX(Dati!$U$1:$U$1000,MATCH($A26,Dati!$A$1:$A$1000,0))&amp;" · ","")&amp;IF(INDEX(Dati!$CX$1:$CX$1000,MATCH($A26,Dati!$A$1:$A$1000,0))&gt;0,Dati!$V$3&amp;": "&amp;INDEX(Dati!$V$1:$V$1000,MATCH($A26,Dati!$A$1:$A$1000,0))&amp;" · ",""))="",IF(INDEX(Dati!$FK$1:$FK$1000,MATCH($A26,Dati!$A$1:$A$1000,0))=1,"AS da recuperare",""),LEFT(IF(INDEX(Dati!$CU$1:$CU$1000,MATCH($A26,Dati!$A$1:$A$1000,0))&gt;0,Dati!$S$3&amp;": "&amp;INDEX(Dati!$S$1:$S$1000,MATCH($A26,Dati!$A$1:$A$1000,0))&amp;" · ","")&amp;IF(INDEX(Dati!$CV$1:$CV$1000,MATCH($A26,Dati!$A$1:$A$1000,0))&gt;0,Dati!$T$3&amp;": "&amp;INDEX(Dati!$T$1:$T$1000,MATCH($A26,Dati!$A$1:$A$1000,0))&amp;" · ","")&amp;IF(INDEX(Dati!$CW$1:$CW$1000,MATCH($A26,Dati!$A$1:$A$1000,0))&gt;0,Dati!$U$3&amp;": "&amp;INDEX(Dati!$U$1:$U$1000,MATCH($A26,Dati!$A$1:$A$1000,0))&amp;" · ","")&amp;IF(INDEX(Dati!$CX$1:$CX$1000,MATCH($A26,Dati!$A$1:$A$1000,0))&gt;0,Dati!$V$3&amp;": "&amp;INDEX(Dati!$V$1:$V$1000,MATCH($A26,Dati!$A$1:$A$1000,0))&amp;" · ",""),LEN(IF(INDEX(Dati!$CU$1:$CU$1000,MATCH($A26,Dati!$A$1:$A$1000,0))&gt;0,Dati!$S$3&amp;": "&amp;INDEX(Dati!$S$1:$S$1000,MATCH($A26,Dati!$A$1:$A$1000,0))&amp;" · ","")&amp;IF(INDEX(Dati!$CV$1:$CV$1000,MATCH($A26,Dati!$A$1:$A$1000,0))&gt;0,Dati!$T$3&amp;": "&amp;INDEX(Dati!$T$1:$T$1000,MATCH($A26,Dati!$A$1:$A$1000,0))&amp;" · ","")&amp;IF(INDEX(Dati!$CW$1:$CW$1000,MATCH($A26,Dati!$A$1:$A$1000,0))&gt;0,Dati!$U$3&amp;": "&amp;INDEX(Dati!$U$1:$U$1000,MATCH($A26,Dati!$A$1:$A$1000,0))&amp;" · ","")&amp;IF(INDEX(Dati!$CX$1:$CX$1000,MATCH($A26,Dati!$A$1:$A$1000,0))&gt;0,Dati!$V$3&amp;": "&amp;INDEX(Dati!$V$1:$V$1000,MATCH($A26,Dati!$A$1:$A$1000,0))&amp;" · ",""))-3)),""))</f>
        <v/>
      </c>
      <c r="H26" s="55" t="str">
        <f aca="false">IF($B26="","",IFERROR(IF((IF(INDEX(Dati!$CY$1:$CY$1000,MATCH($A26,Dati!$A$1:$A$1000,0))&gt;0,Dati!$W$3&amp;": "&amp;INDEX(Dati!$W$1:$W$1000,MATCH($A26,Dati!$A$1:$A$1000,0))&amp;" · ","")&amp;IF(INDEX(Dati!$CZ$1:$CZ$1000,MATCH($A26,Dati!$A$1:$A$1000,0))&gt;0,Dati!$X$3&amp;": "&amp;INDEX(Dati!$X$1:$X$1000,MATCH($A26,Dati!$A$1:$A$1000,0))&amp;" · ","")&amp;IF(INDEX(Dati!$DA$1:$DA$1000,MATCH($A26,Dati!$A$1:$A$1000,0))&gt;0,Dati!$Y$3&amp;": "&amp;INDEX(Dati!$Y$1:$Y$1000,MATCH($A26,Dati!$A$1:$A$1000,0))&amp;" · ","")&amp;IF(INDEX(Dati!$DB$1:$DB$1000,MATCH($A26,Dati!$A$1:$A$1000,0))&gt;0,Dati!$Z$3&amp;": "&amp;INDEX(Dati!$Z$1:$Z$1000,MATCH($A26,Dati!$A$1:$A$1000,0))&amp;" · ",""))="",IF(INDEX(Dati!$FL$1:$FL$1000,MATCH($A26,Dati!$A$1:$A$1000,0))=1,"AS da recuperare",""),LEFT(IF(INDEX(Dati!$CY$1:$CY$1000,MATCH($A26,Dati!$A$1:$A$1000,0))&gt;0,Dati!$W$3&amp;": "&amp;INDEX(Dati!$W$1:$W$1000,MATCH($A26,Dati!$A$1:$A$1000,0))&amp;" · ","")&amp;IF(INDEX(Dati!$CZ$1:$CZ$1000,MATCH($A26,Dati!$A$1:$A$1000,0))&gt;0,Dati!$X$3&amp;": "&amp;INDEX(Dati!$X$1:$X$1000,MATCH($A26,Dati!$A$1:$A$1000,0))&amp;" · ","")&amp;IF(INDEX(Dati!$DA$1:$DA$1000,MATCH($A26,Dati!$A$1:$A$1000,0))&gt;0,Dati!$Y$3&amp;": "&amp;INDEX(Dati!$Y$1:$Y$1000,MATCH($A26,Dati!$A$1:$A$1000,0))&amp;" · ","")&amp;IF(INDEX(Dati!$DB$1:$DB$1000,MATCH($A26,Dati!$A$1:$A$1000,0))&gt;0,Dati!$Z$3&amp;": "&amp;INDEX(Dati!$Z$1:$Z$1000,MATCH($A26,Dati!$A$1:$A$1000,0))&amp;" · ",""),LEN(IF(INDEX(Dati!$CY$1:$CY$1000,MATCH($A26,Dati!$A$1:$A$1000,0))&gt;0,Dati!$W$3&amp;": "&amp;INDEX(Dati!$W$1:$W$1000,MATCH($A26,Dati!$A$1:$A$1000,0))&amp;" · ","")&amp;IF(INDEX(Dati!$CZ$1:$CZ$1000,MATCH($A26,Dati!$A$1:$A$1000,0))&gt;0,Dati!$X$3&amp;": "&amp;INDEX(Dati!$X$1:$X$1000,MATCH($A26,Dati!$A$1:$A$1000,0))&amp;" · ","")&amp;IF(INDEX(Dati!$DA$1:$DA$1000,MATCH($A26,Dati!$A$1:$A$1000,0))&gt;0,Dati!$Y$3&amp;": "&amp;INDEX(Dati!$Y$1:$Y$1000,MATCH($A26,Dati!$A$1:$A$1000,0))&amp;" · ","")&amp;IF(INDEX(Dati!$DB$1:$DB$1000,MATCH($A26,Dati!$A$1:$A$1000,0))&gt;0,Dati!$Z$3&amp;": "&amp;INDEX(Dati!$Z$1:$Z$1000,MATCH($A26,Dati!$A$1:$A$1000,0))&amp;" · ",""))-3)),""))</f>
        <v/>
      </c>
      <c r="I26" s="55" t="str">
        <f aca="false">IF($B26="","",IFERROR(IF((IF(INDEX(Dati!$DC$1:$DC$1000,MATCH($A26,Dati!$A$1:$A$1000,0))&gt;0,Dati!$AA$3&amp;": "&amp;INDEX(Dati!$AA$1:$AA$1000,MATCH($A26,Dati!$A$1:$A$1000,0))&amp;" · ","")&amp;IF(INDEX(Dati!$DD$1:$DD$1000,MATCH($A26,Dati!$A$1:$A$1000,0))&gt;0,Dati!$AB$3&amp;": "&amp;INDEX(Dati!$AB$1:$AB$1000,MATCH($A26,Dati!$A$1:$A$1000,0))&amp;" · ","")&amp;IF(INDEX(Dati!$DE$1:$DE$1000,MATCH($A26,Dati!$A$1:$A$1000,0))&gt;0,Dati!$AC$3&amp;": "&amp;INDEX(Dati!$AC$1:$AC$1000,MATCH($A26,Dati!$A$1:$A$1000,0))&amp;" · ","")&amp;IF(INDEX(Dati!$DF$1:$DF$1000,MATCH($A26,Dati!$A$1:$A$1000,0))&gt;0,Dati!$AD$3&amp;": "&amp;INDEX(Dati!$AD$1:$AD$1000,MATCH($A26,Dati!$A$1:$A$1000,0))&amp;" · ",""))="",IF(INDEX(Dati!$FM$1:$FM$1000,MATCH($A26,Dati!$A$1:$A$1000,0))=1,"AS da recuperare",""),LEFT(IF(INDEX(Dati!$DC$1:$DC$1000,MATCH($A26,Dati!$A$1:$A$1000,0))&gt;0,Dati!$AA$3&amp;": "&amp;INDEX(Dati!$AA$1:$AA$1000,MATCH($A26,Dati!$A$1:$A$1000,0))&amp;" · ","")&amp;IF(INDEX(Dati!$DD$1:$DD$1000,MATCH($A26,Dati!$A$1:$A$1000,0))&gt;0,Dati!$AB$3&amp;": "&amp;INDEX(Dati!$AB$1:$AB$1000,MATCH($A26,Dati!$A$1:$A$1000,0))&amp;" · ","")&amp;IF(INDEX(Dati!$DE$1:$DE$1000,MATCH($A26,Dati!$A$1:$A$1000,0))&gt;0,Dati!$AC$3&amp;": "&amp;INDEX(Dati!$AC$1:$AC$1000,MATCH($A26,Dati!$A$1:$A$1000,0))&amp;" · ","")&amp;IF(INDEX(Dati!$DF$1:$DF$1000,MATCH($A26,Dati!$A$1:$A$1000,0))&gt;0,Dati!$AD$3&amp;": "&amp;INDEX(Dati!$AD$1:$AD$1000,MATCH($A26,Dati!$A$1:$A$1000,0))&amp;" · ",""),LEN(IF(INDEX(Dati!$DC$1:$DC$1000,MATCH($A26,Dati!$A$1:$A$1000,0))&gt;0,Dati!$AA$3&amp;": "&amp;INDEX(Dati!$AA$1:$AA$1000,MATCH($A26,Dati!$A$1:$A$1000,0))&amp;" · ","")&amp;IF(INDEX(Dati!$DD$1:$DD$1000,MATCH($A26,Dati!$A$1:$A$1000,0))&gt;0,Dati!$AB$3&amp;": "&amp;INDEX(Dati!$AB$1:$AB$1000,MATCH($A26,Dati!$A$1:$A$1000,0))&amp;" · ","")&amp;IF(INDEX(Dati!$DE$1:$DE$1000,MATCH($A26,Dati!$A$1:$A$1000,0))&gt;0,Dati!$AC$3&amp;": "&amp;INDEX(Dati!$AC$1:$AC$1000,MATCH($A26,Dati!$A$1:$A$1000,0))&amp;" · ","")&amp;IF(INDEX(Dati!$DF$1:$DF$1000,MATCH($A26,Dati!$A$1:$A$1000,0))&gt;0,Dati!$AD$3&amp;": "&amp;INDEX(Dati!$AD$1:$AD$1000,MATCH($A26,Dati!$A$1:$A$1000,0))&amp;" · ",""))-3)),""))</f>
        <v/>
      </c>
      <c r="J26" s="55" t="str">
        <f aca="false">IF($B26="","",IFERROR(IF((IF(INDEX(Dati!$DG$1:$DG$1000,MATCH($A26,Dati!$A$1:$A$1000,0))&gt;0,Dati!$AE$3&amp;": "&amp;INDEX(Dati!$AE$1:$AE$1000,MATCH($A26,Dati!$A$1:$A$1000,0))&amp;" · ","")&amp;IF(INDEX(Dati!$DH$1:$DH$1000,MATCH($A26,Dati!$A$1:$A$1000,0))&gt;0,Dati!$AF$3&amp;": "&amp;INDEX(Dati!$AF$1:$AF$1000,MATCH($A26,Dati!$A$1:$A$1000,0))&amp;" · ","")&amp;IF(INDEX(Dati!$DI$1:$DI$1000,MATCH($A26,Dati!$A$1:$A$1000,0))&gt;0,Dati!$AG$3&amp;": "&amp;INDEX(Dati!$AG$1:$AG$1000,MATCH($A26,Dati!$A$1:$A$1000,0))&amp;" · ","")&amp;IF(INDEX(Dati!$DJ$1:$DJ$1000,MATCH($A26,Dati!$A$1:$A$1000,0))&gt;0,Dati!$AH$3&amp;": "&amp;INDEX(Dati!$AH$1:$AH$1000,MATCH($A26,Dati!$A$1:$A$1000,0))&amp;" · ",""))="",IF(INDEX(Dati!$FN$1:$FN$1000,MATCH($A26,Dati!$A$1:$A$1000,0))=1,"AS da recuperare",""),LEFT(IF(INDEX(Dati!$DG$1:$DG$1000,MATCH($A26,Dati!$A$1:$A$1000,0))&gt;0,Dati!$AE$3&amp;": "&amp;INDEX(Dati!$AE$1:$AE$1000,MATCH($A26,Dati!$A$1:$A$1000,0))&amp;" · ","")&amp;IF(INDEX(Dati!$DH$1:$DH$1000,MATCH($A26,Dati!$A$1:$A$1000,0))&gt;0,Dati!$AF$3&amp;": "&amp;INDEX(Dati!$AF$1:$AF$1000,MATCH($A26,Dati!$A$1:$A$1000,0))&amp;" · ","")&amp;IF(INDEX(Dati!$DI$1:$DI$1000,MATCH($A26,Dati!$A$1:$A$1000,0))&gt;0,Dati!$AG$3&amp;": "&amp;INDEX(Dati!$AG$1:$AG$1000,MATCH($A26,Dati!$A$1:$A$1000,0))&amp;" · ","")&amp;IF(INDEX(Dati!$DJ$1:$DJ$1000,MATCH($A26,Dati!$A$1:$A$1000,0))&gt;0,Dati!$AH$3&amp;": "&amp;INDEX(Dati!$AH$1:$AH$1000,MATCH($A26,Dati!$A$1:$A$1000,0))&amp;" · ",""),LEN(IF(INDEX(Dati!$DG$1:$DG$1000,MATCH($A26,Dati!$A$1:$A$1000,0))&gt;0,Dati!$AE$3&amp;": "&amp;INDEX(Dati!$AE$1:$AE$1000,MATCH($A26,Dati!$A$1:$A$1000,0))&amp;" · ","")&amp;IF(INDEX(Dati!$DH$1:$DH$1000,MATCH($A26,Dati!$A$1:$A$1000,0))&gt;0,Dati!$AF$3&amp;": "&amp;INDEX(Dati!$AF$1:$AF$1000,MATCH($A26,Dati!$A$1:$A$1000,0))&amp;" · ","")&amp;IF(INDEX(Dati!$DI$1:$DI$1000,MATCH($A26,Dati!$A$1:$A$1000,0))&gt;0,Dati!$AG$3&amp;": "&amp;INDEX(Dati!$AG$1:$AG$1000,MATCH($A26,Dati!$A$1:$A$1000,0))&amp;" · ","")&amp;IF(INDEX(Dati!$DJ$1:$DJ$1000,MATCH($A26,Dati!$A$1:$A$1000,0))&gt;0,Dati!$AH$3&amp;": "&amp;INDEX(Dati!$AH$1:$AH$1000,MATCH($A26,Dati!$A$1:$A$1000,0))&amp;" · ",""))-3)),""))</f>
        <v/>
      </c>
      <c r="K26" s="55" t="str">
        <f aca="false">IF($B26="","",IFERROR(IF((IF(INDEX(Dati!$DK$1:$DK$1000,MATCH($A26,Dati!$A$1:$A$1000,0))&gt;0,Dati!$AI$3&amp;": "&amp;INDEX(Dati!$AI$1:$AI$1000,MATCH($A26,Dati!$A$1:$A$1000,0))&amp;" · ","")&amp;IF(INDEX(Dati!$DL$1:$DL$1000,MATCH($A26,Dati!$A$1:$A$1000,0))&gt;0,Dati!$AJ$3&amp;": "&amp;INDEX(Dati!$AJ$1:$AJ$1000,MATCH($A26,Dati!$A$1:$A$1000,0))&amp;" · ","")&amp;IF(INDEX(Dati!$DM$1:$DM$1000,MATCH($A26,Dati!$A$1:$A$1000,0))&gt;0,Dati!$AK$3&amp;": "&amp;INDEX(Dati!$AK$1:$AK$1000,MATCH($A26,Dati!$A$1:$A$1000,0))&amp;" · ","")&amp;IF(INDEX(Dati!$DN$1:$DN$1000,MATCH($A26,Dati!$A$1:$A$1000,0))&gt;0,Dati!$AL$3&amp;": "&amp;INDEX(Dati!$AL$1:$AL$1000,MATCH($A26,Dati!$A$1:$A$1000,0))&amp;" · ",""))="",IF(INDEX(Dati!$FO$1:$FO$1000,MATCH($A26,Dati!$A$1:$A$1000,0))=1,"AS da recuperare",""),LEFT(IF(INDEX(Dati!$DK$1:$DK$1000,MATCH($A26,Dati!$A$1:$A$1000,0))&gt;0,Dati!$AI$3&amp;": "&amp;INDEX(Dati!$AI$1:$AI$1000,MATCH($A26,Dati!$A$1:$A$1000,0))&amp;" · ","")&amp;IF(INDEX(Dati!$DL$1:$DL$1000,MATCH($A26,Dati!$A$1:$A$1000,0))&gt;0,Dati!$AJ$3&amp;": "&amp;INDEX(Dati!$AJ$1:$AJ$1000,MATCH($A26,Dati!$A$1:$A$1000,0))&amp;" · ","")&amp;IF(INDEX(Dati!$DM$1:$DM$1000,MATCH($A26,Dati!$A$1:$A$1000,0))&gt;0,Dati!$AK$3&amp;": "&amp;INDEX(Dati!$AK$1:$AK$1000,MATCH($A26,Dati!$A$1:$A$1000,0))&amp;" · ","")&amp;IF(INDEX(Dati!$DN$1:$DN$1000,MATCH($A26,Dati!$A$1:$A$1000,0))&gt;0,Dati!$AL$3&amp;": "&amp;INDEX(Dati!$AL$1:$AL$1000,MATCH($A26,Dati!$A$1:$A$1000,0))&amp;" · ",""),LEN(IF(INDEX(Dati!$DK$1:$DK$1000,MATCH($A26,Dati!$A$1:$A$1000,0))&gt;0,Dati!$AI$3&amp;": "&amp;INDEX(Dati!$AI$1:$AI$1000,MATCH($A26,Dati!$A$1:$A$1000,0))&amp;" · ","")&amp;IF(INDEX(Dati!$DL$1:$DL$1000,MATCH($A26,Dati!$A$1:$A$1000,0))&gt;0,Dati!$AJ$3&amp;": "&amp;INDEX(Dati!$AJ$1:$AJ$1000,MATCH($A26,Dati!$A$1:$A$1000,0))&amp;" · ","")&amp;IF(INDEX(Dati!$DM$1:$DM$1000,MATCH($A26,Dati!$A$1:$A$1000,0))&gt;0,Dati!$AK$3&amp;": "&amp;INDEX(Dati!$AK$1:$AK$1000,MATCH($A26,Dati!$A$1:$A$1000,0))&amp;" · ","")&amp;IF(INDEX(Dati!$DN$1:$DN$1000,MATCH($A26,Dati!$A$1:$A$1000,0))&gt;0,Dati!$AL$3&amp;": "&amp;INDEX(Dati!$AL$1:$AL$1000,MATCH($A26,Dati!$A$1:$A$1000,0))&amp;" · ",""))-3)),""))</f>
        <v/>
      </c>
      <c r="L26" s="55" t="str">
        <f aca="false">IF($B26="","",IFERROR(IF((IF(INDEX(Dati!$DO$1:$DO$1000,MATCH($A26,Dati!$A$1:$A$1000,0))&gt;0,Dati!$AM$3&amp;": "&amp;INDEX(Dati!$AM$1:$AM$1000,MATCH($A26,Dati!$A$1:$A$1000,0))&amp;" · ","")&amp;IF(INDEX(Dati!$DP$1:$DP$1000,MATCH($A26,Dati!$A$1:$A$1000,0))&gt;0,Dati!$AN$3&amp;": "&amp;INDEX(Dati!$AN$1:$AN$1000,MATCH($A26,Dati!$A$1:$A$1000,0))&amp;" · ","")&amp;IF(INDEX(Dati!$DQ$1:$DQ$1000,MATCH($A26,Dati!$A$1:$A$1000,0))&gt;0,Dati!$AO$3&amp;": "&amp;INDEX(Dati!$AO$1:$AO$1000,MATCH($A26,Dati!$A$1:$A$1000,0))&amp;" · ","")&amp;IF(INDEX(Dati!$DR$1:$DR$1000,MATCH($A26,Dati!$A$1:$A$1000,0))&gt;0,Dati!$AP$3&amp;": "&amp;INDEX(Dati!$AP$1:$AP$1000,MATCH($A26,Dati!$A$1:$A$1000,0))&amp;" · ",""))="",IF(INDEX(Dati!$FP$1:$FP$1000,MATCH($A26,Dati!$A$1:$A$1000,0))=1,"AS da recuperare",""),LEFT(IF(INDEX(Dati!$DO$1:$DO$1000,MATCH($A26,Dati!$A$1:$A$1000,0))&gt;0,Dati!$AM$3&amp;": "&amp;INDEX(Dati!$AM$1:$AM$1000,MATCH($A26,Dati!$A$1:$A$1000,0))&amp;" · ","")&amp;IF(INDEX(Dati!$DP$1:$DP$1000,MATCH($A26,Dati!$A$1:$A$1000,0))&gt;0,Dati!$AN$3&amp;": "&amp;INDEX(Dati!$AN$1:$AN$1000,MATCH($A26,Dati!$A$1:$A$1000,0))&amp;" · ","")&amp;IF(INDEX(Dati!$DQ$1:$DQ$1000,MATCH($A26,Dati!$A$1:$A$1000,0))&gt;0,Dati!$AO$3&amp;": "&amp;INDEX(Dati!$AO$1:$AO$1000,MATCH($A26,Dati!$A$1:$A$1000,0))&amp;" · ","")&amp;IF(INDEX(Dati!$DR$1:$DR$1000,MATCH($A26,Dati!$A$1:$A$1000,0))&gt;0,Dati!$AP$3&amp;": "&amp;INDEX(Dati!$AP$1:$AP$1000,MATCH($A26,Dati!$A$1:$A$1000,0))&amp;" · ",""),LEN(IF(INDEX(Dati!$DO$1:$DO$1000,MATCH($A26,Dati!$A$1:$A$1000,0))&gt;0,Dati!$AM$3&amp;": "&amp;INDEX(Dati!$AM$1:$AM$1000,MATCH($A26,Dati!$A$1:$A$1000,0))&amp;" · ","")&amp;IF(INDEX(Dati!$DP$1:$DP$1000,MATCH($A26,Dati!$A$1:$A$1000,0))&gt;0,Dati!$AN$3&amp;": "&amp;INDEX(Dati!$AN$1:$AN$1000,MATCH($A26,Dati!$A$1:$A$1000,0))&amp;" · ","")&amp;IF(INDEX(Dati!$DQ$1:$DQ$1000,MATCH($A26,Dati!$A$1:$A$1000,0))&gt;0,Dati!$AO$3&amp;": "&amp;INDEX(Dati!$AO$1:$AO$1000,MATCH($A26,Dati!$A$1:$A$1000,0))&amp;" · ","")&amp;IF(INDEX(Dati!$DR$1:$DR$1000,MATCH($A26,Dati!$A$1:$A$1000,0))&gt;0,Dati!$AP$3&amp;": "&amp;INDEX(Dati!$AP$1:$AP$1000,MATCH($A26,Dati!$A$1:$A$1000,0))&amp;" · ",""))-3)),""))</f>
        <v/>
      </c>
      <c r="M26" s="55" t="str">
        <f aca="false">IF($B26="","",IFERROR(IF((IF(INDEX(Dati!$DS$1:$DS$1000,MATCH($A26,Dati!$A$1:$A$1000,0))&gt;0,Dati!$AQ$3&amp;": "&amp;INDEX(Dati!$AQ$1:$AQ$1000,MATCH($A26,Dati!$A$1:$A$1000,0))&amp;" · ","")&amp;IF(INDEX(Dati!$DT$1:$DT$1000,MATCH($A26,Dati!$A$1:$A$1000,0))&gt;0,Dati!$AR$3&amp;": "&amp;INDEX(Dati!$AR$1:$AR$1000,MATCH($A26,Dati!$A$1:$A$1000,0))&amp;" · ","")&amp;IF(INDEX(Dati!$DU$1:$DU$1000,MATCH($A26,Dati!$A$1:$A$1000,0))&gt;0,Dati!$AS$3&amp;": "&amp;INDEX(Dati!$AS$1:$AS$1000,MATCH($A26,Dati!$A$1:$A$1000,0))&amp;" · ","")&amp;IF(INDEX(Dati!$DV$1:$DV$1000,MATCH($A26,Dati!$A$1:$A$1000,0))&gt;0,Dati!$AT$3&amp;": "&amp;INDEX(Dati!$AT$1:$AT$1000,MATCH($A26,Dati!$A$1:$A$1000,0))&amp;" · ",""))="",IF(INDEX(Dati!$FQ$1:$FQ$1000,MATCH($A26,Dati!$A$1:$A$1000,0))=1,"AS da recuperare",""),LEFT(IF(INDEX(Dati!$DS$1:$DS$1000,MATCH($A26,Dati!$A$1:$A$1000,0))&gt;0,Dati!$AQ$3&amp;": "&amp;INDEX(Dati!$AQ$1:$AQ$1000,MATCH($A26,Dati!$A$1:$A$1000,0))&amp;" · ","")&amp;IF(INDEX(Dati!$DT$1:$DT$1000,MATCH($A26,Dati!$A$1:$A$1000,0))&gt;0,Dati!$AR$3&amp;": "&amp;INDEX(Dati!$AR$1:$AR$1000,MATCH($A26,Dati!$A$1:$A$1000,0))&amp;" · ","")&amp;IF(INDEX(Dati!$DU$1:$DU$1000,MATCH($A26,Dati!$A$1:$A$1000,0))&gt;0,Dati!$AS$3&amp;": "&amp;INDEX(Dati!$AS$1:$AS$1000,MATCH($A26,Dati!$A$1:$A$1000,0))&amp;" · ","")&amp;IF(INDEX(Dati!$DV$1:$DV$1000,MATCH($A26,Dati!$A$1:$A$1000,0))&gt;0,Dati!$AT$3&amp;": "&amp;INDEX(Dati!$AT$1:$AT$1000,MATCH($A26,Dati!$A$1:$A$1000,0))&amp;" · ",""),LEN(IF(INDEX(Dati!$DS$1:$DS$1000,MATCH($A26,Dati!$A$1:$A$1000,0))&gt;0,Dati!$AQ$3&amp;": "&amp;INDEX(Dati!$AQ$1:$AQ$1000,MATCH($A26,Dati!$A$1:$A$1000,0))&amp;" · ","")&amp;IF(INDEX(Dati!$DT$1:$DT$1000,MATCH($A26,Dati!$A$1:$A$1000,0))&gt;0,Dati!$AR$3&amp;": "&amp;INDEX(Dati!$AR$1:$AR$1000,MATCH($A26,Dati!$A$1:$A$1000,0))&amp;" · ","")&amp;IF(INDEX(Dati!$DU$1:$DU$1000,MATCH($A26,Dati!$A$1:$A$1000,0))&gt;0,Dati!$AS$3&amp;": "&amp;INDEX(Dati!$AS$1:$AS$1000,MATCH($A26,Dati!$A$1:$A$1000,0))&amp;" · ","")&amp;IF(INDEX(Dati!$DV$1:$DV$1000,MATCH($A26,Dati!$A$1:$A$1000,0))&gt;0,Dati!$AT$3&amp;": "&amp;INDEX(Dati!$AT$1:$AT$1000,MATCH($A26,Dati!$A$1:$A$1000,0))&amp;" · ",""))-3)),""))</f>
        <v/>
      </c>
      <c r="N26" s="55" t="str">
        <f aca="false">IF($B26="","",IFERROR(IF((IF(INDEX(Dati!$DW$1:$DW$1000,MATCH($A26,Dati!$A$1:$A$1000,0))&gt;0,Dati!$AU$3&amp;": "&amp;INDEX(Dati!$AU$1:$AU$1000,MATCH($A26,Dati!$A$1:$A$1000,0))&amp;" · ","")&amp;IF(INDEX(Dati!$DX$1:$DX$1000,MATCH($A26,Dati!$A$1:$A$1000,0))&gt;0,Dati!$AV$3&amp;": "&amp;INDEX(Dati!$AV$1:$AV$1000,MATCH($A26,Dati!$A$1:$A$1000,0))&amp;" · ","")&amp;IF(INDEX(Dati!$DY$1:$DY$1000,MATCH($A26,Dati!$A$1:$A$1000,0))&gt;0,Dati!$AW$3&amp;": "&amp;INDEX(Dati!$AW$1:$AW$1000,MATCH($A26,Dati!$A$1:$A$1000,0))&amp;" · ","")&amp;IF(INDEX(Dati!$DZ$1:$DZ$1000,MATCH($A26,Dati!$A$1:$A$1000,0))&gt;0,Dati!$AX$3&amp;": "&amp;INDEX(Dati!$AX$1:$AX$1000,MATCH($A26,Dati!$A$1:$A$1000,0))&amp;" · ",""))="",IF(INDEX(Dati!$FR$1:$FR$1000,MATCH($A26,Dati!$A$1:$A$1000,0))=1,"AS da recuperare",""),LEFT(IF(INDEX(Dati!$DW$1:$DW$1000,MATCH($A26,Dati!$A$1:$A$1000,0))&gt;0,Dati!$AU$3&amp;": "&amp;INDEX(Dati!$AU$1:$AU$1000,MATCH($A26,Dati!$A$1:$A$1000,0))&amp;" · ","")&amp;IF(INDEX(Dati!$DX$1:$DX$1000,MATCH($A26,Dati!$A$1:$A$1000,0))&gt;0,Dati!$AV$3&amp;": "&amp;INDEX(Dati!$AV$1:$AV$1000,MATCH($A26,Dati!$A$1:$A$1000,0))&amp;" · ","")&amp;IF(INDEX(Dati!$DY$1:$DY$1000,MATCH($A26,Dati!$A$1:$A$1000,0))&gt;0,Dati!$AW$3&amp;": "&amp;INDEX(Dati!$AW$1:$AW$1000,MATCH($A26,Dati!$A$1:$A$1000,0))&amp;" · ","")&amp;IF(INDEX(Dati!$DZ$1:$DZ$1000,MATCH($A26,Dati!$A$1:$A$1000,0))&gt;0,Dati!$AX$3&amp;": "&amp;INDEX(Dati!$AX$1:$AX$1000,MATCH($A26,Dati!$A$1:$A$1000,0))&amp;" · ",""),LEN(IF(INDEX(Dati!$DW$1:$DW$1000,MATCH($A26,Dati!$A$1:$A$1000,0))&gt;0,Dati!$AU$3&amp;": "&amp;INDEX(Dati!$AU$1:$AU$1000,MATCH($A26,Dati!$A$1:$A$1000,0))&amp;" · ","")&amp;IF(INDEX(Dati!$DX$1:$DX$1000,MATCH($A26,Dati!$A$1:$A$1000,0))&gt;0,Dati!$AV$3&amp;": "&amp;INDEX(Dati!$AV$1:$AV$1000,MATCH($A26,Dati!$A$1:$A$1000,0))&amp;" · ","")&amp;IF(INDEX(Dati!$DY$1:$DY$1000,MATCH($A26,Dati!$A$1:$A$1000,0))&gt;0,Dati!$AW$3&amp;": "&amp;INDEX(Dati!$AW$1:$AW$1000,MATCH($A26,Dati!$A$1:$A$1000,0))&amp;" · ","")&amp;IF(INDEX(Dati!$DZ$1:$DZ$1000,MATCH($A26,Dati!$A$1:$A$1000,0))&gt;0,Dati!$AX$3&amp;": "&amp;INDEX(Dati!$AX$1:$AX$1000,MATCH($A26,Dati!$A$1:$A$1000,0))&amp;" · ",""))-3)),""))</f>
        <v/>
      </c>
      <c r="O26" s="55" t="str">
        <f aca="false">IF($B26="","",IFERROR(IF((IF(INDEX(Dati!$EA$1:$EA$1000,MATCH($A26,Dati!$A$1:$A$1000,0))&gt;0,Dati!$AY$3&amp;": "&amp;INDEX(Dati!$AY$1:$AY$1000,MATCH($A26,Dati!$A$1:$A$1000,0))&amp;" · ","")&amp;IF(INDEX(Dati!$EB$1:$EB$1000,MATCH($A26,Dati!$A$1:$A$1000,0))&gt;0,Dati!$AZ$3&amp;": "&amp;INDEX(Dati!$AZ$1:$AZ$1000,MATCH($A26,Dati!$A$1:$A$1000,0))&amp;" · ","")&amp;IF(INDEX(Dati!$EC$1:$EC$1000,MATCH($A26,Dati!$A$1:$A$1000,0))&gt;0,Dati!$BA$3&amp;": "&amp;INDEX(Dati!$BA$1:$BA$1000,MATCH($A26,Dati!$A$1:$A$1000,0))&amp;" · ","")&amp;IF(INDEX(Dati!$ED$1:$ED$1000,MATCH($A26,Dati!$A$1:$A$1000,0))&gt;0,Dati!$BB$3&amp;": "&amp;INDEX(Dati!$BB$1:$BB$1000,MATCH($A26,Dati!$A$1:$A$1000,0))&amp;" · ",""))="",IF(INDEX(Dati!$FS$1:$FS$1000,MATCH($A26,Dati!$A$1:$A$1000,0))=1,"AS da recuperare",""),LEFT(IF(INDEX(Dati!$EA$1:$EA$1000,MATCH($A26,Dati!$A$1:$A$1000,0))&gt;0,Dati!$AY$3&amp;": "&amp;INDEX(Dati!$AY$1:$AY$1000,MATCH($A26,Dati!$A$1:$A$1000,0))&amp;" · ","")&amp;IF(INDEX(Dati!$EB$1:$EB$1000,MATCH($A26,Dati!$A$1:$A$1000,0))&gt;0,Dati!$AZ$3&amp;": "&amp;INDEX(Dati!$AZ$1:$AZ$1000,MATCH($A26,Dati!$A$1:$A$1000,0))&amp;" · ","")&amp;IF(INDEX(Dati!$EC$1:$EC$1000,MATCH($A26,Dati!$A$1:$A$1000,0))&gt;0,Dati!$BA$3&amp;": "&amp;INDEX(Dati!$BA$1:$BA$1000,MATCH($A26,Dati!$A$1:$A$1000,0))&amp;" · ","")&amp;IF(INDEX(Dati!$ED$1:$ED$1000,MATCH($A26,Dati!$A$1:$A$1000,0))&gt;0,Dati!$BB$3&amp;": "&amp;INDEX(Dati!$BB$1:$BB$1000,MATCH($A26,Dati!$A$1:$A$1000,0))&amp;" · ",""),LEN(IF(INDEX(Dati!$EA$1:$EA$1000,MATCH($A26,Dati!$A$1:$A$1000,0))&gt;0,Dati!$AY$3&amp;": "&amp;INDEX(Dati!$AY$1:$AY$1000,MATCH($A26,Dati!$A$1:$A$1000,0))&amp;" · ","")&amp;IF(INDEX(Dati!$EB$1:$EB$1000,MATCH($A26,Dati!$A$1:$A$1000,0))&gt;0,Dati!$AZ$3&amp;": "&amp;INDEX(Dati!$AZ$1:$AZ$1000,MATCH($A26,Dati!$A$1:$A$1000,0))&amp;" · ","")&amp;IF(INDEX(Dati!$EC$1:$EC$1000,MATCH($A26,Dati!$A$1:$A$1000,0))&gt;0,Dati!$BA$3&amp;": "&amp;INDEX(Dati!$BA$1:$BA$1000,MATCH($A26,Dati!$A$1:$A$1000,0))&amp;" · ","")&amp;IF(INDEX(Dati!$ED$1:$ED$1000,MATCH($A26,Dati!$A$1:$A$1000,0))&gt;0,Dati!$BB$3&amp;": "&amp;INDEX(Dati!$BB$1:$BB$1000,MATCH($A26,Dati!$A$1:$A$1000,0))&amp;" · ",""))-3)),""))</f>
        <v/>
      </c>
      <c r="P26" s="55" t="str">
        <f aca="false">IF($B26="","",IFERROR(IF((IF(INDEX(Dati!$EE$1:$EE$1000,MATCH($A26,Dati!$A$1:$A$1000,0))&gt;0,Dati!$BC$3&amp;": "&amp;INDEX(Dati!$BC$1:$BC$1000,MATCH($A26,Dati!$A$1:$A$1000,0))&amp;" · ","")&amp;IF(INDEX(Dati!$EF$1:$EF$1000,MATCH($A26,Dati!$A$1:$A$1000,0))&gt;0,Dati!$BD$3&amp;": "&amp;INDEX(Dati!$BD$1:$BD$1000,MATCH($A26,Dati!$A$1:$A$1000,0))&amp;" · ","")&amp;IF(INDEX(Dati!$EG$1:$EG$1000,MATCH($A26,Dati!$A$1:$A$1000,0))&gt;0,Dati!$BE$3&amp;": "&amp;INDEX(Dati!$BE$1:$BE$1000,MATCH($A26,Dati!$A$1:$A$1000,0))&amp;" · ","")&amp;IF(INDEX(Dati!$EH$1:$EH$1000,MATCH($A26,Dati!$A$1:$A$1000,0))&gt;0,Dati!$BF$3&amp;": "&amp;INDEX(Dati!$BF$1:$BF$1000,MATCH($A26,Dati!$A$1:$A$1000,0))&amp;" · ",""))="",IF(INDEX(Dati!$FT$1:$FT$1000,MATCH($A26,Dati!$A$1:$A$1000,0))=1,"AS da recuperare",""),LEFT(IF(INDEX(Dati!$EE$1:$EE$1000,MATCH($A26,Dati!$A$1:$A$1000,0))&gt;0,Dati!$BC$3&amp;": "&amp;INDEX(Dati!$BC$1:$BC$1000,MATCH($A26,Dati!$A$1:$A$1000,0))&amp;" · ","")&amp;IF(INDEX(Dati!$EF$1:$EF$1000,MATCH($A26,Dati!$A$1:$A$1000,0))&gt;0,Dati!$BD$3&amp;": "&amp;INDEX(Dati!$BD$1:$BD$1000,MATCH($A26,Dati!$A$1:$A$1000,0))&amp;" · ","")&amp;IF(INDEX(Dati!$EG$1:$EG$1000,MATCH($A26,Dati!$A$1:$A$1000,0))&gt;0,Dati!$BE$3&amp;": "&amp;INDEX(Dati!$BE$1:$BE$1000,MATCH($A26,Dati!$A$1:$A$1000,0))&amp;" · ","")&amp;IF(INDEX(Dati!$EH$1:$EH$1000,MATCH($A26,Dati!$A$1:$A$1000,0))&gt;0,Dati!$BF$3&amp;": "&amp;INDEX(Dati!$BF$1:$BF$1000,MATCH($A26,Dati!$A$1:$A$1000,0))&amp;" · ",""),LEN(IF(INDEX(Dati!$EE$1:$EE$1000,MATCH($A26,Dati!$A$1:$A$1000,0))&gt;0,Dati!$BC$3&amp;": "&amp;INDEX(Dati!$BC$1:$BC$1000,MATCH($A26,Dati!$A$1:$A$1000,0))&amp;" · ","")&amp;IF(INDEX(Dati!$EF$1:$EF$1000,MATCH($A26,Dati!$A$1:$A$1000,0))&gt;0,Dati!$BD$3&amp;": "&amp;INDEX(Dati!$BD$1:$BD$1000,MATCH($A26,Dati!$A$1:$A$1000,0))&amp;" · ","")&amp;IF(INDEX(Dati!$EG$1:$EG$1000,MATCH($A26,Dati!$A$1:$A$1000,0))&gt;0,Dati!$BE$3&amp;": "&amp;INDEX(Dati!$BE$1:$BE$1000,MATCH($A26,Dati!$A$1:$A$1000,0))&amp;" · ","")&amp;IF(INDEX(Dati!$EH$1:$EH$1000,MATCH($A26,Dati!$A$1:$A$1000,0))&gt;0,Dati!$BF$3&amp;": "&amp;INDEX(Dati!$BF$1:$BF$1000,MATCH($A26,Dati!$A$1:$A$1000,0))&amp;" · ",""))-3)),""))</f>
        <v/>
      </c>
      <c r="Q26" s="55" t="str">
        <f aca="false">IF($B26="","",IFERROR(IF((IF(INDEX(Dati!$EI$1:$EI$1000,MATCH($A26,Dati!$A$1:$A$1000,0))&gt;0,Dati!$BG$3&amp;": "&amp;INDEX(Dati!$BG$1:$BG$1000,MATCH($A26,Dati!$A$1:$A$1000,0))&amp;" · ","")&amp;IF(INDEX(Dati!$EJ$1:$EJ$1000,MATCH($A26,Dati!$A$1:$A$1000,0))&gt;0,Dati!$BH$3&amp;": "&amp;INDEX(Dati!$BH$1:$BH$1000,MATCH($A26,Dati!$A$1:$A$1000,0))&amp;" · ","")&amp;IF(INDEX(Dati!$EK$1:$EK$1000,MATCH($A26,Dati!$A$1:$A$1000,0))&gt;0,Dati!$BI$3&amp;": "&amp;INDEX(Dati!$BI$1:$BI$1000,MATCH($A26,Dati!$A$1:$A$1000,0))&amp;" · ","")&amp;IF(INDEX(Dati!$EL$1:$EL$1000,MATCH($A26,Dati!$A$1:$A$1000,0))&gt;0,Dati!$BJ$3&amp;": "&amp;INDEX(Dati!$BJ$1:$BJ$1000,MATCH($A26,Dati!$A$1:$A$1000,0))&amp;" · ",""))="",IF(INDEX(Dati!$FU$1:$FU$1000,MATCH($A26,Dati!$A$1:$A$1000,0))=1,"AS da recuperare",""),LEFT(IF(INDEX(Dati!$EI$1:$EI$1000,MATCH($A26,Dati!$A$1:$A$1000,0))&gt;0,Dati!$BG$3&amp;": "&amp;INDEX(Dati!$BG$1:$BG$1000,MATCH($A26,Dati!$A$1:$A$1000,0))&amp;" · ","")&amp;IF(INDEX(Dati!$EJ$1:$EJ$1000,MATCH($A26,Dati!$A$1:$A$1000,0))&gt;0,Dati!$BH$3&amp;": "&amp;INDEX(Dati!$BH$1:$BH$1000,MATCH($A26,Dati!$A$1:$A$1000,0))&amp;" · ","")&amp;IF(INDEX(Dati!$EK$1:$EK$1000,MATCH($A26,Dati!$A$1:$A$1000,0))&gt;0,Dati!$BI$3&amp;": "&amp;INDEX(Dati!$BI$1:$BI$1000,MATCH($A26,Dati!$A$1:$A$1000,0))&amp;" · ","")&amp;IF(INDEX(Dati!$EL$1:$EL$1000,MATCH($A26,Dati!$A$1:$A$1000,0))&gt;0,Dati!$BJ$3&amp;": "&amp;INDEX(Dati!$BJ$1:$BJ$1000,MATCH($A26,Dati!$A$1:$A$1000,0))&amp;" · ",""),LEN(IF(INDEX(Dati!$EI$1:$EI$1000,MATCH($A26,Dati!$A$1:$A$1000,0))&gt;0,Dati!$BG$3&amp;": "&amp;INDEX(Dati!$BG$1:$BG$1000,MATCH($A26,Dati!$A$1:$A$1000,0))&amp;" · ","")&amp;IF(INDEX(Dati!$EJ$1:$EJ$1000,MATCH($A26,Dati!$A$1:$A$1000,0))&gt;0,Dati!$BH$3&amp;": "&amp;INDEX(Dati!$BH$1:$BH$1000,MATCH($A26,Dati!$A$1:$A$1000,0))&amp;" · ","")&amp;IF(INDEX(Dati!$EK$1:$EK$1000,MATCH($A26,Dati!$A$1:$A$1000,0))&gt;0,Dati!$BI$3&amp;": "&amp;INDEX(Dati!$BI$1:$BI$1000,MATCH($A26,Dati!$A$1:$A$1000,0))&amp;" · ","")&amp;IF(INDEX(Dati!$EL$1:$EL$1000,MATCH($A26,Dati!$A$1:$A$1000,0))&gt;0,Dati!$BJ$3&amp;": "&amp;INDEX(Dati!$BJ$1:$BJ$1000,MATCH($A26,Dati!$A$1:$A$1000,0))&amp;" · ",""))-3)),""))</f>
        <v/>
      </c>
      <c r="R26" s="55" t="str">
        <f aca="false">IF($B26="","",IFERROR(IF((IF(INDEX(Dati!$EM$1:$EM$1000,MATCH($A26,Dati!$A$1:$A$1000,0))&gt;0,Dati!$BK$3&amp;": "&amp;INDEX(Dati!$BK$1:$BK$1000,MATCH($A26,Dati!$A$1:$A$1000,0))&amp;" · ","")&amp;IF(INDEX(Dati!$EN$1:$EN$1000,MATCH($A26,Dati!$A$1:$A$1000,0))&gt;0,Dati!$BL$3&amp;": "&amp;INDEX(Dati!$BL$1:$BL$1000,MATCH($A26,Dati!$A$1:$A$1000,0))&amp;" · ","")&amp;IF(INDEX(Dati!$EO$1:$EO$1000,MATCH($A26,Dati!$A$1:$A$1000,0))&gt;0,Dati!$BM$3&amp;": "&amp;INDEX(Dati!$BM$1:$BM$1000,MATCH($A26,Dati!$A$1:$A$1000,0))&amp;" · ","")&amp;IF(INDEX(Dati!$EP$1:$EP$1000,MATCH($A26,Dati!$A$1:$A$1000,0))&gt;0,Dati!$BN$3&amp;": "&amp;INDEX(Dati!$BN$1:$BN$1000,MATCH($A26,Dati!$A$1:$A$1000,0))&amp;" · ",""))="",IF(INDEX(Dati!$FV$1:$FV$1000,MATCH($A26,Dati!$A$1:$A$1000,0))=1,"AS da recuperare",""),LEFT(IF(INDEX(Dati!$EM$1:$EM$1000,MATCH($A26,Dati!$A$1:$A$1000,0))&gt;0,Dati!$BK$3&amp;": "&amp;INDEX(Dati!$BK$1:$BK$1000,MATCH($A26,Dati!$A$1:$A$1000,0))&amp;" · ","")&amp;IF(INDEX(Dati!$EN$1:$EN$1000,MATCH($A26,Dati!$A$1:$A$1000,0))&gt;0,Dati!$BL$3&amp;": "&amp;INDEX(Dati!$BL$1:$BL$1000,MATCH($A26,Dati!$A$1:$A$1000,0))&amp;" · ","")&amp;IF(INDEX(Dati!$EO$1:$EO$1000,MATCH($A26,Dati!$A$1:$A$1000,0))&gt;0,Dati!$BM$3&amp;": "&amp;INDEX(Dati!$BM$1:$BM$1000,MATCH($A26,Dati!$A$1:$A$1000,0))&amp;" · ","")&amp;IF(INDEX(Dati!$EP$1:$EP$1000,MATCH($A26,Dati!$A$1:$A$1000,0))&gt;0,Dati!$BN$3&amp;": "&amp;INDEX(Dati!$BN$1:$BN$1000,MATCH($A26,Dati!$A$1:$A$1000,0))&amp;" · ",""),LEN(IF(INDEX(Dati!$EM$1:$EM$1000,MATCH($A26,Dati!$A$1:$A$1000,0))&gt;0,Dati!$BK$3&amp;": "&amp;INDEX(Dati!$BK$1:$BK$1000,MATCH($A26,Dati!$A$1:$A$1000,0))&amp;" · ","")&amp;IF(INDEX(Dati!$EN$1:$EN$1000,MATCH($A26,Dati!$A$1:$A$1000,0))&gt;0,Dati!$BL$3&amp;": "&amp;INDEX(Dati!$BL$1:$BL$1000,MATCH($A26,Dati!$A$1:$A$1000,0))&amp;" · ","")&amp;IF(INDEX(Dati!$EO$1:$EO$1000,MATCH($A26,Dati!$A$1:$A$1000,0))&gt;0,Dati!$BM$3&amp;": "&amp;INDEX(Dati!$BM$1:$BM$1000,MATCH($A26,Dati!$A$1:$A$1000,0))&amp;" · ","")&amp;IF(INDEX(Dati!$EP$1:$EP$1000,MATCH($A26,Dati!$A$1:$A$1000,0))&gt;0,Dati!$BN$3&amp;": "&amp;INDEX(Dati!$BN$1:$BN$1000,MATCH($A26,Dati!$A$1:$A$1000,0))&amp;" · ",""))-3)),""))</f>
        <v/>
      </c>
      <c r="S26" s="55" t="str">
        <f aca="false">IF($B26="","",IFERROR(IF((IF(INDEX(Dati!$EQ$1:$EQ$1000,MATCH($A26,Dati!$A$1:$A$1000,0))&gt;0,Dati!$BO$3&amp;": "&amp;INDEX(Dati!$BO$1:$BO$1000,MATCH($A26,Dati!$A$1:$A$1000,0))&amp;" · ","")&amp;IF(INDEX(Dati!$ER$1:$ER$1000,MATCH($A26,Dati!$A$1:$A$1000,0))&gt;0,Dati!$BP$3&amp;": "&amp;INDEX(Dati!$BP$1:$BP$1000,MATCH($A26,Dati!$A$1:$A$1000,0))&amp;" · ","")&amp;IF(INDEX(Dati!$ES$1:$ES$1000,MATCH($A26,Dati!$A$1:$A$1000,0))&gt;0,Dati!$BQ$3&amp;": "&amp;INDEX(Dati!$BQ$1:$BQ$1000,MATCH($A26,Dati!$A$1:$A$1000,0))&amp;" · ","")&amp;IF(INDEX(Dati!$ET$1:$ET$1000,MATCH($A26,Dati!$A$1:$A$1000,0))&gt;0,Dati!$BR$3&amp;": "&amp;INDEX(Dati!$BR$1:$BR$1000,MATCH($A26,Dati!$A$1:$A$1000,0))&amp;" · ",""))="",IF(INDEX(Dati!$FW$1:$FW$1000,MATCH($A26,Dati!$A$1:$A$1000,0))=1,"AS da recuperare",""),LEFT(IF(INDEX(Dati!$EQ$1:$EQ$1000,MATCH($A26,Dati!$A$1:$A$1000,0))&gt;0,Dati!$BO$3&amp;": "&amp;INDEX(Dati!$BO$1:$BO$1000,MATCH($A26,Dati!$A$1:$A$1000,0))&amp;" · ","")&amp;IF(INDEX(Dati!$ER$1:$ER$1000,MATCH($A26,Dati!$A$1:$A$1000,0))&gt;0,Dati!$BP$3&amp;": "&amp;INDEX(Dati!$BP$1:$BP$1000,MATCH($A26,Dati!$A$1:$A$1000,0))&amp;" · ","")&amp;IF(INDEX(Dati!$ES$1:$ES$1000,MATCH($A26,Dati!$A$1:$A$1000,0))&gt;0,Dati!$BQ$3&amp;": "&amp;INDEX(Dati!$BQ$1:$BQ$1000,MATCH($A26,Dati!$A$1:$A$1000,0))&amp;" · ","")&amp;IF(INDEX(Dati!$ET$1:$ET$1000,MATCH($A26,Dati!$A$1:$A$1000,0))&gt;0,Dati!$BR$3&amp;": "&amp;INDEX(Dati!$BR$1:$BR$1000,MATCH($A26,Dati!$A$1:$A$1000,0))&amp;" · ",""),LEN(IF(INDEX(Dati!$EQ$1:$EQ$1000,MATCH($A26,Dati!$A$1:$A$1000,0))&gt;0,Dati!$BO$3&amp;": "&amp;INDEX(Dati!$BO$1:$BO$1000,MATCH($A26,Dati!$A$1:$A$1000,0))&amp;" · ","")&amp;IF(INDEX(Dati!$ER$1:$ER$1000,MATCH($A26,Dati!$A$1:$A$1000,0))&gt;0,Dati!$BP$3&amp;": "&amp;INDEX(Dati!$BP$1:$BP$1000,MATCH($A26,Dati!$A$1:$A$1000,0))&amp;" · ","")&amp;IF(INDEX(Dati!$ES$1:$ES$1000,MATCH($A26,Dati!$A$1:$A$1000,0))&gt;0,Dati!$BQ$3&amp;": "&amp;INDEX(Dati!$BQ$1:$BQ$1000,MATCH($A26,Dati!$A$1:$A$1000,0))&amp;" · ","")&amp;IF(INDEX(Dati!$ET$1:$ET$1000,MATCH($A26,Dati!$A$1:$A$1000,0))&gt;0,Dati!$BR$3&amp;": "&amp;INDEX(Dati!$BR$1:$BR$1000,MATCH($A26,Dati!$A$1:$A$1000,0))&amp;" · ",""))-3)),""))</f>
        <v/>
      </c>
      <c r="T26" s="55" t="str">
        <f aca="false">IF($B26="","",IFERROR(IF((IF(INDEX(Dati!$EU$1:$EU$1000,MATCH($A26,Dati!$A$1:$A$1000,0))&gt;0,Dati!$BS$3&amp;": "&amp;INDEX(Dati!$BS$1:$BS$1000,MATCH($A26,Dati!$A$1:$A$1000,0))&amp;" · ","")&amp;IF(INDEX(Dati!$EV$1:$EV$1000,MATCH($A26,Dati!$A$1:$A$1000,0))&gt;0,Dati!$BT$3&amp;": "&amp;INDEX(Dati!$BT$1:$BT$1000,MATCH($A26,Dati!$A$1:$A$1000,0))&amp;" · ","")&amp;IF(INDEX(Dati!$EW$1:$EW$1000,MATCH($A26,Dati!$A$1:$A$1000,0))&gt;0,Dati!$BU$3&amp;": "&amp;INDEX(Dati!$BU$1:$BU$1000,MATCH($A26,Dati!$A$1:$A$1000,0))&amp;" · ","")&amp;IF(INDEX(Dati!$EX$1:$EX$1000,MATCH($A26,Dati!$A$1:$A$1000,0))&gt;0,Dati!$BV$3&amp;": "&amp;INDEX(Dati!$BV$1:$BV$1000,MATCH($A26,Dati!$A$1:$A$1000,0))&amp;" · ",""))="",IF(INDEX(Dati!$FX$1:$FX$1000,MATCH($A26,Dati!$A$1:$A$1000,0))=1,"AS da recuperare",""),LEFT(IF(INDEX(Dati!$EU$1:$EU$1000,MATCH($A26,Dati!$A$1:$A$1000,0))&gt;0,Dati!$BS$3&amp;": "&amp;INDEX(Dati!$BS$1:$BS$1000,MATCH($A26,Dati!$A$1:$A$1000,0))&amp;" · ","")&amp;IF(INDEX(Dati!$EV$1:$EV$1000,MATCH($A26,Dati!$A$1:$A$1000,0))&gt;0,Dati!$BT$3&amp;": "&amp;INDEX(Dati!$BT$1:$BT$1000,MATCH($A26,Dati!$A$1:$A$1000,0))&amp;" · ","")&amp;IF(INDEX(Dati!$EW$1:$EW$1000,MATCH($A26,Dati!$A$1:$A$1000,0))&gt;0,Dati!$BU$3&amp;": "&amp;INDEX(Dati!$BU$1:$BU$1000,MATCH($A26,Dati!$A$1:$A$1000,0))&amp;" · ","")&amp;IF(INDEX(Dati!$EX$1:$EX$1000,MATCH($A26,Dati!$A$1:$A$1000,0))&gt;0,Dati!$BV$3&amp;": "&amp;INDEX(Dati!$BV$1:$BV$1000,MATCH($A26,Dati!$A$1:$A$1000,0))&amp;" · ",""),LEN(IF(INDEX(Dati!$EU$1:$EU$1000,MATCH($A26,Dati!$A$1:$A$1000,0))&gt;0,Dati!$BS$3&amp;": "&amp;INDEX(Dati!$BS$1:$BS$1000,MATCH($A26,Dati!$A$1:$A$1000,0))&amp;" · ","")&amp;IF(INDEX(Dati!$EV$1:$EV$1000,MATCH($A26,Dati!$A$1:$A$1000,0))&gt;0,Dati!$BT$3&amp;": "&amp;INDEX(Dati!$BT$1:$BT$1000,MATCH($A26,Dati!$A$1:$A$1000,0))&amp;" · ","")&amp;IF(INDEX(Dati!$EW$1:$EW$1000,MATCH($A26,Dati!$A$1:$A$1000,0))&gt;0,Dati!$BU$3&amp;": "&amp;INDEX(Dati!$BU$1:$BU$1000,MATCH($A26,Dati!$A$1:$A$1000,0))&amp;" · ","")&amp;IF(INDEX(Dati!$EX$1:$EX$1000,MATCH($A26,Dati!$A$1:$A$1000,0))&gt;0,Dati!$BV$3&amp;": "&amp;INDEX(Dati!$BV$1:$BV$1000,MATCH($A26,Dati!$A$1:$A$1000,0))&amp;" · ",""))-3)),""))</f>
        <v/>
      </c>
      <c r="U26" s="55" t="str">
        <f aca="false">IF($B26="","",IFERROR(IF((IF(INDEX(Dati!$EY$1:$EY$1000,MATCH($A26,Dati!$A$1:$A$1000,0))&gt;0,Dati!$BW$3&amp;": "&amp;INDEX(Dati!$BW$1:$BW$1000,MATCH($A26,Dati!$A$1:$A$1000,0))&amp;" · ","")&amp;IF(INDEX(Dati!$EZ$1:$EZ$1000,MATCH($A26,Dati!$A$1:$A$1000,0))&gt;0,Dati!$BX$3&amp;": "&amp;INDEX(Dati!$BX$1:$BX$1000,MATCH($A26,Dati!$A$1:$A$1000,0))&amp;" · ","")&amp;IF(INDEX(Dati!$FA$1:$FA$1000,MATCH($A26,Dati!$A$1:$A$1000,0))&gt;0,Dati!$BY$3&amp;": "&amp;INDEX(Dati!$BY$1:$BY$1000,MATCH($A26,Dati!$A$1:$A$1000,0))&amp;" · ","")&amp;IF(INDEX(Dati!$FB$1:$FB$1000,MATCH($A26,Dati!$A$1:$A$1000,0))&gt;0,Dati!$BZ$3&amp;": "&amp;INDEX(Dati!$BZ$1:$BZ$1000,MATCH($A26,Dati!$A$1:$A$1000,0))&amp;" · ",""))="",IF(INDEX(Dati!$FY$1:$FY$1000,MATCH($A26,Dati!$A$1:$A$1000,0))=1,"AS da recuperare",""),LEFT(IF(INDEX(Dati!$EY$1:$EY$1000,MATCH($A26,Dati!$A$1:$A$1000,0))&gt;0,Dati!$BW$3&amp;": "&amp;INDEX(Dati!$BW$1:$BW$1000,MATCH($A26,Dati!$A$1:$A$1000,0))&amp;" · ","")&amp;IF(INDEX(Dati!$EZ$1:$EZ$1000,MATCH($A26,Dati!$A$1:$A$1000,0))&gt;0,Dati!$BX$3&amp;": "&amp;INDEX(Dati!$BX$1:$BX$1000,MATCH($A26,Dati!$A$1:$A$1000,0))&amp;" · ","")&amp;IF(INDEX(Dati!$FA$1:$FA$1000,MATCH($A26,Dati!$A$1:$A$1000,0))&gt;0,Dati!$BY$3&amp;": "&amp;INDEX(Dati!$BY$1:$BY$1000,MATCH($A26,Dati!$A$1:$A$1000,0))&amp;" · ","")&amp;IF(INDEX(Dati!$FB$1:$FB$1000,MATCH($A26,Dati!$A$1:$A$1000,0))&gt;0,Dati!$BZ$3&amp;": "&amp;INDEX(Dati!$BZ$1:$BZ$1000,MATCH($A26,Dati!$A$1:$A$1000,0))&amp;" · ",""),LEN(IF(INDEX(Dati!$EY$1:$EY$1000,MATCH($A26,Dati!$A$1:$A$1000,0))&gt;0,Dati!$BW$3&amp;": "&amp;INDEX(Dati!$BW$1:$BW$1000,MATCH($A26,Dati!$A$1:$A$1000,0))&amp;" · ","")&amp;IF(INDEX(Dati!$EZ$1:$EZ$1000,MATCH($A26,Dati!$A$1:$A$1000,0))&gt;0,Dati!$BX$3&amp;": "&amp;INDEX(Dati!$BX$1:$BX$1000,MATCH($A26,Dati!$A$1:$A$1000,0))&amp;" · ","")&amp;IF(INDEX(Dati!$FA$1:$FA$1000,MATCH($A26,Dati!$A$1:$A$1000,0))&gt;0,Dati!$BY$3&amp;": "&amp;INDEX(Dati!$BY$1:$BY$1000,MATCH($A26,Dati!$A$1:$A$1000,0))&amp;" · ","")&amp;IF(INDEX(Dati!$FB$1:$FB$1000,MATCH($A26,Dati!$A$1:$A$1000,0))&gt;0,Dati!$BZ$3&amp;": "&amp;INDEX(Dati!$BZ$1:$BZ$1000,MATCH($A26,Dati!$A$1:$A$1000,0))&amp;" · ",""))-3)),""))</f>
        <v/>
      </c>
      <c r="V26" s="55" t="str">
        <f aca="false">IF($B26="","",IFERROR(IF((IF(INDEX(Dati!$FC$1:$FC$1000,MATCH($A26,Dati!$A$1:$A$1000,0))&gt;0,Dati!$CA$3&amp;": "&amp;INDEX(Dati!$CA$1:$CA$1000,MATCH($A26,Dati!$A$1:$A$1000,0))&amp;" · ","")&amp;IF(INDEX(Dati!$FD$1:$FD$1000,MATCH($A26,Dati!$A$1:$A$1000,0))&gt;0,Dati!$CB$3&amp;": "&amp;INDEX(Dati!$CB$1:$CB$1000,MATCH($A26,Dati!$A$1:$A$1000,0))&amp;" · ","")&amp;IF(INDEX(Dati!$FE$1:$FE$1000,MATCH($A26,Dati!$A$1:$A$1000,0))&gt;0,Dati!$CC$3&amp;": "&amp;INDEX(Dati!$CC$1:$CC$1000,MATCH($A26,Dati!$A$1:$A$1000,0))&amp;" · ","")&amp;IF(INDEX(Dati!$FF$1:$FF$1000,MATCH($A26,Dati!$A$1:$A$1000,0))&gt;0,Dati!$CD$3&amp;": "&amp;INDEX(Dati!$CD$1:$CD$1000,MATCH($A26,Dati!$A$1:$A$1000,0))&amp;" · ",""))="",IF(INDEX(Dati!$FZ$1:$FZ$1000,MATCH($A26,Dati!$A$1:$A$1000,0))=1,"AS da recuperare",""),LEFT(IF(INDEX(Dati!$FC$1:$FC$1000,MATCH($A26,Dati!$A$1:$A$1000,0))&gt;0,Dati!$CA$3&amp;": "&amp;INDEX(Dati!$CA$1:$CA$1000,MATCH($A26,Dati!$A$1:$A$1000,0))&amp;" · ","")&amp;IF(INDEX(Dati!$FD$1:$FD$1000,MATCH($A26,Dati!$A$1:$A$1000,0))&gt;0,Dati!$CB$3&amp;": "&amp;INDEX(Dati!$CB$1:$CB$1000,MATCH($A26,Dati!$A$1:$A$1000,0))&amp;" · ","")&amp;IF(INDEX(Dati!$FE$1:$FE$1000,MATCH($A26,Dati!$A$1:$A$1000,0))&gt;0,Dati!$CC$3&amp;": "&amp;INDEX(Dati!$CC$1:$CC$1000,MATCH($A26,Dati!$A$1:$A$1000,0))&amp;" · ","")&amp;IF(INDEX(Dati!$FF$1:$FF$1000,MATCH($A26,Dati!$A$1:$A$1000,0))&gt;0,Dati!$CD$3&amp;": "&amp;INDEX(Dati!$CD$1:$CD$1000,MATCH($A26,Dati!$A$1:$A$1000,0))&amp;" · ",""),LEN(IF(INDEX(Dati!$FC$1:$FC$1000,MATCH($A26,Dati!$A$1:$A$1000,0))&gt;0,Dati!$CA$3&amp;": "&amp;INDEX(Dati!$CA$1:$CA$1000,MATCH($A26,Dati!$A$1:$A$1000,0))&amp;" · ","")&amp;IF(INDEX(Dati!$FD$1:$FD$1000,MATCH($A26,Dati!$A$1:$A$1000,0))&gt;0,Dati!$CB$3&amp;": "&amp;INDEX(Dati!$CB$1:$CB$1000,MATCH($A26,Dati!$A$1:$A$1000,0))&amp;" · ","")&amp;IF(INDEX(Dati!$FE$1:$FE$1000,MATCH($A26,Dati!$A$1:$A$1000,0))&gt;0,Dati!$CC$3&amp;": "&amp;INDEX(Dati!$CC$1:$CC$1000,MATCH($A26,Dati!$A$1:$A$1000,0))&amp;" · ","")&amp;IF(INDEX(Dati!$FF$1:$FF$1000,MATCH($A26,Dati!$A$1:$A$1000,0))&gt;0,Dati!$CD$3&amp;": "&amp;INDEX(Dati!$CD$1:$CD$1000,MATCH($A26,Dati!$A$1:$A$1000,0))&amp;" · ",""))-3)),""))</f>
        <v/>
      </c>
    </row>
    <row r="27" customFormat="false" ht="19.5" hidden="false" customHeight="true" outlineLevel="0" collapsed="false">
      <c r="A27" s="10" t="n">
        <v>23</v>
      </c>
      <c r="B27" s="16" t="str">
        <f aca="false">IFERROR(INDEX(Alunni!$C$1:$C$1000,MATCH($A27,Alunni!$A$1:$A$1000,0))&amp;"","")</f>
        <v/>
      </c>
      <c r="C27" s="55" t="str">
        <f aca="false">IF($B27="","",IFERROR(IF((IF(INDEX(Dati!$CE$1:$CE$1000,MATCH($A27,Dati!$A$1:$A$1000,0))&gt;0,Dati!$C$3&amp;": "&amp;INDEX(Dati!$C$1:$C$1000,MATCH($A27,Dati!$A$1:$A$1000,0))&amp;" · ","")&amp;IF(INDEX(Dati!$CF$1:$CF$1000,MATCH($A27,Dati!$A$1:$A$1000,0))&gt;0,Dati!$D$3&amp;": "&amp;INDEX(Dati!$D$1:$D$1000,MATCH($A27,Dati!$A$1:$A$1000,0))&amp;" · ","")&amp;IF(INDEX(Dati!$CG$1:$CG$1000,MATCH($A27,Dati!$A$1:$A$1000,0))&gt;0,Dati!$E$3&amp;": "&amp;INDEX(Dati!$E$1:$E$1000,MATCH($A27,Dati!$A$1:$A$1000,0))&amp;" · ","")&amp;IF(INDEX(Dati!$CH$1:$CH$1000,MATCH($A27,Dati!$A$1:$A$1000,0))&gt;0,Dati!$F$3&amp;": "&amp;INDEX(Dati!$F$1:$F$1000,MATCH($A27,Dati!$A$1:$A$1000,0))&amp;" · ",""))="",IF(INDEX(Dati!$FG$1:$FG$1000,MATCH($A27,Dati!$A$1:$A$1000,0))=1,"AS da recuperare",""),LEFT(IF(INDEX(Dati!$CE$1:$CE$1000,MATCH($A27,Dati!$A$1:$A$1000,0))&gt;0,Dati!$C$3&amp;": "&amp;INDEX(Dati!$C$1:$C$1000,MATCH($A27,Dati!$A$1:$A$1000,0))&amp;" · ","")&amp;IF(INDEX(Dati!$CF$1:$CF$1000,MATCH($A27,Dati!$A$1:$A$1000,0))&gt;0,Dati!$D$3&amp;": "&amp;INDEX(Dati!$D$1:$D$1000,MATCH($A27,Dati!$A$1:$A$1000,0))&amp;" · ","")&amp;IF(INDEX(Dati!$CG$1:$CG$1000,MATCH($A27,Dati!$A$1:$A$1000,0))&gt;0,Dati!$E$3&amp;": "&amp;INDEX(Dati!$E$1:$E$1000,MATCH($A27,Dati!$A$1:$A$1000,0))&amp;" · ","")&amp;IF(INDEX(Dati!$CH$1:$CH$1000,MATCH($A27,Dati!$A$1:$A$1000,0))&gt;0,Dati!$F$3&amp;": "&amp;INDEX(Dati!$F$1:$F$1000,MATCH($A27,Dati!$A$1:$A$1000,0))&amp;" · ",""),LEN(IF(INDEX(Dati!$CE$1:$CE$1000,MATCH($A27,Dati!$A$1:$A$1000,0))&gt;0,Dati!$C$3&amp;": "&amp;INDEX(Dati!$C$1:$C$1000,MATCH($A27,Dati!$A$1:$A$1000,0))&amp;" · ","")&amp;IF(INDEX(Dati!$CF$1:$CF$1000,MATCH($A27,Dati!$A$1:$A$1000,0))&gt;0,Dati!$D$3&amp;": "&amp;INDEX(Dati!$D$1:$D$1000,MATCH($A27,Dati!$A$1:$A$1000,0))&amp;" · ","")&amp;IF(INDEX(Dati!$CG$1:$CG$1000,MATCH($A27,Dati!$A$1:$A$1000,0))&gt;0,Dati!$E$3&amp;": "&amp;INDEX(Dati!$E$1:$E$1000,MATCH($A27,Dati!$A$1:$A$1000,0))&amp;" · ","")&amp;IF(INDEX(Dati!$CH$1:$CH$1000,MATCH($A27,Dati!$A$1:$A$1000,0))&gt;0,Dati!$F$3&amp;": "&amp;INDEX(Dati!$F$1:$F$1000,MATCH($A27,Dati!$A$1:$A$1000,0))&amp;" · ",""))-3)),""))</f>
        <v/>
      </c>
      <c r="D27" s="55" t="str">
        <f aca="false">IF($B27="","",IFERROR(IF((IF(INDEX(Dati!$CI$1:$CI$1000,MATCH($A27,Dati!$A$1:$A$1000,0))&gt;0,Dati!$G$3&amp;": "&amp;INDEX(Dati!$G$1:$G$1000,MATCH($A27,Dati!$A$1:$A$1000,0))&amp;" · ","")&amp;IF(INDEX(Dati!$CJ$1:$CJ$1000,MATCH($A27,Dati!$A$1:$A$1000,0))&gt;0,Dati!$H$3&amp;": "&amp;INDEX(Dati!$H$1:$H$1000,MATCH($A27,Dati!$A$1:$A$1000,0))&amp;" · ","")&amp;IF(INDEX(Dati!$CK$1:$CK$1000,MATCH($A27,Dati!$A$1:$A$1000,0))&gt;0,Dati!$I$3&amp;": "&amp;INDEX(Dati!$I$1:$I$1000,MATCH($A27,Dati!$A$1:$A$1000,0))&amp;" · ","")&amp;IF(INDEX(Dati!$CL$1:$CL$1000,MATCH($A27,Dati!$A$1:$A$1000,0))&gt;0,Dati!$J$3&amp;": "&amp;INDEX(Dati!$J$1:$J$1000,MATCH($A27,Dati!$A$1:$A$1000,0))&amp;" · ",""))="",IF(INDEX(Dati!$FH$1:$FH$1000,MATCH($A27,Dati!$A$1:$A$1000,0))=1,"AS da recuperare",""),LEFT(IF(INDEX(Dati!$CI$1:$CI$1000,MATCH($A27,Dati!$A$1:$A$1000,0))&gt;0,Dati!$G$3&amp;": "&amp;INDEX(Dati!$G$1:$G$1000,MATCH($A27,Dati!$A$1:$A$1000,0))&amp;" · ","")&amp;IF(INDEX(Dati!$CJ$1:$CJ$1000,MATCH($A27,Dati!$A$1:$A$1000,0))&gt;0,Dati!$H$3&amp;": "&amp;INDEX(Dati!$H$1:$H$1000,MATCH($A27,Dati!$A$1:$A$1000,0))&amp;" · ","")&amp;IF(INDEX(Dati!$CK$1:$CK$1000,MATCH($A27,Dati!$A$1:$A$1000,0))&gt;0,Dati!$I$3&amp;": "&amp;INDEX(Dati!$I$1:$I$1000,MATCH($A27,Dati!$A$1:$A$1000,0))&amp;" · ","")&amp;IF(INDEX(Dati!$CL$1:$CL$1000,MATCH($A27,Dati!$A$1:$A$1000,0))&gt;0,Dati!$J$3&amp;": "&amp;INDEX(Dati!$J$1:$J$1000,MATCH($A27,Dati!$A$1:$A$1000,0))&amp;" · ",""),LEN(IF(INDEX(Dati!$CI$1:$CI$1000,MATCH($A27,Dati!$A$1:$A$1000,0))&gt;0,Dati!$G$3&amp;": "&amp;INDEX(Dati!$G$1:$G$1000,MATCH($A27,Dati!$A$1:$A$1000,0))&amp;" · ","")&amp;IF(INDEX(Dati!$CJ$1:$CJ$1000,MATCH($A27,Dati!$A$1:$A$1000,0))&gt;0,Dati!$H$3&amp;": "&amp;INDEX(Dati!$H$1:$H$1000,MATCH($A27,Dati!$A$1:$A$1000,0))&amp;" · ","")&amp;IF(INDEX(Dati!$CK$1:$CK$1000,MATCH($A27,Dati!$A$1:$A$1000,0))&gt;0,Dati!$I$3&amp;": "&amp;INDEX(Dati!$I$1:$I$1000,MATCH($A27,Dati!$A$1:$A$1000,0))&amp;" · ","")&amp;IF(INDEX(Dati!$CL$1:$CL$1000,MATCH($A27,Dati!$A$1:$A$1000,0))&gt;0,Dati!$J$3&amp;": "&amp;INDEX(Dati!$J$1:$J$1000,MATCH($A27,Dati!$A$1:$A$1000,0))&amp;" · ",""))-3)),""))</f>
        <v/>
      </c>
      <c r="E27" s="55" t="str">
        <f aca="false">IF($B27="","",IFERROR(IF((IF(INDEX(Dati!$CM$1:$CM$1000,MATCH($A27,Dati!$A$1:$A$1000,0))&gt;0,Dati!$K$3&amp;": "&amp;INDEX(Dati!$K$1:$K$1000,MATCH($A27,Dati!$A$1:$A$1000,0))&amp;" · ","")&amp;IF(INDEX(Dati!$CN$1:$CN$1000,MATCH($A27,Dati!$A$1:$A$1000,0))&gt;0,Dati!$L$3&amp;": "&amp;INDEX(Dati!$L$1:$L$1000,MATCH($A27,Dati!$A$1:$A$1000,0))&amp;" · ","")&amp;IF(INDEX(Dati!$CO$1:$CO$1000,MATCH($A27,Dati!$A$1:$A$1000,0))&gt;0,Dati!$M$3&amp;": "&amp;INDEX(Dati!$M$1:$M$1000,MATCH($A27,Dati!$A$1:$A$1000,0))&amp;" · ","")&amp;IF(INDEX(Dati!$CP$1:$CP$1000,MATCH($A27,Dati!$A$1:$A$1000,0))&gt;0,Dati!$N$3&amp;": "&amp;INDEX(Dati!$N$1:$N$1000,MATCH($A27,Dati!$A$1:$A$1000,0))&amp;" · ",""))="",IF(INDEX(Dati!$FI$1:$FI$1000,MATCH($A27,Dati!$A$1:$A$1000,0))=1,"AS da recuperare",""),LEFT(IF(INDEX(Dati!$CM$1:$CM$1000,MATCH($A27,Dati!$A$1:$A$1000,0))&gt;0,Dati!$K$3&amp;": "&amp;INDEX(Dati!$K$1:$K$1000,MATCH($A27,Dati!$A$1:$A$1000,0))&amp;" · ","")&amp;IF(INDEX(Dati!$CN$1:$CN$1000,MATCH($A27,Dati!$A$1:$A$1000,0))&gt;0,Dati!$L$3&amp;": "&amp;INDEX(Dati!$L$1:$L$1000,MATCH($A27,Dati!$A$1:$A$1000,0))&amp;" · ","")&amp;IF(INDEX(Dati!$CO$1:$CO$1000,MATCH($A27,Dati!$A$1:$A$1000,0))&gt;0,Dati!$M$3&amp;": "&amp;INDEX(Dati!$M$1:$M$1000,MATCH($A27,Dati!$A$1:$A$1000,0))&amp;" · ","")&amp;IF(INDEX(Dati!$CP$1:$CP$1000,MATCH($A27,Dati!$A$1:$A$1000,0))&gt;0,Dati!$N$3&amp;": "&amp;INDEX(Dati!$N$1:$N$1000,MATCH($A27,Dati!$A$1:$A$1000,0))&amp;" · ",""),LEN(IF(INDEX(Dati!$CM$1:$CM$1000,MATCH($A27,Dati!$A$1:$A$1000,0))&gt;0,Dati!$K$3&amp;": "&amp;INDEX(Dati!$K$1:$K$1000,MATCH($A27,Dati!$A$1:$A$1000,0))&amp;" · ","")&amp;IF(INDEX(Dati!$CN$1:$CN$1000,MATCH($A27,Dati!$A$1:$A$1000,0))&gt;0,Dati!$L$3&amp;": "&amp;INDEX(Dati!$L$1:$L$1000,MATCH($A27,Dati!$A$1:$A$1000,0))&amp;" · ","")&amp;IF(INDEX(Dati!$CO$1:$CO$1000,MATCH($A27,Dati!$A$1:$A$1000,0))&gt;0,Dati!$M$3&amp;": "&amp;INDEX(Dati!$M$1:$M$1000,MATCH($A27,Dati!$A$1:$A$1000,0))&amp;" · ","")&amp;IF(INDEX(Dati!$CP$1:$CP$1000,MATCH($A27,Dati!$A$1:$A$1000,0))&gt;0,Dati!$N$3&amp;": "&amp;INDEX(Dati!$N$1:$N$1000,MATCH($A27,Dati!$A$1:$A$1000,0))&amp;" · ",""))-3)),""))</f>
        <v/>
      </c>
      <c r="F27" s="55" t="str">
        <f aca="false">IF($B27="","",IFERROR(IF((IF(INDEX(Dati!$CQ$1:$CQ$1000,MATCH($A27,Dati!$A$1:$A$1000,0))&gt;0,Dati!$O$3&amp;": "&amp;INDEX(Dati!$O$1:$O$1000,MATCH($A27,Dati!$A$1:$A$1000,0))&amp;" · ","")&amp;IF(INDEX(Dati!$CR$1:$CR$1000,MATCH($A27,Dati!$A$1:$A$1000,0))&gt;0,Dati!$P$3&amp;": "&amp;INDEX(Dati!$P$1:$P$1000,MATCH($A27,Dati!$A$1:$A$1000,0))&amp;" · ","")&amp;IF(INDEX(Dati!$CS$1:$CS$1000,MATCH($A27,Dati!$A$1:$A$1000,0))&gt;0,Dati!$Q$3&amp;": "&amp;INDEX(Dati!$Q$1:$Q$1000,MATCH($A27,Dati!$A$1:$A$1000,0))&amp;" · ","")&amp;IF(INDEX(Dati!$CT$1:$CT$1000,MATCH($A27,Dati!$A$1:$A$1000,0))&gt;0,Dati!$R$3&amp;": "&amp;INDEX(Dati!$R$1:$R$1000,MATCH($A27,Dati!$A$1:$A$1000,0))&amp;" · ",""))="",IF(INDEX(Dati!$FJ$1:$FJ$1000,MATCH($A27,Dati!$A$1:$A$1000,0))=1,"AS da recuperare",""),LEFT(IF(INDEX(Dati!$CQ$1:$CQ$1000,MATCH($A27,Dati!$A$1:$A$1000,0))&gt;0,Dati!$O$3&amp;": "&amp;INDEX(Dati!$O$1:$O$1000,MATCH($A27,Dati!$A$1:$A$1000,0))&amp;" · ","")&amp;IF(INDEX(Dati!$CR$1:$CR$1000,MATCH($A27,Dati!$A$1:$A$1000,0))&gt;0,Dati!$P$3&amp;": "&amp;INDEX(Dati!$P$1:$P$1000,MATCH($A27,Dati!$A$1:$A$1000,0))&amp;" · ","")&amp;IF(INDEX(Dati!$CS$1:$CS$1000,MATCH($A27,Dati!$A$1:$A$1000,0))&gt;0,Dati!$Q$3&amp;": "&amp;INDEX(Dati!$Q$1:$Q$1000,MATCH($A27,Dati!$A$1:$A$1000,0))&amp;" · ","")&amp;IF(INDEX(Dati!$CT$1:$CT$1000,MATCH($A27,Dati!$A$1:$A$1000,0))&gt;0,Dati!$R$3&amp;": "&amp;INDEX(Dati!$R$1:$R$1000,MATCH($A27,Dati!$A$1:$A$1000,0))&amp;" · ",""),LEN(IF(INDEX(Dati!$CQ$1:$CQ$1000,MATCH($A27,Dati!$A$1:$A$1000,0))&gt;0,Dati!$O$3&amp;": "&amp;INDEX(Dati!$O$1:$O$1000,MATCH($A27,Dati!$A$1:$A$1000,0))&amp;" · ","")&amp;IF(INDEX(Dati!$CR$1:$CR$1000,MATCH($A27,Dati!$A$1:$A$1000,0))&gt;0,Dati!$P$3&amp;": "&amp;INDEX(Dati!$P$1:$P$1000,MATCH($A27,Dati!$A$1:$A$1000,0))&amp;" · ","")&amp;IF(INDEX(Dati!$CS$1:$CS$1000,MATCH($A27,Dati!$A$1:$A$1000,0))&gt;0,Dati!$Q$3&amp;": "&amp;INDEX(Dati!$Q$1:$Q$1000,MATCH($A27,Dati!$A$1:$A$1000,0))&amp;" · ","")&amp;IF(INDEX(Dati!$CT$1:$CT$1000,MATCH($A27,Dati!$A$1:$A$1000,0))&gt;0,Dati!$R$3&amp;": "&amp;INDEX(Dati!$R$1:$R$1000,MATCH($A27,Dati!$A$1:$A$1000,0))&amp;" · ",""))-3)),""))</f>
        <v/>
      </c>
      <c r="G27" s="55" t="str">
        <f aca="false">IF($B27="","",IFERROR(IF((IF(INDEX(Dati!$CU$1:$CU$1000,MATCH($A27,Dati!$A$1:$A$1000,0))&gt;0,Dati!$S$3&amp;": "&amp;INDEX(Dati!$S$1:$S$1000,MATCH($A27,Dati!$A$1:$A$1000,0))&amp;" · ","")&amp;IF(INDEX(Dati!$CV$1:$CV$1000,MATCH($A27,Dati!$A$1:$A$1000,0))&gt;0,Dati!$T$3&amp;": "&amp;INDEX(Dati!$T$1:$T$1000,MATCH($A27,Dati!$A$1:$A$1000,0))&amp;" · ","")&amp;IF(INDEX(Dati!$CW$1:$CW$1000,MATCH($A27,Dati!$A$1:$A$1000,0))&gt;0,Dati!$U$3&amp;": "&amp;INDEX(Dati!$U$1:$U$1000,MATCH($A27,Dati!$A$1:$A$1000,0))&amp;" · ","")&amp;IF(INDEX(Dati!$CX$1:$CX$1000,MATCH($A27,Dati!$A$1:$A$1000,0))&gt;0,Dati!$V$3&amp;": "&amp;INDEX(Dati!$V$1:$V$1000,MATCH($A27,Dati!$A$1:$A$1000,0))&amp;" · ",""))="",IF(INDEX(Dati!$FK$1:$FK$1000,MATCH($A27,Dati!$A$1:$A$1000,0))=1,"AS da recuperare",""),LEFT(IF(INDEX(Dati!$CU$1:$CU$1000,MATCH($A27,Dati!$A$1:$A$1000,0))&gt;0,Dati!$S$3&amp;": "&amp;INDEX(Dati!$S$1:$S$1000,MATCH($A27,Dati!$A$1:$A$1000,0))&amp;" · ","")&amp;IF(INDEX(Dati!$CV$1:$CV$1000,MATCH($A27,Dati!$A$1:$A$1000,0))&gt;0,Dati!$T$3&amp;": "&amp;INDEX(Dati!$T$1:$T$1000,MATCH($A27,Dati!$A$1:$A$1000,0))&amp;" · ","")&amp;IF(INDEX(Dati!$CW$1:$CW$1000,MATCH($A27,Dati!$A$1:$A$1000,0))&gt;0,Dati!$U$3&amp;": "&amp;INDEX(Dati!$U$1:$U$1000,MATCH($A27,Dati!$A$1:$A$1000,0))&amp;" · ","")&amp;IF(INDEX(Dati!$CX$1:$CX$1000,MATCH($A27,Dati!$A$1:$A$1000,0))&gt;0,Dati!$V$3&amp;": "&amp;INDEX(Dati!$V$1:$V$1000,MATCH($A27,Dati!$A$1:$A$1000,0))&amp;" · ",""),LEN(IF(INDEX(Dati!$CU$1:$CU$1000,MATCH($A27,Dati!$A$1:$A$1000,0))&gt;0,Dati!$S$3&amp;": "&amp;INDEX(Dati!$S$1:$S$1000,MATCH($A27,Dati!$A$1:$A$1000,0))&amp;" · ","")&amp;IF(INDEX(Dati!$CV$1:$CV$1000,MATCH($A27,Dati!$A$1:$A$1000,0))&gt;0,Dati!$T$3&amp;": "&amp;INDEX(Dati!$T$1:$T$1000,MATCH($A27,Dati!$A$1:$A$1000,0))&amp;" · ","")&amp;IF(INDEX(Dati!$CW$1:$CW$1000,MATCH($A27,Dati!$A$1:$A$1000,0))&gt;0,Dati!$U$3&amp;": "&amp;INDEX(Dati!$U$1:$U$1000,MATCH($A27,Dati!$A$1:$A$1000,0))&amp;" · ","")&amp;IF(INDEX(Dati!$CX$1:$CX$1000,MATCH($A27,Dati!$A$1:$A$1000,0))&gt;0,Dati!$V$3&amp;": "&amp;INDEX(Dati!$V$1:$V$1000,MATCH($A27,Dati!$A$1:$A$1000,0))&amp;" · ",""))-3)),""))</f>
        <v/>
      </c>
      <c r="H27" s="55" t="str">
        <f aca="false">IF($B27="","",IFERROR(IF((IF(INDEX(Dati!$CY$1:$CY$1000,MATCH($A27,Dati!$A$1:$A$1000,0))&gt;0,Dati!$W$3&amp;": "&amp;INDEX(Dati!$W$1:$W$1000,MATCH($A27,Dati!$A$1:$A$1000,0))&amp;" · ","")&amp;IF(INDEX(Dati!$CZ$1:$CZ$1000,MATCH($A27,Dati!$A$1:$A$1000,0))&gt;0,Dati!$X$3&amp;": "&amp;INDEX(Dati!$X$1:$X$1000,MATCH($A27,Dati!$A$1:$A$1000,0))&amp;" · ","")&amp;IF(INDEX(Dati!$DA$1:$DA$1000,MATCH($A27,Dati!$A$1:$A$1000,0))&gt;0,Dati!$Y$3&amp;": "&amp;INDEX(Dati!$Y$1:$Y$1000,MATCH($A27,Dati!$A$1:$A$1000,0))&amp;" · ","")&amp;IF(INDEX(Dati!$DB$1:$DB$1000,MATCH($A27,Dati!$A$1:$A$1000,0))&gt;0,Dati!$Z$3&amp;": "&amp;INDEX(Dati!$Z$1:$Z$1000,MATCH($A27,Dati!$A$1:$A$1000,0))&amp;" · ",""))="",IF(INDEX(Dati!$FL$1:$FL$1000,MATCH($A27,Dati!$A$1:$A$1000,0))=1,"AS da recuperare",""),LEFT(IF(INDEX(Dati!$CY$1:$CY$1000,MATCH($A27,Dati!$A$1:$A$1000,0))&gt;0,Dati!$W$3&amp;": "&amp;INDEX(Dati!$W$1:$W$1000,MATCH($A27,Dati!$A$1:$A$1000,0))&amp;" · ","")&amp;IF(INDEX(Dati!$CZ$1:$CZ$1000,MATCH($A27,Dati!$A$1:$A$1000,0))&gt;0,Dati!$X$3&amp;": "&amp;INDEX(Dati!$X$1:$X$1000,MATCH($A27,Dati!$A$1:$A$1000,0))&amp;" · ","")&amp;IF(INDEX(Dati!$DA$1:$DA$1000,MATCH($A27,Dati!$A$1:$A$1000,0))&gt;0,Dati!$Y$3&amp;": "&amp;INDEX(Dati!$Y$1:$Y$1000,MATCH($A27,Dati!$A$1:$A$1000,0))&amp;" · ","")&amp;IF(INDEX(Dati!$DB$1:$DB$1000,MATCH($A27,Dati!$A$1:$A$1000,0))&gt;0,Dati!$Z$3&amp;": "&amp;INDEX(Dati!$Z$1:$Z$1000,MATCH($A27,Dati!$A$1:$A$1000,0))&amp;" · ",""),LEN(IF(INDEX(Dati!$CY$1:$CY$1000,MATCH($A27,Dati!$A$1:$A$1000,0))&gt;0,Dati!$W$3&amp;": "&amp;INDEX(Dati!$W$1:$W$1000,MATCH($A27,Dati!$A$1:$A$1000,0))&amp;" · ","")&amp;IF(INDEX(Dati!$CZ$1:$CZ$1000,MATCH($A27,Dati!$A$1:$A$1000,0))&gt;0,Dati!$X$3&amp;": "&amp;INDEX(Dati!$X$1:$X$1000,MATCH($A27,Dati!$A$1:$A$1000,0))&amp;" · ","")&amp;IF(INDEX(Dati!$DA$1:$DA$1000,MATCH($A27,Dati!$A$1:$A$1000,0))&gt;0,Dati!$Y$3&amp;": "&amp;INDEX(Dati!$Y$1:$Y$1000,MATCH($A27,Dati!$A$1:$A$1000,0))&amp;" · ","")&amp;IF(INDEX(Dati!$DB$1:$DB$1000,MATCH($A27,Dati!$A$1:$A$1000,0))&gt;0,Dati!$Z$3&amp;": "&amp;INDEX(Dati!$Z$1:$Z$1000,MATCH($A27,Dati!$A$1:$A$1000,0))&amp;" · ",""))-3)),""))</f>
        <v/>
      </c>
      <c r="I27" s="55" t="str">
        <f aca="false">IF($B27="","",IFERROR(IF((IF(INDEX(Dati!$DC$1:$DC$1000,MATCH($A27,Dati!$A$1:$A$1000,0))&gt;0,Dati!$AA$3&amp;": "&amp;INDEX(Dati!$AA$1:$AA$1000,MATCH($A27,Dati!$A$1:$A$1000,0))&amp;" · ","")&amp;IF(INDEX(Dati!$DD$1:$DD$1000,MATCH($A27,Dati!$A$1:$A$1000,0))&gt;0,Dati!$AB$3&amp;": "&amp;INDEX(Dati!$AB$1:$AB$1000,MATCH($A27,Dati!$A$1:$A$1000,0))&amp;" · ","")&amp;IF(INDEX(Dati!$DE$1:$DE$1000,MATCH($A27,Dati!$A$1:$A$1000,0))&gt;0,Dati!$AC$3&amp;": "&amp;INDEX(Dati!$AC$1:$AC$1000,MATCH($A27,Dati!$A$1:$A$1000,0))&amp;" · ","")&amp;IF(INDEX(Dati!$DF$1:$DF$1000,MATCH($A27,Dati!$A$1:$A$1000,0))&gt;0,Dati!$AD$3&amp;": "&amp;INDEX(Dati!$AD$1:$AD$1000,MATCH($A27,Dati!$A$1:$A$1000,0))&amp;" · ",""))="",IF(INDEX(Dati!$FM$1:$FM$1000,MATCH($A27,Dati!$A$1:$A$1000,0))=1,"AS da recuperare",""),LEFT(IF(INDEX(Dati!$DC$1:$DC$1000,MATCH($A27,Dati!$A$1:$A$1000,0))&gt;0,Dati!$AA$3&amp;": "&amp;INDEX(Dati!$AA$1:$AA$1000,MATCH($A27,Dati!$A$1:$A$1000,0))&amp;" · ","")&amp;IF(INDEX(Dati!$DD$1:$DD$1000,MATCH($A27,Dati!$A$1:$A$1000,0))&gt;0,Dati!$AB$3&amp;": "&amp;INDEX(Dati!$AB$1:$AB$1000,MATCH($A27,Dati!$A$1:$A$1000,0))&amp;" · ","")&amp;IF(INDEX(Dati!$DE$1:$DE$1000,MATCH($A27,Dati!$A$1:$A$1000,0))&gt;0,Dati!$AC$3&amp;": "&amp;INDEX(Dati!$AC$1:$AC$1000,MATCH($A27,Dati!$A$1:$A$1000,0))&amp;" · ","")&amp;IF(INDEX(Dati!$DF$1:$DF$1000,MATCH($A27,Dati!$A$1:$A$1000,0))&gt;0,Dati!$AD$3&amp;": "&amp;INDEX(Dati!$AD$1:$AD$1000,MATCH($A27,Dati!$A$1:$A$1000,0))&amp;" · ",""),LEN(IF(INDEX(Dati!$DC$1:$DC$1000,MATCH($A27,Dati!$A$1:$A$1000,0))&gt;0,Dati!$AA$3&amp;": "&amp;INDEX(Dati!$AA$1:$AA$1000,MATCH($A27,Dati!$A$1:$A$1000,0))&amp;" · ","")&amp;IF(INDEX(Dati!$DD$1:$DD$1000,MATCH($A27,Dati!$A$1:$A$1000,0))&gt;0,Dati!$AB$3&amp;": "&amp;INDEX(Dati!$AB$1:$AB$1000,MATCH($A27,Dati!$A$1:$A$1000,0))&amp;" · ","")&amp;IF(INDEX(Dati!$DE$1:$DE$1000,MATCH($A27,Dati!$A$1:$A$1000,0))&gt;0,Dati!$AC$3&amp;": "&amp;INDEX(Dati!$AC$1:$AC$1000,MATCH($A27,Dati!$A$1:$A$1000,0))&amp;" · ","")&amp;IF(INDEX(Dati!$DF$1:$DF$1000,MATCH($A27,Dati!$A$1:$A$1000,0))&gt;0,Dati!$AD$3&amp;": "&amp;INDEX(Dati!$AD$1:$AD$1000,MATCH($A27,Dati!$A$1:$A$1000,0))&amp;" · ",""))-3)),""))</f>
        <v/>
      </c>
      <c r="J27" s="55" t="str">
        <f aca="false">IF($B27="","",IFERROR(IF((IF(INDEX(Dati!$DG$1:$DG$1000,MATCH($A27,Dati!$A$1:$A$1000,0))&gt;0,Dati!$AE$3&amp;": "&amp;INDEX(Dati!$AE$1:$AE$1000,MATCH($A27,Dati!$A$1:$A$1000,0))&amp;" · ","")&amp;IF(INDEX(Dati!$DH$1:$DH$1000,MATCH($A27,Dati!$A$1:$A$1000,0))&gt;0,Dati!$AF$3&amp;": "&amp;INDEX(Dati!$AF$1:$AF$1000,MATCH($A27,Dati!$A$1:$A$1000,0))&amp;" · ","")&amp;IF(INDEX(Dati!$DI$1:$DI$1000,MATCH($A27,Dati!$A$1:$A$1000,0))&gt;0,Dati!$AG$3&amp;": "&amp;INDEX(Dati!$AG$1:$AG$1000,MATCH($A27,Dati!$A$1:$A$1000,0))&amp;" · ","")&amp;IF(INDEX(Dati!$DJ$1:$DJ$1000,MATCH($A27,Dati!$A$1:$A$1000,0))&gt;0,Dati!$AH$3&amp;": "&amp;INDEX(Dati!$AH$1:$AH$1000,MATCH($A27,Dati!$A$1:$A$1000,0))&amp;" · ",""))="",IF(INDEX(Dati!$FN$1:$FN$1000,MATCH($A27,Dati!$A$1:$A$1000,0))=1,"AS da recuperare",""),LEFT(IF(INDEX(Dati!$DG$1:$DG$1000,MATCH($A27,Dati!$A$1:$A$1000,0))&gt;0,Dati!$AE$3&amp;": "&amp;INDEX(Dati!$AE$1:$AE$1000,MATCH($A27,Dati!$A$1:$A$1000,0))&amp;" · ","")&amp;IF(INDEX(Dati!$DH$1:$DH$1000,MATCH($A27,Dati!$A$1:$A$1000,0))&gt;0,Dati!$AF$3&amp;": "&amp;INDEX(Dati!$AF$1:$AF$1000,MATCH($A27,Dati!$A$1:$A$1000,0))&amp;" · ","")&amp;IF(INDEX(Dati!$DI$1:$DI$1000,MATCH($A27,Dati!$A$1:$A$1000,0))&gt;0,Dati!$AG$3&amp;": "&amp;INDEX(Dati!$AG$1:$AG$1000,MATCH($A27,Dati!$A$1:$A$1000,0))&amp;" · ","")&amp;IF(INDEX(Dati!$DJ$1:$DJ$1000,MATCH($A27,Dati!$A$1:$A$1000,0))&gt;0,Dati!$AH$3&amp;": "&amp;INDEX(Dati!$AH$1:$AH$1000,MATCH($A27,Dati!$A$1:$A$1000,0))&amp;" · ",""),LEN(IF(INDEX(Dati!$DG$1:$DG$1000,MATCH($A27,Dati!$A$1:$A$1000,0))&gt;0,Dati!$AE$3&amp;": "&amp;INDEX(Dati!$AE$1:$AE$1000,MATCH($A27,Dati!$A$1:$A$1000,0))&amp;" · ","")&amp;IF(INDEX(Dati!$DH$1:$DH$1000,MATCH($A27,Dati!$A$1:$A$1000,0))&gt;0,Dati!$AF$3&amp;": "&amp;INDEX(Dati!$AF$1:$AF$1000,MATCH($A27,Dati!$A$1:$A$1000,0))&amp;" · ","")&amp;IF(INDEX(Dati!$DI$1:$DI$1000,MATCH($A27,Dati!$A$1:$A$1000,0))&gt;0,Dati!$AG$3&amp;": "&amp;INDEX(Dati!$AG$1:$AG$1000,MATCH($A27,Dati!$A$1:$A$1000,0))&amp;" · ","")&amp;IF(INDEX(Dati!$DJ$1:$DJ$1000,MATCH($A27,Dati!$A$1:$A$1000,0))&gt;0,Dati!$AH$3&amp;": "&amp;INDEX(Dati!$AH$1:$AH$1000,MATCH($A27,Dati!$A$1:$A$1000,0))&amp;" · ",""))-3)),""))</f>
        <v/>
      </c>
      <c r="K27" s="55" t="str">
        <f aca="false">IF($B27="","",IFERROR(IF((IF(INDEX(Dati!$DK$1:$DK$1000,MATCH($A27,Dati!$A$1:$A$1000,0))&gt;0,Dati!$AI$3&amp;": "&amp;INDEX(Dati!$AI$1:$AI$1000,MATCH($A27,Dati!$A$1:$A$1000,0))&amp;" · ","")&amp;IF(INDEX(Dati!$DL$1:$DL$1000,MATCH($A27,Dati!$A$1:$A$1000,0))&gt;0,Dati!$AJ$3&amp;": "&amp;INDEX(Dati!$AJ$1:$AJ$1000,MATCH($A27,Dati!$A$1:$A$1000,0))&amp;" · ","")&amp;IF(INDEX(Dati!$DM$1:$DM$1000,MATCH($A27,Dati!$A$1:$A$1000,0))&gt;0,Dati!$AK$3&amp;": "&amp;INDEX(Dati!$AK$1:$AK$1000,MATCH($A27,Dati!$A$1:$A$1000,0))&amp;" · ","")&amp;IF(INDEX(Dati!$DN$1:$DN$1000,MATCH($A27,Dati!$A$1:$A$1000,0))&gt;0,Dati!$AL$3&amp;": "&amp;INDEX(Dati!$AL$1:$AL$1000,MATCH($A27,Dati!$A$1:$A$1000,0))&amp;" · ",""))="",IF(INDEX(Dati!$FO$1:$FO$1000,MATCH($A27,Dati!$A$1:$A$1000,0))=1,"AS da recuperare",""),LEFT(IF(INDEX(Dati!$DK$1:$DK$1000,MATCH($A27,Dati!$A$1:$A$1000,0))&gt;0,Dati!$AI$3&amp;": "&amp;INDEX(Dati!$AI$1:$AI$1000,MATCH($A27,Dati!$A$1:$A$1000,0))&amp;" · ","")&amp;IF(INDEX(Dati!$DL$1:$DL$1000,MATCH($A27,Dati!$A$1:$A$1000,0))&gt;0,Dati!$AJ$3&amp;": "&amp;INDEX(Dati!$AJ$1:$AJ$1000,MATCH($A27,Dati!$A$1:$A$1000,0))&amp;" · ","")&amp;IF(INDEX(Dati!$DM$1:$DM$1000,MATCH($A27,Dati!$A$1:$A$1000,0))&gt;0,Dati!$AK$3&amp;": "&amp;INDEX(Dati!$AK$1:$AK$1000,MATCH($A27,Dati!$A$1:$A$1000,0))&amp;" · ","")&amp;IF(INDEX(Dati!$DN$1:$DN$1000,MATCH($A27,Dati!$A$1:$A$1000,0))&gt;0,Dati!$AL$3&amp;": "&amp;INDEX(Dati!$AL$1:$AL$1000,MATCH($A27,Dati!$A$1:$A$1000,0))&amp;" · ",""),LEN(IF(INDEX(Dati!$DK$1:$DK$1000,MATCH($A27,Dati!$A$1:$A$1000,0))&gt;0,Dati!$AI$3&amp;": "&amp;INDEX(Dati!$AI$1:$AI$1000,MATCH($A27,Dati!$A$1:$A$1000,0))&amp;" · ","")&amp;IF(INDEX(Dati!$DL$1:$DL$1000,MATCH($A27,Dati!$A$1:$A$1000,0))&gt;0,Dati!$AJ$3&amp;": "&amp;INDEX(Dati!$AJ$1:$AJ$1000,MATCH($A27,Dati!$A$1:$A$1000,0))&amp;" · ","")&amp;IF(INDEX(Dati!$DM$1:$DM$1000,MATCH($A27,Dati!$A$1:$A$1000,0))&gt;0,Dati!$AK$3&amp;": "&amp;INDEX(Dati!$AK$1:$AK$1000,MATCH($A27,Dati!$A$1:$A$1000,0))&amp;" · ","")&amp;IF(INDEX(Dati!$DN$1:$DN$1000,MATCH($A27,Dati!$A$1:$A$1000,0))&gt;0,Dati!$AL$3&amp;": "&amp;INDEX(Dati!$AL$1:$AL$1000,MATCH($A27,Dati!$A$1:$A$1000,0))&amp;" · ",""))-3)),""))</f>
        <v/>
      </c>
      <c r="L27" s="55" t="str">
        <f aca="false">IF($B27="","",IFERROR(IF((IF(INDEX(Dati!$DO$1:$DO$1000,MATCH($A27,Dati!$A$1:$A$1000,0))&gt;0,Dati!$AM$3&amp;": "&amp;INDEX(Dati!$AM$1:$AM$1000,MATCH($A27,Dati!$A$1:$A$1000,0))&amp;" · ","")&amp;IF(INDEX(Dati!$DP$1:$DP$1000,MATCH($A27,Dati!$A$1:$A$1000,0))&gt;0,Dati!$AN$3&amp;": "&amp;INDEX(Dati!$AN$1:$AN$1000,MATCH($A27,Dati!$A$1:$A$1000,0))&amp;" · ","")&amp;IF(INDEX(Dati!$DQ$1:$DQ$1000,MATCH($A27,Dati!$A$1:$A$1000,0))&gt;0,Dati!$AO$3&amp;": "&amp;INDEX(Dati!$AO$1:$AO$1000,MATCH($A27,Dati!$A$1:$A$1000,0))&amp;" · ","")&amp;IF(INDEX(Dati!$DR$1:$DR$1000,MATCH($A27,Dati!$A$1:$A$1000,0))&gt;0,Dati!$AP$3&amp;": "&amp;INDEX(Dati!$AP$1:$AP$1000,MATCH($A27,Dati!$A$1:$A$1000,0))&amp;" · ",""))="",IF(INDEX(Dati!$FP$1:$FP$1000,MATCH($A27,Dati!$A$1:$A$1000,0))=1,"AS da recuperare",""),LEFT(IF(INDEX(Dati!$DO$1:$DO$1000,MATCH($A27,Dati!$A$1:$A$1000,0))&gt;0,Dati!$AM$3&amp;": "&amp;INDEX(Dati!$AM$1:$AM$1000,MATCH($A27,Dati!$A$1:$A$1000,0))&amp;" · ","")&amp;IF(INDEX(Dati!$DP$1:$DP$1000,MATCH($A27,Dati!$A$1:$A$1000,0))&gt;0,Dati!$AN$3&amp;": "&amp;INDEX(Dati!$AN$1:$AN$1000,MATCH($A27,Dati!$A$1:$A$1000,0))&amp;" · ","")&amp;IF(INDEX(Dati!$DQ$1:$DQ$1000,MATCH($A27,Dati!$A$1:$A$1000,0))&gt;0,Dati!$AO$3&amp;": "&amp;INDEX(Dati!$AO$1:$AO$1000,MATCH($A27,Dati!$A$1:$A$1000,0))&amp;" · ","")&amp;IF(INDEX(Dati!$DR$1:$DR$1000,MATCH($A27,Dati!$A$1:$A$1000,0))&gt;0,Dati!$AP$3&amp;": "&amp;INDEX(Dati!$AP$1:$AP$1000,MATCH($A27,Dati!$A$1:$A$1000,0))&amp;" · ",""),LEN(IF(INDEX(Dati!$DO$1:$DO$1000,MATCH($A27,Dati!$A$1:$A$1000,0))&gt;0,Dati!$AM$3&amp;": "&amp;INDEX(Dati!$AM$1:$AM$1000,MATCH($A27,Dati!$A$1:$A$1000,0))&amp;" · ","")&amp;IF(INDEX(Dati!$DP$1:$DP$1000,MATCH($A27,Dati!$A$1:$A$1000,0))&gt;0,Dati!$AN$3&amp;": "&amp;INDEX(Dati!$AN$1:$AN$1000,MATCH($A27,Dati!$A$1:$A$1000,0))&amp;" · ","")&amp;IF(INDEX(Dati!$DQ$1:$DQ$1000,MATCH($A27,Dati!$A$1:$A$1000,0))&gt;0,Dati!$AO$3&amp;": "&amp;INDEX(Dati!$AO$1:$AO$1000,MATCH($A27,Dati!$A$1:$A$1000,0))&amp;" · ","")&amp;IF(INDEX(Dati!$DR$1:$DR$1000,MATCH($A27,Dati!$A$1:$A$1000,0))&gt;0,Dati!$AP$3&amp;": "&amp;INDEX(Dati!$AP$1:$AP$1000,MATCH($A27,Dati!$A$1:$A$1000,0))&amp;" · ",""))-3)),""))</f>
        <v/>
      </c>
      <c r="M27" s="55" t="str">
        <f aca="false">IF($B27="","",IFERROR(IF((IF(INDEX(Dati!$DS$1:$DS$1000,MATCH($A27,Dati!$A$1:$A$1000,0))&gt;0,Dati!$AQ$3&amp;": "&amp;INDEX(Dati!$AQ$1:$AQ$1000,MATCH($A27,Dati!$A$1:$A$1000,0))&amp;" · ","")&amp;IF(INDEX(Dati!$DT$1:$DT$1000,MATCH($A27,Dati!$A$1:$A$1000,0))&gt;0,Dati!$AR$3&amp;": "&amp;INDEX(Dati!$AR$1:$AR$1000,MATCH($A27,Dati!$A$1:$A$1000,0))&amp;" · ","")&amp;IF(INDEX(Dati!$DU$1:$DU$1000,MATCH($A27,Dati!$A$1:$A$1000,0))&gt;0,Dati!$AS$3&amp;": "&amp;INDEX(Dati!$AS$1:$AS$1000,MATCH($A27,Dati!$A$1:$A$1000,0))&amp;" · ","")&amp;IF(INDEX(Dati!$DV$1:$DV$1000,MATCH($A27,Dati!$A$1:$A$1000,0))&gt;0,Dati!$AT$3&amp;": "&amp;INDEX(Dati!$AT$1:$AT$1000,MATCH($A27,Dati!$A$1:$A$1000,0))&amp;" · ",""))="",IF(INDEX(Dati!$FQ$1:$FQ$1000,MATCH($A27,Dati!$A$1:$A$1000,0))=1,"AS da recuperare",""),LEFT(IF(INDEX(Dati!$DS$1:$DS$1000,MATCH($A27,Dati!$A$1:$A$1000,0))&gt;0,Dati!$AQ$3&amp;": "&amp;INDEX(Dati!$AQ$1:$AQ$1000,MATCH($A27,Dati!$A$1:$A$1000,0))&amp;" · ","")&amp;IF(INDEX(Dati!$DT$1:$DT$1000,MATCH($A27,Dati!$A$1:$A$1000,0))&gt;0,Dati!$AR$3&amp;": "&amp;INDEX(Dati!$AR$1:$AR$1000,MATCH($A27,Dati!$A$1:$A$1000,0))&amp;" · ","")&amp;IF(INDEX(Dati!$DU$1:$DU$1000,MATCH($A27,Dati!$A$1:$A$1000,0))&gt;0,Dati!$AS$3&amp;": "&amp;INDEX(Dati!$AS$1:$AS$1000,MATCH($A27,Dati!$A$1:$A$1000,0))&amp;" · ","")&amp;IF(INDEX(Dati!$DV$1:$DV$1000,MATCH($A27,Dati!$A$1:$A$1000,0))&gt;0,Dati!$AT$3&amp;": "&amp;INDEX(Dati!$AT$1:$AT$1000,MATCH($A27,Dati!$A$1:$A$1000,0))&amp;" · ",""),LEN(IF(INDEX(Dati!$DS$1:$DS$1000,MATCH($A27,Dati!$A$1:$A$1000,0))&gt;0,Dati!$AQ$3&amp;": "&amp;INDEX(Dati!$AQ$1:$AQ$1000,MATCH($A27,Dati!$A$1:$A$1000,0))&amp;" · ","")&amp;IF(INDEX(Dati!$DT$1:$DT$1000,MATCH($A27,Dati!$A$1:$A$1000,0))&gt;0,Dati!$AR$3&amp;": "&amp;INDEX(Dati!$AR$1:$AR$1000,MATCH($A27,Dati!$A$1:$A$1000,0))&amp;" · ","")&amp;IF(INDEX(Dati!$DU$1:$DU$1000,MATCH($A27,Dati!$A$1:$A$1000,0))&gt;0,Dati!$AS$3&amp;": "&amp;INDEX(Dati!$AS$1:$AS$1000,MATCH($A27,Dati!$A$1:$A$1000,0))&amp;" · ","")&amp;IF(INDEX(Dati!$DV$1:$DV$1000,MATCH($A27,Dati!$A$1:$A$1000,0))&gt;0,Dati!$AT$3&amp;": "&amp;INDEX(Dati!$AT$1:$AT$1000,MATCH($A27,Dati!$A$1:$A$1000,0))&amp;" · ",""))-3)),""))</f>
        <v/>
      </c>
      <c r="N27" s="55" t="str">
        <f aca="false">IF($B27="","",IFERROR(IF((IF(INDEX(Dati!$DW$1:$DW$1000,MATCH($A27,Dati!$A$1:$A$1000,0))&gt;0,Dati!$AU$3&amp;": "&amp;INDEX(Dati!$AU$1:$AU$1000,MATCH($A27,Dati!$A$1:$A$1000,0))&amp;" · ","")&amp;IF(INDEX(Dati!$DX$1:$DX$1000,MATCH($A27,Dati!$A$1:$A$1000,0))&gt;0,Dati!$AV$3&amp;": "&amp;INDEX(Dati!$AV$1:$AV$1000,MATCH($A27,Dati!$A$1:$A$1000,0))&amp;" · ","")&amp;IF(INDEX(Dati!$DY$1:$DY$1000,MATCH($A27,Dati!$A$1:$A$1000,0))&gt;0,Dati!$AW$3&amp;": "&amp;INDEX(Dati!$AW$1:$AW$1000,MATCH($A27,Dati!$A$1:$A$1000,0))&amp;" · ","")&amp;IF(INDEX(Dati!$DZ$1:$DZ$1000,MATCH($A27,Dati!$A$1:$A$1000,0))&gt;0,Dati!$AX$3&amp;": "&amp;INDEX(Dati!$AX$1:$AX$1000,MATCH($A27,Dati!$A$1:$A$1000,0))&amp;" · ",""))="",IF(INDEX(Dati!$FR$1:$FR$1000,MATCH($A27,Dati!$A$1:$A$1000,0))=1,"AS da recuperare",""),LEFT(IF(INDEX(Dati!$DW$1:$DW$1000,MATCH($A27,Dati!$A$1:$A$1000,0))&gt;0,Dati!$AU$3&amp;": "&amp;INDEX(Dati!$AU$1:$AU$1000,MATCH($A27,Dati!$A$1:$A$1000,0))&amp;" · ","")&amp;IF(INDEX(Dati!$DX$1:$DX$1000,MATCH($A27,Dati!$A$1:$A$1000,0))&gt;0,Dati!$AV$3&amp;": "&amp;INDEX(Dati!$AV$1:$AV$1000,MATCH($A27,Dati!$A$1:$A$1000,0))&amp;" · ","")&amp;IF(INDEX(Dati!$DY$1:$DY$1000,MATCH($A27,Dati!$A$1:$A$1000,0))&gt;0,Dati!$AW$3&amp;": "&amp;INDEX(Dati!$AW$1:$AW$1000,MATCH($A27,Dati!$A$1:$A$1000,0))&amp;" · ","")&amp;IF(INDEX(Dati!$DZ$1:$DZ$1000,MATCH($A27,Dati!$A$1:$A$1000,0))&gt;0,Dati!$AX$3&amp;": "&amp;INDEX(Dati!$AX$1:$AX$1000,MATCH($A27,Dati!$A$1:$A$1000,0))&amp;" · ",""),LEN(IF(INDEX(Dati!$DW$1:$DW$1000,MATCH($A27,Dati!$A$1:$A$1000,0))&gt;0,Dati!$AU$3&amp;": "&amp;INDEX(Dati!$AU$1:$AU$1000,MATCH($A27,Dati!$A$1:$A$1000,0))&amp;" · ","")&amp;IF(INDEX(Dati!$DX$1:$DX$1000,MATCH($A27,Dati!$A$1:$A$1000,0))&gt;0,Dati!$AV$3&amp;": "&amp;INDEX(Dati!$AV$1:$AV$1000,MATCH($A27,Dati!$A$1:$A$1000,0))&amp;" · ","")&amp;IF(INDEX(Dati!$DY$1:$DY$1000,MATCH($A27,Dati!$A$1:$A$1000,0))&gt;0,Dati!$AW$3&amp;": "&amp;INDEX(Dati!$AW$1:$AW$1000,MATCH($A27,Dati!$A$1:$A$1000,0))&amp;" · ","")&amp;IF(INDEX(Dati!$DZ$1:$DZ$1000,MATCH($A27,Dati!$A$1:$A$1000,0))&gt;0,Dati!$AX$3&amp;": "&amp;INDEX(Dati!$AX$1:$AX$1000,MATCH($A27,Dati!$A$1:$A$1000,0))&amp;" · ",""))-3)),""))</f>
        <v/>
      </c>
      <c r="O27" s="55" t="str">
        <f aca="false">IF($B27="","",IFERROR(IF((IF(INDEX(Dati!$EA$1:$EA$1000,MATCH($A27,Dati!$A$1:$A$1000,0))&gt;0,Dati!$AY$3&amp;": "&amp;INDEX(Dati!$AY$1:$AY$1000,MATCH($A27,Dati!$A$1:$A$1000,0))&amp;" · ","")&amp;IF(INDEX(Dati!$EB$1:$EB$1000,MATCH($A27,Dati!$A$1:$A$1000,0))&gt;0,Dati!$AZ$3&amp;": "&amp;INDEX(Dati!$AZ$1:$AZ$1000,MATCH($A27,Dati!$A$1:$A$1000,0))&amp;" · ","")&amp;IF(INDEX(Dati!$EC$1:$EC$1000,MATCH($A27,Dati!$A$1:$A$1000,0))&gt;0,Dati!$BA$3&amp;": "&amp;INDEX(Dati!$BA$1:$BA$1000,MATCH($A27,Dati!$A$1:$A$1000,0))&amp;" · ","")&amp;IF(INDEX(Dati!$ED$1:$ED$1000,MATCH($A27,Dati!$A$1:$A$1000,0))&gt;0,Dati!$BB$3&amp;": "&amp;INDEX(Dati!$BB$1:$BB$1000,MATCH($A27,Dati!$A$1:$A$1000,0))&amp;" · ",""))="",IF(INDEX(Dati!$FS$1:$FS$1000,MATCH($A27,Dati!$A$1:$A$1000,0))=1,"AS da recuperare",""),LEFT(IF(INDEX(Dati!$EA$1:$EA$1000,MATCH($A27,Dati!$A$1:$A$1000,0))&gt;0,Dati!$AY$3&amp;": "&amp;INDEX(Dati!$AY$1:$AY$1000,MATCH($A27,Dati!$A$1:$A$1000,0))&amp;" · ","")&amp;IF(INDEX(Dati!$EB$1:$EB$1000,MATCH($A27,Dati!$A$1:$A$1000,0))&gt;0,Dati!$AZ$3&amp;": "&amp;INDEX(Dati!$AZ$1:$AZ$1000,MATCH($A27,Dati!$A$1:$A$1000,0))&amp;" · ","")&amp;IF(INDEX(Dati!$EC$1:$EC$1000,MATCH($A27,Dati!$A$1:$A$1000,0))&gt;0,Dati!$BA$3&amp;": "&amp;INDEX(Dati!$BA$1:$BA$1000,MATCH($A27,Dati!$A$1:$A$1000,0))&amp;" · ","")&amp;IF(INDEX(Dati!$ED$1:$ED$1000,MATCH($A27,Dati!$A$1:$A$1000,0))&gt;0,Dati!$BB$3&amp;": "&amp;INDEX(Dati!$BB$1:$BB$1000,MATCH($A27,Dati!$A$1:$A$1000,0))&amp;" · ",""),LEN(IF(INDEX(Dati!$EA$1:$EA$1000,MATCH($A27,Dati!$A$1:$A$1000,0))&gt;0,Dati!$AY$3&amp;": "&amp;INDEX(Dati!$AY$1:$AY$1000,MATCH($A27,Dati!$A$1:$A$1000,0))&amp;" · ","")&amp;IF(INDEX(Dati!$EB$1:$EB$1000,MATCH($A27,Dati!$A$1:$A$1000,0))&gt;0,Dati!$AZ$3&amp;": "&amp;INDEX(Dati!$AZ$1:$AZ$1000,MATCH($A27,Dati!$A$1:$A$1000,0))&amp;" · ","")&amp;IF(INDEX(Dati!$EC$1:$EC$1000,MATCH($A27,Dati!$A$1:$A$1000,0))&gt;0,Dati!$BA$3&amp;": "&amp;INDEX(Dati!$BA$1:$BA$1000,MATCH($A27,Dati!$A$1:$A$1000,0))&amp;" · ","")&amp;IF(INDEX(Dati!$ED$1:$ED$1000,MATCH($A27,Dati!$A$1:$A$1000,0))&gt;0,Dati!$BB$3&amp;": "&amp;INDEX(Dati!$BB$1:$BB$1000,MATCH($A27,Dati!$A$1:$A$1000,0))&amp;" · ",""))-3)),""))</f>
        <v/>
      </c>
      <c r="P27" s="55" t="str">
        <f aca="false">IF($B27="","",IFERROR(IF((IF(INDEX(Dati!$EE$1:$EE$1000,MATCH($A27,Dati!$A$1:$A$1000,0))&gt;0,Dati!$BC$3&amp;": "&amp;INDEX(Dati!$BC$1:$BC$1000,MATCH($A27,Dati!$A$1:$A$1000,0))&amp;" · ","")&amp;IF(INDEX(Dati!$EF$1:$EF$1000,MATCH($A27,Dati!$A$1:$A$1000,0))&gt;0,Dati!$BD$3&amp;": "&amp;INDEX(Dati!$BD$1:$BD$1000,MATCH($A27,Dati!$A$1:$A$1000,0))&amp;" · ","")&amp;IF(INDEX(Dati!$EG$1:$EG$1000,MATCH($A27,Dati!$A$1:$A$1000,0))&gt;0,Dati!$BE$3&amp;": "&amp;INDEX(Dati!$BE$1:$BE$1000,MATCH($A27,Dati!$A$1:$A$1000,0))&amp;" · ","")&amp;IF(INDEX(Dati!$EH$1:$EH$1000,MATCH($A27,Dati!$A$1:$A$1000,0))&gt;0,Dati!$BF$3&amp;": "&amp;INDEX(Dati!$BF$1:$BF$1000,MATCH($A27,Dati!$A$1:$A$1000,0))&amp;" · ",""))="",IF(INDEX(Dati!$FT$1:$FT$1000,MATCH($A27,Dati!$A$1:$A$1000,0))=1,"AS da recuperare",""),LEFT(IF(INDEX(Dati!$EE$1:$EE$1000,MATCH($A27,Dati!$A$1:$A$1000,0))&gt;0,Dati!$BC$3&amp;": "&amp;INDEX(Dati!$BC$1:$BC$1000,MATCH($A27,Dati!$A$1:$A$1000,0))&amp;" · ","")&amp;IF(INDEX(Dati!$EF$1:$EF$1000,MATCH($A27,Dati!$A$1:$A$1000,0))&gt;0,Dati!$BD$3&amp;": "&amp;INDEX(Dati!$BD$1:$BD$1000,MATCH($A27,Dati!$A$1:$A$1000,0))&amp;" · ","")&amp;IF(INDEX(Dati!$EG$1:$EG$1000,MATCH($A27,Dati!$A$1:$A$1000,0))&gt;0,Dati!$BE$3&amp;": "&amp;INDEX(Dati!$BE$1:$BE$1000,MATCH($A27,Dati!$A$1:$A$1000,0))&amp;" · ","")&amp;IF(INDEX(Dati!$EH$1:$EH$1000,MATCH($A27,Dati!$A$1:$A$1000,0))&gt;0,Dati!$BF$3&amp;": "&amp;INDEX(Dati!$BF$1:$BF$1000,MATCH($A27,Dati!$A$1:$A$1000,0))&amp;" · ",""),LEN(IF(INDEX(Dati!$EE$1:$EE$1000,MATCH($A27,Dati!$A$1:$A$1000,0))&gt;0,Dati!$BC$3&amp;": "&amp;INDEX(Dati!$BC$1:$BC$1000,MATCH($A27,Dati!$A$1:$A$1000,0))&amp;" · ","")&amp;IF(INDEX(Dati!$EF$1:$EF$1000,MATCH($A27,Dati!$A$1:$A$1000,0))&gt;0,Dati!$BD$3&amp;": "&amp;INDEX(Dati!$BD$1:$BD$1000,MATCH($A27,Dati!$A$1:$A$1000,0))&amp;" · ","")&amp;IF(INDEX(Dati!$EG$1:$EG$1000,MATCH($A27,Dati!$A$1:$A$1000,0))&gt;0,Dati!$BE$3&amp;": "&amp;INDEX(Dati!$BE$1:$BE$1000,MATCH($A27,Dati!$A$1:$A$1000,0))&amp;" · ","")&amp;IF(INDEX(Dati!$EH$1:$EH$1000,MATCH($A27,Dati!$A$1:$A$1000,0))&gt;0,Dati!$BF$3&amp;": "&amp;INDEX(Dati!$BF$1:$BF$1000,MATCH($A27,Dati!$A$1:$A$1000,0))&amp;" · ",""))-3)),""))</f>
        <v/>
      </c>
      <c r="Q27" s="55" t="str">
        <f aca="false">IF($B27="","",IFERROR(IF((IF(INDEX(Dati!$EI$1:$EI$1000,MATCH($A27,Dati!$A$1:$A$1000,0))&gt;0,Dati!$BG$3&amp;": "&amp;INDEX(Dati!$BG$1:$BG$1000,MATCH($A27,Dati!$A$1:$A$1000,0))&amp;" · ","")&amp;IF(INDEX(Dati!$EJ$1:$EJ$1000,MATCH($A27,Dati!$A$1:$A$1000,0))&gt;0,Dati!$BH$3&amp;": "&amp;INDEX(Dati!$BH$1:$BH$1000,MATCH($A27,Dati!$A$1:$A$1000,0))&amp;" · ","")&amp;IF(INDEX(Dati!$EK$1:$EK$1000,MATCH($A27,Dati!$A$1:$A$1000,0))&gt;0,Dati!$BI$3&amp;": "&amp;INDEX(Dati!$BI$1:$BI$1000,MATCH($A27,Dati!$A$1:$A$1000,0))&amp;" · ","")&amp;IF(INDEX(Dati!$EL$1:$EL$1000,MATCH($A27,Dati!$A$1:$A$1000,0))&gt;0,Dati!$BJ$3&amp;": "&amp;INDEX(Dati!$BJ$1:$BJ$1000,MATCH($A27,Dati!$A$1:$A$1000,0))&amp;" · ",""))="",IF(INDEX(Dati!$FU$1:$FU$1000,MATCH($A27,Dati!$A$1:$A$1000,0))=1,"AS da recuperare",""),LEFT(IF(INDEX(Dati!$EI$1:$EI$1000,MATCH($A27,Dati!$A$1:$A$1000,0))&gt;0,Dati!$BG$3&amp;": "&amp;INDEX(Dati!$BG$1:$BG$1000,MATCH($A27,Dati!$A$1:$A$1000,0))&amp;" · ","")&amp;IF(INDEX(Dati!$EJ$1:$EJ$1000,MATCH($A27,Dati!$A$1:$A$1000,0))&gt;0,Dati!$BH$3&amp;": "&amp;INDEX(Dati!$BH$1:$BH$1000,MATCH($A27,Dati!$A$1:$A$1000,0))&amp;" · ","")&amp;IF(INDEX(Dati!$EK$1:$EK$1000,MATCH($A27,Dati!$A$1:$A$1000,0))&gt;0,Dati!$BI$3&amp;": "&amp;INDEX(Dati!$BI$1:$BI$1000,MATCH($A27,Dati!$A$1:$A$1000,0))&amp;" · ","")&amp;IF(INDEX(Dati!$EL$1:$EL$1000,MATCH($A27,Dati!$A$1:$A$1000,0))&gt;0,Dati!$BJ$3&amp;": "&amp;INDEX(Dati!$BJ$1:$BJ$1000,MATCH($A27,Dati!$A$1:$A$1000,0))&amp;" · ",""),LEN(IF(INDEX(Dati!$EI$1:$EI$1000,MATCH($A27,Dati!$A$1:$A$1000,0))&gt;0,Dati!$BG$3&amp;": "&amp;INDEX(Dati!$BG$1:$BG$1000,MATCH($A27,Dati!$A$1:$A$1000,0))&amp;" · ","")&amp;IF(INDEX(Dati!$EJ$1:$EJ$1000,MATCH($A27,Dati!$A$1:$A$1000,0))&gt;0,Dati!$BH$3&amp;": "&amp;INDEX(Dati!$BH$1:$BH$1000,MATCH($A27,Dati!$A$1:$A$1000,0))&amp;" · ","")&amp;IF(INDEX(Dati!$EK$1:$EK$1000,MATCH($A27,Dati!$A$1:$A$1000,0))&gt;0,Dati!$BI$3&amp;": "&amp;INDEX(Dati!$BI$1:$BI$1000,MATCH($A27,Dati!$A$1:$A$1000,0))&amp;" · ","")&amp;IF(INDEX(Dati!$EL$1:$EL$1000,MATCH($A27,Dati!$A$1:$A$1000,0))&gt;0,Dati!$BJ$3&amp;": "&amp;INDEX(Dati!$BJ$1:$BJ$1000,MATCH($A27,Dati!$A$1:$A$1000,0))&amp;" · ",""))-3)),""))</f>
        <v/>
      </c>
      <c r="R27" s="55" t="str">
        <f aca="false">IF($B27="","",IFERROR(IF((IF(INDEX(Dati!$EM$1:$EM$1000,MATCH($A27,Dati!$A$1:$A$1000,0))&gt;0,Dati!$BK$3&amp;": "&amp;INDEX(Dati!$BK$1:$BK$1000,MATCH($A27,Dati!$A$1:$A$1000,0))&amp;" · ","")&amp;IF(INDEX(Dati!$EN$1:$EN$1000,MATCH($A27,Dati!$A$1:$A$1000,0))&gt;0,Dati!$BL$3&amp;": "&amp;INDEX(Dati!$BL$1:$BL$1000,MATCH($A27,Dati!$A$1:$A$1000,0))&amp;" · ","")&amp;IF(INDEX(Dati!$EO$1:$EO$1000,MATCH($A27,Dati!$A$1:$A$1000,0))&gt;0,Dati!$BM$3&amp;": "&amp;INDEX(Dati!$BM$1:$BM$1000,MATCH($A27,Dati!$A$1:$A$1000,0))&amp;" · ","")&amp;IF(INDEX(Dati!$EP$1:$EP$1000,MATCH($A27,Dati!$A$1:$A$1000,0))&gt;0,Dati!$BN$3&amp;": "&amp;INDEX(Dati!$BN$1:$BN$1000,MATCH($A27,Dati!$A$1:$A$1000,0))&amp;" · ",""))="",IF(INDEX(Dati!$FV$1:$FV$1000,MATCH($A27,Dati!$A$1:$A$1000,0))=1,"AS da recuperare",""),LEFT(IF(INDEX(Dati!$EM$1:$EM$1000,MATCH($A27,Dati!$A$1:$A$1000,0))&gt;0,Dati!$BK$3&amp;": "&amp;INDEX(Dati!$BK$1:$BK$1000,MATCH($A27,Dati!$A$1:$A$1000,0))&amp;" · ","")&amp;IF(INDEX(Dati!$EN$1:$EN$1000,MATCH($A27,Dati!$A$1:$A$1000,0))&gt;0,Dati!$BL$3&amp;": "&amp;INDEX(Dati!$BL$1:$BL$1000,MATCH($A27,Dati!$A$1:$A$1000,0))&amp;" · ","")&amp;IF(INDEX(Dati!$EO$1:$EO$1000,MATCH($A27,Dati!$A$1:$A$1000,0))&gt;0,Dati!$BM$3&amp;": "&amp;INDEX(Dati!$BM$1:$BM$1000,MATCH($A27,Dati!$A$1:$A$1000,0))&amp;" · ","")&amp;IF(INDEX(Dati!$EP$1:$EP$1000,MATCH($A27,Dati!$A$1:$A$1000,0))&gt;0,Dati!$BN$3&amp;": "&amp;INDEX(Dati!$BN$1:$BN$1000,MATCH($A27,Dati!$A$1:$A$1000,0))&amp;" · ",""),LEN(IF(INDEX(Dati!$EM$1:$EM$1000,MATCH($A27,Dati!$A$1:$A$1000,0))&gt;0,Dati!$BK$3&amp;": "&amp;INDEX(Dati!$BK$1:$BK$1000,MATCH($A27,Dati!$A$1:$A$1000,0))&amp;" · ","")&amp;IF(INDEX(Dati!$EN$1:$EN$1000,MATCH($A27,Dati!$A$1:$A$1000,0))&gt;0,Dati!$BL$3&amp;": "&amp;INDEX(Dati!$BL$1:$BL$1000,MATCH($A27,Dati!$A$1:$A$1000,0))&amp;" · ","")&amp;IF(INDEX(Dati!$EO$1:$EO$1000,MATCH($A27,Dati!$A$1:$A$1000,0))&gt;0,Dati!$BM$3&amp;": "&amp;INDEX(Dati!$BM$1:$BM$1000,MATCH($A27,Dati!$A$1:$A$1000,0))&amp;" · ","")&amp;IF(INDEX(Dati!$EP$1:$EP$1000,MATCH($A27,Dati!$A$1:$A$1000,0))&gt;0,Dati!$BN$3&amp;": "&amp;INDEX(Dati!$BN$1:$BN$1000,MATCH($A27,Dati!$A$1:$A$1000,0))&amp;" · ",""))-3)),""))</f>
        <v/>
      </c>
      <c r="S27" s="55" t="str">
        <f aca="false">IF($B27="","",IFERROR(IF((IF(INDEX(Dati!$EQ$1:$EQ$1000,MATCH($A27,Dati!$A$1:$A$1000,0))&gt;0,Dati!$BO$3&amp;": "&amp;INDEX(Dati!$BO$1:$BO$1000,MATCH($A27,Dati!$A$1:$A$1000,0))&amp;" · ","")&amp;IF(INDEX(Dati!$ER$1:$ER$1000,MATCH($A27,Dati!$A$1:$A$1000,0))&gt;0,Dati!$BP$3&amp;": "&amp;INDEX(Dati!$BP$1:$BP$1000,MATCH($A27,Dati!$A$1:$A$1000,0))&amp;" · ","")&amp;IF(INDEX(Dati!$ES$1:$ES$1000,MATCH($A27,Dati!$A$1:$A$1000,0))&gt;0,Dati!$BQ$3&amp;": "&amp;INDEX(Dati!$BQ$1:$BQ$1000,MATCH($A27,Dati!$A$1:$A$1000,0))&amp;" · ","")&amp;IF(INDEX(Dati!$ET$1:$ET$1000,MATCH($A27,Dati!$A$1:$A$1000,0))&gt;0,Dati!$BR$3&amp;": "&amp;INDEX(Dati!$BR$1:$BR$1000,MATCH($A27,Dati!$A$1:$A$1000,0))&amp;" · ",""))="",IF(INDEX(Dati!$FW$1:$FW$1000,MATCH($A27,Dati!$A$1:$A$1000,0))=1,"AS da recuperare",""),LEFT(IF(INDEX(Dati!$EQ$1:$EQ$1000,MATCH($A27,Dati!$A$1:$A$1000,0))&gt;0,Dati!$BO$3&amp;": "&amp;INDEX(Dati!$BO$1:$BO$1000,MATCH($A27,Dati!$A$1:$A$1000,0))&amp;" · ","")&amp;IF(INDEX(Dati!$ER$1:$ER$1000,MATCH($A27,Dati!$A$1:$A$1000,0))&gt;0,Dati!$BP$3&amp;": "&amp;INDEX(Dati!$BP$1:$BP$1000,MATCH($A27,Dati!$A$1:$A$1000,0))&amp;" · ","")&amp;IF(INDEX(Dati!$ES$1:$ES$1000,MATCH($A27,Dati!$A$1:$A$1000,0))&gt;0,Dati!$BQ$3&amp;": "&amp;INDEX(Dati!$BQ$1:$BQ$1000,MATCH($A27,Dati!$A$1:$A$1000,0))&amp;" · ","")&amp;IF(INDEX(Dati!$ET$1:$ET$1000,MATCH($A27,Dati!$A$1:$A$1000,0))&gt;0,Dati!$BR$3&amp;": "&amp;INDEX(Dati!$BR$1:$BR$1000,MATCH($A27,Dati!$A$1:$A$1000,0))&amp;" · ",""),LEN(IF(INDEX(Dati!$EQ$1:$EQ$1000,MATCH($A27,Dati!$A$1:$A$1000,0))&gt;0,Dati!$BO$3&amp;": "&amp;INDEX(Dati!$BO$1:$BO$1000,MATCH($A27,Dati!$A$1:$A$1000,0))&amp;" · ","")&amp;IF(INDEX(Dati!$ER$1:$ER$1000,MATCH($A27,Dati!$A$1:$A$1000,0))&gt;0,Dati!$BP$3&amp;": "&amp;INDEX(Dati!$BP$1:$BP$1000,MATCH($A27,Dati!$A$1:$A$1000,0))&amp;" · ","")&amp;IF(INDEX(Dati!$ES$1:$ES$1000,MATCH($A27,Dati!$A$1:$A$1000,0))&gt;0,Dati!$BQ$3&amp;": "&amp;INDEX(Dati!$BQ$1:$BQ$1000,MATCH($A27,Dati!$A$1:$A$1000,0))&amp;" · ","")&amp;IF(INDEX(Dati!$ET$1:$ET$1000,MATCH($A27,Dati!$A$1:$A$1000,0))&gt;0,Dati!$BR$3&amp;": "&amp;INDEX(Dati!$BR$1:$BR$1000,MATCH($A27,Dati!$A$1:$A$1000,0))&amp;" · ",""))-3)),""))</f>
        <v/>
      </c>
      <c r="T27" s="55" t="str">
        <f aca="false">IF($B27="","",IFERROR(IF((IF(INDEX(Dati!$EU$1:$EU$1000,MATCH($A27,Dati!$A$1:$A$1000,0))&gt;0,Dati!$BS$3&amp;": "&amp;INDEX(Dati!$BS$1:$BS$1000,MATCH($A27,Dati!$A$1:$A$1000,0))&amp;" · ","")&amp;IF(INDEX(Dati!$EV$1:$EV$1000,MATCH($A27,Dati!$A$1:$A$1000,0))&gt;0,Dati!$BT$3&amp;": "&amp;INDEX(Dati!$BT$1:$BT$1000,MATCH($A27,Dati!$A$1:$A$1000,0))&amp;" · ","")&amp;IF(INDEX(Dati!$EW$1:$EW$1000,MATCH($A27,Dati!$A$1:$A$1000,0))&gt;0,Dati!$BU$3&amp;": "&amp;INDEX(Dati!$BU$1:$BU$1000,MATCH($A27,Dati!$A$1:$A$1000,0))&amp;" · ","")&amp;IF(INDEX(Dati!$EX$1:$EX$1000,MATCH($A27,Dati!$A$1:$A$1000,0))&gt;0,Dati!$BV$3&amp;": "&amp;INDEX(Dati!$BV$1:$BV$1000,MATCH($A27,Dati!$A$1:$A$1000,0))&amp;" · ",""))="",IF(INDEX(Dati!$FX$1:$FX$1000,MATCH($A27,Dati!$A$1:$A$1000,0))=1,"AS da recuperare",""),LEFT(IF(INDEX(Dati!$EU$1:$EU$1000,MATCH($A27,Dati!$A$1:$A$1000,0))&gt;0,Dati!$BS$3&amp;": "&amp;INDEX(Dati!$BS$1:$BS$1000,MATCH($A27,Dati!$A$1:$A$1000,0))&amp;" · ","")&amp;IF(INDEX(Dati!$EV$1:$EV$1000,MATCH($A27,Dati!$A$1:$A$1000,0))&gt;0,Dati!$BT$3&amp;": "&amp;INDEX(Dati!$BT$1:$BT$1000,MATCH($A27,Dati!$A$1:$A$1000,0))&amp;" · ","")&amp;IF(INDEX(Dati!$EW$1:$EW$1000,MATCH($A27,Dati!$A$1:$A$1000,0))&gt;0,Dati!$BU$3&amp;": "&amp;INDEX(Dati!$BU$1:$BU$1000,MATCH($A27,Dati!$A$1:$A$1000,0))&amp;" · ","")&amp;IF(INDEX(Dati!$EX$1:$EX$1000,MATCH($A27,Dati!$A$1:$A$1000,0))&gt;0,Dati!$BV$3&amp;": "&amp;INDEX(Dati!$BV$1:$BV$1000,MATCH($A27,Dati!$A$1:$A$1000,0))&amp;" · ",""),LEN(IF(INDEX(Dati!$EU$1:$EU$1000,MATCH($A27,Dati!$A$1:$A$1000,0))&gt;0,Dati!$BS$3&amp;": "&amp;INDEX(Dati!$BS$1:$BS$1000,MATCH($A27,Dati!$A$1:$A$1000,0))&amp;" · ","")&amp;IF(INDEX(Dati!$EV$1:$EV$1000,MATCH($A27,Dati!$A$1:$A$1000,0))&gt;0,Dati!$BT$3&amp;": "&amp;INDEX(Dati!$BT$1:$BT$1000,MATCH($A27,Dati!$A$1:$A$1000,0))&amp;" · ","")&amp;IF(INDEX(Dati!$EW$1:$EW$1000,MATCH($A27,Dati!$A$1:$A$1000,0))&gt;0,Dati!$BU$3&amp;": "&amp;INDEX(Dati!$BU$1:$BU$1000,MATCH($A27,Dati!$A$1:$A$1000,0))&amp;" · ","")&amp;IF(INDEX(Dati!$EX$1:$EX$1000,MATCH($A27,Dati!$A$1:$A$1000,0))&gt;0,Dati!$BV$3&amp;": "&amp;INDEX(Dati!$BV$1:$BV$1000,MATCH($A27,Dati!$A$1:$A$1000,0))&amp;" · ",""))-3)),""))</f>
        <v/>
      </c>
      <c r="U27" s="55" t="str">
        <f aca="false">IF($B27="","",IFERROR(IF((IF(INDEX(Dati!$EY$1:$EY$1000,MATCH($A27,Dati!$A$1:$A$1000,0))&gt;0,Dati!$BW$3&amp;": "&amp;INDEX(Dati!$BW$1:$BW$1000,MATCH($A27,Dati!$A$1:$A$1000,0))&amp;" · ","")&amp;IF(INDEX(Dati!$EZ$1:$EZ$1000,MATCH($A27,Dati!$A$1:$A$1000,0))&gt;0,Dati!$BX$3&amp;": "&amp;INDEX(Dati!$BX$1:$BX$1000,MATCH($A27,Dati!$A$1:$A$1000,0))&amp;" · ","")&amp;IF(INDEX(Dati!$FA$1:$FA$1000,MATCH($A27,Dati!$A$1:$A$1000,0))&gt;0,Dati!$BY$3&amp;": "&amp;INDEX(Dati!$BY$1:$BY$1000,MATCH($A27,Dati!$A$1:$A$1000,0))&amp;" · ","")&amp;IF(INDEX(Dati!$FB$1:$FB$1000,MATCH($A27,Dati!$A$1:$A$1000,0))&gt;0,Dati!$BZ$3&amp;": "&amp;INDEX(Dati!$BZ$1:$BZ$1000,MATCH($A27,Dati!$A$1:$A$1000,0))&amp;" · ",""))="",IF(INDEX(Dati!$FY$1:$FY$1000,MATCH($A27,Dati!$A$1:$A$1000,0))=1,"AS da recuperare",""),LEFT(IF(INDEX(Dati!$EY$1:$EY$1000,MATCH($A27,Dati!$A$1:$A$1000,0))&gt;0,Dati!$BW$3&amp;": "&amp;INDEX(Dati!$BW$1:$BW$1000,MATCH($A27,Dati!$A$1:$A$1000,0))&amp;" · ","")&amp;IF(INDEX(Dati!$EZ$1:$EZ$1000,MATCH($A27,Dati!$A$1:$A$1000,0))&gt;0,Dati!$BX$3&amp;": "&amp;INDEX(Dati!$BX$1:$BX$1000,MATCH($A27,Dati!$A$1:$A$1000,0))&amp;" · ","")&amp;IF(INDEX(Dati!$FA$1:$FA$1000,MATCH($A27,Dati!$A$1:$A$1000,0))&gt;0,Dati!$BY$3&amp;": "&amp;INDEX(Dati!$BY$1:$BY$1000,MATCH($A27,Dati!$A$1:$A$1000,0))&amp;" · ","")&amp;IF(INDEX(Dati!$FB$1:$FB$1000,MATCH($A27,Dati!$A$1:$A$1000,0))&gt;0,Dati!$BZ$3&amp;": "&amp;INDEX(Dati!$BZ$1:$BZ$1000,MATCH($A27,Dati!$A$1:$A$1000,0))&amp;" · ",""),LEN(IF(INDEX(Dati!$EY$1:$EY$1000,MATCH($A27,Dati!$A$1:$A$1000,0))&gt;0,Dati!$BW$3&amp;": "&amp;INDEX(Dati!$BW$1:$BW$1000,MATCH($A27,Dati!$A$1:$A$1000,0))&amp;" · ","")&amp;IF(INDEX(Dati!$EZ$1:$EZ$1000,MATCH($A27,Dati!$A$1:$A$1000,0))&gt;0,Dati!$BX$3&amp;": "&amp;INDEX(Dati!$BX$1:$BX$1000,MATCH($A27,Dati!$A$1:$A$1000,0))&amp;" · ","")&amp;IF(INDEX(Dati!$FA$1:$FA$1000,MATCH($A27,Dati!$A$1:$A$1000,0))&gt;0,Dati!$BY$3&amp;": "&amp;INDEX(Dati!$BY$1:$BY$1000,MATCH($A27,Dati!$A$1:$A$1000,0))&amp;" · ","")&amp;IF(INDEX(Dati!$FB$1:$FB$1000,MATCH($A27,Dati!$A$1:$A$1000,0))&gt;0,Dati!$BZ$3&amp;": "&amp;INDEX(Dati!$BZ$1:$BZ$1000,MATCH($A27,Dati!$A$1:$A$1000,0))&amp;" · ",""))-3)),""))</f>
        <v/>
      </c>
      <c r="V27" s="55" t="str">
        <f aca="false">IF($B27="","",IFERROR(IF((IF(INDEX(Dati!$FC$1:$FC$1000,MATCH($A27,Dati!$A$1:$A$1000,0))&gt;0,Dati!$CA$3&amp;": "&amp;INDEX(Dati!$CA$1:$CA$1000,MATCH($A27,Dati!$A$1:$A$1000,0))&amp;" · ","")&amp;IF(INDEX(Dati!$FD$1:$FD$1000,MATCH($A27,Dati!$A$1:$A$1000,0))&gt;0,Dati!$CB$3&amp;": "&amp;INDEX(Dati!$CB$1:$CB$1000,MATCH($A27,Dati!$A$1:$A$1000,0))&amp;" · ","")&amp;IF(INDEX(Dati!$FE$1:$FE$1000,MATCH($A27,Dati!$A$1:$A$1000,0))&gt;0,Dati!$CC$3&amp;": "&amp;INDEX(Dati!$CC$1:$CC$1000,MATCH($A27,Dati!$A$1:$A$1000,0))&amp;" · ","")&amp;IF(INDEX(Dati!$FF$1:$FF$1000,MATCH($A27,Dati!$A$1:$A$1000,0))&gt;0,Dati!$CD$3&amp;": "&amp;INDEX(Dati!$CD$1:$CD$1000,MATCH($A27,Dati!$A$1:$A$1000,0))&amp;" · ",""))="",IF(INDEX(Dati!$FZ$1:$FZ$1000,MATCH($A27,Dati!$A$1:$A$1000,0))=1,"AS da recuperare",""),LEFT(IF(INDEX(Dati!$FC$1:$FC$1000,MATCH($A27,Dati!$A$1:$A$1000,0))&gt;0,Dati!$CA$3&amp;": "&amp;INDEX(Dati!$CA$1:$CA$1000,MATCH($A27,Dati!$A$1:$A$1000,0))&amp;" · ","")&amp;IF(INDEX(Dati!$FD$1:$FD$1000,MATCH($A27,Dati!$A$1:$A$1000,0))&gt;0,Dati!$CB$3&amp;": "&amp;INDEX(Dati!$CB$1:$CB$1000,MATCH($A27,Dati!$A$1:$A$1000,0))&amp;" · ","")&amp;IF(INDEX(Dati!$FE$1:$FE$1000,MATCH($A27,Dati!$A$1:$A$1000,0))&gt;0,Dati!$CC$3&amp;": "&amp;INDEX(Dati!$CC$1:$CC$1000,MATCH($A27,Dati!$A$1:$A$1000,0))&amp;" · ","")&amp;IF(INDEX(Dati!$FF$1:$FF$1000,MATCH($A27,Dati!$A$1:$A$1000,0))&gt;0,Dati!$CD$3&amp;": "&amp;INDEX(Dati!$CD$1:$CD$1000,MATCH($A27,Dati!$A$1:$A$1000,0))&amp;" · ",""),LEN(IF(INDEX(Dati!$FC$1:$FC$1000,MATCH($A27,Dati!$A$1:$A$1000,0))&gt;0,Dati!$CA$3&amp;": "&amp;INDEX(Dati!$CA$1:$CA$1000,MATCH($A27,Dati!$A$1:$A$1000,0))&amp;" · ","")&amp;IF(INDEX(Dati!$FD$1:$FD$1000,MATCH($A27,Dati!$A$1:$A$1000,0))&gt;0,Dati!$CB$3&amp;": "&amp;INDEX(Dati!$CB$1:$CB$1000,MATCH($A27,Dati!$A$1:$A$1000,0))&amp;" · ","")&amp;IF(INDEX(Dati!$FE$1:$FE$1000,MATCH($A27,Dati!$A$1:$A$1000,0))&gt;0,Dati!$CC$3&amp;": "&amp;INDEX(Dati!$CC$1:$CC$1000,MATCH($A27,Dati!$A$1:$A$1000,0))&amp;" · ","")&amp;IF(INDEX(Dati!$FF$1:$FF$1000,MATCH($A27,Dati!$A$1:$A$1000,0))&gt;0,Dati!$CD$3&amp;": "&amp;INDEX(Dati!$CD$1:$CD$1000,MATCH($A27,Dati!$A$1:$A$1000,0))&amp;" · ",""))-3)),""))</f>
        <v/>
      </c>
    </row>
    <row r="28" customFormat="false" ht="19.5" hidden="false" customHeight="true" outlineLevel="0" collapsed="false">
      <c r="A28" s="10" t="n">
        <v>24</v>
      </c>
      <c r="B28" s="16" t="str">
        <f aca="false">IFERROR(INDEX(Alunni!$C$1:$C$1000,MATCH($A28,Alunni!$A$1:$A$1000,0))&amp;"","")</f>
        <v/>
      </c>
      <c r="C28" s="55" t="str">
        <f aca="false">IF($B28="","",IFERROR(IF((IF(INDEX(Dati!$CE$1:$CE$1000,MATCH($A28,Dati!$A$1:$A$1000,0))&gt;0,Dati!$C$3&amp;": "&amp;INDEX(Dati!$C$1:$C$1000,MATCH($A28,Dati!$A$1:$A$1000,0))&amp;" · ","")&amp;IF(INDEX(Dati!$CF$1:$CF$1000,MATCH($A28,Dati!$A$1:$A$1000,0))&gt;0,Dati!$D$3&amp;": "&amp;INDEX(Dati!$D$1:$D$1000,MATCH($A28,Dati!$A$1:$A$1000,0))&amp;" · ","")&amp;IF(INDEX(Dati!$CG$1:$CG$1000,MATCH($A28,Dati!$A$1:$A$1000,0))&gt;0,Dati!$E$3&amp;": "&amp;INDEX(Dati!$E$1:$E$1000,MATCH($A28,Dati!$A$1:$A$1000,0))&amp;" · ","")&amp;IF(INDEX(Dati!$CH$1:$CH$1000,MATCH($A28,Dati!$A$1:$A$1000,0))&gt;0,Dati!$F$3&amp;": "&amp;INDEX(Dati!$F$1:$F$1000,MATCH($A28,Dati!$A$1:$A$1000,0))&amp;" · ",""))="",IF(INDEX(Dati!$FG$1:$FG$1000,MATCH($A28,Dati!$A$1:$A$1000,0))=1,"AS da recuperare",""),LEFT(IF(INDEX(Dati!$CE$1:$CE$1000,MATCH($A28,Dati!$A$1:$A$1000,0))&gt;0,Dati!$C$3&amp;": "&amp;INDEX(Dati!$C$1:$C$1000,MATCH($A28,Dati!$A$1:$A$1000,0))&amp;" · ","")&amp;IF(INDEX(Dati!$CF$1:$CF$1000,MATCH($A28,Dati!$A$1:$A$1000,0))&gt;0,Dati!$D$3&amp;": "&amp;INDEX(Dati!$D$1:$D$1000,MATCH($A28,Dati!$A$1:$A$1000,0))&amp;" · ","")&amp;IF(INDEX(Dati!$CG$1:$CG$1000,MATCH($A28,Dati!$A$1:$A$1000,0))&gt;0,Dati!$E$3&amp;": "&amp;INDEX(Dati!$E$1:$E$1000,MATCH($A28,Dati!$A$1:$A$1000,0))&amp;" · ","")&amp;IF(INDEX(Dati!$CH$1:$CH$1000,MATCH($A28,Dati!$A$1:$A$1000,0))&gt;0,Dati!$F$3&amp;": "&amp;INDEX(Dati!$F$1:$F$1000,MATCH($A28,Dati!$A$1:$A$1000,0))&amp;" · ",""),LEN(IF(INDEX(Dati!$CE$1:$CE$1000,MATCH($A28,Dati!$A$1:$A$1000,0))&gt;0,Dati!$C$3&amp;": "&amp;INDEX(Dati!$C$1:$C$1000,MATCH($A28,Dati!$A$1:$A$1000,0))&amp;" · ","")&amp;IF(INDEX(Dati!$CF$1:$CF$1000,MATCH($A28,Dati!$A$1:$A$1000,0))&gt;0,Dati!$D$3&amp;": "&amp;INDEX(Dati!$D$1:$D$1000,MATCH($A28,Dati!$A$1:$A$1000,0))&amp;" · ","")&amp;IF(INDEX(Dati!$CG$1:$CG$1000,MATCH($A28,Dati!$A$1:$A$1000,0))&gt;0,Dati!$E$3&amp;": "&amp;INDEX(Dati!$E$1:$E$1000,MATCH($A28,Dati!$A$1:$A$1000,0))&amp;" · ","")&amp;IF(INDEX(Dati!$CH$1:$CH$1000,MATCH($A28,Dati!$A$1:$A$1000,0))&gt;0,Dati!$F$3&amp;": "&amp;INDEX(Dati!$F$1:$F$1000,MATCH($A28,Dati!$A$1:$A$1000,0))&amp;" · ",""))-3)),""))</f>
        <v/>
      </c>
      <c r="D28" s="55" t="str">
        <f aca="false">IF($B28="","",IFERROR(IF((IF(INDEX(Dati!$CI$1:$CI$1000,MATCH($A28,Dati!$A$1:$A$1000,0))&gt;0,Dati!$G$3&amp;": "&amp;INDEX(Dati!$G$1:$G$1000,MATCH($A28,Dati!$A$1:$A$1000,0))&amp;" · ","")&amp;IF(INDEX(Dati!$CJ$1:$CJ$1000,MATCH($A28,Dati!$A$1:$A$1000,0))&gt;0,Dati!$H$3&amp;": "&amp;INDEX(Dati!$H$1:$H$1000,MATCH($A28,Dati!$A$1:$A$1000,0))&amp;" · ","")&amp;IF(INDEX(Dati!$CK$1:$CK$1000,MATCH($A28,Dati!$A$1:$A$1000,0))&gt;0,Dati!$I$3&amp;": "&amp;INDEX(Dati!$I$1:$I$1000,MATCH($A28,Dati!$A$1:$A$1000,0))&amp;" · ","")&amp;IF(INDEX(Dati!$CL$1:$CL$1000,MATCH($A28,Dati!$A$1:$A$1000,0))&gt;0,Dati!$J$3&amp;": "&amp;INDEX(Dati!$J$1:$J$1000,MATCH($A28,Dati!$A$1:$A$1000,0))&amp;" · ",""))="",IF(INDEX(Dati!$FH$1:$FH$1000,MATCH($A28,Dati!$A$1:$A$1000,0))=1,"AS da recuperare",""),LEFT(IF(INDEX(Dati!$CI$1:$CI$1000,MATCH($A28,Dati!$A$1:$A$1000,0))&gt;0,Dati!$G$3&amp;": "&amp;INDEX(Dati!$G$1:$G$1000,MATCH($A28,Dati!$A$1:$A$1000,0))&amp;" · ","")&amp;IF(INDEX(Dati!$CJ$1:$CJ$1000,MATCH($A28,Dati!$A$1:$A$1000,0))&gt;0,Dati!$H$3&amp;": "&amp;INDEX(Dati!$H$1:$H$1000,MATCH($A28,Dati!$A$1:$A$1000,0))&amp;" · ","")&amp;IF(INDEX(Dati!$CK$1:$CK$1000,MATCH($A28,Dati!$A$1:$A$1000,0))&gt;0,Dati!$I$3&amp;": "&amp;INDEX(Dati!$I$1:$I$1000,MATCH($A28,Dati!$A$1:$A$1000,0))&amp;" · ","")&amp;IF(INDEX(Dati!$CL$1:$CL$1000,MATCH($A28,Dati!$A$1:$A$1000,0))&gt;0,Dati!$J$3&amp;": "&amp;INDEX(Dati!$J$1:$J$1000,MATCH($A28,Dati!$A$1:$A$1000,0))&amp;" · ",""),LEN(IF(INDEX(Dati!$CI$1:$CI$1000,MATCH($A28,Dati!$A$1:$A$1000,0))&gt;0,Dati!$G$3&amp;": "&amp;INDEX(Dati!$G$1:$G$1000,MATCH($A28,Dati!$A$1:$A$1000,0))&amp;" · ","")&amp;IF(INDEX(Dati!$CJ$1:$CJ$1000,MATCH($A28,Dati!$A$1:$A$1000,0))&gt;0,Dati!$H$3&amp;": "&amp;INDEX(Dati!$H$1:$H$1000,MATCH($A28,Dati!$A$1:$A$1000,0))&amp;" · ","")&amp;IF(INDEX(Dati!$CK$1:$CK$1000,MATCH($A28,Dati!$A$1:$A$1000,0))&gt;0,Dati!$I$3&amp;": "&amp;INDEX(Dati!$I$1:$I$1000,MATCH($A28,Dati!$A$1:$A$1000,0))&amp;" · ","")&amp;IF(INDEX(Dati!$CL$1:$CL$1000,MATCH($A28,Dati!$A$1:$A$1000,0))&gt;0,Dati!$J$3&amp;": "&amp;INDEX(Dati!$J$1:$J$1000,MATCH($A28,Dati!$A$1:$A$1000,0))&amp;" · ",""))-3)),""))</f>
        <v/>
      </c>
      <c r="E28" s="55" t="str">
        <f aca="false">IF($B28="","",IFERROR(IF((IF(INDEX(Dati!$CM$1:$CM$1000,MATCH($A28,Dati!$A$1:$A$1000,0))&gt;0,Dati!$K$3&amp;": "&amp;INDEX(Dati!$K$1:$K$1000,MATCH($A28,Dati!$A$1:$A$1000,0))&amp;" · ","")&amp;IF(INDEX(Dati!$CN$1:$CN$1000,MATCH($A28,Dati!$A$1:$A$1000,0))&gt;0,Dati!$L$3&amp;": "&amp;INDEX(Dati!$L$1:$L$1000,MATCH($A28,Dati!$A$1:$A$1000,0))&amp;" · ","")&amp;IF(INDEX(Dati!$CO$1:$CO$1000,MATCH($A28,Dati!$A$1:$A$1000,0))&gt;0,Dati!$M$3&amp;": "&amp;INDEX(Dati!$M$1:$M$1000,MATCH($A28,Dati!$A$1:$A$1000,0))&amp;" · ","")&amp;IF(INDEX(Dati!$CP$1:$CP$1000,MATCH($A28,Dati!$A$1:$A$1000,0))&gt;0,Dati!$N$3&amp;": "&amp;INDEX(Dati!$N$1:$N$1000,MATCH($A28,Dati!$A$1:$A$1000,0))&amp;" · ",""))="",IF(INDEX(Dati!$FI$1:$FI$1000,MATCH($A28,Dati!$A$1:$A$1000,0))=1,"AS da recuperare",""),LEFT(IF(INDEX(Dati!$CM$1:$CM$1000,MATCH($A28,Dati!$A$1:$A$1000,0))&gt;0,Dati!$K$3&amp;": "&amp;INDEX(Dati!$K$1:$K$1000,MATCH($A28,Dati!$A$1:$A$1000,0))&amp;" · ","")&amp;IF(INDEX(Dati!$CN$1:$CN$1000,MATCH($A28,Dati!$A$1:$A$1000,0))&gt;0,Dati!$L$3&amp;": "&amp;INDEX(Dati!$L$1:$L$1000,MATCH($A28,Dati!$A$1:$A$1000,0))&amp;" · ","")&amp;IF(INDEX(Dati!$CO$1:$CO$1000,MATCH($A28,Dati!$A$1:$A$1000,0))&gt;0,Dati!$M$3&amp;": "&amp;INDEX(Dati!$M$1:$M$1000,MATCH($A28,Dati!$A$1:$A$1000,0))&amp;" · ","")&amp;IF(INDEX(Dati!$CP$1:$CP$1000,MATCH($A28,Dati!$A$1:$A$1000,0))&gt;0,Dati!$N$3&amp;": "&amp;INDEX(Dati!$N$1:$N$1000,MATCH($A28,Dati!$A$1:$A$1000,0))&amp;" · ",""),LEN(IF(INDEX(Dati!$CM$1:$CM$1000,MATCH($A28,Dati!$A$1:$A$1000,0))&gt;0,Dati!$K$3&amp;": "&amp;INDEX(Dati!$K$1:$K$1000,MATCH($A28,Dati!$A$1:$A$1000,0))&amp;" · ","")&amp;IF(INDEX(Dati!$CN$1:$CN$1000,MATCH($A28,Dati!$A$1:$A$1000,0))&gt;0,Dati!$L$3&amp;": "&amp;INDEX(Dati!$L$1:$L$1000,MATCH($A28,Dati!$A$1:$A$1000,0))&amp;" · ","")&amp;IF(INDEX(Dati!$CO$1:$CO$1000,MATCH($A28,Dati!$A$1:$A$1000,0))&gt;0,Dati!$M$3&amp;": "&amp;INDEX(Dati!$M$1:$M$1000,MATCH($A28,Dati!$A$1:$A$1000,0))&amp;" · ","")&amp;IF(INDEX(Dati!$CP$1:$CP$1000,MATCH($A28,Dati!$A$1:$A$1000,0))&gt;0,Dati!$N$3&amp;": "&amp;INDEX(Dati!$N$1:$N$1000,MATCH($A28,Dati!$A$1:$A$1000,0))&amp;" · ",""))-3)),""))</f>
        <v/>
      </c>
      <c r="F28" s="55" t="str">
        <f aca="false">IF($B28="","",IFERROR(IF((IF(INDEX(Dati!$CQ$1:$CQ$1000,MATCH($A28,Dati!$A$1:$A$1000,0))&gt;0,Dati!$O$3&amp;": "&amp;INDEX(Dati!$O$1:$O$1000,MATCH($A28,Dati!$A$1:$A$1000,0))&amp;" · ","")&amp;IF(INDEX(Dati!$CR$1:$CR$1000,MATCH($A28,Dati!$A$1:$A$1000,0))&gt;0,Dati!$P$3&amp;": "&amp;INDEX(Dati!$P$1:$P$1000,MATCH($A28,Dati!$A$1:$A$1000,0))&amp;" · ","")&amp;IF(INDEX(Dati!$CS$1:$CS$1000,MATCH($A28,Dati!$A$1:$A$1000,0))&gt;0,Dati!$Q$3&amp;": "&amp;INDEX(Dati!$Q$1:$Q$1000,MATCH($A28,Dati!$A$1:$A$1000,0))&amp;" · ","")&amp;IF(INDEX(Dati!$CT$1:$CT$1000,MATCH($A28,Dati!$A$1:$A$1000,0))&gt;0,Dati!$R$3&amp;": "&amp;INDEX(Dati!$R$1:$R$1000,MATCH($A28,Dati!$A$1:$A$1000,0))&amp;" · ",""))="",IF(INDEX(Dati!$FJ$1:$FJ$1000,MATCH($A28,Dati!$A$1:$A$1000,0))=1,"AS da recuperare",""),LEFT(IF(INDEX(Dati!$CQ$1:$CQ$1000,MATCH($A28,Dati!$A$1:$A$1000,0))&gt;0,Dati!$O$3&amp;": "&amp;INDEX(Dati!$O$1:$O$1000,MATCH($A28,Dati!$A$1:$A$1000,0))&amp;" · ","")&amp;IF(INDEX(Dati!$CR$1:$CR$1000,MATCH($A28,Dati!$A$1:$A$1000,0))&gt;0,Dati!$P$3&amp;": "&amp;INDEX(Dati!$P$1:$P$1000,MATCH($A28,Dati!$A$1:$A$1000,0))&amp;" · ","")&amp;IF(INDEX(Dati!$CS$1:$CS$1000,MATCH($A28,Dati!$A$1:$A$1000,0))&gt;0,Dati!$Q$3&amp;": "&amp;INDEX(Dati!$Q$1:$Q$1000,MATCH($A28,Dati!$A$1:$A$1000,0))&amp;" · ","")&amp;IF(INDEX(Dati!$CT$1:$CT$1000,MATCH($A28,Dati!$A$1:$A$1000,0))&gt;0,Dati!$R$3&amp;": "&amp;INDEX(Dati!$R$1:$R$1000,MATCH($A28,Dati!$A$1:$A$1000,0))&amp;" · ",""),LEN(IF(INDEX(Dati!$CQ$1:$CQ$1000,MATCH($A28,Dati!$A$1:$A$1000,0))&gt;0,Dati!$O$3&amp;": "&amp;INDEX(Dati!$O$1:$O$1000,MATCH($A28,Dati!$A$1:$A$1000,0))&amp;" · ","")&amp;IF(INDEX(Dati!$CR$1:$CR$1000,MATCH($A28,Dati!$A$1:$A$1000,0))&gt;0,Dati!$P$3&amp;": "&amp;INDEX(Dati!$P$1:$P$1000,MATCH($A28,Dati!$A$1:$A$1000,0))&amp;" · ","")&amp;IF(INDEX(Dati!$CS$1:$CS$1000,MATCH($A28,Dati!$A$1:$A$1000,0))&gt;0,Dati!$Q$3&amp;": "&amp;INDEX(Dati!$Q$1:$Q$1000,MATCH($A28,Dati!$A$1:$A$1000,0))&amp;" · ","")&amp;IF(INDEX(Dati!$CT$1:$CT$1000,MATCH($A28,Dati!$A$1:$A$1000,0))&gt;0,Dati!$R$3&amp;": "&amp;INDEX(Dati!$R$1:$R$1000,MATCH($A28,Dati!$A$1:$A$1000,0))&amp;" · ",""))-3)),""))</f>
        <v/>
      </c>
      <c r="G28" s="55" t="str">
        <f aca="false">IF($B28="","",IFERROR(IF((IF(INDEX(Dati!$CU$1:$CU$1000,MATCH($A28,Dati!$A$1:$A$1000,0))&gt;0,Dati!$S$3&amp;": "&amp;INDEX(Dati!$S$1:$S$1000,MATCH($A28,Dati!$A$1:$A$1000,0))&amp;" · ","")&amp;IF(INDEX(Dati!$CV$1:$CV$1000,MATCH($A28,Dati!$A$1:$A$1000,0))&gt;0,Dati!$T$3&amp;": "&amp;INDEX(Dati!$T$1:$T$1000,MATCH($A28,Dati!$A$1:$A$1000,0))&amp;" · ","")&amp;IF(INDEX(Dati!$CW$1:$CW$1000,MATCH($A28,Dati!$A$1:$A$1000,0))&gt;0,Dati!$U$3&amp;": "&amp;INDEX(Dati!$U$1:$U$1000,MATCH($A28,Dati!$A$1:$A$1000,0))&amp;" · ","")&amp;IF(INDEX(Dati!$CX$1:$CX$1000,MATCH($A28,Dati!$A$1:$A$1000,0))&gt;0,Dati!$V$3&amp;": "&amp;INDEX(Dati!$V$1:$V$1000,MATCH($A28,Dati!$A$1:$A$1000,0))&amp;" · ",""))="",IF(INDEX(Dati!$FK$1:$FK$1000,MATCH($A28,Dati!$A$1:$A$1000,0))=1,"AS da recuperare",""),LEFT(IF(INDEX(Dati!$CU$1:$CU$1000,MATCH($A28,Dati!$A$1:$A$1000,0))&gt;0,Dati!$S$3&amp;": "&amp;INDEX(Dati!$S$1:$S$1000,MATCH($A28,Dati!$A$1:$A$1000,0))&amp;" · ","")&amp;IF(INDEX(Dati!$CV$1:$CV$1000,MATCH($A28,Dati!$A$1:$A$1000,0))&gt;0,Dati!$T$3&amp;": "&amp;INDEX(Dati!$T$1:$T$1000,MATCH($A28,Dati!$A$1:$A$1000,0))&amp;" · ","")&amp;IF(INDEX(Dati!$CW$1:$CW$1000,MATCH($A28,Dati!$A$1:$A$1000,0))&gt;0,Dati!$U$3&amp;": "&amp;INDEX(Dati!$U$1:$U$1000,MATCH($A28,Dati!$A$1:$A$1000,0))&amp;" · ","")&amp;IF(INDEX(Dati!$CX$1:$CX$1000,MATCH($A28,Dati!$A$1:$A$1000,0))&gt;0,Dati!$V$3&amp;": "&amp;INDEX(Dati!$V$1:$V$1000,MATCH($A28,Dati!$A$1:$A$1000,0))&amp;" · ",""),LEN(IF(INDEX(Dati!$CU$1:$CU$1000,MATCH($A28,Dati!$A$1:$A$1000,0))&gt;0,Dati!$S$3&amp;": "&amp;INDEX(Dati!$S$1:$S$1000,MATCH($A28,Dati!$A$1:$A$1000,0))&amp;" · ","")&amp;IF(INDEX(Dati!$CV$1:$CV$1000,MATCH($A28,Dati!$A$1:$A$1000,0))&gt;0,Dati!$T$3&amp;": "&amp;INDEX(Dati!$T$1:$T$1000,MATCH($A28,Dati!$A$1:$A$1000,0))&amp;" · ","")&amp;IF(INDEX(Dati!$CW$1:$CW$1000,MATCH($A28,Dati!$A$1:$A$1000,0))&gt;0,Dati!$U$3&amp;": "&amp;INDEX(Dati!$U$1:$U$1000,MATCH($A28,Dati!$A$1:$A$1000,0))&amp;" · ","")&amp;IF(INDEX(Dati!$CX$1:$CX$1000,MATCH($A28,Dati!$A$1:$A$1000,0))&gt;0,Dati!$V$3&amp;": "&amp;INDEX(Dati!$V$1:$V$1000,MATCH($A28,Dati!$A$1:$A$1000,0))&amp;" · ",""))-3)),""))</f>
        <v/>
      </c>
      <c r="H28" s="55" t="str">
        <f aca="false">IF($B28="","",IFERROR(IF((IF(INDEX(Dati!$CY$1:$CY$1000,MATCH($A28,Dati!$A$1:$A$1000,0))&gt;0,Dati!$W$3&amp;": "&amp;INDEX(Dati!$W$1:$W$1000,MATCH($A28,Dati!$A$1:$A$1000,0))&amp;" · ","")&amp;IF(INDEX(Dati!$CZ$1:$CZ$1000,MATCH($A28,Dati!$A$1:$A$1000,0))&gt;0,Dati!$X$3&amp;": "&amp;INDEX(Dati!$X$1:$X$1000,MATCH($A28,Dati!$A$1:$A$1000,0))&amp;" · ","")&amp;IF(INDEX(Dati!$DA$1:$DA$1000,MATCH($A28,Dati!$A$1:$A$1000,0))&gt;0,Dati!$Y$3&amp;": "&amp;INDEX(Dati!$Y$1:$Y$1000,MATCH($A28,Dati!$A$1:$A$1000,0))&amp;" · ","")&amp;IF(INDEX(Dati!$DB$1:$DB$1000,MATCH($A28,Dati!$A$1:$A$1000,0))&gt;0,Dati!$Z$3&amp;": "&amp;INDEX(Dati!$Z$1:$Z$1000,MATCH($A28,Dati!$A$1:$A$1000,0))&amp;" · ",""))="",IF(INDEX(Dati!$FL$1:$FL$1000,MATCH($A28,Dati!$A$1:$A$1000,0))=1,"AS da recuperare",""),LEFT(IF(INDEX(Dati!$CY$1:$CY$1000,MATCH($A28,Dati!$A$1:$A$1000,0))&gt;0,Dati!$W$3&amp;": "&amp;INDEX(Dati!$W$1:$W$1000,MATCH($A28,Dati!$A$1:$A$1000,0))&amp;" · ","")&amp;IF(INDEX(Dati!$CZ$1:$CZ$1000,MATCH($A28,Dati!$A$1:$A$1000,0))&gt;0,Dati!$X$3&amp;": "&amp;INDEX(Dati!$X$1:$X$1000,MATCH($A28,Dati!$A$1:$A$1000,0))&amp;" · ","")&amp;IF(INDEX(Dati!$DA$1:$DA$1000,MATCH($A28,Dati!$A$1:$A$1000,0))&gt;0,Dati!$Y$3&amp;": "&amp;INDEX(Dati!$Y$1:$Y$1000,MATCH($A28,Dati!$A$1:$A$1000,0))&amp;" · ","")&amp;IF(INDEX(Dati!$DB$1:$DB$1000,MATCH($A28,Dati!$A$1:$A$1000,0))&gt;0,Dati!$Z$3&amp;": "&amp;INDEX(Dati!$Z$1:$Z$1000,MATCH($A28,Dati!$A$1:$A$1000,0))&amp;" · ",""),LEN(IF(INDEX(Dati!$CY$1:$CY$1000,MATCH($A28,Dati!$A$1:$A$1000,0))&gt;0,Dati!$W$3&amp;": "&amp;INDEX(Dati!$W$1:$W$1000,MATCH($A28,Dati!$A$1:$A$1000,0))&amp;" · ","")&amp;IF(INDEX(Dati!$CZ$1:$CZ$1000,MATCH($A28,Dati!$A$1:$A$1000,0))&gt;0,Dati!$X$3&amp;": "&amp;INDEX(Dati!$X$1:$X$1000,MATCH($A28,Dati!$A$1:$A$1000,0))&amp;" · ","")&amp;IF(INDEX(Dati!$DA$1:$DA$1000,MATCH($A28,Dati!$A$1:$A$1000,0))&gt;0,Dati!$Y$3&amp;": "&amp;INDEX(Dati!$Y$1:$Y$1000,MATCH($A28,Dati!$A$1:$A$1000,0))&amp;" · ","")&amp;IF(INDEX(Dati!$DB$1:$DB$1000,MATCH($A28,Dati!$A$1:$A$1000,0))&gt;0,Dati!$Z$3&amp;": "&amp;INDEX(Dati!$Z$1:$Z$1000,MATCH($A28,Dati!$A$1:$A$1000,0))&amp;" · ",""))-3)),""))</f>
        <v/>
      </c>
      <c r="I28" s="55" t="str">
        <f aca="false">IF($B28="","",IFERROR(IF((IF(INDEX(Dati!$DC$1:$DC$1000,MATCH($A28,Dati!$A$1:$A$1000,0))&gt;0,Dati!$AA$3&amp;": "&amp;INDEX(Dati!$AA$1:$AA$1000,MATCH($A28,Dati!$A$1:$A$1000,0))&amp;" · ","")&amp;IF(INDEX(Dati!$DD$1:$DD$1000,MATCH($A28,Dati!$A$1:$A$1000,0))&gt;0,Dati!$AB$3&amp;": "&amp;INDEX(Dati!$AB$1:$AB$1000,MATCH($A28,Dati!$A$1:$A$1000,0))&amp;" · ","")&amp;IF(INDEX(Dati!$DE$1:$DE$1000,MATCH($A28,Dati!$A$1:$A$1000,0))&gt;0,Dati!$AC$3&amp;": "&amp;INDEX(Dati!$AC$1:$AC$1000,MATCH($A28,Dati!$A$1:$A$1000,0))&amp;" · ","")&amp;IF(INDEX(Dati!$DF$1:$DF$1000,MATCH($A28,Dati!$A$1:$A$1000,0))&gt;0,Dati!$AD$3&amp;": "&amp;INDEX(Dati!$AD$1:$AD$1000,MATCH($A28,Dati!$A$1:$A$1000,0))&amp;" · ",""))="",IF(INDEX(Dati!$FM$1:$FM$1000,MATCH($A28,Dati!$A$1:$A$1000,0))=1,"AS da recuperare",""),LEFT(IF(INDEX(Dati!$DC$1:$DC$1000,MATCH($A28,Dati!$A$1:$A$1000,0))&gt;0,Dati!$AA$3&amp;": "&amp;INDEX(Dati!$AA$1:$AA$1000,MATCH($A28,Dati!$A$1:$A$1000,0))&amp;" · ","")&amp;IF(INDEX(Dati!$DD$1:$DD$1000,MATCH($A28,Dati!$A$1:$A$1000,0))&gt;0,Dati!$AB$3&amp;": "&amp;INDEX(Dati!$AB$1:$AB$1000,MATCH($A28,Dati!$A$1:$A$1000,0))&amp;" · ","")&amp;IF(INDEX(Dati!$DE$1:$DE$1000,MATCH($A28,Dati!$A$1:$A$1000,0))&gt;0,Dati!$AC$3&amp;": "&amp;INDEX(Dati!$AC$1:$AC$1000,MATCH($A28,Dati!$A$1:$A$1000,0))&amp;" · ","")&amp;IF(INDEX(Dati!$DF$1:$DF$1000,MATCH($A28,Dati!$A$1:$A$1000,0))&gt;0,Dati!$AD$3&amp;": "&amp;INDEX(Dati!$AD$1:$AD$1000,MATCH($A28,Dati!$A$1:$A$1000,0))&amp;" · ",""),LEN(IF(INDEX(Dati!$DC$1:$DC$1000,MATCH($A28,Dati!$A$1:$A$1000,0))&gt;0,Dati!$AA$3&amp;": "&amp;INDEX(Dati!$AA$1:$AA$1000,MATCH($A28,Dati!$A$1:$A$1000,0))&amp;" · ","")&amp;IF(INDEX(Dati!$DD$1:$DD$1000,MATCH($A28,Dati!$A$1:$A$1000,0))&gt;0,Dati!$AB$3&amp;": "&amp;INDEX(Dati!$AB$1:$AB$1000,MATCH($A28,Dati!$A$1:$A$1000,0))&amp;" · ","")&amp;IF(INDEX(Dati!$DE$1:$DE$1000,MATCH($A28,Dati!$A$1:$A$1000,0))&gt;0,Dati!$AC$3&amp;": "&amp;INDEX(Dati!$AC$1:$AC$1000,MATCH($A28,Dati!$A$1:$A$1000,0))&amp;" · ","")&amp;IF(INDEX(Dati!$DF$1:$DF$1000,MATCH($A28,Dati!$A$1:$A$1000,0))&gt;0,Dati!$AD$3&amp;": "&amp;INDEX(Dati!$AD$1:$AD$1000,MATCH($A28,Dati!$A$1:$A$1000,0))&amp;" · ",""))-3)),""))</f>
        <v/>
      </c>
      <c r="J28" s="55" t="str">
        <f aca="false">IF($B28="","",IFERROR(IF((IF(INDEX(Dati!$DG$1:$DG$1000,MATCH($A28,Dati!$A$1:$A$1000,0))&gt;0,Dati!$AE$3&amp;": "&amp;INDEX(Dati!$AE$1:$AE$1000,MATCH($A28,Dati!$A$1:$A$1000,0))&amp;" · ","")&amp;IF(INDEX(Dati!$DH$1:$DH$1000,MATCH($A28,Dati!$A$1:$A$1000,0))&gt;0,Dati!$AF$3&amp;": "&amp;INDEX(Dati!$AF$1:$AF$1000,MATCH($A28,Dati!$A$1:$A$1000,0))&amp;" · ","")&amp;IF(INDEX(Dati!$DI$1:$DI$1000,MATCH($A28,Dati!$A$1:$A$1000,0))&gt;0,Dati!$AG$3&amp;": "&amp;INDEX(Dati!$AG$1:$AG$1000,MATCH($A28,Dati!$A$1:$A$1000,0))&amp;" · ","")&amp;IF(INDEX(Dati!$DJ$1:$DJ$1000,MATCH($A28,Dati!$A$1:$A$1000,0))&gt;0,Dati!$AH$3&amp;": "&amp;INDEX(Dati!$AH$1:$AH$1000,MATCH($A28,Dati!$A$1:$A$1000,0))&amp;" · ",""))="",IF(INDEX(Dati!$FN$1:$FN$1000,MATCH($A28,Dati!$A$1:$A$1000,0))=1,"AS da recuperare",""),LEFT(IF(INDEX(Dati!$DG$1:$DG$1000,MATCH($A28,Dati!$A$1:$A$1000,0))&gt;0,Dati!$AE$3&amp;": "&amp;INDEX(Dati!$AE$1:$AE$1000,MATCH($A28,Dati!$A$1:$A$1000,0))&amp;" · ","")&amp;IF(INDEX(Dati!$DH$1:$DH$1000,MATCH($A28,Dati!$A$1:$A$1000,0))&gt;0,Dati!$AF$3&amp;": "&amp;INDEX(Dati!$AF$1:$AF$1000,MATCH($A28,Dati!$A$1:$A$1000,0))&amp;" · ","")&amp;IF(INDEX(Dati!$DI$1:$DI$1000,MATCH($A28,Dati!$A$1:$A$1000,0))&gt;0,Dati!$AG$3&amp;": "&amp;INDEX(Dati!$AG$1:$AG$1000,MATCH($A28,Dati!$A$1:$A$1000,0))&amp;" · ","")&amp;IF(INDEX(Dati!$DJ$1:$DJ$1000,MATCH($A28,Dati!$A$1:$A$1000,0))&gt;0,Dati!$AH$3&amp;": "&amp;INDEX(Dati!$AH$1:$AH$1000,MATCH($A28,Dati!$A$1:$A$1000,0))&amp;" · ",""),LEN(IF(INDEX(Dati!$DG$1:$DG$1000,MATCH($A28,Dati!$A$1:$A$1000,0))&gt;0,Dati!$AE$3&amp;": "&amp;INDEX(Dati!$AE$1:$AE$1000,MATCH($A28,Dati!$A$1:$A$1000,0))&amp;" · ","")&amp;IF(INDEX(Dati!$DH$1:$DH$1000,MATCH($A28,Dati!$A$1:$A$1000,0))&gt;0,Dati!$AF$3&amp;": "&amp;INDEX(Dati!$AF$1:$AF$1000,MATCH($A28,Dati!$A$1:$A$1000,0))&amp;" · ","")&amp;IF(INDEX(Dati!$DI$1:$DI$1000,MATCH($A28,Dati!$A$1:$A$1000,0))&gt;0,Dati!$AG$3&amp;": "&amp;INDEX(Dati!$AG$1:$AG$1000,MATCH($A28,Dati!$A$1:$A$1000,0))&amp;" · ","")&amp;IF(INDEX(Dati!$DJ$1:$DJ$1000,MATCH($A28,Dati!$A$1:$A$1000,0))&gt;0,Dati!$AH$3&amp;": "&amp;INDEX(Dati!$AH$1:$AH$1000,MATCH($A28,Dati!$A$1:$A$1000,0))&amp;" · ",""))-3)),""))</f>
        <v/>
      </c>
      <c r="K28" s="55" t="str">
        <f aca="false">IF($B28="","",IFERROR(IF((IF(INDEX(Dati!$DK$1:$DK$1000,MATCH($A28,Dati!$A$1:$A$1000,0))&gt;0,Dati!$AI$3&amp;": "&amp;INDEX(Dati!$AI$1:$AI$1000,MATCH($A28,Dati!$A$1:$A$1000,0))&amp;" · ","")&amp;IF(INDEX(Dati!$DL$1:$DL$1000,MATCH($A28,Dati!$A$1:$A$1000,0))&gt;0,Dati!$AJ$3&amp;": "&amp;INDEX(Dati!$AJ$1:$AJ$1000,MATCH($A28,Dati!$A$1:$A$1000,0))&amp;" · ","")&amp;IF(INDEX(Dati!$DM$1:$DM$1000,MATCH($A28,Dati!$A$1:$A$1000,0))&gt;0,Dati!$AK$3&amp;": "&amp;INDEX(Dati!$AK$1:$AK$1000,MATCH($A28,Dati!$A$1:$A$1000,0))&amp;" · ","")&amp;IF(INDEX(Dati!$DN$1:$DN$1000,MATCH($A28,Dati!$A$1:$A$1000,0))&gt;0,Dati!$AL$3&amp;": "&amp;INDEX(Dati!$AL$1:$AL$1000,MATCH($A28,Dati!$A$1:$A$1000,0))&amp;" · ",""))="",IF(INDEX(Dati!$FO$1:$FO$1000,MATCH($A28,Dati!$A$1:$A$1000,0))=1,"AS da recuperare",""),LEFT(IF(INDEX(Dati!$DK$1:$DK$1000,MATCH($A28,Dati!$A$1:$A$1000,0))&gt;0,Dati!$AI$3&amp;": "&amp;INDEX(Dati!$AI$1:$AI$1000,MATCH($A28,Dati!$A$1:$A$1000,0))&amp;" · ","")&amp;IF(INDEX(Dati!$DL$1:$DL$1000,MATCH($A28,Dati!$A$1:$A$1000,0))&gt;0,Dati!$AJ$3&amp;": "&amp;INDEX(Dati!$AJ$1:$AJ$1000,MATCH($A28,Dati!$A$1:$A$1000,0))&amp;" · ","")&amp;IF(INDEX(Dati!$DM$1:$DM$1000,MATCH($A28,Dati!$A$1:$A$1000,0))&gt;0,Dati!$AK$3&amp;": "&amp;INDEX(Dati!$AK$1:$AK$1000,MATCH($A28,Dati!$A$1:$A$1000,0))&amp;" · ","")&amp;IF(INDEX(Dati!$DN$1:$DN$1000,MATCH($A28,Dati!$A$1:$A$1000,0))&gt;0,Dati!$AL$3&amp;": "&amp;INDEX(Dati!$AL$1:$AL$1000,MATCH($A28,Dati!$A$1:$A$1000,0))&amp;" · ",""),LEN(IF(INDEX(Dati!$DK$1:$DK$1000,MATCH($A28,Dati!$A$1:$A$1000,0))&gt;0,Dati!$AI$3&amp;": "&amp;INDEX(Dati!$AI$1:$AI$1000,MATCH($A28,Dati!$A$1:$A$1000,0))&amp;" · ","")&amp;IF(INDEX(Dati!$DL$1:$DL$1000,MATCH($A28,Dati!$A$1:$A$1000,0))&gt;0,Dati!$AJ$3&amp;": "&amp;INDEX(Dati!$AJ$1:$AJ$1000,MATCH($A28,Dati!$A$1:$A$1000,0))&amp;" · ","")&amp;IF(INDEX(Dati!$DM$1:$DM$1000,MATCH($A28,Dati!$A$1:$A$1000,0))&gt;0,Dati!$AK$3&amp;": "&amp;INDEX(Dati!$AK$1:$AK$1000,MATCH($A28,Dati!$A$1:$A$1000,0))&amp;" · ","")&amp;IF(INDEX(Dati!$DN$1:$DN$1000,MATCH($A28,Dati!$A$1:$A$1000,0))&gt;0,Dati!$AL$3&amp;": "&amp;INDEX(Dati!$AL$1:$AL$1000,MATCH($A28,Dati!$A$1:$A$1000,0))&amp;" · ",""))-3)),""))</f>
        <v/>
      </c>
      <c r="L28" s="55" t="str">
        <f aca="false">IF($B28="","",IFERROR(IF((IF(INDEX(Dati!$DO$1:$DO$1000,MATCH($A28,Dati!$A$1:$A$1000,0))&gt;0,Dati!$AM$3&amp;": "&amp;INDEX(Dati!$AM$1:$AM$1000,MATCH($A28,Dati!$A$1:$A$1000,0))&amp;" · ","")&amp;IF(INDEX(Dati!$DP$1:$DP$1000,MATCH($A28,Dati!$A$1:$A$1000,0))&gt;0,Dati!$AN$3&amp;": "&amp;INDEX(Dati!$AN$1:$AN$1000,MATCH($A28,Dati!$A$1:$A$1000,0))&amp;" · ","")&amp;IF(INDEX(Dati!$DQ$1:$DQ$1000,MATCH($A28,Dati!$A$1:$A$1000,0))&gt;0,Dati!$AO$3&amp;": "&amp;INDEX(Dati!$AO$1:$AO$1000,MATCH($A28,Dati!$A$1:$A$1000,0))&amp;" · ","")&amp;IF(INDEX(Dati!$DR$1:$DR$1000,MATCH($A28,Dati!$A$1:$A$1000,0))&gt;0,Dati!$AP$3&amp;": "&amp;INDEX(Dati!$AP$1:$AP$1000,MATCH($A28,Dati!$A$1:$A$1000,0))&amp;" · ",""))="",IF(INDEX(Dati!$FP$1:$FP$1000,MATCH($A28,Dati!$A$1:$A$1000,0))=1,"AS da recuperare",""),LEFT(IF(INDEX(Dati!$DO$1:$DO$1000,MATCH($A28,Dati!$A$1:$A$1000,0))&gt;0,Dati!$AM$3&amp;": "&amp;INDEX(Dati!$AM$1:$AM$1000,MATCH($A28,Dati!$A$1:$A$1000,0))&amp;" · ","")&amp;IF(INDEX(Dati!$DP$1:$DP$1000,MATCH($A28,Dati!$A$1:$A$1000,0))&gt;0,Dati!$AN$3&amp;": "&amp;INDEX(Dati!$AN$1:$AN$1000,MATCH($A28,Dati!$A$1:$A$1000,0))&amp;" · ","")&amp;IF(INDEX(Dati!$DQ$1:$DQ$1000,MATCH($A28,Dati!$A$1:$A$1000,0))&gt;0,Dati!$AO$3&amp;": "&amp;INDEX(Dati!$AO$1:$AO$1000,MATCH($A28,Dati!$A$1:$A$1000,0))&amp;" · ","")&amp;IF(INDEX(Dati!$DR$1:$DR$1000,MATCH($A28,Dati!$A$1:$A$1000,0))&gt;0,Dati!$AP$3&amp;": "&amp;INDEX(Dati!$AP$1:$AP$1000,MATCH($A28,Dati!$A$1:$A$1000,0))&amp;" · ",""),LEN(IF(INDEX(Dati!$DO$1:$DO$1000,MATCH($A28,Dati!$A$1:$A$1000,0))&gt;0,Dati!$AM$3&amp;": "&amp;INDEX(Dati!$AM$1:$AM$1000,MATCH($A28,Dati!$A$1:$A$1000,0))&amp;" · ","")&amp;IF(INDEX(Dati!$DP$1:$DP$1000,MATCH($A28,Dati!$A$1:$A$1000,0))&gt;0,Dati!$AN$3&amp;": "&amp;INDEX(Dati!$AN$1:$AN$1000,MATCH($A28,Dati!$A$1:$A$1000,0))&amp;" · ","")&amp;IF(INDEX(Dati!$DQ$1:$DQ$1000,MATCH($A28,Dati!$A$1:$A$1000,0))&gt;0,Dati!$AO$3&amp;": "&amp;INDEX(Dati!$AO$1:$AO$1000,MATCH($A28,Dati!$A$1:$A$1000,0))&amp;" · ","")&amp;IF(INDEX(Dati!$DR$1:$DR$1000,MATCH($A28,Dati!$A$1:$A$1000,0))&gt;0,Dati!$AP$3&amp;": "&amp;INDEX(Dati!$AP$1:$AP$1000,MATCH($A28,Dati!$A$1:$A$1000,0))&amp;" · ",""))-3)),""))</f>
        <v/>
      </c>
      <c r="M28" s="55" t="str">
        <f aca="false">IF($B28="","",IFERROR(IF((IF(INDEX(Dati!$DS$1:$DS$1000,MATCH($A28,Dati!$A$1:$A$1000,0))&gt;0,Dati!$AQ$3&amp;": "&amp;INDEX(Dati!$AQ$1:$AQ$1000,MATCH($A28,Dati!$A$1:$A$1000,0))&amp;" · ","")&amp;IF(INDEX(Dati!$DT$1:$DT$1000,MATCH($A28,Dati!$A$1:$A$1000,0))&gt;0,Dati!$AR$3&amp;": "&amp;INDEX(Dati!$AR$1:$AR$1000,MATCH($A28,Dati!$A$1:$A$1000,0))&amp;" · ","")&amp;IF(INDEX(Dati!$DU$1:$DU$1000,MATCH($A28,Dati!$A$1:$A$1000,0))&gt;0,Dati!$AS$3&amp;": "&amp;INDEX(Dati!$AS$1:$AS$1000,MATCH($A28,Dati!$A$1:$A$1000,0))&amp;" · ","")&amp;IF(INDEX(Dati!$DV$1:$DV$1000,MATCH($A28,Dati!$A$1:$A$1000,0))&gt;0,Dati!$AT$3&amp;": "&amp;INDEX(Dati!$AT$1:$AT$1000,MATCH($A28,Dati!$A$1:$A$1000,0))&amp;" · ",""))="",IF(INDEX(Dati!$FQ$1:$FQ$1000,MATCH($A28,Dati!$A$1:$A$1000,0))=1,"AS da recuperare",""),LEFT(IF(INDEX(Dati!$DS$1:$DS$1000,MATCH($A28,Dati!$A$1:$A$1000,0))&gt;0,Dati!$AQ$3&amp;": "&amp;INDEX(Dati!$AQ$1:$AQ$1000,MATCH($A28,Dati!$A$1:$A$1000,0))&amp;" · ","")&amp;IF(INDEX(Dati!$DT$1:$DT$1000,MATCH($A28,Dati!$A$1:$A$1000,0))&gt;0,Dati!$AR$3&amp;": "&amp;INDEX(Dati!$AR$1:$AR$1000,MATCH($A28,Dati!$A$1:$A$1000,0))&amp;" · ","")&amp;IF(INDEX(Dati!$DU$1:$DU$1000,MATCH($A28,Dati!$A$1:$A$1000,0))&gt;0,Dati!$AS$3&amp;": "&amp;INDEX(Dati!$AS$1:$AS$1000,MATCH($A28,Dati!$A$1:$A$1000,0))&amp;" · ","")&amp;IF(INDEX(Dati!$DV$1:$DV$1000,MATCH($A28,Dati!$A$1:$A$1000,0))&gt;0,Dati!$AT$3&amp;": "&amp;INDEX(Dati!$AT$1:$AT$1000,MATCH($A28,Dati!$A$1:$A$1000,0))&amp;" · ",""),LEN(IF(INDEX(Dati!$DS$1:$DS$1000,MATCH($A28,Dati!$A$1:$A$1000,0))&gt;0,Dati!$AQ$3&amp;": "&amp;INDEX(Dati!$AQ$1:$AQ$1000,MATCH($A28,Dati!$A$1:$A$1000,0))&amp;" · ","")&amp;IF(INDEX(Dati!$DT$1:$DT$1000,MATCH($A28,Dati!$A$1:$A$1000,0))&gt;0,Dati!$AR$3&amp;": "&amp;INDEX(Dati!$AR$1:$AR$1000,MATCH($A28,Dati!$A$1:$A$1000,0))&amp;" · ","")&amp;IF(INDEX(Dati!$DU$1:$DU$1000,MATCH($A28,Dati!$A$1:$A$1000,0))&gt;0,Dati!$AS$3&amp;": "&amp;INDEX(Dati!$AS$1:$AS$1000,MATCH($A28,Dati!$A$1:$A$1000,0))&amp;" · ","")&amp;IF(INDEX(Dati!$DV$1:$DV$1000,MATCH($A28,Dati!$A$1:$A$1000,0))&gt;0,Dati!$AT$3&amp;": "&amp;INDEX(Dati!$AT$1:$AT$1000,MATCH($A28,Dati!$A$1:$A$1000,0))&amp;" · ",""))-3)),""))</f>
        <v/>
      </c>
      <c r="N28" s="55" t="str">
        <f aca="false">IF($B28="","",IFERROR(IF((IF(INDEX(Dati!$DW$1:$DW$1000,MATCH($A28,Dati!$A$1:$A$1000,0))&gt;0,Dati!$AU$3&amp;": "&amp;INDEX(Dati!$AU$1:$AU$1000,MATCH($A28,Dati!$A$1:$A$1000,0))&amp;" · ","")&amp;IF(INDEX(Dati!$DX$1:$DX$1000,MATCH($A28,Dati!$A$1:$A$1000,0))&gt;0,Dati!$AV$3&amp;": "&amp;INDEX(Dati!$AV$1:$AV$1000,MATCH($A28,Dati!$A$1:$A$1000,0))&amp;" · ","")&amp;IF(INDEX(Dati!$DY$1:$DY$1000,MATCH($A28,Dati!$A$1:$A$1000,0))&gt;0,Dati!$AW$3&amp;": "&amp;INDEX(Dati!$AW$1:$AW$1000,MATCH($A28,Dati!$A$1:$A$1000,0))&amp;" · ","")&amp;IF(INDEX(Dati!$DZ$1:$DZ$1000,MATCH($A28,Dati!$A$1:$A$1000,0))&gt;0,Dati!$AX$3&amp;": "&amp;INDEX(Dati!$AX$1:$AX$1000,MATCH($A28,Dati!$A$1:$A$1000,0))&amp;" · ",""))="",IF(INDEX(Dati!$FR$1:$FR$1000,MATCH($A28,Dati!$A$1:$A$1000,0))=1,"AS da recuperare",""),LEFT(IF(INDEX(Dati!$DW$1:$DW$1000,MATCH($A28,Dati!$A$1:$A$1000,0))&gt;0,Dati!$AU$3&amp;": "&amp;INDEX(Dati!$AU$1:$AU$1000,MATCH($A28,Dati!$A$1:$A$1000,0))&amp;" · ","")&amp;IF(INDEX(Dati!$DX$1:$DX$1000,MATCH($A28,Dati!$A$1:$A$1000,0))&gt;0,Dati!$AV$3&amp;": "&amp;INDEX(Dati!$AV$1:$AV$1000,MATCH($A28,Dati!$A$1:$A$1000,0))&amp;" · ","")&amp;IF(INDEX(Dati!$DY$1:$DY$1000,MATCH($A28,Dati!$A$1:$A$1000,0))&gt;0,Dati!$AW$3&amp;": "&amp;INDEX(Dati!$AW$1:$AW$1000,MATCH($A28,Dati!$A$1:$A$1000,0))&amp;" · ","")&amp;IF(INDEX(Dati!$DZ$1:$DZ$1000,MATCH($A28,Dati!$A$1:$A$1000,0))&gt;0,Dati!$AX$3&amp;": "&amp;INDEX(Dati!$AX$1:$AX$1000,MATCH($A28,Dati!$A$1:$A$1000,0))&amp;" · ",""),LEN(IF(INDEX(Dati!$DW$1:$DW$1000,MATCH($A28,Dati!$A$1:$A$1000,0))&gt;0,Dati!$AU$3&amp;": "&amp;INDEX(Dati!$AU$1:$AU$1000,MATCH($A28,Dati!$A$1:$A$1000,0))&amp;" · ","")&amp;IF(INDEX(Dati!$DX$1:$DX$1000,MATCH($A28,Dati!$A$1:$A$1000,0))&gt;0,Dati!$AV$3&amp;": "&amp;INDEX(Dati!$AV$1:$AV$1000,MATCH($A28,Dati!$A$1:$A$1000,0))&amp;" · ","")&amp;IF(INDEX(Dati!$DY$1:$DY$1000,MATCH($A28,Dati!$A$1:$A$1000,0))&gt;0,Dati!$AW$3&amp;": "&amp;INDEX(Dati!$AW$1:$AW$1000,MATCH($A28,Dati!$A$1:$A$1000,0))&amp;" · ","")&amp;IF(INDEX(Dati!$DZ$1:$DZ$1000,MATCH($A28,Dati!$A$1:$A$1000,0))&gt;0,Dati!$AX$3&amp;": "&amp;INDEX(Dati!$AX$1:$AX$1000,MATCH($A28,Dati!$A$1:$A$1000,0))&amp;" · ",""))-3)),""))</f>
        <v/>
      </c>
      <c r="O28" s="55" t="str">
        <f aca="false">IF($B28="","",IFERROR(IF((IF(INDEX(Dati!$EA$1:$EA$1000,MATCH($A28,Dati!$A$1:$A$1000,0))&gt;0,Dati!$AY$3&amp;": "&amp;INDEX(Dati!$AY$1:$AY$1000,MATCH($A28,Dati!$A$1:$A$1000,0))&amp;" · ","")&amp;IF(INDEX(Dati!$EB$1:$EB$1000,MATCH($A28,Dati!$A$1:$A$1000,0))&gt;0,Dati!$AZ$3&amp;": "&amp;INDEX(Dati!$AZ$1:$AZ$1000,MATCH($A28,Dati!$A$1:$A$1000,0))&amp;" · ","")&amp;IF(INDEX(Dati!$EC$1:$EC$1000,MATCH($A28,Dati!$A$1:$A$1000,0))&gt;0,Dati!$BA$3&amp;": "&amp;INDEX(Dati!$BA$1:$BA$1000,MATCH($A28,Dati!$A$1:$A$1000,0))&amp;" · ","")&amp;IF(INDEX(Dati!$ED$1:$ED$1000,MATCH($A28,Dati!$A$1:$A$1000,0))&gt;0,Dati!$BB$3&amp;": "&amp;INDEX(Dati!$BB$1:$BB$1000,MATCH($A28,Dati!$A$1:$A$1000,0))&amp;" · ",""))="",IF(INDEX(Dati!$FS$1:$FS$1000,MATCH($A28,Dati!$A$1:$A$1000,0))=1,"AS da recuperare",""),LEFT(IF(INDEX(Dati!$EA$1:$EA$1000,MATCH($A28,Dati!$A$1:$A$1000,0))&gt;0,Dati!$AY$3&amp;": "&amp;INDEX(Dati!$AY$1:$AY$1000,MATCH($A28,Dati!$A$1:$A$1000,0))&amp;" · ","")&amp;IF(INDEX(Dati!$EB$1:$EB$1000,MATCH($A28,Dati!$A$1:$A$1000,0))&gt;0,Dati!$AZ$3&amp;": "&amp;INDEX(Dati!$AZ$1:$AZ$1000,MATCH($A28,Dati!$A$1:$A$1000,0))&amp;" · ","")&amp;IF(INDEX(Dati!$EC$1:$EC$1000,MATCH($A28,Dati!$A$1:$A$1000,0))&gt;0,Dati!$BA$3&amp;": "&amp;INDEX(Dati!$BA$1:$BA$1000,MATCH($A28,Dati!$A$1:$A$1000,0))&amp;" · ","")&amp;IF(INDEX(Dati!$ED$1:$ED$1000,MATCH($A28,Dati!$A$1:$A$1000,0))&gt;0,Dati!$BB$3&amp;": "&amp;INDEX(Dati!$BB$1:$BB$1000,MATCH($A28,Dati!$A$1:$A$1000,0))&amp;" · ",""),LEN(IF(INDEX(Dati!$EA$1:$EA$1000,MATCH($A28,Dati!$A$1:$A$1000,0))&gt;0,Dati!$AY$3&amp;": "&amp;INDEX(Dati!$AY$1:$AY$1000,MATCH($A28,Dati!$A$1:$A$1000,0))&amp;" · ","")&amp;IF(INDEX(Dati!$EB$1:$EB$1000,MATCH($A28,Dati!$A$1:$A$1000,0))&gt;0,Dati!$AZ$3&amp;": "&amp;INDEX(Dati!$AZ$1:$AZ$1000,MATCH($A28,Dati!$A$1:$A$1000,0))&amp;" · ","")&amp;IF(INDEX(Dati!$EC$1:$EC$1000,MATCH($A28,Dati!$A$1:$A$1000,0))&gt;0,Dati!$BA$3&amp;": "&amp;INDEX(Dati!$BA$1:$BA$1000,MATCH($A28,Dati!$A$1:$A$1000,0))&amp;" · ","")&amp;IF(INDEX(Dati!$ED$1:$ED$1000,MATCH($A28,Dati!$A$1:$A$1000,0))&gt;0,Dati!$BB$3&amp;": "&amp;INDEX(Dati!$BB$1:$BB$1000,MATCH($A28,Dati!$A$1:$A$1000,0))&amp;" · ",""))-3)),""))</f>
        <v/>
      </c>
      <c r="P28" s="55" t="str">
        <f aca="false">IF($B28="","",IFERROR(IF((IF(INDEX(Dati!$EE$1:$EE$1000,MATCH($A28,Dati!$A$1:$A$1000,0))&gt;0,Dati!$BC$3&amp;": "&amp;INDEX(Dati!$BC$1:$BC$1000,MATCH($A28,Dati!$A$1:$A$1000,0))&amp;" · ","")&amp;IF(INDEX(Dati!$EF$1:$EF$1000,MATCH($A28,Dati!$A$1:$A$1000,0))&gt;0,Dati!$BD$3&amp;": "&amp;INDEX(Dati!$BD$1:$BD$1000,MATCH($A28,Dati!$A$1:$A$1000,0))&amp;" · ","")&amp;IF(INDEX(Dati!$EG$1:$EG$1000,MATCH($A28,Dati!$A$1:$A$1000,0))&gt;0,Dati!$BE$3&amp;": "&amp;INDEX(Dati!$BE$1:$BE$1000,MATCH($A28,Dati!$A$1:$A$1000,0))&amp;" · ","")&amp;IF(INDEX(Dati!$EH$1:$EH$1000,MATCH($A28,Dati!$A$1:$A$1000,0))&gt;0,Dati!$BF$3&amp;": "&amp;INDEX(Dati!$BF$1:$BF$1000,MATCH($A28,Dati!$A$1:$A$1000,0))&amp;" · ",""))="",IF(INDEX(Dati!$FT$1:$FT$1000,MATCH($A28,Dati!$A$1:$A$1000,0))=1,"AS da recuperare",""),LEFT(IF(INDEX(Dati!$EE$1:$EE$1000,MATCH($A28,Dati!$A$1:$A$1000,0))&gt;0,Dati!$BC$3&amp;": "&amp;INDEX(Dati!$BC$1:$BC$1000,MATCH($A28,Dati!$A$1:$A$1000,0))&amp;" · ","")&amp;IF(INDEX(Dati!$EF$1:$EF$1000,MATCH($A28,Dati!$A$1:$A$1000,0))&gt;0,Dati!$BD$3&amp;": "&amp;INDEX(Dati!$BD$1:$BD$1000,MATCH($A28,Dati!$A$1:$A$1000,0))&amp;" · ","")&amp;IF(INDEX(Dati!$EG$1:$EG$1000,MATCH($A28,Dati!$A$1:$A$1000,0))&gt;0,Dati!$BE$3&amp;": "&amp;INDEX(Dati!$BE$1:$BE$1000,MATCH($A28,Dati!$A$1:$A$1000,0))&amp;" · ","")&amp;IF(INDEX(Dati!$EH$1:$EH$1000,MATCH($A28,Dati!$A$1:$A$1000,0))&gt;0,Dati!$BF$3&amp;": "&amp;INDEX(Dati!$BF$1:$BF$1000,MATCH($A28,Dati!$A$1:$A$1000,0))&amp;" · ",""),LEN(IF(INDEX(Dati!$EE$1:$EE$1000,MATCH($A28,Dati!$A$1:$A$1000,0))&gt;0,Dati!$BC$3&amp;": "&amp;INDEX(Dati!$BC$1:$BC$1000,MATCH($A28,Dati!$A$1:$A$1000,0))&amp;" · ","")&amp;IF(INDEX(Dati!$EF$1:$EF$1000,MATCH($A28,Dati!$A$1:$A$1000,0))&gt;0,Dati!$BD$3&amp;": "&amp;INDEX(Dati!$BD$1:$BD$1000,MATCH($A28,Dati!$A$1:$A$1000,0))&amp;" · ","")&amp;IF(INDEX(Dati!$EG$1:$EG$1000,MATCH($A28,Dati!$A$1:$A$1000,0))&gt;0,Dati!$BE$3&amp;": "&amp;INDEX(Dati!$BE$1:$BE$1000,MATCH($A28,Dati!$A$1:$A$1000,0))&amp;" · ","")&amp;IF(INDEX(Dati!$EH$1:$EH$1000,MATCH($A28,Dati!$A$1:$A$1000,0))&gt;0,Dati!$BF$3&amp;": "&amp;INDEX(Dati!$BF$1:$BF$1000,MATCH($A28,Dati!$A$1:$A$1000,0))&amp;" · ",""))-3)),""))</f>
        <v/>
      </c>
      <c r="Q28" s="55" t="str">
        <f aca="false">IF($B28="","",IFERROR(IF((IF(INDEX(Dati!$EI$1:$EI$1000,MATCH($A28,Dati!$A$1:$A$1000,0))&gt;0,Dati!$BG$3&amp;": "&amp;INDEX(Dati!$BG$1:$BG$1000,MATCH($A28,Dati!$A$1:$A$1000,0))&amp;" · ","")&amp;IF(INDEX(Dati!$EJ$1:$EJ$1000,MATCH($A28,Dati!$A$1:$A$1000,0))&gt;0,Dati!$BH$3&amp;": "&amp;INDEX(Dati!$BH$1:$BH$1000,MATCH($A28,Dati!$A$1:$A$1000,0))&amp;" · ","")&amp;IF(INDEX(Dati!$EK$1:$EK$1000,MATCH($A28,Dati!$A$1:$A$1000,0))&gt;0,Dati!$BI$3&amp;": "&amp;INDEX(Dati!$BI$1:$BI$1000,MATCH($A28,Dati!$A$1:$A$1000,0))&amp;" · ","")&amp;IF(INDEX(Dati!$EL$1:$EL$1000,MATCH($A28,Dati!$A$1:$A$1000,0))&gt;0,Dati!$BJ$3&amp;": "&amp;INDEX(Dati!$BJ$1:$BJ$1000,MATCH($A28,Dati!$A$1:$A$1000,0))&amp;" · ",""))="",IF(INDEX(Dati!$FU$1:$FU$1000,MATCH($A28,Dati!$A$1:$A$1000,0))=1,"AS da recuperare",""),LEFT(IF(INDEX(Dati!$EI$1:$EI$1000,MATCH($A28,Dati!$A$1:$A$1000,0))&gt;0,Dati!$BG$3&amp;": "&amp;INDEX(Dati!$BG$1:$BG$1000,MATCH($A28,Dati!$A$1:$A$1000,0))&amp;" · ","")&amp;IF(INDEX(Dati!$EJ$1:$EJ$1000,MATCH($A28,Dati!$A$1:$A$1000,0))&gt;0,Dati!$BH$3&amp;": "&amp;INDEX(Dati!$BH$1:$BH$1000,MATCH($A28,Dati!$A$1:$A$1000,0))&amp;" · ","")&amp;IF(INDEX(Dati!$EK$1:$EK$1000,MATCH($A28,Dati!$A$1:$A$1000,0))&gt;0,Dati!$BI$3&amp;": "&amp;INDEX(Dati!$BI$1:$BI$1000,MATCH($A28,Dati!$A$1:$A$1000,0))&amp;" · ","")&amp;IF(INDEX(Dati!$EL$1:$EL$1000,MATCH($A28,Dati!$A$1:$A$1000,0))&gt;0,Dati!$BJ$3&amp;": "&amp;INDEX(Dati!$BJ$1:$BJ$1000,MATCH($A28,Dati!$A$1:$A$1000,0))&amp;" · ",""),LEN(IF(INDEX(Dati!$EI$1:$EI$1000,MATCH($A28,Dati!$A$1:$A$1000,0))&gt;0,Dati!$BG$3&amp;": "&amp;INDEX(Dati!$BG$1:$BG$1000,MATCH($A28,Dati!$A$1:$A$1000,0))&amp;" · ","")&amp;IF(INDEX(Dati!$EJ$1:$EJ$1000,MATCH($A28,Dati!$A$1:$A$1000,0))&gt;0,Dati!$BH$3&amp;": "&amp;INDEX(Dati!$BH$1:$BH$1000,MATCH($A28,Dati!$A$1:$A$1000,0))&amp;" · ","")&amp;IF(INDEX(Dati!$EK$1:$EK$1000,MATCH($A28,Dati!$A$1:$A$1000,0))&gt;0,Dati!$BI$3&amp;": "&amp;INDEX(Dati!$BI$1:$BI$1000,MATCH($A28,Dati!$A$1:$A$1000,0))&amp;" · ","")&amp;IF(INDEX(Dati!$EL$1:$EL$1000,MATCH($A28,Dati!$A$1:$A$1000,0))&gt;0,Dati!$BJ$3&amp;": "&amp;INDEX(Dati!$BJ$1:$BJ$1000,MATCH($A28,Dati!$A$1:$A$1000,0))&amp;" · ",""))-3)),""))</f>
        <v/>
      </c>
      <c r="R28" s="55" t="str">
        <f aca="false">IF($B28="","",IFERROR(IF((IF(INDEX(Dati!$EM$1:$EM$1000,MATCH($A28,Dati!$A$1:$A$1000,0))&gt;0,Dati!$BK$3&amp;": "&amp;INDEX(Dati!$BK$1:$BK$1000,MATCH($A28,Dati!$A$1:$A$1000,0))&amp;" · ","")&amp;IF(INDEX(Dati!$EN$1:$EN$1000,MATCH($A28,Dati!$A$1:$A$1000,0))&gt;0,Dati!$BL$3&amp;": "&amp;INDEX(Dati!$BL$1:$BL$1000,MATCH($A28,Dati!$A$1:$A$1000,0))&amp;" · ","")&amp;IF(INDEX(Dati!$EO$1:$EO$1000,MATCH($A28,Dati!$A$1:$A$1000,0))&gt;0,Dati!$BM$3&amp;": "&amp;INDEX(Dati!$BM$1:$BM$1000,MATCH($A28,Dati!$A$1:$A$1000,0))&amp;" · ","")&amp;IF(INDEX(Dati!$EP$1:$EP$1000,MATCH($A28,Dati!$A$1:$A$1000,0))&gt;0,Dati!$BN$3&amp;": "&amp;INDEX(Dati!$BN$1:$BN$1000,MATCH($A28,Dati!$A$1:$A$1000,0))&amp;" · ",""))="",IF(INDEX(Dati!$FV$1:$FV$1000,MATCH($A28,Dati!$A$1:$A$1000,0))=1,"AS da recuperare",""),LEFT(IF(INDEX(Dati!$EM$1:$EM$1000,MATCH($A28,Dati!$A$1:$A$1000,0))&gt;0,Dati!$BK$3&amp;": "&amp;INDEX(Dati!$BK$1:$BK$1000,MATCH($A28,Dati!$A$1:$A$1000,0))&amp;" · ","")&amp;IF(INDEX(Dati!$EN$1:$EN$1000,MATCH($A28,Dati!$A$1:$A$1000,0))&gt;0,Dati!$BL$3&amp;": "&amp;INDEX(Dati!$BL$1:$BL$1000,MATCH($A28,Dati!$A$1:$A$1000,0))&amp;" · ","")&amp;IF(INDEX(Dati!$EO$1:$EO$1000,MATCH($A28,Dati!$A$1:$A$1000,0))&gt;0,Dati!$BM$3&amp;": "&amp;INDEX(Dati!$BM$1:$BM$1000,MATCH($A28,Dati!$A$1:$A$1000,0))&amp;" · ","")&amp;IF(INDEX(Dati!$EP$1:$EP$1000,MATCH($A28,Dati!$A$1:$A$1000,0))&gt;0,Dati!$BN$3&amp;": "&amp;INDEX(Dati!$BN$1:$BN$1000,MATCH($A28,Dati!$A$1:$A$1000,0))&amp;" · ",""),LEN(IF(INDEX(Dati!$EM$1:$EM$1000,MATCH($A28,Dati!$A$1:$A$1000,0))&gt;0,Dati!$BK$3&amp;": "&amp;INDEX(Dati!$BK$1:$BK$1000,MATCH($A28,Dati!$A$1:$A$1000,0))&amp;" · ","")&amp;IF(INDEX(Dati!$EN$1:$EN$1000,MATCH($A28,Dati!$A$1:$A$1000,0))&gt;0,Dati!$BL$3&amp;": "&amp;INDEX(Dati!$BL$1:$BL$1000,MATCH($A28,Dati!$A$1:$A$1000,0))&amp;" · ","")&amp;IF(INDEX(Dati!$EO$1:$EO$1000,MATCH($A28,Dati!$A$1:$A$1000,0))&gt;0,Dati!$BM$3&amp;": "&amp;INDEX(Dati!$BM$1:$BM$1000,MATCH($A28,Dati!$A$1:$A$1000,0))&amp;" · ","")&amp;IF(INDEX(Dati!$EP$1:$EP$1000,MATCH($A28,Dati!$A$1:$A$1000,0))&gt;0,Dati!$BN$3&amp;": "&amp;INDEX(Dati!$BN$1:$BN$1000,MATCH($A28,Dati!$A$1:$A$1000,0))&amp;" · ",""))-3)),""))</f>
        <v/>
      </c>
      <c r="S28" s="55" t="str">
        <f aca="false">IF($B28="","",IFERROR(IF((IF(INDEX(Dati!$EQ$1:$EQ$1000,MATCH($A28,Dati!$A$1:$A$1000,0))&gt;0,Dati!$BO$3&amp;": "&amp;INDEX(Dati!$BO$1:$BO$1000,MATCH($A28,Dati!$A$1:$A$1000,0))&amp;" · ","")&amp;IF(INDEX(Dati!$ER$1:$ER$1000,MATCH($A28,Dati!$A$1:$A$1000,0))&gt;0,Dati!$BP$3&amp;": "&amp;INDEX(Dati!$BP$1:$BP$1000,MATCH($A28,Dati!$A$1:$A$1000,0))&amp;" · ","")&amp;IF(INDEX(Dati!$ES$1:$ES$1000,MATCH($A28,Dati!$A$1:$A$1000,0))&gt;0,Dati!$BQ$3&amp;": "&amp;INDEX(Dati!$BQ$1:$BQ$1000,MATCH($A28,Dati!$A$1:$A$1000,0))&amp;" · ","")&amp;IF(INDEX(Dati!$ET$1:$ET$1000,MATCH($A28,Dati!$A$1:$A$1000,0))&gt;0,Dati!$BR$3&amp;": "&amp;INDEX(Dati!$BR$1:$BR$1000,MATCH($A28,Dati!$A$1:$A$1000,0))&amp;" · ",""))="",IF(INDEX(Dati!$FW$1:$FW$1000,MATCH($A28,Dati!$A$1:$A$1000,0))=1,"AS da recuperare",""),LEFT(IF(INDEX(Dati!$EQ$1:$EQ$1000,MATCH($A28,Dati!$A$1:$A$1000,0))&gt;0,Dati!$BO$3&amp;": "&amp;INDEX(Dati!$BO$1:$BO$1000,MATCH($A28,Dati!$A$1:$A$1000,0))&amp;" · ","")&amp;IF(INDEX(Dati!$ER$1:$ER$1000,MATCH($A28,Dati!$A$1:$A$1000,0))&gt;0,Dati!$BP$3&amp;": "&amp;INDEX(Dati!$BP$1:$BP$1000,MATCH($A28,Dati!$A$1:$A$1000,0))&amp;" · ","")&amp;IF(INDEX(Dati!$ES$1:$ES$1000,MATCH($A28,Dati!$A$1:$A$1000,0))&gt;0,Dati!$BQ$3&amp;": "&amp;INDEX(Dati!$BQ$1:$BQ$1000,MATCH($A28,Dati!$A$1:$A$1000,0))&amp;" · ","")&amp;IF(INDEX(Dati!$ET$1:$ET$1000,MATCH($A28,Dati!$A$1:$A$1000,0))&gt;0,Dati!$BR$3&amp;": "&amp;INDEX(Dati!$BR$1:$BR$1000,MATCH($A28,Dati!$A$1:$A$1000,0))&amp;" · ",""),LEN(IF(INDEX(Dati!$EQ$1:$EQ$1000,MATCH($A28,Dati!$A$1:$A$1000,0))&gt;0,Dati!$BO$3&amp;": "&amp;INDEX(Dati!$BO$1:$BO$1000,MATCH($A28,Dati!$A$1:$A$1000,0))&amp;" · ","")&amp;IF(INDEX(Dati!$ER$1:$ER$1000,MATCH($A28,Dati!$A$1:$A$1000,0))&gt;0,Dati!$BP$3&amp;": "&amp;INDEX(Dati!$BP$1:$BP$1000,MATCH($A28,Dati!$A$1:$A$1000,0))&amp;" · ","")&amp;IF(INDEX(Dati!$ES$1:$ES$1000,MATCH($A28,Dati!$A$1:$A$1000,0))&gt;0,Dati!$BQ$3&amp;": "&amp;INDEX(Dati!$BQ$1:$BQ$1000,MATCH($A28,Dati!$A$1:$A$1000,0))&amp;" · ","")&amp;IF(INDEX(Dati!$ET$1:$ET$1000,MATCH($A28,Dati!$A$1:$A$1000,0))&gt;0,Dati!$BR$3&amp;": "&amp;INDEX(Dati!$BR$1:$BR$1000,MATCH($A28,Dati!$A$1:$A$1000,0))&amp;" · ",""))-3)),""))</f>
        <v/>
      </c>
      <c r="T28" s="55" t="str">
        <f aca="false">IF($B28="","",IFERROR(IF((IF(INDEX(Dati!$EU$1:$EU$1000,MATCH($A28,Dati!$A$1:$A$1000,0))&gt;0,Dati!$BS$3&amp;": "&amp;INDEX(Dati!$BS$1:$BS$1000,MATCH($A28,Dati!$A$1:$A$1000,0))&amp;" · ","")&amp;IF(INDEX(Dati!$EV$1:$EV$1000,MATCH($A28,Dati!$A$1:$A$1000,0))&gt;0,Dati!$BT$3&amp;": "&amp;INDEX(Dati!$BT$1:$BT$1000,MATCH($A28,Dati!$A$1:$A$1000,0))&amp;" · ","")&amp;IF(INDEX(Dati!$EW$1:$EW$1000,MATCH($A28,Dati!$A$1:$A$1000,0))&gt;0,Dati!$BU$3&amp;": "&amp;INDEX(Dati!$BU$1:$BU$1000,MATCH($A28,Dati!$A$1:$A$1000,0))&amp;" · ","")&amp;IF(INDEX(Dati!$EX$1:$EX$1000,MATCH($A28,Dati!$A$1:$A$1000,0))&gt;0,Dati!$BV$3&amp;": "&amp;INDEX(Dati!$BV$1:$BV$1000,MATCH($A28,Dati!$A$1:$A$1000,0))&amp;" · ",""))="",IF(INDEX(Dati!$FX$1:$FX$1000,MATCH($A28,Dati!$A$1:$A$1000,0))=1,"AS da recuperare",""),LEFT(IF(INDEX(Dati!$EU$1:$EU$1000,MATCH($A28,Dati!$A$1:$A$1000,0))&gt;0,Dati!$BS$3&amp;": "&amp;INDEX(Dati!$BS$1:$BS$1000,MATCH($A28,Dati!$A$1:$A$1000,0))&amp;" · ","")&amp;IF(INDEX(Dati!$EV$1:$EV$1000,MATCH($A28,Dati!$A$1:$A$1000,0))&gt;0,Dati!$BT$3&amp;": "&amp;INDEX(Dati!$BT$1:$BT$1000,MATCH($A28,Dati!$A$1:$A$1000,0))&amp;" · ","")&amp;IF(INDEX(Dati!$EW$1:$EW$1000,MATCH($A28,Dati!$A$1:$A$1000,0))&gt;0,Dati!$BU$3&amp;": "&amp;INDEX(Dati!$BU$1:$BU$1000,MATCH($A28,Dati!$A$1:$A$1000,0))&amp;" · ","")&amp;IF(INDEX(Dati!$EX$1:$EX$1000,MATCH($A28,Dati!$A$1:$A$1000,0))&gt;0,Dati!$BV$3&amp;": "&amp;INDEX(Dati!$BV$1:$BV$1000,MATCH($A28,Dati!$A$1:$A$1000,0))&amp;" · ",""),LEN(IF(INDEX(Dati!$EU$1:$EU$1000,MATCH($A28,Dati!$A$1:$A$1000,0))&gt;0,Dati!$BS$3&amp;": "&amp;INDEX(Dati!$BS$1:$BS$1000,MATCH($A28,Dati!$A$1:$A$1000,0))&amp;" · ","")&amp;IF(INDEX(Dati!$EV$1:$EV$1000,MATCH($A28,Dati!$A$1:$A$1000,0))&gt;0,Dati!$BT$3&amp;": "&amp;INDEX(Dati!$BT$1:$BT$1000,MATCH($A28,Dati!$A$1:$A$1000,0))&amp;" · ","")&amp;IF(INDEX(Dati!$EW$1:$EW$1000,MATCH($A28,Dati!$A$1:$A$1000,0))&gt;0,Dati!$BU$3&amp;": "&amp;INDEX(Dati!$BU$1:$BU$1000,MATCH($A28,Dati!$A$1:$A$1000,0))&amp;" · ","")&amp;IF(INDEX(Dati!$EX$1:$EX$1000,MATCH($A28,Dati!$A$1:$A$1000,0))&gt;0,Dati!$BV$3&amp;": "&amp;INDEX(Dati!$BV$1:$BV$1000,MATCH($A28,Dati!$A$1:$A$1000,0))&amp;" · ",""))-3)),""))</f>
        <v/>
      </c>
      <c r="U28" s="55" t="str">
        <f aca="false">IF($B28="","",IFERROR(IF((IF(INDEX(Dati!$EY$1:$EY$1000,MATCH($A28,Dati!$A$1:$A$1000,0))&gt;0,Dati!$BW$3&amp;": "&amp;INDEX(Dati!$BW$1:$BW$1000,MATCH($A28,Dati!$A$1:$A$1000,0))&amp;" · ","")&amp;IF(INDEX(Dati!$EZ$1:$EZ$1000,MATCH($A28,Dati!$A$1:$A$1000,0))&gt;0,Dati!$BX$3&amp;": "&amp;INDEX(Dati!$BX$1:$BX$1000,MATCH($A28,Dati!$A$1:$A$1000,0))&amp;" · ","")&amp;IF(INDEX(Dati!$FA$1:$FA$1000,MATCH($A28,Dati!$A$1:$A$1000,0))&gt;0,Dati!$BY$3&amp;": "&amp;INDEX(Dati!$BY$1:$BY$1000,MATCH($A28,Dati!$A$1:$A$1000,0))&amp;" · ","")&amp;IF(INDEX(Dati!$FB$1:$FB$1000,MATCH($A28,Dati!$A$1:$A$1000,0))&gt;0,Dati!$BZ$3&amp;": "&amp;INDEX(Dati!$BZ$1:$BZ$1000,MATCH($A28,Dati!$A$1:$A$1000,0))&amp;" · ",""))="",IF(INDEX(Dati!$FY$1:$FY$1000,MATCH($A28,Dati!$A$1:$A$1000,0))=1,"AS da recuperare",""),LEFT(IF(INDEX(Dati!$EY$1:$EY$1000,MATCH($A28,Dati!$A$1:$A$1000,0))&gt;0,Dati!$BW$3&amp;": "&amp;INDEX(Dati!$BW$1:$BW$1000,MATCH($A28,Dati!$A$1:$A$1000,0))&amp;" · ","")&amp;IF(INDEX(Dati!$EZ$1:$EZ$1000,MATCH($A28,Dati!$A$1:$A$1000,0))&gt;0,Dati!$BX$3&amp;": "&amp;INDEX(Dati!$BX$1:$BX$1000,MATCH($A28,Dati!$A$1:$A$1000,0))&amp;" · ","")&amp;IF(INDEX(Dati!$FA$1:$FA$1000,MATCH($A28,Dati!$A$1:$A$1000,0))&gt;0,Dati!$BY$3&amp;": "&amp;INDEX(Dati!$BY$1:$BY$1000,MATCH($A28,Dati!$A$1:$A$1000,0))&amp;" · ","")&amp;IF(INDEX(Dati!$FB$1:$FB$1000,MATCH($A28,Dati!$A$1:$A$1000,0))&gt;0,Dati!$BZ$3&amp;": "&amp;INDEX(Dati!$BZ$1:$BZ$1000,MATCH($A28,Dati!$A$1:$A$1000,0))&amp;" · ",""),LEN(IF(INDEX(Dati!$EY$1:$EY$1000,MATCH($A28,Dati!$A$1:$A$1000,0))&gt;0,Dati!$BW$3&amp;": "&amp;INDEX(Dati!$BW$1:$BW$1000,MATCH($A28,Dati!$A$1:$A$1000,0))&amp;" · ","")&amp;IF(INDEX(Dati!$EZ$1:$EZ$1000,MATCH($A28,Dati!$A$1:$A$1000,0))&gt;0,Dati!$BX$3&amp;": "&amp;INDEX(Dati!$BX$1:$BX$1000,MATCH($A28,Dati!$A$1:$A$1000,0))&amp;" · ","")&amp;IF(INDEX(Dati!$FA$1:$FA$1000,MATCH($A28,Dati!$A$1:$A$1000,0))&gt;0,Dati!$BY$3&amp;": "&amp;INDEX(Dati!$BY$1:$BY$1000,MATCH($A28,Dati!$A$1:$A$1000,0))&amp;" · ","")&amp;IF(INDEX(Dati!$FB$1:$FB$1000,MATCH($A28,Dati!$A$1:$A$1000,0))&gt;0,Dati!$BZ$3&amp;": "&amp;INDEX(Dati!$BZ$1:$BZ$1000,MATCH($A28,Dati!$A$1:$A$1000,0))&amp;" · ",""))-3)),""))</f>
        <v/>
      </c>
      <c r="V28" s="55" t="str">
        <f aca="false">IF($B28="","",IFERROR(IF((IF(INDEX(Dati!$FC$1:$FC$1000,MATCH($A28,Dati!$A$1:$A$1000,0))&gt;0,Dati!$CA$3&amp;": "&amp;INDEX(Dati!$CA$1:$CA$1000,MATCH($A28,Dati!$A$1:$A$1000,0))&amp;" · ","")&amp;IF(INDEX(Dati!$FD$1:$FD$1000,MATCH($A28,Dati!$A$1:$A$1000,0))&gt;0,Dati!$CB$3&amp;": "&amp;INDEX(Dati!$CB$1:$CB$1000,MATCH($A28,Dati!$A$1:$A$1000,0))&amp;" · ","")&amp;IF(INDEX(Dati!$FE$1:$FE$1000,MATCH($A28,Dati!$A$1:$A$1000,0))&gt;0,Dati!$CC$3&amp;": "&amp;INDEX(Dati!$CC$1:$CC$1000,MATCH($A28,Dati!$A$1:$A$1000,0))&amp;" · ","")&amp;IF(INDEX(Dati!$FF$1:$FF$1000,MATCH($A28,Dati!$A$1:$A$1000,0))&gt;0,Dati!$CD$3&amp;": "&amp;INDEX(Dati!$CD$1:$CD$1000,MATCH($A28,Dati!$A$1:$A$1000,0))&amp;" · ",""))="",IF(INDEX(Dati!$FZ$1:$FZ$1000,MATCH($A28,Dati!$A$1:$A$1000,0))=1,"AS da recuperare",""),LEFT(IF(INDEX(Dati!$FC$1:$FC$1000,MATCH($A28,Dati!$A$1:$A$1000,0))&gt;0,Dati!$CA$3&amp;": "&amp;INDEX(Dati!$CA$1:$CA$1000,MATCH($A28,Dati!$A$1:$A$1000,0))&amp;" · ","")&amp;IF(INDEX(Dati!$FD$1:$FD$1000,MATCH($A28,Dati!$A$1:$A$1000,0))&gt;0,Dati!$CB$3&amp;": "&amp;INDEX(Dati!$CB$1:$CB$1000,MATCH($A28,Dati!$A$1:$A$1000,0))&amp;" · ","")&amp;IF(INDEX(Dati!$FE$1:$FE$1000,MATCH($A28,Dati!$A$1:$A$1000,0))&gt;0,Dati!$CC$3&amp;": "&amp;INDEX(Dati!$CC$1:$CC$1000,MATCH($A28,Dati!$A$1:$A$1000,0))&amp;" · ","")&amp;IF(INDEX(Dati!$FF$1:$FF$1000,MATCH($A28,Dati!$A$1:$A$1000,0))&gt;0,Dati!$CD$3&amp;": "&amp;INDEX(Dati!$CD$1:$CD$1000,MATCH($A28,Dati!$A$1:$A$1000,0))&amp;" · ",""),LEN(IF(INDEX(Dati!$FC$1:$FC$1000,MATCH($A28,Dati!$A$1:$A$1000,0))&gt;0,Dati!$CA$3&amp;": "&amp;INDEX(Dati!$CA$1:$CA$1000,MATCH($A28,Dati!$A$1:$A$1000,0))&amp;" · ","")&amp;IF(INDEX(Dati!$FD$1:$FD$1000,MATCH($A28,Dati!$A$1:$A$1000,0))&gt;0,Dati!$CB$3&amp;": "&amp;INDEX(Dati!$CB$1:$CB$1000,MATCH($A28,Dati!$A$1:$A$1000,0))&amp;" · ","")&amp;IF(INDEX(Dati!$FE$1:$FE$1000,MATCH($A28,Dati!$A$1:$A$1000,0))&gt;0,Dati!$CC$3&amp;": "&amp;INDEX(Dati!$CC$1:$CC$1000,MATCH($A28,Dati!$A$1:$A$1000,0))&amp;" · ","")&amp;IF(INDEX(Dati!$FF$1:$FF$1000,MATCH($A28,Dati!$A$1:$A$1000,0))&gt;0,Dati!$CD$3&amp;": "&amp;INDEX(Dati!$CD$1:$CD$1000,MATCH($A28,Dati!$A$1:$A$1000,0))&amp;" · ",""))-3)),""))</f>
        <v/>
      </c>
    </row>
    <row r="29" customFormat="false" ht="19.5" hidden="false" customHeight="true" outlineLevel="0" collapsed="false">
      <c r="A29" s="10" t="n">
        <v>25</v>
      </c>
      <c r="B29" s="16" t="str">
        <f aca="false">IFERROR(INDEX(Alunni!$C$1:$C$1000,MATCH($A29,Alunni!$A$1:$A$1000,0))&amp;"","")</f>
        <v/>
      </c>
      <c r="C29" s="55" t="str">
        <f aca="false">IF($B29="","",IFERROR(IF((IF(INDEX(Dati!$CE$1:$CE$1000,MATCH($A29,Dati!$A$1:$A$1000,0))&gt;0,Dati!$C$3&amp;": "&amp;INDEX(Dati!$C$1:$C$1000,MATCH($A29,Dati!$A$1:$A$1000,0))&amp;" · ","")&amp;IF(INDEX(Dati!$CF$1:$CF$1000,MATCH($A29,Dati!$A$1:$A$1000,0))&gt;0,Dati!$D$3&amp;": "&amp;INDEX(Dati!$D$1:$D$1000,MATCH($A29,Dati!$A$1:$A$1000,0))&amp;" · ","")&amp;IF(INDEX(Dati!$CG$1:$CG$1000,MATCH($A29,Dati!$A$1:$A$1000,0))&gt;0,Dati!$E$3&amp;": "&amp;INDEX(Dati!$E$1:$E$1000,MATCH($A29,Dati!$A$1:$A$1000,0))&amp;" · ","")&amp;IF(INDEX(Dati!$CH$1:$CH$1000,MATCH($A29,Dati!$A$1:$A$1000,0))&gt;0,Dati!$F$3&amp;": "&amp;INDEX(Dati!$F$1:$F$1000,MATCH($A29,Dati!$A$1:$A$1000,0))&amp;" · ",""))="",IF(INDEX(Dati!$FG$1:$FG$1000,MATCH($A29,Dati!$A$1:$A$1000,0))=1,"AS da recuperare",""),LEFT(IF(INDEX(Dati!$CE$1:$CE$1000,MATCH($A29,Dati!$A$1:$A$1000,0))&gt;0,Dati!$C$3&amp;": "&amp;INDEX(Dati!$C$1:$C$1000,MATCH($A29,Dati!$A$1:$A$1000,0))&amp;" · ","")&amp;IF(INDEX(Dati!$CF$1:$CF$1000,MATCH($A29,Dati!$A$1:$A$1000,0))&gt;0,Dati!$D$3&amp;": "&amp;INDEX(Dati!$D$1:$D$1000,MATCH($A29,Dati!$A$1:$A$1000,0))&amp;" · ","")&amp;IF(INDEX(Dati!$CG$1:$CG$1000,MATCH($A29,Dati!$A$1:$A$1000,0))&gt;0,Dati!$E$3&amp;": "&amp;INDEX(Dati!$E$1:$E$1000,MATCH($A29,Dati!$A$1:$A$1000,0))&amp;" · ","")&amp;IF(INDEX(Dati!$CH$1:$CH$1000,MATCH($A29,Dati!$A$1:$A$1000,0))&gt;0,Dati!$F$3&amp;": "&amp;INDEX(Dati!$F$1:$F$1000,MATCH($A29,Dati!$A$1:$A$1000,0))&amp;" · ",""),LEN(IF(INDEX(Dati!$CE$1:$CE$1000,MATCH($A29,Dati!$A$1:$A$1000,0))&gt;0,Dati!$C$3&amp;": "&amp;INDEX(Dati!$C$1:$C$1000,MATCH($A29,Dati!$A$1:$A$1000,0))&amp;" · ","")&amp;IF(INDEX(Dati!$CF$1:$CF$1000,MATCH($A29,Dati!$A$1:$A$1000,0))&gt;0,Dati!$D$3&amp;": "&amp;INDEX(Dati!$D$1:$D$1000,MATCH($A29,Dati!$A$1:$A$1000,0))&amp;" · ","")&amp;IF(INDEX(Dati!$CG$1:$CG$1000,MATCH($A29,Dati!$A$1:$A$1000,0))&gt;0,Dati!$E$3&amp;": "&amp;INDEX(Dati!$E$1:$E$1000,MATCH($A29,Dati!$A$1:$A$1000,0))&amp;" · ","")&amp;IF(INDEX(Dati!$CH$1:$CH$1000,MATCH($A29,Dati!$A$1:$A$1000,0))&gt;0,Dati!$F$3&amp;": "&amp;INDEX(Dati!$F$1:$F$1000,MATCH($A29,Dati!$A$1:$A$1000,0))&amp;" · ",""))-3)),""))</f>
        <v/>
      </c>
      <c r="D29" s="55" t="str">
        <f aca="false">IF($B29="","",IFERROR(IF((IF(INDEX(Dati!$CI$1:$CI$1000,MATCH($A29,Dati!$A$1:$A$1000,0))&gt;0,Dati!$G$3&amp;": "&amp;INDEX(Dati!$G$1:$G$1000,MATCH($A29,Dati!$A$1:$A$1000,0))&amp;" · ","")&amp;IF(INDEX(Dati!$CJ$1:$CJ$1000,MATCH($A29,Dati!$A$1:$A$1000,0))&gt;0,Dati!$H$3&amp;": "&amp;INDEX(Dati!$H$1:$H$1000,MATCH($A29,Dati!$A$1:$A$1000,0))&amp;" · ","")&amp;IF(INDEX(Dati!$CK$1:$CK$1000,MATCH($A29,Dati!$A$1:$A$1000,0))&gt;0,Dati!$I$3&amp;": "&amp;INDEX(Dati!$I$1:$I$1000,MATCH($A29,Dati!$A$1:$A$1000,0))&amp;" · ","")&amp;IF(INDEX(Dati!$CL$1:$CL$1000,MATCH($A29,Dati!$A$1:$A$1000,0))&gt;0,Dati!$J$3&amp;": "&amp;INDEX(Dati!$J$1:$J$1000,MATCH($A29,Dati!$A$1:$A$1000,0))&amp;" · ",""))="",IF(INDEX(Dati!$FH$1:$FH$1000,MATCH($A29,Dati!$A$1:$A$1000,0))=1,"AS da recuperare",""),LEFT(IF(INDEX(Dati!$CI$1:$CI$1000,MATCH($A29,Dati!$A$1:$A$1000,0))&gt;0,Dati!$G$3&amp;": "&amp;INDEX(Dati!$G$1:$G$1000,MATCH($A29,Dati!$A$1:$A$1000,0))&amp;" · ","")&amp;IF(INDEX(Dati!$CJ$1:$CJ$1000,MATCH($A29,Dati!$A$1:$A$1000,0))&gt;0,Dati!$H$3&amp;": "&amp;INDEX(Dati!$H$1:$H$1000,MATCH($A29,Dati!$A$1:$A$1000,0))&amp;" · ","")&amp;IF(INDEX(Dati!$CK$1:$CK$1000,MATCH($A29,Dati!$A$1:$A$1000,0))&gt;0,Dati!$I$3&amp;": "&amp;INDEX(Dati!$I$1:$I$1000,MATCH($A29,Dati!$A$1:$A$1000,0))&amp;" · ","")&amp;IF(INDEX(Dati!$CL$1:$CL$1000,MATCH($A29,Dati!$A$1:$A$1000,0))&gt;0,Dati!$J$3&amp;": "&amp;INDEX(Dati!$J$1:$J$1000,MATCH($A29,Dati!$A$1:$A$1000,0))&amp;" · ",""),LEN(IF(INDEX(Dati!$CI$1:$CI$1000,MATCH($A29,Dati!$A$1:$A$1000,0))&gt;0,Dati!$G$3&amp;": "&amp;INDEX(Dati!$G$1:$G$1000,MATCH($A29,Dati!$A$1:$A$1000,0))&amp;" · ","")&amp;IF(INDEX(Dati!$CJ$1:$CJ$1000,MATCH($A29,Dati!$A$1:$A$1000,0))&gt;0,Dati!$H$3&amp;": "&amp;INDEX(Dati!$H$1:$H$1000,MATCH($A29,Dati!$A$1:$A$1000,0))&amp;" · ","")&amp;IF(INDEX(Dati!$CK$1:$CK$1000,MATCH($A29,Dati!$A$1:$A$1000,0))&gt;0,Dati!$I$3&amp;": "&amp;INDEX(Dati!$I$1:$I$1000,MATCH($A29,Dati!$A$1:$A$1000,0))&amp;" · ","")&amp;IF(INDEX(Dati!$CL$1:$CL$1000,MATCH($A29,Dati!$A$1:$A$1000,0))&gt;0,Dati!$J$3&amp;": "&amp;INDEX(Dati!$J$1:$J$1000,MATCH($A29,Dati!$A$1:$A$1000,0))&amp;" · ",""))-3)),""))</f>
        <v/>
      </c>
      <c r="E29" s="55" t="str">
        <f aca="false">IF($B29="","",IFERROR(IF((IF(INDEX(Dati!$CM$1:$CM$1000,MATCH($A29,Dati!$A$1:$A$1000,0))&gt;0,Dati!$K$3&amp;": "&amp;INDEX(Dati!$K$1:$K$1000,MATCH($A29,Dati!$A$1:$A$1000,0))&amp;" · ","")&amp;IF(INDEX(Dati!$CN$1:$CN$1000,MATCH($A29,Dati!$A$1:$A$1000,0))&gt;0,Dati!$L$3&amp;": "&amp;INDEX(Dati!$L$1:$L$1000,MATCH($A29,Dati!$A$1:$A$1000,0))&amp;" · ","")&amp;IF(INDEX(Dati!$CO$1:$CO$1000,MATCH($A29,Dati!$A$1:$A$1000,0))&gt;0,Dati!$M$3&amp;": "&amp;INDEX(Dati!$M$1:$M$1000,MATCH($A29,Dati!$A$1:$A$1000,0))&amp;" · ","")&amp;IF(INDEX(Dati!$CP$1:$CP$1000,MATCH($A29,Dati!$A$1:$A$1000,0))&gt;0,Dati!$N$3&amp;": "&amp;INDEX(Dati!$N$1:$N$1000,MATCH($A29,Dati!$A$1:$A$1000,0))&amp;" · ",""))="",IF(INDEX(Dati!$FI$1:$FI$1000,MATCH($A29,Dati!$A$1:$A$1000,0))=1,"AS da recuperare",""),LEFT(IF(INDEX(Dati!$CM$1:$CM$1000,MATCH($A29,Dati!$A$1:$A$1000,0))&gt;0,Dati!$K$3&amp;": "&amp;INDEX(Dati!$K$1:$K$1000,MATCH($A29,Dati!$A$1:$A$1000,0))&amp;" · ","")&amp;IF(INDEX(Dati!$CN$1:$CN$1000,MATCH($A29,Dati!$A$1:$A$1000,0))&gt;0,Dati!$L$3&amp;": "&amp;INDEX(Dati!$L$1:$L$1000,MATCH($A29,Dati!$A$1:$A$1000,0))&amp;" · ","")&amp;IF(INDEX(Dati!$CO$1:$CO$1000,MATCH($A29,Dati!$A$1:$A$1000,0))&gt;0,Dati!$M$3&amp;": "&amp;INDEX(Dati!$M$1:$M$1000,MATCH($A29,Dati!$A$1:$A$1000,0))&amp;" · ","")&amp;IF(INDEX(Dati!$CP$1:$CP$1000,MATCH($A29,Dati!$A$1:$A$1000,0))&gt;0,Dati!$N$3&amp;": "&amp;INDEX(Dati!$N$1:$N$1000,MATCH($A29,Dati!$A$1:$A$1000,0))&amp;" · ",""),LEN(IF(INDEX(Dati!$CM$1:$CM$1000,MATCH($A29,Dati!$A$1:$A$1000,0))&gt;0,Dati!$K$3&amp;": "&amp;INDEX(Dati!$K$1:$K$1000,MATCH($A29,Dati!$A$1:$A$1000,0))&amp;" · ","")&amp;IF(INDEX(Dati!$CN$1:$CN$1000,MATCH($A29,Dati!$A$1:$A$1000,0))&gt;0,Dati!$L$3&amp;": "&amp;INDEX(Dati!$L$1:$L$1000,MATCH($A29,Dati!$A$1:$A$1000,0))&amp;" · ","")&amp;IF(INDEX(Dati!$CO$1:$CO$1000,MATCH($A29,Dati!$A$1:$A$1000,0))&gt;0,Dati!$M$3&amp;": "&amp;INDEX(Dati!$M$1:$M$1000,MATCH($A29,Dati!$A$1:$A$1000,0))&amp;" · ","")&amp;IF(INDEX(Dati!$CP$1:$CP$1000,MATCH($A29,Dati!$A$1:$A$1000,0))&gt;0,Dati!$N$3&amp;": "&amp;INDEX(Dati!$N$1:$N$1000,MATCH($A29,Dati!$A$1:$A$1000,0))&amp;" · ",""))-3)),""))</f>
        <v/>
      </c>
      <c r="F29" s="55" t="str">
        <f aca="false">IF($B29="","",IFERROR(IF((IF(INDEX(Dati!$CQ$1:$CQ$1000,MATCH($A29,Dati!$A$1:$A$1000,0))&gt;0,Dati!$O$3&amp;": "&amp;INDEX(Dati!$O$1:$O$1000,MATCH($A29,Dati!$A$1:$A$1000,0))&amp;" · ","")&amp;IF(INDEX(Dati!$CR$1:$CR$1000,MATCH($A29,Dati!$A$1:$A$1000,0))&gt;0,Dati!$P$3&amp;": "&amp;INDEX(Dati!$P$1:$P$1000,MATCH($A29,Dati!$A$1:$A$1000,0))&amp;" · ","")&amp;IF(INDEX(Dati!$CS$1:$CS$1000,MATCH($A29,Dati!$A$1:$A$1000,0))&gt;0,Dati!$Q$3&amp;": "&amp;INDEX(Dati!$Q$1:$Q$1000,MATCH($A29,Dati!$A$1:$A$1000,0))&amp;" · ","")&amp;IF(INDEX(Dati!$CT$1:$CT$1000,MATCH($A29,Dati!$A$1:$A$1000,0))&gt;0,Dati!$R$3&amp;": "&amp;INDEX(Dati!$R$1:$R$1000,MATCH($A29,Dati!$A$1:$A$1000,0))&amp;" · ",""))="",IF(INDEX(Dati!$FJ$1:$FJ$1000,MATCH($A29,Dati!$A$1:$A$1000,0))=1,"AS da recuperare",""),LEFT(IF(INDEX(Dati!$CQ$1:$CQ$1000,MATCH($A29,Dati!$A$1:$A$1000,0))&gt;0,Dati!$O$3&amp;": "&amp;INDEX(Dati!$O$1:$O$1000,MATCH($A29,Dati!$A$1:$A$1000,0))&amp;" · ","")&amp;IF(INDEX(Dati!$CR$1:$CR$1000,MATCH($A29,Dati!$A$1:$A$1000,0))&gt;0,Dati!$P$3&amp;": "&amp;INDEX(Dati!$P$1:$P$1000,MATCH($A29,Dati!$A$1:$A$1000,0))&amp;" · ","")&amp;IF(INDEX(Dati!$CS$1:$CS$1000,MATCH($A29,Dati!$A$1:$A$1000,0))&gt;0,Dati!$Q$3&amp;": "&amp;INDEX(Dati!$Q$1:$Q$1000,MATCH($A29,Dati!$A$1:$A$1000,0))&amp;" · ","")&amp;IF(INDEX(Dati!$CT$1:$CT$1000,MATCH($A29,Dati!$A$1:$A$1000,0))&gt;0,Dati!$R$3&amp;": "&amp;INDEX(Dati!$R$1:$R$1000,MATCH($A29,Dati!$A$1:$A$1000,0))&amp;" · ",""),LEN(IF(INDEX(Dati!$CQ$1:$CQ$1000,MATCH($A29,Dati!$A$1:$A$1000,0))&gt;0,Dati!$O$3&amp;": "&amp;INDEX(Dati!$O$1:$O$1000,MATCH($A29,Dati!$A$1:$A$1000,0))&amp;" · ","")&amp;IF(INDEX(Dati!$CR$1:$CR$1000,MATCH($A29,Dati!$A$1:$A$1000,0))&gt;0,Dati!$P$3&amp;": "&amp;INDEX(Dati!$P$1:$P$1000,MATCH($A29,Dati!$A$1:$A$1000,0))&amp;" · ","")&amp;IF(INDEX(Dati!$CS$1:$CS$1000,MATCH($A29,Dati!$A$1:$A$1000,0))&gt;0,Dati!$Q$3&amp;": "&amp;INDEX(Dati!$Q$1:$Q$1000,MATCH($A29,Dati!$A$1:$A$1000,0))&amp;" · ","")&amp;IF(INDEX(Dati!$CT$1:$CT$1000,MATCH($A29,Dati!$A$1:$A$1000,0))&gt;0,Dati!$R$3&amp;": "&amp;INDEX(Dati!$R$1:$R$1000,MATCH($A29,Dati!$A$1:$A$1000,0))&amp;" · ",""))-3)),""))</f>
        <v/>
      </c>
      <c r="G29" s="55" t="str">
        <f aca="false">IF($B29="","",IFERROR(IF((IF(INDEX(Dati!$CU$1:$CU$1000,MATCH($A29,Dati!$A$1:$A$1000,0))&gt;0,Dati!$S$3&amp;": "&amp;INDEX(Dati!$S$1:$S$1000,MATCH($A29,Dati!$A$1:$A$1000,0))&amp;" · ","")&amp;IF(INDEX(Dati!$CV$1:$CV$1000,MATCH($A29,Dati!$A$1:$A$1000,0))&gt;0,Dati!$T$3&amp;": "&amp;INDEX(Dati!$T$1:$T$1000,MATCH($A29,Dati!$A$1:$A$1000,0))&amp;" · ","")&amp;IF(INDEX(Dati!$CW$1:$CW$1000,MATCH($A29,Dati!$A$1:$A$1000,0))&gt;0,Dati!$U$3&amp;": "&amp;INDEX(Dati!$U$1:$U$1000,MATCH($A29,Dati!$A$1:$A$1000,0))&amp;" · ","")&amp;IF(INDEX(Dati!$CX$1:$CX$1000,MATCH($A29,Dati!$A$1:$A$1000,0))&gt;0,Dati!$V$3&amp;": "&amp;INDEX(Dati!$V$1:$V$1000,MATCH($A29,Dati!$A$1:$A$1000,0))&amp;" · ",""))="",IF(INDEX(Dati!$FK$1:$FK$1000,MATCH($A29,Dati!$A$1:$A$1000,0))=1,"AS da recuperare",""),LEFT(IF(INDEX(Dati!$CU$1:$CU$1000,MATCH($A29,Dati!$A$1:$A$1000,0))&gt;0,Dati!$S$3&amp;": "&amp;INDEX(Dati!$S$1:$S$1000,MATCH($A29,Dati!$A$1:$A$1000,0))&amp;" · ","")&amp;IF(INDEX(Dati!$CV$1:$CV$1000,MATCH($A29,Dati!$A$1:$A$1000,0))&gt;0,Dati!$T$3&amp;": "&amp;INDEX(Dati!$T$1:$T$1000,MATCH($A29,Dati!$A$1:$A$1000,0))&amp;" · ","")&amp;IF(INDEX(Dati!$CW$1:$CW$1000,MATCH($A29,Dati!$A$1:$A$1000,0))&gt;0,Dati!$U$3&amp;": "&amp;INDEX(Dati!$U$1:$U$1000,MATCH($A29,Dati!$A$1:$A$1000,0))&amp;" · ","")&amp;IF(INDEX(Dati!$CX$1:$CX$1000,MATCH($A29,Dati!$A$1:$A$1000,0))&gt;0,Dati!$V$3&amp;": "&amp;INDEX(Dati!$V$1:$V$1000,MATCH($A29,Dati!$A$1:$A$1000,0))&amp;" · ",""),LEN(IF(INDEX(Dati!$CU$1:$CU$1000,MATCH($A29,Dati!$A$1:$A$1000,0))&gt;0,Dati!$S$3&amp;": "&amp;INDEX(Dati!$S$1:$S$1000,MATCH($A29,Dati!$A$1:$A$1000,0))&amp;" · ","")&amp;IF(INDEX(Dati!$CV$1:$CV$1000,MATCH($A29,Dati!$A$1:$A$1000,0))&gt;0,Dati!$T$3&amp;": "&amp;INDEX(Dati!$T$1:$T$1000,MATCH($A29,Dati!$A$1:$A$1000,0))&amp;" · ","")&amp;IF(INDEX(Dati!$CW$1:$CW$1000,MATCH($A29,Dati!$A$1:$A$1000,0))&gt;0,Dati!$U$3&amp;": "&amp;INDEX(Dati!$U$1:$U$1000,MATCH($A29,Dati!$A$1:$A$1000,0))&amp;" · ","")&amp;IF(INDEX(Dati!$CX$1:$CX$1000,MATCH($A29,Dati!$A$1:$A$1000,0))&gt;0,Dati!$V$3&amp;": "&amp;INDEX(Dati!$V$1:$V$1000,MATCH($A29,Dati!$A$1:$A$1000,0))&amp;" · ",""))-3)),""))</f>
        <v/>
      </c>
      <c r="H29" s="55" t="str">
        <f aca="false">IF($B29="","",IFERROR(IF((IF(INDEX(Dati!$CY$1:$CY$1000,MATCH($A29,Dati!$A$1:$A$1000,0))&gt;0,Dati!$W$3&amp;": "&amp;INDEX(Dati!$W$1:$W$1000,MATCH($A29,Dati!$A$1:$A$1000,0))&amp;" · ","")&amp;IF(INDEX(Dati!$CZ$1:$CZ$1000,MATCH($A29,Dati!$A$1:$A$1000,0))&gt;0,Dati!$X$3&amp;": "&amp;INDEX(Dati!$X$1:$X$1000,MATCH($A29,Dati!$A$1:$A$1000,0))&amp;" · ","")&amp;IF(INDEX(Dati!$DA$1:$DA$1000,MATCH($A29,Dati!$A$1:$A$1000,0))&gt;0,Dati!$Y$3&amp;": "&amp;INDEX(Dati!$Y$1:$Y$1000,MATCH($A29,Dati!$A$1:$A$1000,0))&amp;" · ","")&amp;IF(INDEX(Dati!$DB$1:$DB$1000,MATCH($A29,Dati!$A$1:$A$1000,0))&gt;0,Dati!$Z$3&amp;": "&amp;INDEX(Dati!$Z$1:$Z$1000,MATCH($A29,Dati!$A$1:$A$1000,0))&amp;" · ",""))="",IF(INDEX(Dati!$FL$1:$FL$1000,MATCH($A29,Dati!$A$1:$A$1000,0))=1,"AS da recuperare",""),LEFT(IF(INDEX(Dati!$CY$1:$CY$1000,MATCH($A29,Dati!$A$1:$A$1000,0))&gt;0,Dati!$W$3&amp;": "&amp;INDEX(Dati!$W$1:$W$1000,MATCH($A29,Dati!$A$1:$A$1000,0))&amp;" · ","")&amp;IF(INDEX(Dati!$CZ$1:$CZ$1000,MATCH($A29,Dati!$A$1:$A$1000,0))&gt;0,Dati!$X$3&amp;": "&amp;INDEX(Dati!$X$1:$X$1000,MATCH($A29,Dati!$A$1:$A$1000,0))&amp;" · ","")&amp;IF(INDEX(Dati!$DA$1:$DA$1000,MATCH($A29,Dati!$A$1:$A$1000,0))&gt;0,Dati!$Y$3&amp;": "&amp;INDEX(Dati!$Y$1:$Y$1000,MATCH($A29,Dati!$A$1:$A$1000,0))&amp;" · ","")&amp;IF(INDEX(Dati!$DB$1:$DB$1000,MATCH($A29,Dati!$A$1:$A$1000,0))&gt;0,Dati!$Z$3&amp;": "&amp;INDEX(Dati!$Z$1:$Z$1000,MATCH($A29,Dati!$A$1:$A$1000,0))&amp;" · ",""),LEN(IF(INDEX(Dati!$CY$1:$CY$1000,MATCH($A29,Dati!$A$1:$A$1000,0))&gt;0,Dati!$W$3&amp;": "&amp;INDEX(Dati!$W$1:$W$1000,MATCH($A29,Dati!$A$1:$A$1000,0))&amp;" · ","")&amp;IF(INDEX(Dati!$CZ$1:$CZ$1000,MATCH($A29,Dati!$A$1:$A$1000,0))&gt;0,Dati!$X$3&amp;": "&amp;INDEX(Dati!$X$1:$X$1000,MATCH($A29,Dati!$A$1:$A$1000,0))&amp;" · ","")&amp;IF(INDEX(Dati!$DA$1:$DA$1000,MATCH($A29,Dati!$A$1:$A$1000,0))&gt;0,Dati!$Y$3&amp;": "&amp;INDEX(Dati!$Y$1:$Y$1000,MATCH($A29,Dati!$A$1:$A$1000,0))&amp;" · ","")&amp;IF(INDEX(Dati!$DB$1:$DB$1000,MATCH($A29,Dati!$A$1:$A$1000,0))&gt;0,Dati!$Z$3&amp;": "&amp;INDEX(Dati!$Z$1:$Z$1000,MATCH($A29,Dati!$A$1:$A$1000,0))&amp;" · ",""))-3)),""))</f>
        <v/>
      </c>
      <c r="I29" s="55" t="str">
        <f aca="false">IF($B29="","",IFERROR(IF((IF(INDEX(Dati!$DC$1:$DC$1000,MATCH($A29,Dati!$A$1:$A$1000,0))&gt;0,Dati!$AA$3&amp;": "&amp;INDEX(Dati!$AA$1:$AA$1000,MATCH($A29,Dati!$A$1:$A$1000,0))&amp;" · ","")&amp;IF(INDEX(Dati!$DD$1:$DD$1000,MATCH($A29,Dati!$A$1:$A$1000,0))&gt;0,Dati!$AB$3&amp;": "&amp;INDEX(Dati!$AB$1:$AB$1000,MATCH($A29,Dati!$A$1:$A$1000,0))&amp;" · ","")&amp;IF(INDEX(Dati!$DE$1:$DE$1000,MATCH($A29,Dati!$A$1:$A$1000,0))&gt;0,Dati!$AC$3&amp;": "&amp;INDEX(Dati!$AC$1:$AC$1000,MATCH($A29,Dati!$A$1:$A$1000,0))&amp;" · ","")&amp;IF(INDEX(Dati!$DF$1:$DF$1000,MATCH($A29,Dati!$A$1:$A$1000,0))&gt;0,Dati!$AD$3&amp;": "&amp;INDEX(Dati!$AD$1:$AD$1000,MATCH($A29,Dati!$A$1:$A$1000,0))&amp;" · ",""))="",IF(INDEX(Dati!$FM$1:$FM$1000,MATCH($A29,Dati!$A$1:$A$1000,0))=1,"AS da recuperare",""),LEFT(IF(INDEX(Dati!$DC$1:$DC$1000,MATCH($A29,Dati!$A$1:$A$1000,0))&gt;0,Dati!$AA$3&amp;": "&amp;INDEX(Dati!$AA$1:$AA$1000,MATCH($A29,Dati!$A$1:$A$1000,0))&amp;" · ","")&amp;IF(INDEX(Dati!$DD$1:$DD$1000,MATCH($A29,Dati!$A$1:$A$1000,0))&gt;0,Dati!$AB$3&amp;": "&amp;INDEX(Dati!$AB$1:$AB$1000,MATCH($A29,Dati!$A$1:$A$1000,0))&amp;" · ","")&amp;IF(INDEX(Dati!$DE$1:$DE$1000,MATCH($A29,Dati!$A$1:$A$1000,0))&gt;0,Dati!$AC$3&amp;": "&amp;INDEX(Dati!$AC$1:$AC$1000,MATCH($A29,Dati!$A$1:$A$1000,0))&amp;" · ","")&amp;IF(INDEX(Dati!$DF$1:$DF$1000,MATCH($A29,Dati!$A$1:$A$1000,0))&gt;0,Dati!$AD$3&amp;": "&amp;INDEX(Dati!$AD$1:$AD$1000,MATCH($A29,Dati!$A$1:$A$1000,0))&amp;" · ",""),LEN(IF(INDEX(Dati!$DC$1:$DC$1000,MATCH($A29,Dati!$A$1:$A$1000,0))&gt;0,Dati!$AA$3&amp;": "&amp;INDEX(Dati!$AA$1:$AA$1000,MATCH($A29,Dati!$A$1:$A$1000,0))&amp;" · ","")&amp;IF(INDEX(Dati!$DD$1:$DD$1000,MATCH($A29,Dati!$A$1:$A$1000,0))&gt;0,Dati!$AB$3&amp;": "&amp;INDEX(Dati!$AB$1:$AB$1000,MATCH($A29,Dati!$A$1:$A$1000,0))&amp;" · ","")&amp;IF(INDEX(Dati!$DE$1:$DE$1000,MATCH($A29,Dati!$A$1:$A$1000,0))&gt;0,Dati!$AC$3&amp;": "&amp;INDEX(Dati!$AC$1:$AC$1000,MATCH($A29,Dati!$A$1:$A$1000,0))&amp;" · ","")&amp;IF(INDEX(Dati!$DF$1:$DF$1000,MATCH($A29,Dati!$A$1:$A$1000,0))&gt;0,Dati!$AD$3&amp;": "&amp;INDEX(Dati!$AD$1:$AD$1000,MATCH($A29,Dati!$A$1:$A$1000,0))&amp;" · ",""))-3)),""))</f>
        <v/>
      </c>
      <c r="J29" s="55" t="str">
        <f aca="false">IF($B29="","",IFERROR(IF((IF(INDEX(Dati!$DG$1:$DG$1000,MATCH($A29,Dati!$A$1:$A$1000,0))&gt;0,Dati!$AE$3&amp;": "&amp;INDEX(Dati!$AE$1:$AE$1000,MATCH($A29,Dati!$A$1:$A$1000,0))&amp;" · ","")&amp;IF(INDEX(Dati!$DH$1:$DH$1000,MATCH($A29,Dati!$A$1:$A$1000,0))&gt;0,Dati!$AF$3&amp;": "&amp;INDEX(Dati!$AF$1:$AF$1000,MATCH($A29,Dati!$A$1:$A$1000,0))&amp;" · ","")&amp;IF(INDEX(Dati!$DI$1:$DI$1000,MATCH($A29,Dati!$A$1:$A$1000,0))&gt;0,Dati!$AG$3&amp;": "&amp;INDEX(Dati!$AG$1:$AG$1000,MATCH($A29,Dati!$A$1:$A$1000,0))&amp;" · ","")&amp;IF(INDEX(Dati!$DJ$1:$DJ$1000,MATCH($A29,Dati!$A$1:$A$1000,0))&gt;0,Dati!$AH$3&amp;": "&amp;INDEX(Dati!$AH$1:$AH$1000,MATCH($A29,Dati!$A$1:$A$1000,0))&amp;" · ",""))="",IF(INDEX(Dati!$FN$1:$FN$1000,MATCH($A29,Dati!$A$1:$A$1000,0))=1,"AS da recuperare",""),LEFT(IF(INDEX(Dati!$DG$1:$DG$1000,MATCH($A29,Dati!$A$1:$A$1000,0))&gt;0,Dati!$AE$3&amp;": "&amp;INDEX(Dati!$AE$1:$AE$1000,MATCH($A29,Dati!$A$1:$A$1000,0))&amp;" · ","")&amp;IF(INDEX(Dati!$DH$1:$DH$1000,MATCH($A29,Dati!$A$1:$A$1000,0))&gt;0,Dati!$AF$3&amp;": "&amp;INDEX(Dati!$AF$1:$AF$1000,MATCH($A29,Dati!$A$1:$A$1000,0))&amp;" · ","")&amp;IF(INDEX(Dati!$DI$1:$DI$1000,MATCH($A29,Dati!$A$1:$A$1000,0))&gt;0,Dati!$AG$3&amp;": "&amp;INDEX(Dati!$AG$1:$AG$1000,MATCH($A29,Dati!$A$1:$A$1000,0))&amp;" · ","")&amp;IF(INDEX(Dati!$DJ$1:$DJ$1000,MATCH($A29,Dati!$A$1:$A$1000,0))&gt;0,Dati!$AH$3&amp;": "&amp;INDEX(Dati!$AH$1:$AH$1000,MATCH($A29,Dati!$A$1:$A$1000,0))&amp;" · ",""),LEN(IF(INDEX(Dati!$DG$1:$DG$1000,MATCH($A29,Dati!$A$1:$A$1000,0))&gt;0,Dati!$AE$3&amp;": "&amp;INDEX(Dati!$AE$1:$AE$1000,MATCH($A29,Dati!$A$1:$A$1000,0))&amp;" · ","")&amp;IF(INDEX(Dati!$DH$1:$DH$1000,MATCH($A29,Dati!$A$1:$A$1000,0))&gt;0,Dati!$AF$3&amp;": "&amp;INDEX(Dati!$AF$1:$AF$1000,MATCH($A29,Dati!$A$1:$A$1000,0))&amp;" · ","")&amp;IF(INDEX(Dati!$DI$1:$DI$1000,MATCH($A29,Dati!$A$1:$A$1000,0))&gt;0,Dati!$AG$3&amp;": "&amp;INDEX(Dati!$AG$1:$AG$1000,MATCH($A29,Dati!$A$1:$A$1000,0))&amp;" · ","")&amp;IF(INDEX(Dati!$DJ$1:$DJ$1000,MATCH($A29,Dati!$A$1:$A$1000,0))&gt;0,Dati!$AH$3&amp;": "&amp;INDEX(Dati!$AH$1:$AH$1000,MATCH($A29,Dati!$A$1:$A$1000,0))&amp;" · ",""))-3)),""))</f>
        <v/>
      </c>
      <c r="K29" s="55" t="str">
        <f aca="false">IF($B29="","",IFERROR(IF((IF(INDEX(Dati!$DK$1:$DK$1000,MATCH($A29,Dati!$A$1:$A$1000,0))&gt;0,Dati!$AI$3&amp;": "&amp;INDEX(Dati!$AI$1:$AI$1000,MATCH($A29,Dati!$A$1:$A$1000,0))&amp;" · ","")&amp;IF(INDEX(Dati!$DL$1:$DL$1000,MATCH($A29,Dati!$A$1:$A$1000,0))&gt;0,Dati!$AJ$3&amp;": "&amp;INDEX(Dati!$AJ$1:$AJ$1000,MATCH($A29,Dati!$A$1:$A$1000,0))&amp;" · ","")&amp;IF(INDEX(Dati!$DM$1:$DM$1000,MATCH($A29,Dati!$A$1:$A$1000,0))&gt;0,Dati!$AK$3&amp;": "&amp;INDEX(Dati!$AK$1:$AK$1000,MATCH($A29,Dati!$A$1:$A$1000,0))&amp;" · ","")&amp;IF(INDEX(Dati!$DN$1:$DN$1000,MATCH($A29,Dati!$A$1:$A$1000,0))&gt;0,Dati!$AL$3&amp;": "&amp;INDEX(Dati!$AL$1:$AL$1000,MATCH($A29,Dati!$A$1:$A$1000,0))&amp;" · ",""))="",IF(INDEX(Dati!$FO$1:$FO$1000,MATCH($A29,Dati!$A$1:$A$1000,0))=1,"AS da recuperare",""),LEFT(IF(INDEX(Dati!$DK$1:$DK$1000,MATCH($A29,Dati!$A$1:$A$1000,0))&gt;0,Dati!$AI$3&amp;": "&amp;INDEX(Dati!$AI$1:$AI$1000,MATCH($A29,Dati!$A$1:$A$1000,0))&amp;" · ","")&amp;IF(INDEX(Dati!$DL$1:$DL$1000,MATCH($A29,Dati!$A$1:$A$1000,0))&gt;0,Dati!$AJ$3&amp;": "&amp;INDEX(Dati!$AJ$1:$AJ$1000,MATCH($A29,Dati!$A$1:$A$1000,0))&amp;" · ","")&amp;IF(INDEX(Dati!$DM$1:$DM$1000,MATCH($A29,Dati!$A$1:$A$1000,0))&gt;0,Dati!$AK$3&amp;": "&amp;INDEX(Dati!$AK$1:$AK$1000,MATCH($A29,Dati!$A$1:$A$1000,0))&amp;" · ","")&amp;IF(INDEX(Dati!$DN$1:$DN$1000,MATCH($A29,Dati!$A$1:$A$1000,0))&gt;0,Dati!$AL$3&amp;": "&amp;INDEX(Dati!$AL$1:$AL$1000,MATCH($A29,Dati!$A$1:$A$1000,0))&amp;" · ",""),LEN(IF(INDEX(Dati!$DK$1:$DK$1000,MATCH($A29,Dati!$A$1:$A$1000,0))&gt;0,Dati!$AI$3&amp;": "&amp;INDEX(Dati!$AI$1:$AI$1000,MATCH($A29,Dati!$A$1:$A$1000,0))&amp;" · ","")&amp;IF(INDEX(Dati!$DL$1:$DL$1000,MATCH($A29,Dati!$A$1:$A$1000,0))&gt;0,Dati!$AJ$3&amp;": "&amp;INDEX(Dati!$AJ$1:$AJ$1000,MATCH($A29,Dati!$A$1:$A$1000,0))&amp;" · ","")&amp;IF(INDEX(Dati!$DM$1:$DM$1000,MATCH($A29,Dati!$A$1:$A$1000,0))&gt;0,Dati!$AK$3&amp;": "&amp;INDEX(Dati!$AK$1:$AK$1000,MATCH($A29,Dati!$A$1:$A$1000,0))&amp;" · ","")&amp;IF(INDEX(Dati!$DN$1:$DN$1000,MATCH($A29,Dati!$A$1:$A$1000,0))&gt;0,Dati!$AL$3&amp;": "&amp;INDEX(Dati!$AL$1:$AL$1000,MATCH($A29,Dati!$A$1:$A$1000,0))&amp;" · ",""))-3)),""))</f>
        <v/>
      </c>
      <c r="L29" s="55" t="str">
        <f aca="false">IF($B29="","",IFERROR(IF((IF(INDEX(Dati!$DO$1:$DO$1000,MATCH($A29,Dati!$A$1:$A$1000,0))&gt;0,Dati!$AM$3&amp;": "&amp;INDEX(Dati!$AM$1:$AM$1000,MATCH($A29,Dati!$A$1:$A$1000,0))&amp;" · ","")&amp;IF(INDEX(Dati!$DP$1:$DP$1000,MATCH($A29,Dati!$A$1:$A$1000,0))&gt;0,Dati!$AN$3&amp;": "&amp;INDEX(Dati!$AN$1:$AN$1000,MATCH($A29,Dati!$A$1:$A$1000,0))&amp;" · ","")&amp;IF(INDEX(Dati!$DQ$1:$DQ$1000,MATCH($A29,Dati!$A$1:$A$1000,0))&gt;0,Dati!$AO$3&amp;": "&amp;INDEX(Dati!$AO$1:$AO$1000,MATCH($A29,Dati!$A$1:$A$1000,0))&amp;" · ","")&amp;IF(INDEX(Dati!$DR$1:$DR$1000,MATCH($A29,Dati!$A$1:$A$1000,0))&gt;0,Dati!$AP$3&amp;": "&amp;INDEX(Dati!$AP$1:$AP$1000,MATCH($A29,Dati!$A$1:$A$1000,0))&amp;" · ",""))="",IF(INDEX(Dati!$FP$1:$FP$1000,MATCH($A29,Dati!$A$1:$A$1000,0))=1,"AS da recuperare",""),LEFT(IF(INDEX(Dati!$DO$1:$DO$1000,MATCH($A29,Dati!$A$1:$A$1000,0))&gt;0,Dati!$AM$3&amp;": "&amp;INDEX(Dati!$AM$1:$AM$1000,MATCH($A29,Dati!$A$1:$A$1000,0))&amp;" · ","")&amp;IF(INDEX(Dati!$DP$1:$DP$1000,MATCH($A29,Dati!$A$1:$A$1000,0))&gt;0,Dati!$AN$3&amp;": "&amp;INDEX(Dati!$AN$1:$AN$1000,MATCH($A29,Dati!$A$1:$A$1000,0))&amp;" · ","")&amp;IF(INDEX(Dati!$DQ$1:$DQ$1000,MATCH($A29,Dati!$A$1:$A$1000,0))&gt;0,Dati!$AO$3&amp;": "&amp;INDEX(Dati!$AO$1:$AO$1000,MATCH($A29,Dati!$A$1:$A$1000,0))&amp;" · ","")&amp;IF(INDEX(Dati!$DR$1:$DR$1000,MATCH($A29,Dati!$A$1:$A$1000,0))&gt;0,Dati!$AP$3&amp;": "&amp;INDEX(Dati!$AP$1:$AP$1000,MATCH($A29,Dati!$A$1:$A$1000,0))&amp;" · ",""),LEN(IF(INDEX(Dati!$DO$1:$DO$1000,MATCH($A29,Dati!$A$1:$A$1000,0))&gt;0,Dati!$AM$3&amp;": "&amp;INDEX(Dati!$AM$1:$AM$1000,MATCH($A29,Dati!$A$1:$A$1000,0))&amp;" · ","")&amp;IF(INDEX(Dati!$DP$1:$DP$1000,MATCH($A29,Dati!$A$1:$A$1000,0))&gt;0,Dati!$AN$3&amp;": "&amp;INDEX(Dati!$AN$1:$AN$1000,MATCH($A29,Dati!$A$1:$A$1000,0))&amp;" · ","")&amp;IF(INDEX(Dati!$DQ$1:$DQ$1000,MATCH($A29,Dati!$A$1:$A$1000,0))&gt;0,Dati!$AO$3&amp;": "&amp;INDEX(Dati!$AO$1:$AO$1000,MATCH($A29,Dati!$A$1:$A$1000,0))&amp;" · ","")&amp;IF(INDEX(Dati!$DR$1:$DR$1000,MATCH($A29,Dati!$A$1:$A$1000,0))&gt;0,Dati!$AP$3&amp;": "&amp;INDEX(Dati!$AP$1:$AP$1000,MATCH($A29,Dati!$A$1:$A$1000,0))&amp;" · ",""))-3)),""))</f>
        <v/>
      </c>
      <c r="M29" s="55" t="str">
        <f aca="false">IF($B29="","",IFERROR(IF((IF(INDEX(Dati!$DS$1:$DS$1000,MATCH($A29,Dati!$A$1:$A$1000,0))&gt;0,Dati!$AQ$3&amp;": "&amp;INDEX(Dati!$AQ$1:$AQ$1000,MATCH($A29,Dati!$A$1:$A$1000,0))&amp;" · ","")&amp;IF(INDEX(Dati!$DT$1:$DT$1000,MATCH($A29,Dati!$A$1:$A$1000,0))&gt;0,Dati!$AR$3&amp;": "&amp;INDEX(Dati!$AR$1:$AR$1000,MATCH($A29,Dati!$A$1:$A$1000,0))&amp;" · ","")&amp;IF(INDEX(Dati!$DU$1:$DU$1000,MATCH($A29,Dati!$A$1:$A$1000,0))&gt;0,Dati!$AS$3&amp;": "&amp;INDEX(Dati!$AS$1:$AS$1000,MATCH($A29,Dati!$A$1:$A$1000,0))&amp;" · ","")&amp;IF(INDEX(Dati!$DV$1:$DV$1000,MATCH($A29,Dati!$A$1:$A$1000,0))&gt;0,Dati!$AT$3&amp;": "&amp;INDEX(Dati!$AT$1:$AT$1000,MATCH($A29,Dati!$A$1:$A$1000,0))&amp;" · ",""))="",IF(INDEX(Dati!$FQ$1:$FQ$1000,MATCH($A29,Dati!$A$1:$A$1000,0))=1,"AS da recuperare",""),LEFT(IF(INDEX(Dati!$DS$1:$DS$1000,MATCH($A29,Dati!$A$1:$A$1000,0))&gt;0,Dati!$AQ$3&amp;": "&amp;INDEX(Dati!$AQ$1:$AQ$1000,MATCH($A29,Dati!$A$1:$A$1000,0))&amp;" · ","")&amp;IF(INDEX(Dati!$DT$1:$DT$1000,MATCH($A29,Dati!$A$1:$A$1000,0))&gt;0,Dati!$AR$3&amp;": "&amp;INDEX(Dati!$AR$1:$AR$1000,MATCH($A29,Dati!$A$1:$A$1000,0))&amp;" · ","")&amp;IF(INDEX(Dati!$DU$1:$DU$1000,MATCH($A29,Dati!$A$1:$A$1000,0))&gt;0,Dati!$AS$3&amp;": "&amp;INDEX(Dati!$AS$1:$AS$1000,MATCH($A29,Dati!$A$1:$A$1000,0))&amp;" · ","")&amp;IF(INDEX(Dati!$DV$1:$DV$1000,MATCH($A29,Dati!$A$1:$A$1000,0))&gt;0,Dati!$AT$3&amp;": "&amp;INDEX(Dati!$AT$1:$AT$1000,MATCH($A29,Dati!$A$1:$A$1000,0))&amp;" · ",""),LEN(IF(INDEX(Dati!$DS$1:$DS$1000,MATCH($A29,Dati!$A$1:$A$1000,0))&gt;0,Dati!$AQ$3&amp;": "&amp;INDEX(Dati!$AQ$1:$AQ$1000,MATCH($A29,Dati!$A$1:$A$1000,0))&amp;" · ","")&amp;IF(INDEX(Dati!$DT$1:$DT$1000,MATCH($A29,Dati!$A$1:$A$1000,0))&gt;0,Dati!$AR$3&amp;": "&amp;INDEX(Dati!$AR$1:$AR$1000,MATCH($A29,Dati!$A$1:$A$1000,0))&amp;" · ","")&amp;IF(INDEX(Dati!$DU$1:$DU$1000,MATCH($A29,Dati!$A$1:$A$1000,0))&gt;0,Dati!$AS$3&amp;": "&amp;INDEX(Dati!$AS$1:$AS$1000,MATCH($A29,Dati!$A$1:$A$1000,0))&amp;" · ","")&amp;IF(INDEX(Dati!$DV$1:$DV$1000,MATCH($A29,Dati!$A$1:$A$1000,0))&gt;0,Dati!$AT$3&amp;": "&amp;INDEX(Dati!$AT$1:$AT$1000,MATCH($A29,Dati!$A$1:$A$1000,0))&amp;" · ",""))-3)),""))</f>
        <v/>
      </c>
      <c r="N29" s="55" t="str">
        <f aca="false">IF($B29="","",IFERROR(IF((IF(INDEX(Dati!$DW$1:$DW$1000,MATCH($A29,Dati!$A$1:$A$1000,0))&gt;0,Dati!$AU$3&amp;": "&amp;INDEX(Dati!$AU$1:$AU$1000,MATCH($A29,Dati!$A$1:$A$1000,0))&amp;" · ","")&amp;IF(INDEX(Dati!$DX$1:$DX$1000,MATCH($A29,Dati!$A$1:$A$1000,0))&gt;0,Dati!$AV$3&amp;": "&amp;INDEX(Dati!$AV$1:$AV$1000,MATCH($A29,Dati!$A$1:$A$1000,0))&amp;" · ","")&amp;IF(INDEX(Dati!$DY$1:$DY$1000,MATCH($A29,Dati!$A$1:$A$1000,0))&gt;0,Dati!$AW$3&amp;": "&amp;INDEX(Dati!$AW$1:$AW$1000,MATCH($A29,Dati!$A$1:$A$1000,0))&amp;" · ","")&amp;IF(INDEX(Dati!$DZ$1:$DZ$1000,MATCH($A29,Dati!$A$1:$A$1000,0))&gt;0,Dati!$AX$3&amp;": "&amp;INDEX(Dati!$AX$1:$AX$1000,MATCH($A29,Dati!$A$1:$A$1000,0))&amp;" · ",""))="",IF(INDEX(Dati!$FR$1:$FR$1000,MATCH($A29,Dati!$A$1:$A$1000,0))=1,"AS da recuperare",""),LEFT(IF(INDEX(Dati!$DW$1:$DW$1000,MATCH($A29,Dati!$A$1:$A$1000,0))&gt;0,Dati!$AU$3&amp;": "&amp;INDEX(Dati!$AU$1:$AU$1000,MATCH($A29,Dati!$A$1:$A$1000,0))&amp;" · ","")&amp;IF(INDEX(Dati!$DX$1:$DX$1000,MATCH($A29,Dati!$A$1:$A$1000,0))&gt;0,Dati!$AV$3&amp;": "&amp;INDEX(Dati!$AV$1:$AV$1000,MATCH($A29,Dati!$A$1:$A$1000,0))&amp;" · ","")&amp;IF(INDEX(Dati!$DY$1:$DY$1000,MATCH($A29,Dati!$A$1:$A$1000,0))&gt;0,Dati!$AW$3&amp;": "&amp;INDEX(Dati!$AW$1:$AW$1000,MATCH($A29,Dati!$A$1:$A$1000,0))&amp;" · ","")&amp;IF(INDEX(Dati!$DZ$1:$DZ$1000,MATCH($A29,Dati!$A$1:$A$1000,0))&gt;0,Dati!$AX$3&amp;": "&amp;INDEX(Dati!$AX$1:$AX$1000,MATCH($A29,Dati!$A$1:$A$1000,0))&amp;" · ",""),LEN(IF(INDEX(Dati!$DW$1:$DW$1000,MATCH($A29,Dati!$A$1:$A$1000,0))&gt;0,Dati!$AU$3&amp;": "&amp;INDEX(Dati!$AU$1:$AU$1000,MATCH($A29,Dati!$A$1:$A$1000,0))&amp;" · ","")&amp;IF(INDEX(Dati!$DX$1:$DX$1000,MATCH($A29,Dati!$A$1:$A$1000,0))&gt;0,Dati!$AV$3&amp;": "&amp;INDEX(Dati!$AV$1:$AV$1000,MATCH($A29,Dati!$A$1:$A$1000,0))&amp;" · ","")&amp;IF(INDEX(Dati!$DY$1:$DY$1000,MATCH($A29,Dati!$A$1:$A$1000,0))&gt;0,Dati!$AW$3&amp;": "&amp;INDEX(Dati!$AW$1:$AW$1000,MATCH($A29,Dati!$A$1:$A$1000,0))&amp;" · ","")&amp;IF(INDEX(Dati!$DZ$1:$DZ$1000,MATCH($A29,Dati!$A$1:$A$1000,0))&gt;0,Dati!$AX$3&amp;": "&amp;INDEX(Dati!$AX$1:$AX$1000,MATCH($A29,Dati!$A$1:$A$1000,0))&amp;" · ",""))-3)),""))</f>
        <v/>
      </c>
      <c r="O29" s="55" t="str">
        <f aca="false">IF($B29="","",IFERROR(IF((IF(INDEX(Dati!$EA$1:$EA$1000,MATCH($A29,Dati!$A$1:$A$1000,0))&gt;0,Dati!$AY$3&amp;": "&amp;INDEX(Dati!$AY$1:$AY$1000,MATCH($A29,Dati!$A$1:$A$1000,0))&amp;" · ","")&amp;IF(INDEX(Dati!$EB$1:$EB$1000,MATCH($A29,Dati!$A$1:$A$1000,0))&gt;0,Dati!$AZ$3&amp;": "&amp;INDEX(Dati!$AZ$1:$AZ$1000,MATCH($A29,Dati!$A$1:$A$1000,0))&amp;" · ","")&amp;IF(INDEX(Dati!$EC$1:$EC$1000,MATCH($A29,Dati!$A$1:$A$1000,0))&gt;0,Dati!$BA$3&amp;": "&amp;INDEX(Dati!$BA$1:$BA$1000,MATCH($A29,Dati!$A$1:$A$1000,0))&amp;" · ","")&amp;IF(INDEX(Dati!$ED$1:$ED$1000,MATCH($A29,Dati!$A$1:$A$1000,0))&gt;0,Dati!$BB$3&amp;": "&amp;INDEX(Dati!$BB$1:$BB$1000,MATCH($A29,Dati!$A$1:$A$1000,0))&amp;" · ",""))="",IF(INDEX(Dati!$FS$1:$FS$1000,MATCH($A29,Dati!$A$1:$A$1000,0))=1,"AS da recuperare",""),LEFT(IF(INDEX(Dati!$EA$1:$EA$1000,MATCH($A29,Dati!$A$1:$A$1000,0))&gt;0,Dati!$AY$3&amp;": "&amp;INDEX(Dati!$AY$1:$AY$1000,MATCH($A29,Dati!$A$1:$A$1000,0))&amp;" · ","")&amp;IF(INDEX(Dati!$EB$1:$EB$1000,MATCH($A29,Dati!$A$1:$A$1000,0))&gt;0,Dati!$AZ$3&amp;": "&amp;INDEX(Dati!$AZ$1:$AZ$1000,MATCH($A29,Dati!$A$1:$A$1000,0))&amp;" · ","")&amp;IF(INDEX(Dati!$EC$1:$EC$1000,MATCH($A29,Dati!$A$1:$A$1000,0))&gt;0,Dati!$BA$3&amp;": "&amp;INDEX(Dati!$BA$1:$BA$1000,MATCH($A29,Dati!$A$1:$A$1000,0))&amp;" · ","")&amp;IF(INDEX(Dati!$ED$1:$ED$1000,MATCH($A29,Dati!$A$1:$A$1000,0))&gt;0,Dati!$BB$3&amp;": "&amp;INDEX(Dati!$BB$1:$BB$1000,MATCH($A29,Dati!$A$1:$A$1000,0))&amp;" · ",""),LEN(IF(INDEX(Dati!$EA$1:$EA$1000,MATCH($A29,Dati!$A$1:$A$1000,0))&gt;0,Dati!$AY$3&amp;": "&amp;INDEX(Dati!$AY$1:$AY$1000,MATCH($A29,Dati!$A$1:$A$1000,0))&amp;" · ","")&amp;IF(INDEX(Dati!$EB$1:$EB$1000,MATCH($A29,Dati!$A$1:$A$1000,0))&gt;0,Dati!$AZ$3&amp;": "&amp;INDEX(Dati!$AZ$1:$AZ$1000,MATCH($A29,Dati!$A$1:$A$1000,0))&amp;" · ","")&amp;IF(INDEX(Dati!$EC$1:$EC$1000,MATCH($A29,Dati!$A$1:$A$1000,0))&gt;0,Dati!$BA$3&amp;": "&amp;INDEX(Dati!$BA$1:$BA$1000,MATCH($A29,Dati!$A$1:$A$1000,0))&amp;" · ","")&amp;IF(INDEX(Dati!$ED$1:$ED$1000,MATCH($A29,Dati!$A$1:$A$1000,0))&gt;0,Dati!$BB$3&amp;": "&amp;INDEX(Dati!$BB$1:$BB$1000,MATCH($A29,Dati!$A$1:$A$1000,0))&amp;" · ",""))-3)),""))</f>
        <v/>
      </c>
      <c r="P29" s="55" t="str">
        <f aca="false">IF($B29="","",IFERROR(IF((IF(INDEX(Dati!$EE$1:$EE$1000,MATCH($A29,Dati!$A$1:$A$1000,0))&gt;0,Dati!$BC$3&amp;": "&amp;INDEX(Dati!$BC$1:$BC$1000,MATCH($A29,Dati!$A$1:$A$1000,0))&amp;" · ","")&amp;IF(INDEX(Dati!$EF$1:$EF$1000,MATCH($A29,Dati!$A$1:$A$1000,0))&gt;0,Dati!$BD$3&amp;": "&amp;INDEX(Dati!$BD$1:$BD$1000,MATCH($A29,Dati!$A$1:$A$1000,0))&amp;" · ","")&amp;IF(INDEX(Dati!$EG$1:$EG$1000,MATCH($A29,Dati!$A$1:$A$1000,0))&gt;0,Dati!$BE$3&amp;": "&amp;INDEX(Dati!$BE$1:$BE$1000,MATCH($A29,Dati!$A$1:$A$1000,0))&amp;" · ","")&amp;IF(INDEX(Dati!$EH$1:$EH$1000,MATCH($A29,Dati!$A$1:$A$1000,0))&gt;0,Dati!$BF$3&amp;": "&amp;INDEX(Dati!$BF$1:$BF$1000,MATCH($A29,Dati!$A$1:$A$1000,0))&amp;" · ",""))="",IF(INDEX(Dati!$FT$1:$FT$1000,MATCH($A29,Dati!$A$1:$A$1000,0))=1,"AS da recuperare",""),LEFT(IF(INDEX(Dati!$EE$1:$EE$1000,MATCH($A29,Dati!$A$1:$A$1000,0))&gt;0,Dati!$BC$3&amp;": "&amp;INDEX(Dati!$BC$1:$BC$1000,MATCH($A29,Dati!$A$1:$A$1000,0))&amp;" · ","")&amp;IF(INDEX(Dati!$EF$1:$EF$1000,MATCH($A29,Dati!$A$1:$A$1000,0))&gt;0,Dati!$BD$3&amp;": "&amp;INDEX(Dati!$BD$1:$BD$1000,MATCH($A29,Dati!$A$1:$A$1000,0))&amp;" · ","")&amp;IF(INDEX(Dati!$EG$1:$EG$1000,MATCH($A29,Dati!$A$1:$A$1000,0))&gt;0,Dati!$BE$3&amp;": "&amp;INDEX(Dati!$BE$1:$BE$1000,MATCH($A29,Dati!$A$1:$A$1000,0))&amp;" · ","")&amp;IF(INDEX(Dati!$EH$1:$EH$1000,MATCH($A29,Dati!$A$1:$A$1000,0))&gt;0,Dati!$BF$3&amp;": "&amp;INDEX(Dati!$BF$1:$BF$1000,MATCH($A29,Dati!$A$1:$A$1000,0))&amp;" · ",""),LEN(IF(INDEX(Dati!$EE$1:$EE$1000,MATCH($A29,Dati!$A$1:$A$1000,0))&gt;0,Dati!$BC$3&amp;": "&amp;INDEX(Dati!$BC$1:$BC$1000,MATCH($A29,Dati!$A$1:$A$1000,0))&amp;" · ","")&amp;IF(INDEX(Dati!$EF$1:$EF$1000,MATCH($A29,Dati!$A$1:$A$1000,0))&gt;0,Dati!$BD$3&amp;": "&amp;INDEX(Dati!$BD$1:$BD$1000,MATCH($A29,Dati!$A$1:$A$1000,0))&amp;" · ","")&amp;IF(INDEX(Dati!$EG$1:$EG$1000,MATCH($A29,Dati!$A$1:$A$1000,0))&gt;0,Dati!$BE$3&amp;": "&amp;INDEX(Dati!$BE$1:$BE$1000,MATCH($A29,Dati!$A$1:$A$1000,0))&amp;" · ","")&amp;IF(INDEX(Dati!$EH$1:$EH$1000,MATCH($A29,Dati!$A$1:$A$1000,0))&gt;0,Dati!$BF$3&amp;": "&amp;INDEX(Dati!$BF$1:$BF$1000,MATCH($A29,Dati!$A$1:$A$1000,0))&amp;" · ",""))-3)),""))</f>
        <v/>
      </c>
      <c r="Q29" s="55" t="str">
        <f aca="false">IF($B29="","",IFERROR(IF((IF(INDEX(Dati!$EI$1:$EI$1000,MATCH($A29,Dati!$A$1:$A$1000,0))&gt;0,Dati!$BG$3&amp;": "&amp;INDEX(Dati!$BG$1:$BG$1000,MATCH($A29,Dati!$A$1:$A$1000,0))&amp;" · ","")&amp;IF(INDEX(Dati!$EJ$1:$EJ$1000,MATCH($A29,Dati!$A$1:$A$1000,0))&gt;0,Dati!$BH$3&amp;": "&amp;INDEX(Dati!$BH$1:$BH$1000,MATCH($A29,Dati!$A$1:$A$1000,0))&amp;" · ","")&amp;IF(INDEX(Dati!$EK$1:$EK$1000,MATCH($A29,Dati!$A$1:$A$1000,0))&gt;0,Dati!$BI$3&amp;": "&amp;INDEX(Dati!$BI$1:$BI$1000,MATCH($A29,Dati!$A$1:$A$1000,0))&amp;" · ","")&amp;IF(INDEX(Dati!$EL$1:$EL$1000,MATCH($A29,Dati!$A$1:$A$1000,0))&gt;0,Dati!$BJ$3&amp;": "&amp;INDEX(Dati!$BJ$1:$BJ$1000,MATCH($A29,Dati!$A$1:$A$1000,0))&amp;" · ",""))="",IF(INDEX(Dati!$FU$1:$FU$1000,MATCH($A29,Dati!$A$1:$A$1000,0))=1,"AS da recuperare",""),LEFT(IF(INDEX(Dati!$EI$1:$EI$1000,MATCH($A29,Dati!$A$1:$A$1000,0))&gt;0,Dati!$BG$3&amp;": "&amp;INDEX(Dati!$BG$1:$BG$1000,MATCH($A29,Dati!$A$1:$A$1000,0))&amp;" · ","")&amp;IF(INDEX(Dati!$EJ$1:$EJ$1000,MATCH($A29,Dati!$A$1:$A$1000,0))&gt;0,Dati!$BH$3&amp;": "&amp;INDEX(Dati!$BH$1:$BH$1000,MATCH($A29,Dati!$A$1:$A$1000,0))&amp;" · ","")&amp;IF(INDEX(Dati!$EK$1:$EK$1000,MATCH($A29,Dati!$A$1:$A$1000,0))&gt;0,Dati!$BI$3&amp;": "&amp;INDEX(Dati!$BI$1:$BI$1000,MATCH($A29,Dati!$A$1:$A$1000,0))&amp;" · ","")&amp;IF(INDEX(Dati!$EL$1:$EL$1000,MATCH($A29,Dati!$A$1:$A$1000,0))&gt;0,Dati!$BJ$3&amp;": "&amp;INDEX(Dati!$BJ$1:$BJ$1000,MATCH($A29,Dati!$A$1:$A$1000,0))&amp;" · ",""),LEN(IF(INDEX(Dati!$EI$1:$EI$1000,MATCH($A29,Dati!$A$1:$A$1000,0))&gt;0,Dati!$BG$3&amp;": "&amp;INDEX(Dati!$BG$1:$BG$1000,MATCH($A29,Dati!$A$1:$A$1000,0))&amp;" · ","")&amp;IF(INDEX(Dati!$EJ$1:$EJ$1000,MATCH($A29,Dati!$A$1:$A$1000,0))&gt;0,Dati!$BH$3&amp;": "&amp;INDEX(Dati!$BH$1:$BH$1000,MATCH($A29,Dati!$A$1:$A$1000,0))&amp;" · ","")&amp;IF(INDEX(Dati!$EK$1:$EK$1000,MATCH($A29,Dati!$A$1:$A$1000,0))&gt;0,Dati!$BI$3&amp;": "&amp;INDEX(Dati!$BI$1:$BI$1000,MATCH($A29,Dati!$A$1:$A$1000,0))&amp;" · ","")&amp;IF(INDEX(Dati!$EL$1:$EL$1000,MATCH($A29,Dati!$A$1:$A$1000,0))&gt;0,Dati!$BJ$3&amp;": "&amp;INDEX(Dati!$BJ$1:$BJ$1000,MATCH($A29,Dati!$A$1:$A$1000,0))&amp;" · ",""))-3)),""))</f>
        <v/>
      </c>
      <c r="R29" s="55" t="str">
        <f aca="false">IF($B29="","",IFERROR(IF((IF(INDEX(Dati!$EM$1:$EM$1000,MATCH($A29,Dati!$A$1:$A$1000,0))&gt;0,Dati!$BK$3&amp;": "&amp;INDEX(Dati!$BK$1:$BK$1000,MATCH($A29,Dati!$A$1:$A$1000,0))&amp;" · ","")&amp;IF(INDEX(Dati!$EN$1:$EN$1000,MATCH($A29,Dati!$A$1:$A$1000,0))&gt;0,Dati!$BL$3&amp;": "&amp;INDEX(Dati!$BL$1:$BL$1000,MATCH($A29,Dati!$A$1:$A$1000,0))&amp;" · ","")&amp;IF(INDEX(Dati!$EO$1:$EO$1000,MATCH($A29,Dati!$A$1:$A$1000,0))&gt;0,Dati!$BM$3&amp;": "&amp;INDEX(Dati!$BM$1:$BM$1000,MATCH($A29,Dati!$A$1:$A$1000,0))&amp;" · ","")&amp;IF(INDEX(Dati!$EP$1:$EP$1000,MATCH($A29,Dati!$A$1:$A$1000,0))&gt;0,Dati!$BN$3&amp;": "&amp;INDEX(Dati!$BN$1:$BN$1000,MATCH($A29,Dati!$A$1:$A$1000,0))&amp;" · ",""))="",IF(INDEX(Dati!$FV$1:$FV$1000,MATCH($A29,Dati!$A$1:$A$1000,0))=1,"AS da recuperare",""),LEFT(IF(INDEX(Dati!$EM$1:$EM$1000,MATCH($A29,Dati!$A$1:$A$1000,0))&gt;0,Dati!$BK$3&amp;": "&amp;INDEX(Dati!$BK$1:$BK$1000,MATCH($A29,Dati!$A$1:$A$1000,0))&amp;" · ","")&amp;IF(INDEX(Dati!$EN$1:$EN$1000,MATCH($A29,Dati!$A$1:$A$1000,0))&gt;0,Dati!$BL$3&amp;": "&amp;INDEX(Dati!$BL$1:$BL$1000,MATCH($A29,Dati!$A$1:$A$1000,0))&amp;" · ","")&amp;IF(INDEX(Dati!$EO$1:$EO$1000,MATCH($A29,Dati!$A$1:$A$1000,0))&gt;0,Dati!$BM$3&amp;": "&amp;INDEX(Dati!$BM$1:$BM$1000,MATCH($A29,Dati!$A$1:$A$1000,0))&amp;" · ","")&amp;IF(INDEX(Dati!$EP$1:$EP$1000,MATCH($A29,Dati!$A$1:$A$1000,0))&gt;0,Dati!$BN$3&amp;": "&amp;INDEX(Dati!$BN$1:$BN$1000,MATCH($A29,Dati!$A$1:$A$1000,0))&amp;" · ",""),LEN(IF(INDEX(Dati!$EM$1:$EM$1000,MATCH($A29,Dati!$A$1:$A$1000,0))&gt;0,Dati!$BK$3&amp;": "&amp;INDEX(Dati!$BK$1:$BK$1000,MATCH($A29,Dati!$A$1:$A$1000,0))&amp;" · ","")&amp;IF(INDEX(Dati!$EN$1:$EN$1000,MATCH($A29,Dati!$A$1:$A$1000,0))&gt;0,Dati!$BL$3&amp;": "&amp;INDEX(Dati!$BL$1:$BL$1000,MATCH($A29,Dati!$A$1:$A$1000,0))&amp;" · ","")&amp;IF(INDEX(Dati!$EO$1:$EO$1000,MATCH($A29,Dati!$A$1:$A$1000,0))&gt;0,Dati!$BM$3&amp;": "&amp;INDEX(Dati!$BM$1:$BM$1000,MATCH($A29,Dati!$A$1:$A$1000,0))&amp;" · ","")&amp;IF(INDEX(Dati!$EP$1:$EP$1000,MATCH($A29,Dati!$A$1:$A$1000,0))&gt;0,Dati!$BN$3&amp;": "&amp;INDEX(Dati!$BN$1:$BN$1000,MATCH($A29,Dati!$A$1:$A$1000,0))&amp;" · ",""))-3)),""))</f>
        <v/>
      </c>
      <c r="S29" s="55" t="str">
        <f aca="false">IF($B29="","",IFERROR(IF((IF(INDEX(Dati!$EQ$1:$EQ$1000,MATCH($A29,Dati!$A$1:$A$1000,0))&gt;0,Dati!$BO$3&amp;": "&amp;INDEX(Dati!$BO$1:$BO$1000,MATCH($A29,Dati!$A$1:$A$1000,0))&amp;" · ","")&amp;IF(INDEX(Dati!$ER$1:$ER$1000,MATCH($A29,Dati!$A$1:$A$1000,0))&gt;0,Dati!$BP$3&amp;": "&amp;INDEX(Dati!$BP$1:$BP$1000,MATCH($A29,Dati!$A$1:$A$1000,0))&amp;" · ","")&amp;IF(INDEX(Dati!$ES$1:$ES$1000,MATCH($A29,Dati!$A$1:$A$1000,0))&gt;0,Dati!$BQ$3&amp;": "&amp;INDEX(Dati!$BQ$1:$BQ$1000,MATCH($A29,Dati!$A$1:$A$1000,0))&amp;" · ","")&amp;IF(INDEX(Dati!$ET$1:$ET$1000,MATCH($A29,Dati!$A$1:$A$1000,0))&gt;0,Dati!$BR$3&amp;": "&amp;INDEX(Dati!$BR$1:$BR$1000,MATCH($A29,Dati!$A$1:$A$1000,0))&amp;" · ",""))="",IF(INDEX(Dati!$FW$1:$FW$1000,MATCH($A29,Dati!$A$1:$A$1000,0))=1,"AS da recuperare",""),LEFT(IF(INDEX(Dati!$EQ$1:$EQ$1000,MATCH($A29,Dati!$A$1:$A$1000,0))&gt;0,Dati!$BO$3&amp;": "&amp;INDEX(Dati!$BO$1:$BO$1000,MATCH($A29,Dati!$A$1:$A$1000,0))&amp;" · ","")&amp;IF(INDEX(Dati!$ER$1:$ER$1000,MATCH($A29,Dati!$A$1:$A$1000,0))&gt;0,Dati!$BP$3&amp;": "&amp;INDEX(Dati!$BP$1:$BP$1000,MATCH($A29,Dati!$A$1:$A$1000,0))&amp;" · ","")&amp;IF(INDEX(Dati!$ES$1:$ES$1000,MATCH($A29,Dati!$A$1:$A$1000,0))&gt;0,Dati!$BQ$3&amp;": "&amp;INDEX(Dati!$BQ$1:$BQ$1000,MATCH($A29,Dati!$A$1:$A$1000,0))&amp;" · ","")&amp;IF(INDEX(Dati!$ET$1:$ET$1000,MATCH($A29,Dati!$A$1:$A$1000,0))&gt;0,Dati!$BR$3&amp;": "&amp;INDEX(Dati!$BR$1:$BR$1000,MATCH($A29,Dati!$A$1:$A$1000,0))&amp;" · ",""),LEN(IF(INDEX(Dati!$EQ$1:$EQ$1000,MATCH($A29,Dati!$A$1:$A$1000,0))&gt;0,Dati!$BO$3&amp;": "&amp;INDEX(Dati!$BO$1:$BO$1000,MATCH($A29,Dati!$A$1:$A$1000,0))&amp;" · ","")&amp;IF(INDEX(Dati!$ER$1:$ER$1000,MATCH($A29,Dati!$A$1:$A$1000,0))&gt;0,Dati!$BP$3&amp;": "&amp;INDEX(Dati!$BP$1:$BP$1000,MATCH($A29,Dati!$A$1:$A$1000,0))&amp;" · ","")&amp;IF(INDEX(Dati!$ES$1:$ES$1000,MATCH($A29,Dati!$A$1:$A$1000,0))&gt;0,Dati!$BQ$3&amp;": "&amp;INDEX(Dati!$BQ$1:$BQ$1000,MATCH($A29,Dati!$A$1:$A$1000,0))&amp;" · ","")&amp;IF(INDEX(Dati!$ET$1:$ET$1000,MATCH($A29,Dati!$A$1:$A$1000,0))&gt;0,Dati!$BR$3&amp;": "&amp;INDEX(Dati!$BR$1:$BR$1000,MATCH($A29,Dati!$A$1:$A$1000,0))&amp;" · ",""))-3)),""))</f>
        <v/>
      </c>
      <c r="T29" s="55" t="str">
        <f aca="false">IF($B29="","",IFERROR(IF((IF(INDEX(Dati!$EU$1:$EU$1000,MATCH($A29,Dati!$A$1:$A$1000,0))&gt;0,Dati!$BS$3&amp;": "&amp;INDEX(Dati!$BS$1:$BS$1000,MATCH($A29,Dati!$A$1:$A$1000,0))&amp;" · ","")&amp;IF(INDEX(Dati!$EV$1:$EV$1000,MATCH($A29,Dati!$A$1:$A$1000,0))&gt;0,Dati!$BT$3&amp;": "&amp;INDEX(Dati!$BT$1:$BT$1000,MATCH($A29,Dati!$A$1:$A$1000,0))&amp;" · ","")&amp;IF(INDEX(Dati!$EW$1:$EW$1000,MATCH($A29,Dati!$A$1:$A$1000,0))&gt;0,Dati!$BU$3&amp;": "&amp;INDEX(Dati!$BU$1:$BU$1000,MATCH($A29,Dati!$A$1:$A$1000,0))&amp;" · ","")&amp;IF(INDEX(Dati!$EX$1:$EX$1000,MATCH($A29,Dati!$A$1:$A$1000,0))&gt;0,Dati!$BV$3&amp;": "&amp;INDEX(Dati!$BV$1:$BV$1000,MATCH($A29,Dati!$A$1:$A$1000,0))&amp;" · ",""))="",IF(INDEX(Dati!$FX$1:$FX$1000,MATCH($A29,Dati!$A$1:$A$1000,0))=1,"AS da recuperare",""),LEFT(IF(INDEX(Dati!$EU$1:$EU$1000,MATCH($A29,Dati!$A$1:$A$1000,0))&gt;0,Dati!$BS$3&amp;": "&amp;INDEX(Dati!$BS$1:$BS$1000,MATCH($A29,Dati!$A$1:$A$1000,0))&amp;" · ","")&amp;IF(INDEX(Dati!$EV$1:$EV$1000,MATCH($A29,Dati!$A$1:$A$1000,0))&gt;0,Dati!$BT$3&amp;": "&amp;INDEX(Dati!$BT$1:$BT$1000,MATCH($A29,Dati!$A$1:$A$1000,0))&amp;" · ","")&amp;IF(INDEX(Dati!$EW$1:$EW$1000,MATCH($A29,Dati!$A$1:$A$1000,0))&gt;0,Dati!$BU$3&amp;": "&amp;INDEX(Dati!$BU$1:$BU$1000,MATCH($A29,Dati!$A$1:$A$1000,0))&amp;" · ","")&amp;IF(INDEX(Dati!$EX$1:$EX$1000,MATCH($A29,Dati!$A$1:$A$1000,0))&gt;0,Dati!$BV$3&amp;": "&amp;INDEX(Dati!$BV$1:$BV$1000,MATCH($A29,Dati!$A$1:$A$1000,0))&amp;" · ",""),LEN(IF(INDEX(Dati!$EU$1:$EU$1000,MATCH($A29,Dati!$A$1:$A$1000,0))&gt;0,Dati!$BS$3&amp;": "&amp;INDEX(Dati!$BS$1:$BS$1000,MATCH($A29,Dati!$A$1:$A$1000,0))&amp;" · ","")&amp;IF(INDEX(Dati!$EV$1:$EV$1000,MATCH($A29,Dati!$A$1:$A$1000,0))&gt;0,Dati!$BT$3&amp;": "&amp;INDEX(Dati!$BT$1:$BT$1000,MATCH($A29,Dati!$A$1:$A$1000,0))&amp;" · ","")&amp;IF(INDEX(Dati!$EW$1:$EW$1000,MATCH($A29,Dati!$A$1:$A$1000,0))&gt;0,Dati!$BU$3&amp;": "&amp;INDEX(Dati!$BU$1:$BU$1000,MATCH($A29,Dati!$A$1:$A$1000,0))&amp;" · ","")&amp;IF(INDEX(Dati!$EX$1:$EX$1000,MATCH($A29,Dati!$A$1:$A$1000,0))&gt;0,Dati!$BV$3&amp;": "&amp;INDEX(Dati!$BV$1:$BV$1000,MATCH($A29,Dati!$A$1:$A$1000,0))&amp;" · ",""))-3)),""))</f>
        <v/>
      </c>
      <c r="U29" s="55" t="str">
        <f aca="false">IF($B29="","",IFERROR(IF((IF(INDEX(Dati!$EY$1:$EY$1000,MATCH($A29,Dati!$A$1:$A$1000,0))&gt;0,Dati!$BW$3&amp;": "&amp;INDEX(Dati!$BW$1:$BW$1000,MATCH($A29,Dati!$A$1:$A$1000,0))&amp;" · ","")&amp;IF(INDEX(Dati!$EZ$1:$EZ$1000,MATCH($A29,Dati!$A$1:$A$1000,0))&gt;0,Dati!$BX$3&amp;": "&amp;INDEX(Dati!$BX$1:$BX$1000,MATCH($A29,Dati!$A$1:$A$1000,0))&amp;" · ","")&amp;IF(INDEX(Dati!$FA$1:$FA$1000,MATCH($A29,Dati!$A$1:$A$1000,0))&gt;0,Dati!$BY$3&amp;": "&amp;INDEX(Dati!$BY$1:$BY$1000,MATCH($A29,Dati!$A$1:$A$1000,0))&amp;" · ","")&amp;IF(INDEX(Dati!$FB$1:$FB$1000,MATCH($A29,Dati!$A$1:$A$1000,0))&gt;0,Dati!$BZ$3&amp;": "&amp;INDEX(Dati!$BZ$1:$BZ$1000,MATCH($A29,Dati!$A$1:$A$1000,0))&amp;" · ",""))="",IF(INDEX(Dati!$FY$1:$FY$1000,MATCH($A29,Dati!$A$1:$A$1000,0))=1,"AS da recuperare",""),LEFT(IF(INDEX(Dati!$EY$1:$EY$1000,MATCH($A29,Dati!$A$1:$A$1000,0))&gt;0,Dati!$BW$3&amp;": "&amp;INDEX(Dati!$BW$1:$BW$1000,MATCH($A29,Dati!$A$1:$A$1000,0))&amp;" · ","")&amp;IF(INDEX(Dati!$EZ$1:$EZ$1000,MATCH($A29,Dati!$A$1:$A$1000,0))&gt;0,Dati!$BX$3&amp;": "&amp;INDEX(Dati!$BX$1:$BX$1000,MATCH($A29,Dati!$A$1:$A$1000,0))&amp;" · ","")&amp;IF(INDEX(Dati!$FA$1:$FA$1000,MATCH($A29,Dati!$A$1:$A$1000,0))&gt;0,Dati!$BY$3&amp;": "&amp;INDEX(Dati!$BY$1:$BY$1000,MATCH($A29,Dati!$A$1:$A$1000,0))&amp;" · ","")&amp;IF(INDEX(Dati!$FB$1:$FB$1000,MATCH($A29,Dati!$A$1:$A$1000,0))&gt;0,Dati!$BZ$3&amp;": "&amp;INDEX(Dati!$BZ$1:$BZ$1000,MATCH($A29,Dati!$A$1:$A$1000,0))&amp;" · ",""),LEN(IF(INDEX(Dati!$EY$1:$EY$1000,MATCH($A29,Dati!$A$1:$A$1000,0))&gt;0,Dati!$BW$3&amp;": "&amp;INDEX(Dati!$BW$1:$BW$1000,MATCH($A29,Dati!$A$1:$A$1000,0))&amp;" · ","")&amp;IF(INDEX(Dati!$EZ$1:$EZ$1000,MATCH($A29,Dati!$A$1:$A$1000,0))&gt;0,Dati!$BX$3&amp;": "&amp;INDEX(Dati!$BX$1:$BX$1000,MATCH($A29,Dati!$A$1:$A$1000,0))&amp;" · ","")&amp;IF(INDEX(Dati!$FA$1:$FA$1000,MATCH($A29,Dati!$A$1:$A$1000,0))&gt;0,Dati!$BY$3&amp;": "&amp;INDEX(Dati!$BY$1:$BY$1000,MATCH($A29,Dati!$A$1:$A$1000,0))&amp;" · ","")&amp;IF(INDEX(Dati!$FB$1:$FB$1000,MATCH($A29,Dati!$A$1:$A$1000,0))&gt;0,Dati!$BZ$3&amp;": "&amp;INDEX(Dati!$BZ$1:$BZ$1000,MATCH($A29,Dati!$A$1:$A$1000,0))&amp;" · ",""))-3)),""))</f>
        <v/>
      </c>
      <c r="V29" s="55" t="str">
        <f aca="false">IF($B29="","",IFERROR(IF((IF(INDEX(Dati!$FC$1:$FC$1000,MATCH($A29,Dati!$A$1:$A$1000,0))&gt;0,Dati!$CA$3&amp;": "&amp;INDEX(Dati!$CA$1:$CA$1000,MATCH($A29,Dati!$A$1:$A$1000,0))&amp;" · ","")&amp;IF(INDEX(Dati!$FD$1:$FD$1000,MATCH($A29,Dati!$A$1:$A$1000,0))&gt;0,Dati!$CB$3&amp;": "&amp;INDEX(Dati!$CB$1:$CB$1000,MATCH($A29,Dati!$A$1:$A$1000,0))&amp;" · ","")&amp;IF(INDEX(Dati!$FE$1:$FE$1000,MATCH($A29,Dati!$A$1:$A$1000,0))&gt;0,Dati!$CC$3&amp;": "&amp;INDEX(Dati!$CC$1:$CC$1000,MATCH($A29,Dati!$A$1:$A$1000,0))&amp;" · ","")&amp;IF(INDEX(Dati!$FF$1:$FF$1000,MATCH($A29,Dati!$A$1:$A$1000,0))&gt;0,Dati!$CD$3&amp;": "&amp;INDEX(Dati!$CD$1:$CD$1000,MATCH($A29,Dati!$A$1:$A$1000,0))&amp;" · ",""))="",IF(INDEX(Dati!$FZ$1:$FZ$1000,MATCH($A29,Dati!$A$1:$A$1000,0))=1,"AS da recuperare",""),LEFT(IF(INDEX(Dati!$FC$1:$FC$1000,MATCH($A29,Dati!$A$1:$A$1000,0))&gt;0,Dati!$CA$3&amp;": "&amp;INDEX(Dati!$CA$1:$CA$1000,MATCH($A29,Dati!$A$1:$A$1000,0))&amp;" · ","")&amp;IF(INDEX(Dati!$FD$1:$FD$1000,MATCH($A29,Dati!$A$1:$A$1000,0))&gt;0,Dati!$CB$3&amp;": "&amp;INDEX(Dati!$CB$1:$CB$1000,MATCH($A29,Dati!$A$1:$A$1000,0))&amp;" · ","")&amp;IF(INDEX(Dati!$FE$1:$FE$1000,MATCH($A29,Dati!$A$1:$A$1000,0))&gt;0,Dati!$CC$3&amp;": "&amp;INDEX(Dati!$CC$1:$CC$1000,MATCH($A29,Dati!$A$1:$A$1000,0))&amp;" · ","")&amp;IF(INDEX(Dati!$FF$1:$FF$1000,MATCH($A29,Dati!$A$1:$A$1000,0))&gt;0,Dati!$CD$3&amp;": "&amp;INDEX(Dati!$CD$1:$CD$1000,MATCH($A29,Dati!$A$1:$A$1000,0))&amp;" · ",""),LEN(IF(INDEX(Dati!$FC$1:$FC$1000,MATCH($A29,Dati!$A$1:$A$1000,0))&gt;0,Dati!$CA$3&amp;": "&amp;INDEX(Dati!$CA$1:$CA$1000,MATCH($A29,Dati!$A$1:$A$1000,0))&amp;" · ","")&amp;IF(INDEX(Dati!$FD$1:$FD$1000,MATCH($A29,Dati!$A$1:$A$1000,0))&gt;0,Dati!$CB$3&amp;": "&amp;INDEX(Dati!$CB$1:$CB$1000,MATCH($A29,Dati!$A$1:$A$1000,0))&amp;" · ","")&amp;IF(INDEX(Dati!$FE$1:$FE$1000,MATCH($A29,Dati!$A$1:$A$1000,0))&gt;0,Dati!$CC$3&amp;": "&amp;INDEX(Dati!$CC$1:$CC$1000,MATCH($A29,Dati!$A$1:$A$1000,0))&amp;" · ","")&amp;IF(INDEX(Dati!$FF$1:$FF$1000,MATCH($A29,Dati!$A$1:$A$1000,0))&gt;0,Dati!$CD$3&amp;": "&amp;INDEX(Dati!$CD$1:$CD$1000,MATCH($A29,Dati!$A$1:$A$1000,0))&amp;" · ",""))-3)),""))</f>
        <v/>
      </c>
    </row>
    <row r="30" customFormat="false" ht="19.5" hidden="false" customHeight="true" outlineLevel="0" collapsed="false">
      <c r="A30" s="10" t="n">
        <v>26</v>
      </c>
      <c r="B30" s="16" t="str">
        <f aca="false">IFERROR(INDEX(Alunni!$C$1:$C$1000,MATCH($A30,Alunni!$A$1:$A$1000,0))&amp;"","")</f>
        <v/>
      </c>
      <c r="C30" s="55" t="str">
        <f aca="false">IF($B30="","",IFERROR(IF((IF(INDEX(Dati!$CE$1:$CE$1000,MATCH($A30,Dati!$A$1:$A$1000,0))&gt;0,Dati!$C$3&amp;": "&amp;INDEX(Dati!$C$1:$C$1000,MATCH($A30,Dati!$A$1:$A$1000,0))&amp;" · ","")&amp;IF(INDEX(Dati!$CF$1:$CF$1000,MATCH($A30,Dati!$A$1:$A$1000,0))&gt;0,Dati!$D$3&amp;": "&amp;INDEX(Dati!$D$1:$D$1000,MATCH($A30,Dati!$A$1:$A$1000,0))&amp;" · ","")&amp;IF(INDEX(Dati!$CG$1:$CG$1000,MATCH($A30,Dati!$A$1:$A$1000,0))&gt;0,Dati!$E$3&amp;": "&amp;INDEX(Dati!$E$1:$E$1000,MATCH($A30,Dati!$A$1:$A$1000,0))&amp;" · ","")&amp;IF(INDEX(Dati!$CH$1:$CH$1000,MATCH($A30,Dati!$A$1:$A$1000,0))&gt;0,Dati!$F$3&amp;": "&amp;INDEX(Dati!$F$1:$F$1000,MATCH($A30,Dati!$A$1:$A$1000,0))&amp;" · ",""))="",IF(INDEX(Dati!$FG$1:$FG$1000,MATCH($A30,Dati!$A$1:$A$1000,0))=1,"AS da recuperare",""),LEFT(IF(INDEX(Dati!$CE$1:$CE$1000,MATCH($A30,Dati!$A$1:$A$1000,0))&gt;0,Dati!$C$3&amp;": "&amp;INDEX(Dati!$C$1:$C$1000,MATCH($A30,Dati!$A$1:$A$1000,0))&amp;" · ","")&amp;IF(INDEX(Dati!$CF$1:$CF$1000,MATCH($A30,Dati!$A$1:$A$1000,0))&gt;0,Dati!$D$3&amp;": "&amp;INDEX(Dati!$D$1:$D$1000,MATCH($A30,Dati!$A$1:$A$1000,0))&amp;" · ","")&amp;IF(INDEX(Dati!$CG$1:$CG$1000,MATCH($A30,Dati!$A$1:$A$1000,0))&gt;0,Dati!$E$3&amp;": "&amp;INDEX(Dati!$E$1:$E$1000,MATCH($A30,Dati!$A$1:$A$1000,0))&amp;" · ","")&amp;IF(INDEX(Dati!$CH$1:$CH$1000,MATCH($A30,Dati!$A$1:$A$1000,0))&gt;0,Dati!$F$3&amp;": "&amp;INDEX(Dati!$F$1:$F$1000,MATCH($A30,Dati!$A$1:$A$1000,0))&amp;" · ",""),LEN(IF(INDEX(Dati!$CE$1:$CE$1000,MATCH($A30,Dati!$A$1:$A$1000,0))&gt;0,Dati!$C$3&amp;": "&amp;INDEX(Dati!$C$1:$C$1000,MATCH($A30,Dati!$A$1:$A$1000,0))&amp;" · ","")&amp;IF(INDEX(Dati!$CF$1:$CF$1000,MATCH($A30,Dati!$A$1:$A$1000,0))&gt;0,Dati!$D$3&amp;": "&amp;INDEX(Dati!$D$1:$D$1000,MATCH($A30,Dati!$A$1:$A$1000,0))&amp;" · ","")&amp;IF(INDEX(Dati!$CG$1:$CG$1000,MATCH($A30,Dati!$A$1:$A$1000,0))&gt;0,Dati!$E$3&amp;": "&amp;INDEX(Dati!$E$1:$E$1000,MATCH($A30,Dati!$A$1:$A$1000,0))&amp;" · ","")&amp;IF(INDEX(Dati!$CH$1:$CH$1000,MATCH($A30,Dati!$A$1:$A$1000,0))&gt;0,Dati!$F$3&amp;": "&amp;INDEX(Dati!$F$1:$F$1000,MATCH($A30,Dati!$A$1:$A$1000,0))&amp;" · ",""))-3)),""))</f>
        <v/>
      </c>
      <c r="D30" s="55" t="str">
        <f aca="false">IF($B30="","",IFERROR(IF((IF(INDEX(Dati!$CI$1:$CI$1000,MATCH($A30,Dati!$A$1:$A$1000,0))&gt;0,Dati!$G$3&amp;": "&amp;INDEX(Dati!$G$1:$G$1000,MATCH($A30,Dati!$A$1:$A$1000,0))&amp;" · ","")&amp;IF(INDEX(Dati!$CJ$1:$CJ$1000,MATCH($A30,Dati!$A$1:$A$1000,0))&gt;0,Dati!$H$3&amp;": "&amp;INDEX(Dati!$H$1:$H$1000,MATCH($A30,Dati!$A$1:$A$1000,0))&amp;" · ","")&amp;IF(INDEX(Dati!$CK$1:$CK$1000,MATCH($A30,Dati!$A$1:$A$1000,0))&gt;0,Dati!$I$3&amp;": "&amp;INDEX(Dati!$I$1:$I$1000,MATCH($A30,Dati!$A$1:$A$1000,0))&amp;" · ","")&amp;IF(INDEX(Dati!$CL$1:$CL$1000,MATCH($A30,Dati!$A$1:$A$1000,0))&gt;0,Dati!$J$3&amp;": "&amp;INDEX(Dati!$J$1:$J$1000,MATCH($A30,Dati!$A$1:$A$1000,0))&amp;" · ",""))="",IF(INDEX(Dati!$FH$1:$FH$1000,MATCH($A30,Dati!$A$1:$A$1000,0))=1,"AS da recuperare",""),LEFT(IF(INDEX(Dati!$CI$1:$CI$1000,MATCH($A30,Dati!$A$1:$A$1000,0))&gt;0,Dati!$G$3&amp;": "&amp;INDEX(Dati!$G$1:$G$1000,MATCH($A30,Dati!$A$1:$A$1000,0))&amp;" · ","")&amp;IF(INDEX(Dati!$CJ$1:$CJ$1000,MATCH($A30,Dati!$A$1:$A$1000,0))&gt;0,Dati!$H$3&amp;": "&amp;INDEX(Dati!$H$1:$H$1000,MATCH($A30,Dati!$A$1:$A$1000,0))&amp;" · ","")&amp;IF(INDEX(Dati!$CK$1:$CK$1000,MATCH($A30,Dati!$A$1:$A$1000,0))&gt;0,Dati!$I$3&amp;": "&amp;INDEX(Dati!$I$1:$I$1000,MATCH($A30,Dati!$A$1:$A$1000,0))&amp;" · ","")&amp;IF(INDEX(Dati!$CL$1:$CL$1000,MATCH($A30,Dati!$A$1:$A$1000,0))&gt;0,Dati!$J$3&amp;": "&amp;INDEX(Dati!$J$1:$J$1000,MATCH($A30,Dati!$A$1:$A$1000,0))&amp;" · ",""),LEN(IF(INDEX(Dati!$CI$1:$CI$1000,MATCH($A30,Dati!$A$1:$A$1000,0))&gt;0,Dati!$G$3&amp;": "&amp;INDEX(Dati!$G$1:$G$1000,MATCH($A30,Dati!$A$1:$A$1000,0))&amp;" · ","")&amp;IF(INDEX(Dati!$CJ$1:$CJ$1000,MATCH($A30,Dati!$A$1:$A$1000,0))&gt;0,Dati!$H$3&amp;": "&amp;INDEX(Dati!$H$1:$H$1000,MATCH($A30,Dati!$A$1:$A$1000,0))&amp;" · ","")&amp;IF(INDEX(Dati!$CK$1:$CK$1000,MATCH($A30,Dati!$A$1:$A$1000,0))&gt;0,Dati!$I$3&amp;": "&amp;INDEX(Dati!$I$1:$I$1000,MATCH($A30,Dati!$A$1:$A$1000,0))&amp;" · ","")&amp;IF(INDEX(Dati!$CL$1:$CL$1000,MATCH($A30,Dati!$A$1:$A$1000,0))&gt;0,Dati!$J$3&amp;": "&amp;INDEX(Dati!$J$1:$J$1000,MATCH($A30,Dati!$A$1:$A$1000,0))&amp;" · ",""))-3)),""))</f>
        <v/>
      </c>
      <c r="E30" s="55" t="str">
        <f aca="false">IF($B30="","",IFERROR(IF((IF(INDEX(Dati!$CM$1:$CM$1000,MATCH($A30,Dati!$A$1:$A$1000,0))&gt;0,Dati!$K$3&amp;": "&amp;INDEX(Dati!$K$1:$K$1000,MATCH($A30,Dati!$A$1:$A$1000,0))&amp;" · ","")&amp;IF(INDEX(Dati!$CN$1:$CN$1000,MATCH($A30,Dati!$A$1:$A$1000,0))&gt;0,Dati!$L$3&amp;": "&amp;INDEX(Dati!$L$1:$L$1000,MATCH($A30,Dati!$A$1:$A$1000,0))&amp;" · ","")&amp;IF(INDEX(Dati!$CO$1:$CO$1000,MATCH($A30,Dati!$A$1:$A$1000,0))&gt;0,Dati!$M$3&amp;": "&amp;INDEX(Dati!$M$1:$M$1000,MATCH($A30,Dati!$A$1:$A$1000,0))&amp;" · ","")&amp;IF(INDEX(Dati!$CP$1:$CP$1000,MATCH($A30,Dati!$A$1:$A$1000,0))&gt;0,Dati!$N$3&amp;": "&amp;INDEX(Dati!$N$1:$N$1000,MATCH($A30,Dati!$A$1:$A$1000,0))&amp;" · ",""))="",IF(INDEX(Dati!$FI$1:$FI$1000,MATCH($A30,Dati!$A$1:$A$1000,0))=1,"AS da recuperare",""),LEFT(IF(INDEX(Dati!$CM$1:$CM$1000,MATCH($A30,Dati!$A$1:$A$1000,0))&gt;0,Dati!$K$3&amp;": "&amp;INDEX(Dati!$K$1:$K$1000,MATCH($A30,Dati!$A$1:$A$1000,0))&amp;" · ","")&amp;IF(INDEX(Dati!$CN$1:$CN$1000,MATCH($A30,Dati!$A$1:$A$1000,0))&gt;0,Dati!$L$3&amp;": "&amp;INDEX(Dati!$L$1:$L$1000,MATCH($A30,Dati!$A$1:$A$1000,0))&amp;" · ","")&amp;IF(INDEX(Dati!$CO$1:$CO$1000,MATCH($A30,Dati!$A$1:$A$1000,0))&gt;0,Dati!$M$3&amp;": "&amp;INDEX(Dati!$M$1:$M$1000,MATCH($A30,Dati!$A$1:$A$1000,0))&amp;" · ","")&amp;IF(INDEX(Dati!$CP$1:$CP$1000,MATCH($A30,Dati!$A$1:$A$1000,0))&gt;0,Dati!$N$3&amp;": "&amp;INDEX(Dati!$N$1:$N$1000,MATCH($A30,Dati!$A$1:$A$1000,0))&amp;" · ",""),LEN(IF(INDEX(Dati!$CM$1:$CM$1000,MATCH($A30,Dati!$A$1:$A$1000,0))&gt;0,Dati!$K$3&amp;": "&amp;INDEX(Dati!$K$1:$K$1000,MATCH($A30,Dati!$A$1:$A$1000,0))&amp;" · ","")&amp;IF(INDEX(Dati!$CN$1:$CN$1000,MATCH($A30,Dati!$A$1:$A$1000,0))&gt;0,Dati!$L$3&amp;": "&amp;INDEX(Dati!$L$1:$L$1000,MATCH($A30,Dati!$A$1:$A$1000,0))&amp;" · ","")&amp;IF(INDEX(Dati!$CO$1:$CO$1000,MATCH($A30,Dati!$A$1:$A$1000,0))&gt;0,Dati!$M$3&amp;": "&amp;INDEX(Dati!$M$1:$M$1000,MATCH($A30,Dati!$A$1:$A$1000,0))&amp;" · ","")&amp;IF(INDEX(Dati!$CP$1:$CP$1000,MATCH($A30,Dati!$A$1:$A$1000,0))&gt;0,Dati!$N$3&amp;": "&amp;INDEX(Dati!$N$1:$N$1000,MATCH($A30,Dati!$A$1:$A$1000,0))&amp;" · ",""))-3)),""))</f>
        <v/>
      </c>
      <c r="F30" s="55" t="str">
        <f aca="false">IF($B30="","",IFERROR(IF((IF(INDEX(Dati!$CQ$1:$CQ$1000,MATCH($A30,Dati!$A$1:$A$1000,0))&gt;0,Dati!$O$3&amp;": "&amp;INDEX(Dati!$O$1:$O$1000,MATCH($A30,Dati!$A$1:$A$1000,0))&amp;" · ","")&amp;IF(INDEX(Dati!$CR$1:$CR$1000,MATCH($A30,Dati!$A$1:$A$1000,0))&gt;0,Dati!$P$3&amp;": "&amp;INDEX(Dati!$P$1:$P$1000,MATCH($A30,Dati!$A$1:$A$1000,0))&amp;" · ","")&amp;IF(INDEX(Dati!$CS$1:$CS$1000,MATCH($A30,Dati!$A$1:$A$1000,0))&gt;0,Dati!$Q$3&amp;": "&amp;INDEX(Dati!$Q$1:$Q$1000,MATCH($A30,Dati!$A$1:$A$1000,0))&amp;" · ","")&amp;IF(INDEX(Dati!$CT$1:$CT$1000,MATCH($A30,Dati!$A$1:$A$1000,0))&gt;0,Dati!$R$3&amp;": "&amp;INDEX(Dati!$R$1:$R$1000,MATCH($A30,Dati!$A$1:$A$1000,0))&amp;" · ",""))="",IF(INDEX(Dati!$FJ$1:$FJ$1000,MATCH($A30,Dati!$A$1:$A$1000,0))=1,"AS da recuperare",""),LEFT(IF(INDEX(Dati!$CQ$1:$CQ$1000,MATCH($A30,Dati!$A$1:$A$1000,0))&gt;0,Dati!$O$3&amp;": "&amp;INDEX(Dati!$O$1:$O$1000,MATCH($A30,Dati!$A$1:$A$1000,0))&amp;" · ","")&amp;IF(INDEX(Dati!$CR$1:$CR$1000,MATCH($A30,Dati!$A$1:$A$1000,0))&gt;0,Dati!$P$3&amp;": "&amp;INDEX(Dati!$P$1:$P$1000,MATCH($A30,Dati!$A$1:$A$1000,0))&amp;" · ","")&amp;IF(INDEX(Dati!$CS$1:$CS$1000,MATCH($A30,Dati!$A$1:$A$1000,0))&gt;0,Dati!$Q$3&amp;": "&amp;INDEX(Dati!$Q$1:$Q$1000,MATCH($A30,Dati!$A$1:$A$1000,0))&amp;" · ","")&amp;IF(INDEX(Dati!$CT$1:$CT$1000,MATCH($A30,Dati!$A$1:$A$1000,0))&gt;0,Dati!$R$3&amp;": "&amp;INDEX(Dati!$R$1:$R$1000,MATCH($A30,Dati!$A$1:$A$1000,0))&amp;" · ",""),LEN(IF(INDEX(Dati!$CQ$1:$CQ$1000,MATCH($A30,Dati!$A$1:$A$1000,0))&gt;0,Dati!$O$3&amp;": "&amp;INDEX(Dati!$O$1:$O$1000,MATCH($A30,Dati!$A$1:$A$1000,0))&amp;" · ","")&amp;IF(INDEX(Dati!$CR$1:$CR$1000,MATCH($A30,Dati!$A$1:$A$1000,0))&gt;0,Dati!$P$3&amp;": "&amp;INDEX(Dati!$P$1:$P$1000,MATCH($A30,Dati!$A$1:$A$1000,0))&amp;" · ","")&amp;IF(INDEX(Dati!$CS$1:$CS$1000,MATCH($A30,Dati!$A$1:$A$1000,0))&gt;0,Dati!$Q$3&amp;": "&amp;INDEX(Dati!$Q$1:$Q$1000,MATCH($A30,Dati!$A$1:$A$1000,0))&amp;" · ","")&amp;IF(INDEX(Dati!$CT$1:$CT$1000,MATCH($A30,Dati!$A$1:$A$1000,0))&gt;0,Dati!$R$3&amp;": "&amp;INDEX(Dati!$R$1:$R$1000,MATCH($A30,Dati!$A$1:$A$1000,0))&amp;" · ",""))-3)),""))</f>
        <v/>
      </c>
      <c r="G30" s="55" t="str">
        <f aca="false">IF($B30="","",IFERROR(IF((IF(INDEX(Dati!$CU$1:$CU$1000,MATCH($A30,Dati!$A$1:$A$1000,0))&gt;0,Dati!$S$3&amp;": "&amp;INDEX(Dati!$S$1:$S$1000,MATCH($A30,Dati!$A$1:$A$1000,0))&amp;" · ","")&amp;IF(INDEX(Dati!$CV$1:$CV$1000,MATCH($A30,Dati!$A$1:$A$1000,0))&gt;0,Dati!$T$3&amp;": "&amp;INDEX(Dati!$T$1:$T$1000,MATCH($A30,Dati!$A$1:$A$1000,0))&amp;" · ","")&amp;IF(INDEX(Dati!$CW$1:$CW$1000,MATCH($A30,Dati!$A$1:$A$1000,0))&gt;0,Dati!$U$3&amp;": "&amp;INDEX(Dati!$U$1:$U$1000,MATCH($A30,Dati!$A$1:$A$1000,0))&amp;" · ","")&amp;IF(INDEX(Dati!$CX$1:$CX$1000,MATCH($A30,Dati!$A$1:$A$1000,0))&gt;0,Dati!$V$3&amp;": "&amp;INDEX(Dati!$V$1:$V$1000,MATCH($A30,Dati!$A$1:$A$1000,0))&amp;" · ",""))="",IF(INDEX(Dati!$FK$1:$FK$1000,MATCH($A30,Dati!$A$1:$A$1000,0))=1,"AS da recuperare",""),LEFT(IF(INDEX(Dati!$CU$1:$CU$1000,MATCH($A30,Dati!$A$1:$A$1000,0))&gt;0,Dati!$S$3&amp;": "&amp;INDEX(Dati!$S$1:$S$1000,MATCH($A30,Dati!$A$1:$A$1000,0))&amp;" · ","")&amp;IF(INDEX(Dati!$CV$1:$CV$1000,MATCH($A30,Dati!$A$1:$A$1000,0))&gt;0,Dati!$T$3&amp;": "&amp;INDEX(Dati!$T$1:$T$1000,MATCH($A30,Dati!$A$1:$A$1000,0))&amp;" · ","")&amp;IF(INDEX(Dati!$CW$1:$CW$1000,MATCH($A30,Dati!$A$1:$A$1000,0))&gt;0,Dati!$U$3&amp;": "&amp;INDEX(Dati!$U$1:$U$1000,MATCH($A30,Dati!$A$1:$A$1000,0))&amp;" · ","")&amp;IF(INDEX(Dati!$CX$1:$CX$1000,MATCH($A30,Dati!$A$1:$A$1000,0))&gt;0,Dati!$V$3&amp;": "&amp;INDEX(Dati!$V$1:$V$1000,MATCH($A30,Dati!$A$1:$A$1000,0))&amp;" · ",""),LEN(IF(INDEX(Dati!$CU$1:$CU$1000,MATCH($A30,Dati!$A$1:$A$1000,0))&gt;0,Dati!$S$3&amp;": "&amp;INDEX(Dati!$S$1:$S$1000,MATCH($A30,Dati!$A$1:$A$1000,0))&amp;" · ","")&amp;IF(INDEX(Dati!$CV$1:$CV$1000,MATCH($A30,Dati!$A$1:$A$1000,0))&gt;0,Dati!$T$3&amp;": "&amp;INDEX(Dati!$T$1:$T$1000,MATCH($A30,Dati!$A$1:$A$1000,0))&amp;" · ","")&amp;IF(INDEX(Dati!$CW$1:$CW$1000,MATCH($A30,Dati!$A$1:$A$1000,0))&gt;0,Dati!$U$3&amp;": "&amp;INDEX(Dati!$U$1:$U$1000,MATCH($A30,Dati!$A$1:$A$1000,0))&amp;" · ","")&amp;IF(INDEX(Dati!$CX$1:$CX$1000,MATCH($A30,Dati!$A$1:$A$1000,0))&gt;0,Dati!$V$3&amp;": "&amp;INDEX(Dati!$V$1:$V$1000,MATCH($A30,Dati!$A$1:$A$1000,0))&amp;" · ",""))-3)),""))</f>
        <v/>
      </c>
      <c r="H30" s="55" t="str">
        <f aca="false">IF($B30="","",IFERROR(IF((IF(INDEX(Dati!$CY$1:$CY$1000,MATCH($A30,Dati!$A$1:$A$1000,0))&gt;0,Dati!$W$3&amp;": "&amp;INDEX(Dati!$W$1:$W$1000,MATCH($A30,Dati!$A$1:$A$1000,0))&amp;" · ","")&amp;IF(INDEX(Dati!$CZ$1:$CZ$1000,MATCH($A30,Dati!$A$1:$A$1000,0))&gt;0,Dati!$X$3&amp;": "&amp;INDEX(Dati!$X$1:$X$1000,MATCH($A30,Dati!$A$1:$A$1000,0))&amp;" · ","")&amp;IF(INDEX(Dati!$DA$1:$DA$1000,MATCH($A30,Dati!$A$1:$A$1000,0))&gt;0,Dati!$Y$3&amp;": "&amp;INDEX(Dati!$Y$1:$Y$1000,MATCH($A30,Dati!$A$1:$A$1000,0))&amp;" · ","")&amp;IF(INDEX(Dati!$DB$1:$DB$1000,MATCH($A30,Dati!$A$1:$A$1000,0))&gt;0,Dati!$Z$3&amp;": "&amp;INDEX(Dati!$Z$1:$Z$1000,MATCH($A30,Dati!$A$1:$A$1000,0))&amp;" · ",""))="",IF(INDEX(Dati!$FL$1:$FL$1000,MATCH($A30,Dati!$A$1:$A$1000,0))=1,"AS da recuperare",""),LEFT(IF(INDEX(Dati!$CY$1:$CY$1000,MATCH($A30,Dati!$A$1:$A$1000,0))&gt;0,Dati!$W$3&amp;": "&amp;INDEX(Dati!$W$1:$W$1000,MATCH($A30,Dati!$A$1:$A$1000,0))&amp;" · ","")&amp;IF(INDEX(Dati!$CZ$1:$CZ$1000,MATCH($A30,Dati!$A$1:$A$1000,0))&gt;0,Dati!$X$3&amp;": "&amp;INDEX(Dati!$X$1:$X$1000,MATCH($A30,Dati!$A$1:$A$1000,0))&amp;" · ","")&amp;IF(INDEX(Dati!$DA$1:$DA$1000,MATCH($A30,Dati!$A$1:$A$1000,0))&gt;0,Dati!$Y$3&amp;": "&amp;INDEX(Dati!$Y$1:$Y$1000,MATCH($A30,Dati!$A$1:$A$1000,0))&amp;" · ","")&amp;IF(INDEX(Dati!$DB$1:$DB$1000,MATCH($A30,Dati!$A$1:$A$1000,0))&gt;0,Dati!$Z$3&amp;": "&amp;INDEX(Dati!$Z$1:$Z$1000,MATCH($A30,Dati!$A$1:$A$1000,0))&amp;" · ",""),LEN(IF(INDEX(Dati!$CY$1:$CY$1000,MATCH($A30,Dati!$A$1:$A$1000,0))&gt;0,Dati!$W$3&amp;": "&amp;INDEX(Dati!$W$1:$W$1000,MATCH($A30,Dati!$A$1:$A$1000,0))&amp;" · ","")&amp;IF(INDEX(Dati!$CZ$1:$CZ$1000,MATCH($A30,Dati!$A$1:$A$1000,0))&gt;0,Dati!$X$3&amp;": "&amp;INDEX(Dati!$X$1:$X$1000,MATCH($A30,Dati!$A$1:$A$1000,0))&amp;" · ","")&amp;IF(INDEX(Dati!$DA$1:$DA$1000,MATCH($A30,Dati!$A$1:$A$1000,0))&gt;0,Dati!$Y$3&amp;": "&amp;INDEX(Dati!$Y$1:$Y$1000,MATCH($A30,Dati!$A$1:$A$1000,0))&amp;" · ","")&amp;IF(INDEX(Dati!$DB$1:$DB$1000,MATCH($A30,Dati!$A$1:$A$1000,0))&gt;0,Dati!$Z$3&amp;": "&amp;INDEX(Dati!$Z$1:$Z$1000,MATCH($A30,Dati!$A$1:$A$1000,0))&amp;" · ",""))-3)),""))</f>
        <v/>
      </c>
      <c r="I30" s="55" t="str">
        <f aca="false">IF($B30="","",IFERROR(IF((IF(INDEX(Dati!$DC$1:$DC$1000,MATCH($A30,Dati!$A$1:$A$1000,0))&gt;0,Dati!$AA$3&amp;": "&amp;INDEX(Dati!$AA$1:$AA$1000,MATCH($A30,Dati!$A$1:$A$1000,0))&amp;" · ","")&amp;IF(INDEX(Dati!$DD$1:$DD$1000,MATCH($A30,Dati!$A$1:$A$1000,0))&gt;0,Dati!$AB$3&amp;": "&amp;INDEX(Dati!$AB$1:$AB$1000,MATCH($A30,Dati!$A$1:$A$1000,0))&amp;" · ","")&amp;IF(INDEX(Dati!$DE$1:$DE$1000,MATCH($A30,Dati!$A$1:$A$1000,0))&gt;0,Dati!$AC$3&amp;": "&amp;INDEX(Dati!$AC$1:$AC$1000,MATCH($A30,Dati!$A$1:$A$1000,0))&amp;" · ","")&amp;IF(INDEX(Dati!$DF$1:$DF$1000,MATCH($A30,Dati!$A$1:$A$1000,0))&gt;0,Dati!$AD$3&amp;": "&amp;INDEX(Dati!$AD$1:$AD$1000,MATCH($A30,Dati!$A$1:$A$1000,0))&amp;" · ",""))="",IF(INDEX(Dati!$FM$1:$FM$1000,MATCH($A30,Dati!$A$1:$A$1000,0))=1,"AS da recuperare",""),LEFT(IF(INDEX(Dati!$DC$1:$DC$1000,MATCH($A30,Dati!$A$1:$A$1000,0))&gt;0,Dati!$AA$3&amp;": "&amp;INDEX(Dati!$AA$1:$AA$1000,MATCH($A30,Dati!$A$1:$A$1000,0))&amp;" · ","")&amp;IF(INDEX(Dati!$DD$1:$DD$1000,MATCH($A30,Dati!$A$1:$A$1000,0))&gt;0,Dati!$AB$3&amp;": "&amp;INDEX(Dati!$AB$1:$AB$1000,MATCH($A30,Dati!$A$1:$A$1000,0))&amp;" · ","")&amp;IF(INDEX(Dati!$DE$1:$DE$1000,MATCH($A30,Dati!$A$1:$A$1000,0))&gt;0,Dati!$AC$3&amp;": "&amp;INDEX(Dati!$AC$1:$AC$1000,MATCH($A30,Dati!$A$1:$A$1000,0))&amp;" · ","")&amp;IF(INDEX(Dati!$DF$1:$DF$1000,MATCH($A30,Dati!$A$1:$A$1000,0))&gt;0,Dati!$AD$3&amp;": "&amp;INDEX(Dati!$AD$1:$AD$1000,MATCH($A30,Dati!$A$1:$A$1000,0))&amp;" · ",""),LEN(IF(INDEX(Dati!$DC$1:$DC$1000,MATCH($A30,Dati!$A$1:$A$1000,0))&gt;0,Dati!$AA$3&amp;": "&amp;INDEX(Dati!$AA$1:$AA$1000,MATCH($A30,Dati!$A$1:$A$1000,0))&amp;" · ","")&amp;IF(INDEX(Dati!$DD$1:$DD$1000,MATCH($A30,Dati!$A$1:$A$1000,0))&gt;0,Dati!$AB$3&amp;": "&amp;INDEX(Dati!$AB$1:$AB$1000,MATCH($A30,Dati!$A$1:$A$1000,0))&amp;" · ","")&amp;IF(INDEX(Dati!$DE$1:$DE$1000,MATCH($A30,Dati!$A$1:$A$1000,0))&gt;0,Dati!$AC$3&amp;": "&amp;INDEX(Dati!$AC$1:$AC$1000,MATCH($A30,Dati!$A$1:$A$1000,0))&amp;" · ","")&amp;IF(INDEX(Dati!$DF$1:$DF$1000,MATCH($A30,Dati!$A$1:$A$1000,0))&gt;0,Dati!$AD$3&amp;": "&amp;INDEX(Dati!$AD$1:$AD$1000,MATCH($A30,Dati!$A$1:$A$1000,0))&amp;" · ",""))-3)),""))</f>
        <v/>
      </c>
      <c r="J30" s="55" t="str">
        <f aca="false">IF($B30="","",IFERROR(IF((IF(INDEX(Dati!$DG$1:$DG$1000,MATCH($A30,Dati!$A$1:$A$1000,0))&gt;0,Dati!$AE$3&amp;": "&amp;INDEX(Dati!$AE$1:$AE$1000,MATCH($A30,Dati!$A$1:$A$1000,0))&amp;" · ","")&amp;IF(INDEX(Dati!$DH$1:$DH$1000,MATCH($A30,Dati!$A$1:$A$1000,0))&gt;0,Dati!$AF$3&amp;": "&amp;INDEX(Dati!$AF$1:$AF$1000,MATCH($A30,Dati!$A$1:$A$1000,0))&amp;" · ","")&amp;IF(INDEX(Dati!$DI$1:$DI$1000,MATCH($A30,Dati!$A$1:$A$1000,0))&gt;0,Dati!$AG$3&amp;": "&amp;INDEX(Dati!$AG$1:$AG$1000,MATCH($A30,Dati!$A$1:$A$1000,0))&amp;" · ","")&amp;IF(INDEX(Dati!$DJ$1:$DJ$1000,MATCH($A30,Dati!$A$1:$A$1000,0))&gt;0,Dati!$AH$3&amp;": "&amp;INDEX(Dati!$AH$1:$AH$1000,MATCH($A30,Dati!$A$1:$A$1000,0))&amp;" · ",""))="",IF(INDEX(Dati!$FN$1:$FN$1000,MATCH($A30,Dati!$A$1:$A$1000,0))=1,"AS da recuperare",""),LEFT(IF(INDEX(Dati!$DG$1:$DG$1000,MATCH($A30,Dati!$A$1:$A$1000,0))&gt;0,Dati!$AE$3&amp;": "&amp;INDEX(Dati!$AE$1:$AE$1000,MATCH($A30,Dati!$A$1:$A$1000,0))&amp;" · ","")&amp;IF(INDEX(Dati!$DH$1:$DH$1000,MATCH($A30,Dati!$A$1:$A$1000,0))&gt;0,Dati!$AF$3&amp;": "&amp;INDEX(Dati!$AF$1:$AF$1000,MATCH($A30,Dati!$A$1:$A$1000,0))&amp;" · ","")&amp;IF(INDEX(Dati!$DI$1:$DI$1000,MATCH($A30,Dati!$A$1:$A$1000,0))&gt;0,Dati!$AG$3&amp;": "&amp;INDEX(Dati!$AG$1:$AG$1000,MATCH($A30,Dati!$A$1:$A$1000,0))&amp;" · ","")&amp;IF(INDEX(Dati!$DJ$1:$DJ$1000,MATCH($A30,Dati!$A$1:$A$1000,0))&gt;0,Dati!$AH$3&amp;": "&amp;INDEX(Dati!$AH$1:$AH$1000,MATCH($A30,Dati!$A$1:$A$1000,0))&amp;" · ",""),LEN(IF(INDEX(Dati!$DG$1:$DG$1000,MATCH($A30,Dati!$A$1:$A$1000,0))&gt;0,Dati!$AE$3&amp;": "&amp;INDEX(Dati!$AE$1:$AE$1000,MATCH($A30,Dati!$A$1:$A$1000,0))&amp;" · ","")&amp;IF(INDEX(Dati!$DH$1:$DH$1000,MATCH($A30,Dati!$A$1:$A$1000,0))&gt;0,Dati!$AF$3&amp;": "&amp;INDEX(Dati!$AF$1:$AF$1000,MATCH($A30,Dati!$A$1:$A$1000,0))&amp;" · ","")&amp;IF(INDEX(Dati!$DI$1:$DI$1000,MATCH($A30,Dati!$A$1:$A$1000,0))&gt;0,Dati!$AG$3&amp;": "&amp;INDEX(Dati!$AG$1:$AG$1000,MATCH($A30,Dati!$A$1:$A$1000,0))&amp;" · ","")&amp;IF(INDEX(Dati!$DJ$1:$DJ$1000,MATCH($A30,Dati!$A$1:$A$1000,0))&gt;0,Dati!$AH$3&amp;": "&amp;INDEX(Dati!$AH$1:$AH$1000,MATCH($A30,Dati!$A$1:$A$1000,0))&amp;" · ",""))-3)),""))</f>
        <v/>
      </c>
      <c r="K30" s="55" t="str">
        <f aca="false">IF($B30="","",IFERROR(IF((IF(INDEX(Dati!$DK$1:$DK$1000,MATCH($A30,Dati!$A$1:$A$1000,0))&gt;0,Dati!$AI$3&amp;": "&amp;INDEX(Dati!$AI$1:$AI$1000,MATCH($A30,Dati!$A$1:$A$1000,0))&amp;" · ","")&amp;IF(INDEX(Dati!$DL$1:$DL$1000,MATCH($A30,Dati!$A$1:$A$1000,0))&gt;0,Dati!$AJ$3&amp;": "&amp;INDEX(Dati!$AJ$1:$AJ$1000,MATCH($A30,Dati!$A$1:$A$1000,0))&amp;" · ","")&amp;IF(INDEX(Dati!$DM$1:$DM$1000,MATCH($A30,Dati!$A$1:$A$1000,0))&gt;0,Dati!$AK$3&amp;": "&amp;INDEX(Dati!$AK$1:$AK$1000,MATCH($A30,Dati!$A$1:$A$1000,0))&amp;" · ","")&amp;IF(INDEX(Dati!$DN$1:$DN$1000,MATCH($A30,Dati!$A$1:$A$1000,0))&gt;0,Dati!$AL$3&amp;": "&amp;INDEX(Dati!$AL$1:$AL$1000,MATCH($A30,Dati!$A$1:$A$1000,0))&amp;" · ",""))="",IF(INDEX(Dati!$FO$1:$FO$1000,MATCH($A30,Dati!$A$1:$A$1000,0))=1,"AS da recuperare",""),LEFT(IF(INDEX(Dati!$DK$1:$DK$1000,MATCH($A30,Dati!$A$1:$A$1000,0))&gt;0,Dati!$AI$3&amp;": "&amp;INDEX(Dati!$AI$1:$AI$1000,MATCH($A30,Dati!$A$1:$A$1000,0))&amp;" · ","")&amp;IF(INDEX(Dati!$DL$1:$DL$1000,MATCH($A30,Dati!$A$1:$A$1000,0))&gt;0,Dati!$AJ$3&amp;": "&amp;INDEX(Dati!$AJ$1:$AJ$1000,MATCH($A30,Dati!$A$1:$A$1000,0))&amp;" · ","")&amp;IF(INDEX(Dati!$DM$1:$DM$1000,MATCH($A30,Dati!$A$1:$A$1000,0))&gt;0,Dati!$AK$3&amp;": "&amp;INDEX(Dati!$AK$1:$AK$1000,MATCH($A30,Dati!$A$1:$A$1000,0))&amp;" · ","")&amp;IF(INDEX(Dati!$DN$1:$DN$1000,MATCH($A30,Dati!$A$1:$A$1000,0))&gt;0,Dati!$AL$3&amp;": "&amp;INDEX(Dati!$AL$1:$AL$1000,MATCH($A30,Dati!$A$1:$A$1000,0))&amp;" · ",""),LEN(IF(INDEX(Dati!$DK$1:$DK$1000,MATCH($A30,Dati!$A$1:$A$1000,0))&gt;0,Dati!$AI$3&amp;": "&amp;INDEX(Dati!$AI$1:$AI$1000,MATCH($A30,Dati!$A$1:$A$1000,0))&amp;" · ","")&amp;IF(INDEX(Dati!$DL$1:$DL$1000,MATCH($A30,Dati!$A$1:$A$1000,0))&gt;0,Dati!$AJ$3&amp;": "&amp;INDEX(Dati!$AJ$1:$AJ$1000,MATCH($A30,Dati!$A$1:$A$1000,0))&amp;" · ","")&amp;IF(INDEX(Dati!$DM$1:$DM$1000,MATCH($A30,Dati!$A$1:$A$1000,0))&gt;0,Dati!$AK$3&amp;": "&amp;INDEX(Dati!$AK$1:$AK$1000,MATCH($A30,Dati!$A$1:$A$1000,0))&amp;" · ","")&amp;IF(INDEX(Dati!$DN$1:$DN$1000,MATCH($A30,Dati!$A$1:$A$1000,0))&gt;0,Dati!$AL$3&amp;": "&amp;INDEX(Dati!$AL$1:$AL$1000,MATCH($A30,Dati!$A$1:$A$1000,0))&amp;" · ",""))-3)),""))</f>
        <v/>
      </c>
      <c r="L30" s="55" t="str">
        <f aca="false">IF($B30="","",IFERROR(IF((IF(INDEX(Dati!$DO$1:$DO$1000,MATCH($A30,Dati!$A$1:$A$1000,0))&gt;0,Dati!$AM$3&amp;": "&amp;INDEX(Dati!$AM$1:$AM$1000,MATCH($A30,Dati!$A$1:$A$1000,0))&amp;" · ","")&amp;IF(INDEX(Dati!$DP$1:$DP$1000,MATCH($A30,Dati!$A$1:$A$1000,0))&gt;0,Dati!$AN$3&amp;": "&amp;INDEX(Dati!$AN$1:$AN$1000,MATCH($A30,Dati!$A$1:$A$1000,0))&amp;" · ","")&amp;IF(INDEX(Dati!$DQ$1:$DQ$1000,MATCH($A30,Dati!$A$1:$A$1000,0))&gt;0,Dati!$AO$3&amp;": "&amp;INDEX(Dati!$AO$1:$AO$1000,MATCH($A30,Dati!$A$1:$A$1000,0))&amp;" · ","")&amp;IF(INDEX(Dati!$DR$1:$DR$1000,MATCH($A30,Dati!$A$1:$A$1000,0))&gt;0,Dati!$AP$3&amp;": "&amp;INDEX(Dati!$AP$1:$AP$1000,MATCH($A30,Dati!$A$1:$A$1000,0))&amp;" · ",""))="",IF(INDEX(Dati!$FP$1:$FP$1000,MATCH($A30,Dati!$A$1:$A$1000,0))=1,"AS da recuperare",""),LEFT(IF(INDEX(Dati!$DO$1:$DO$1000,MATCH($A30,Dati!$A$1:$A$1000,0))&gt;0,Dati!$AM$3&amp;": "&amp;INDEX(Dati!$AM$1:$AM$1000,MATCH($A30,Dati!$A$1:$A$1000,0))&amp;" · ","")&amp;IF(INDEX(Dati!$DP$1:$DP$1000,MATCH($A30,Dati!$A$1:$A$1000,0))&gt;0,Dati!$AN$3&amp;": "&amp;INDEX(Dati!$AN$1:$AN$1000,MATCH($A30,Dati!$A$1:$A$1000,0))&amp;" · ","")&amp;IF(INDEX(Dati!$DQ$1:$DQ$1000,MATCH($A30,Dati!$A$1:$A$1000,0))&gt;0,Dati!$AO$3&amp;": "&amp;INDEX(Dati!$AO$1:$AO$1000,MATCH($A30,Dati!$A$1:$A$1000,0))&amp;" · ","")&amp;IF(INDEX(Dati!$DR$1:$DR$1000,MATCH($A30,Dati!$A$1:$A$1000,0))&gt;0,Dati!$AP$3&amp;": "&amp;INDEX(Dati!$AP$1:$AP$1000,MATCH($A30,Dati!$A$1:$A$1000,0))&amp;" · ",""),LEN(IF(INDEX(Dati!$DO$1:$DO$1000,MATCH($A30,Dati!$A$1:$A$1000,0))&gt;0,Dati!$AM$3&amp;": "&amp;INDEX(Dati!$AM$1:$AM$1000,MATCH($A30,Dati!$A$1:$A$1000,0))&amp;" · ","")&amp;IF(INDEX(Dati!$DP$1:$DP$1000,MATCH($A30,Dati!$A$1:$A$1000,0))&gt;0,Dati!$AN$3&amp;": "&amp;INDEX(Dati!$AN$1:$AN$1000,MATCH($A30,Dati!$A$1:$A$1000,0))&amp;" · ","")&amp;IF(INDEX(Dati!$DQ$1:$DQ$1000,MATCH($A30,Dati!$A$1:$A$1000,0))&gt;0,Dati!$AO$3&amp;": "&amp;INDEX(Dati!$AO$1:$AO$1000,MATCH($A30,Dati!$A$1:$A$1000,0))&amp;" · ","")&amp;IF(INDEX(Dati!$DR$1:$DR$1000,MATCH($A30,Dati!$A$1:$A$1000,0))&gt;0,Dati!$AP$3&amp;": "&amp;INDEX(Dati!$AP$1:$AP$1000,MATCH($A30,Dati!$A$1:$A$1000,0))&amp;" · ",""))-3)),""))</f>
        <v/>
      </c>
      <c r="M30" s="55" t="str">
        <f aca="false">IF($B30="","",IFERROR(IF((IF(INDEX(Dati!$DS$1:$DS$1000,MATCH($A30,Dati!$A$1:$A$1000,0))&gt;0,Dati!$AQ$3&amp;": "&amp;INDEX(Dati!$AQ$1:$AQ$1000,MATCH($A30,Dati!$A$1:$A$1000,0))&amp;" · ","")&amp;IF(INDEX(Dati!$DT$1:$DT$1000,MATCH($A30,Dati!$A$1:$A$1000,0))&gt;0,Dati!$AR$3&amp;": "&amp;INDEX(Dati!$AR$1:$AR$1000,MATCH($A30,Dati!$A$1:$A$1000,0))&amp;" · ","")&amp;IF(INDEX(Dati!$DU$1:$DU$1000,MATCH($A30,Dati!$A$1:$A$1000,0))&gt;0,Dati!$AS$3&amp;": "&amp;INDEX(Dati!$AS$1:$AS$1000,MATCH($A30,Dati!$A$1:$A$1000,0))&amp;" · ","")&amp;IF(INDEX(Dati!$DV$1:$DV$1000,MATCH($A30,Dati!$A$1:$A$1000,0))&gt;0,Dati!$AT$3&amp;": "&amp;INDEX(Dati!$AT$1:$AT$1000,MATCH($A30,Dati!$A$1:$A$1000,0))&amp;" · ",""))="",IF(INDEX(Dati!$FQ$1:$FQ$1000,MATCH($A30,Dati!$A$1:$A$1000,0))=1,"AS da recuperare",""),LEFT(IF(INDEX(Dati!$DS$1:$DS$1000,MATCH($A30,Dati!$A$1:$A$1000,0))&gt;0,Dati!$AQ$3&amp;": "&amp;INDEX(Dati!$AQ$1:$AQ$1000,MATCH($A30,Dati!$A$1:$A$1000,0))&amp;" · ","")&amp;IF(INDEX(Dati!$DT$1:$DT$1000,MATCH($A30,Dati!$A$1:$A$1000,0))&gt;0,Dati!$AR$3&amp;": "&amp;INDEX(Dati!$AR$1:$AR$1000,MATCH($A30,Dati!$A$1:$A$1000,0))&amp;" · ","")&amp;IF(INDEX(Dati!$DU$1:$DU$1000,MATCH($A30,Dati!$A$1:$A$1000,0))&gt;0,Dati!$AS$3&amp;": "&amp;INDEX(Dati!$AS$1:$AS$1000,MATCH($A30,Dati!$A$1:$A$1000,0))&amp;" · ","")&amp;IF(INDEX(Dati!$DV$1:$DV$1000,MATCH($A30,Dati!$A$1:$A$1000,0))&gt;0,Dati!$AT$3&amp;": "&amp;INDEX(Dati!$AT$1:$AT$1000,MATCH($A30,Dati!$A$1:$A$1000,0))&amp;" · ",""),LEN(IF(INDEX(Dati!$DS$1:$DS$1000,MATCH($A30,Dati!$A$1:$A$1000,0))&gt;0,Dati!$AQ$3&amp;": "&amp;INDEX(Dati!$AQ$1:$AQ$1000,MATCH($A30,Dati!$A$1:$A$1000,0))&amp;" · ","")&amp;IF(INDEX(Dati!$DT$1:$DT$1000,MATCH($A30,Dati!$A$1:$A$1000,0))&gt;0,Dati!$AR$3&amp;": "&amp;INDEX(Dati!$AR$1:$AR$1000,MATCH($A30,Dati!$A$1:$A$1000,0))&amp;" · ","")&amp;IF(INDEX(Dati!$DU$1:$DU$1000,MATCH($A30,Dati!$A$1:$A$1000,0))&gt;0,Dati!$AS$3&amp;": "&amp;INDEX(Dati!$AS$1:$AS$1000,MATCH($A30,Dati!$A$1:$A$1000,0))&amp;" · ","")&amp;IF(INDEX(Dati!$DV$1:$DV$1000,MATCH($A30,Dati!$A$1:$A$1000,0))&gt;0,Dati!$AT$3&amp;": "&amp;INDEX(Dati!$AT$1:$AT$1000,MATCH($A30,Dati!$A$1:$A$1000,0))&amp;" · ",""))-3)),""))</f>
        <v/>
      </c>
      <c r="N30" s="55" t="str">
        <f aca="false">IF($B30="","",IFERROR(IF((IF(INDEX(Dati!$DW$1:$DW$1000,MATCH($A30,Dati!$A$1:$A$1000,0))&gt;0,Dati!$AU$3&amp;": "&amp;INDEX(Dati!$AU$1:$AU$1000,MATCH($A30,Dati!$A$1:$A$1000,0))&amp;" · ","")&amp;IF(INDEX(Dati!$DX$1:$DX$1000,MATCH($A30,Dati!$A$1:$A$1000,0))&gt;0,Dati!$AV$3&amp;": "&amp;INDEX(Dati!$AV$1:$AV$1000,MATCH($A30,Dati!$A$1:$A$1000,0))&amp;" · ","")&amp;IF(INDEX(Dati!$DY$1:$DY$1000,MATCH($A30,Dati!$A$1:$A$1000,0))&gt;0,Dati!$AW$3&amp;": "&amp;INDEX(Dati!$AW$1:$AW$1000,MATCH($A30,Dati!$A$1:$A$1000,0))&amp;" · ","")&amp;IF(INDEX(Dati!$DZ$1:$DZ$1000,MATCH($A30,Dati!$A$1:$A$1000,0))&gt;0,Dati!$AX$3&amp;": "&amp;INDEX(Dati!$AX$1:$AX$1000,MATCH($A30,Dati!$A$1:$A$1000,0))&amp;" · ",""))="",IF(INDEX(Dati!$FR$1:$FR$1000,MATCH($A30,Dati!$A$1:$A$1000,0))=1,"AS da recuperare",""),LEFT(IF(INDEX(Dati!$DW$1:$DW$1000,MATCH($A30,Dati!$A$1:$A$1000,0))&gt;0,Dati!$AU$3&amp;": "&amp;INDEX(Dati!$AU$1:$AU$1000,MATCH($A30,Dati!$A$1:$A$1000,0))&amp;" · ","")&amp;IF(INDEX(Dati!$DX$1:$DX$1000,MATCH($A30,Dati!$A$1:$A$1000,0))&gt;0,Dati!$AV$3&amp;": "&amp;INDEX(Dati!$AV$1:$AV$1000,MATCH($A30,Dati!$A$1:$A$1000,0))&amp;" · ","")&amp;IF(INDEX(Dati!$DY$1:$DY$1000,MATCH($A30,Dati!$A$1:$A$1000,0))&gt;0,Dati!$AW$3&amp;": "&amp;INDEX(Dati!$AW$1:$AW$1000,MATCH($A30,Dati!$A$1:$A$1000,0))&amp;" · ","")&amp;IF(INDEX(Dati!$DZ$1:$DZ$1000,MATCH($A30,Dati!$A$1:$A$1000,0))&gt;0,Dati!$AX$3&amp;": "&amp;INDEX(Dati!$AX$1:$AX$1000,MATCH($A30,Dati!$A$1:$A$1000,0))&amp;" · ",""),LEN(IF(INDEX(Dati!$DW$1:$DW$1000,MATCH($A30,Dati!$A$1:$A$1000,0))&gt;0,Dati!$AU$3&amp;": "&amp;INDEX(Dati!$AU$1:$AU$1000,MATCH($A30,Dati!$A$1:$A$1000,0))&amp;" · ","")&amp;IF(INDEX(Dati!$DX$1:$DX$1000,MATCH($A30,Dati!$A$1:$A$1000,0))&gt;0,Dati!$AV$3&amp;": "&amp;INDEX(Dati!$AV$1:$AV$1000,MATCH($A30,Dati!$A$1:$A$1000,0))&amp;" · ","")&amp;IF(INDEX(Dati!$DY$1:$DY$1000,MATCH($A30,Dati!$A$1:$A$1000,0))&gt;0,Dati!$AW$3&amp;": "&amp;INDEX(Dati!$AW$1:$AW$1000,MATCH($A30,Dati!$A$1:$A$1000,0))&amp;" · ","")&amp;IF(INDEX(Dati!$DZ$1:$DZ$1000,MATCH($A30,Dati!$A$1:$A$1000,0))&gt;0,Dati!$AX$3&amp;": "&amp;INDEX(Dati!$AX$1:$AX$1000,MATCH($A30,Dati!$A$1:$A$1000,0))&amp;" · ",""))-3)),""))</f>
        <v/>
      </c>
      <c r="O30" s="55" t="str">
        <f aca="false">IF($B30="","",IFERROR(IF((IF(INDEX(Dati!$EA$1:$EA$1000,MATCH($A30,Dati!$A$1:$A$1000,0))&gt;0,Dati!$AY$3&amp;": "&amp;INDEX(Dati!$AY$1:$AY$1000,MATCH($A30,Dati!$A$1:$A$1000,0))&amp;" · ","")&amp;IF(INDEX(Dati!$EB$1:$EB$1000,MATCH($A30,Dati!$A$1:$A$1000,0))&gt;0,Dati!$AZ$3&amp;": "&amp;INDEX(Dati!$AZ$1:$AZ$1000,MATCH($A30,Dati!$A$1:$A$1000,0))&amp;" · ","")&amp;IF(INDEX(Dati!$EC$1:$EC$1000,MATCH($A30,Dati!$A$1:$A$1000,0))&gt;0,Dati!$BA$3&amp;": "&amp;INDEX(Dati!$BA$1:$BA$1000,MATCH($A30,Dati!$A$1:$A$1000,0))&amp;" · ","")&amp;IF(INDEX(Dati!$ED$1:$ED$1000,MATCH($A30,Dati!$A$1:$A$1000,0))&gt;0,Dati!$BB$3&amp;": "&amp;INDEX(Dati!$BB$1:$BB$1000,MATCH($A30,Dati!$A$1:$A$1000,0))&amp;" · ",""))="",IF(INDEX(Dati!$FS$1:$FS$1000,MATCH($A30,Dati!$A$1:$A$1000,0))=1,"AS da recuperare",""),LEFT(IF(INDEX(Dati!$EA$1:$EA$1000,MATCH($A30,Dati!$A$1:$A$1000,0))&gt;0,Dati!$AY$3&amp;": "&amp;INDEX(Dati!$AY$1:$AY$1000,MATCH($A30,Dati!$A$1:$A$1000,0))&amp;" · ","")&amp;IF(INDEX(Dati!$EB$1:$EB$1000,MATCH($A30,Dati!$A$1:$A$1000,0))&gt;0,Dati!$AZ$3&amp;": "&amp;INDEX(Dati!$AZ$1:$AZ$1000,MATCH($A30,Dati!$A$1:$A$1000,0))&amp;" · ","")&amp;IF(INDEX(Dati!$EC$1:$EC$1000,MATCH($A30,Dati!$A$1:$A$1000,0))&gt;0,Dati!$BA$3&amp;": "&amp;INDEX(Dati!$BA$1:$BA$1000,MATCH($A30,Dati!$A$1:$A$1000,0))&amp;" · ","")&amp;IF(INDEX(Dati!$ED$1:$ED$1000,MATCH($A30,Dati!$A$1:$A$1000,0))&gt;0,Dati!$BB$3&amp;": "&amp;INDEX(Dati!$BB$1:$BB$1000,MATCH($A30,Dati!$A$1:$A$1000,0))&amp;" · ",""),LEN(IF(INDEX(Dati!$EA$1:$EA$1000,MATCH($A30,Dati!$A$1:$A$1000,0))&gt;0,Dati!$AY$3&amp;": "&amp;INDEX(Dati!$AY$1:$AY$1000,MATCH($A30,Dati!$A$1:$A$1000,0))&amp;" · ","")&amp;IF(INDEX(Dati!$EB$1:$EB$1000,MATCH($A30,Dati!$A$1:$A$1000,0))&gt;0,Dati!$AZ$3&amp;": "&amp;INDEX(Dati!$AZ$1:$AZ$1000,MATCH($A30,Dati!$A$1:$A$1000,0))&amp;" · ","")&amp;IF(INDEX(Dati!$EC$1:$EC$1000,MATCH($A30,Dati!$A$1:$A$1000,0))&gt;0,Dati!$BA$3&amp;": "&amp;INDEX(Dati!$BA$1:$BA$1000,MATCH($A30,Dati!$A$1:$A$1000,0))&amp;" · ","")&amp;IF(INDEX(Dati!$ED$1:$ED$1000,MATCH($A30,Dati!$A$1:$A$1000,0))&gt;0,Dati!$BB$3&amp;": "&amp;INDEX(Dati!$BB$1:$BB$1000,MATCH($A30,Dati!$A$1:$A$1000,0))&amp;" · ",""))-3)),""))</f>
        <v/>
      </c>
      <c r="P30" s="55" t="str">
        <f aca="false">IF($B30="","",IFERROR(IF((IF(INDEX(Dati!$EE$1:$EE$1000,MATCH($A30,Dati!$A$1:$A$1000,0))&gt;0,Dati!$BC$3&amp;": "&amp;INDEX(Dati!$BC$1:$BC$1000,MATCH($A30,Dati!$A$1:$A$1000,0))&amp;" · ","")&amp;IF(INDEX(Dati!$EF$1:$EF$1000,MATCH($A30,Dati!$A$1:$A$1000,0))&gt;0,Dati!$BD$3&amp;": "&amp;INDEX(Dati!$BD$1:$BD$1000,MATCH($A30,Dati!$A$1:$A$1000,0))&amp;" · ","")&amp;IF(INDEX(Dati!$EG$1:$EG$1000,MATCH($A30,Dati!$A$1:$A$1000,0))&gt;0,Dati!$BE$3&amp;": "&amp;INDEX(Dati!$BE$1:$BE$1000,MATCH($A30,Dati!$A$1:$A$1000,0))&amp;" · ","")&amp;IF(INDEX(Dati!$EH$1:$EH$1000,MATCH($A30,Dati!$A$1:$A$1000,0))&gt;0,Dati!$BF$3&amp;": "&amp;INDEX(Dati!$BF$1:$BF$1000,MATCH($A30,Dati!$A$1:$A$1000,0))&amp;" · ",""))="",IF(INDEX(Dati!$FT$1:$FT$1000,MATCH($A30,Dati!$A$1:$A$1000,0))=1,"AS da recuperare",""),LEFT(IF(INDEX(Dati!$EE$1:$EE$1000,MATCH($A30,Dati!$A$1:$A$1000,0))&gt;0,Dati!$BC$3&amp;": "&amp;INDEX(Dati!$BC$1:$BC$1000,MATCH($A30,Dati!$A$1:$A$1000,0))&amp;" · ","")&amp;IF(INDEX(Dati!$EF$1:$EF$1000,MATCH($A30,Dati!$A$1:$A$1000,0))&gt;0,Dati!$BD$3&amp;": "&amp;INDEX(Dati!$BD$1:$BD$1000,MATCH($A30,Dati!$A$1:$A$1000,0))&amp;" · ","")&amp;IF(INDEX(Dati!$EG$1:$EG$1000,MATCH($A30,Dati!$A$1:$A$1000,0))&gt;0,Dati!$BE$3&amp;": "&amp;INDEX(Dati!$BE$1:$BE$1000,MATCH($A30,Dati!$A$1:$A$1000,0))&amp;" · ","")&amp;IF(INDEX(Dati!$EH$1:$EH$1000,MATCH($A30,Dati!$A$1:$A$1000,0))&gt;0,Dati!$BF$3&amp;": "&amp;INDEX(Dati!$BF$1:$BF$1000,MATCH($A30,Dati!$A$1:$A$1000,0))&amp;" · ",""),LEN(IF(INDEX(Dati!$EE$1:$EE$1000,MATCH($A30,Dati!$A$1:$A$1000,0))&gt;0,Dati!$BC$3&amp;": "&amp;INDEX(Dati!$BC$1:$BC$1000,MATCH($A30,Dati!$A$1:$A$1000,0))&amp;" · ","")&amp;IF(INDEX(Dati!$EF$1:$EF$1000,MATCH($A30,Dati!$A$1:$A$1000,0))&gt;0,Dati!$BD$3&amp;": "&amp;INDEX(Dati!$BD$1:$BD$1000,MATCH($A30,Dati!$A$1:$A$1000,0))&amp;" · ","")&amp;IF(INDEX(Dati!$EG$1:$EG$1000,MATCH($A30,Dati!$A$1:$A$1000,0))&gt;0,Dati!$BE$3&amp;": "&amp;INDEX(Dati!$BE$1:$BE$1000,MATCH($A30,Dati!$A$1:$A$1000,0))&amp;" · ","")&amp;IF(INDEX(Dati!$EH$1:$EH$1000,MATCH($A30,Dati!$A$1:$A$1000,0))&gt;0,Dati!$BF$3&amp;": "&amp;INDEX(Dati!$BF$1:$BF$1000,MATCH($A30,Dati!$A$1:$A$1000,0))&amp;" · ",""))-3)),""))</f>
        <v/>
      </c>
      <c r="Q30" s="55" t="str">
        <f aca="false">IF($B30="","",IFERROR(IF((IF(INDEX(Dati!$EI$1:$EI$1000,MATCH($A30,Dati!$A$1:$A$1000,0))&gt;0,Dati!$BG$3&amp;": "&amp;INDEX(Dati!$BG$1:$BG$1000,MATCH($A30,Dati!$A$1:$A$1000,0))&amp;" · ","")&amp;IF(INDEX(Dati!$EJ$1:$EJ$1000,MATCH($A30,Dati!$A$1:$A$1000,0))&gt;0,Dati!$BH$3&amp;": "&amp;INDEX(Dati!$BH$1:$BH$1000,MATCH($A30,Dati!$A$1:$A$1000,0))&amp;" · ","")&amp;IF(INDEX(Dati!$EK$1:$EK$1000,MATCH($A30,Dati!$A$1:$A$1000,0))&gt;0,Dati!$BI$3&amp;": "&amp;INDEX(Dati!$BI$1:$BI$1000,MATCH($A30,Dati!$A$1:$A$1000,0))&amp;" · ","")&amp;IF(INDEX(Dati!$EL$1:$EL$1000,MATCH($A30,Dati!$A$1:$A$1000,0))&gt;0,Dati!$BJ$3&amp;": "&amp;INDEX(Dati!$BJ$1:$BJ$1000,MATCH($A30,Dati!$A$1:$A$1000,0))&amp;" · ",""))="",IF(INDEX(Dati!$FU$1:$FU$1000,MATCH($A30,Dati!$A$1:$A$1000,0))=1,"AS da recuperare",""),LEFT(IF(INDEX(Dati!$EI$1:$EI$1000,MATCH($A30,Dati!$A$1:$A$1000,0))&gt;0,Dati!$BG$3&amp;": "&amp;INDEX(Dati!$BG$1:$BG$1000,MATCH($A30,Dati!$A$1:$A$1000,0))&amp;" · ","")&amp;IF(INDEX(Dati!$EJ$1:$EJ$1000,MATCH($A30,Dati!$A$1:$A$1000,0))&gt;0,Dati!$BH$3&amp;": "&amp;INDEX(Dati!$BH$1:$BH$1000,MATCH($A30,Dati!$A$1:$A$1000,0))&amp;" · ","")&amp;IF(INDEX(Dati!$EK$1:$EK$1000,MATCH($A30,Dati!$A$1:$A$1000,0))&gt;0,Dati!$BI$3&amp;": "&amp;INDEX(Dati!$BI$1:$BI$1000,MATCH($A30,Dati!$A$1:$A$1000,0))&amp;" · ","")&amp;IF(INDEX(Dati!$EL$1:$EL$1000,MATCH($A30,Dati!$A$1:$A$1000,0))&gt;0,Dati!$BJ$3&amp;": "&amp;INDEX(Dati!$BJ$1:$BJ$1000,MATCH($A30,Dati!$A$1:$A$1000,0))&amp;" · ",""),LEN(IF(INDEX(Dati!$EI$1:$EI$1000,MATCH($A30,Dati!$A$1:$A$1000,0))&gt;0,Dati!$BG$3&amp;": "&amp;INDEX(Dati!$BG$1:$BG$1000,MATCH($A30,Dati!$A$1:$A$1000,0))&amp;" · ","")&amp;IF(INDEX(Dati!$EJ$1:$EJ$1000,MATCH($A30,Dati!$A$1:$A$1000,0))&gt;0,Dati!$BH$3&amp;": "&amp;INDEX(Dati!$BH$1:$BH$1000,MATCH($A30,Dati!$A$1:$A$1000,0))&amp;" · ","")&amp;IF(INDEX(Dati!$EK$1:$EK$1000,MATCH($A30,Dati!$A$1:$A$1000,0))&gt;0,Dati!$BI$3&amp;": "&amp;INDEX(Dati!$BI$1:$BI$1000,MATCH($A30,Dati!$A$1:$A$1000,0))&amp;" · ","")&amp;IF(INDEX(Dati!$EL$1:$EL$1000,MATCH($A30,Dati!$A$1:$A$1000,0))&gt;0,Dati!$BJ$3&amp;": "&amp;INDEX(Dati!$BJ$1:$BJ$1000,MATCH($A30,Dati!$A$1:$A$1000,0))&amp;" · ",""))-3)),""))</f>
        <v/>
      </c>
      <c r="R30" s="55" t="str">
        <f aca="false">IF($B30="","",IFERROR(IF((IF(INDEX(Dati!$EM$1:$EM$1000,MATCH($A30,Dati!$A$1:$A$1000,0))&gt;0,Dati!$BK$3&amp;": "&amp;INDEX(Dati!$BK$1:$BK$1000,MATCH($A30,Dati!$A$1:$A$1000,0))&amp;" · ","")&amp;IF(INDEX(Dati!$EN$1:$EN$1000,MATCH($A30,Dati!$A$1:$A$1000,0))&gt;0,Dati!$BL$3&amp;": "&amp;INDEX(Dati!$BL$1:$BL$1000,MATCH($A30,Dati!$A$1:$A$1000,0))&amp;" · ","")&amp;IF(INDEX(Dati!$EO$1:$EO$1000,MATCH($A30,Dati!$A$1:$A$1000,0))&gt;0,Dati!$BM$3&amp;": "&amp;INDEX(Dati!$BM$1:$BM$1000,MATCH($A30,Dati!$A$1:$A$1000,0))&amp;" · ","")&amp;IF(INDEX(Dati!$EP$1:$EP$1000,MATCH($A30,Dati!$A$1:$A$1000,0))&gt;0,Dati!$BN$3&amp;": "&amp;INDEX(Dati!$BN$1:$BN$1000,MATCH($A30,Dati!$A$1:$A$1000,0))&amp;" · ",""))="",IF(INDEX(Dati!$FV$1:$FV$1000,MATCH($A30,Dati!$A$1:$A$1000,0))=1,"AS da recuperare",""),LEFT(IF(INDEX(Dati!$EM$1:$EM$1000,MATCH($A30,Dati!$A$1:$A$1000,0))&gt;0,Dati!$BK$3&amp;": "&amp;INDEX(Dati!$BK$1:$BK$1000,MATCH($A30,Dati!$A$1:$A$1000,0))&amp;" · ","")&amp;IF(INDEX(Dati!$EN$1:$EN$1000,MATCH($A30,Dati!$A$1:$A$1000,0))&gt;0,Dati!$BL$3&amp;": "&amp;INDEX(Dati!$BL$1:$BL$1000,MATCH($A30,Dati!$A$1:$A$1000,0))&amp;" · ","")&amp;IF(INDEX(Dati!$EO$1:$EO$1000,MATCH($A30,Dati!$A$1:$A$1000,0))&gt;0,Dati!$BM$3&amp;": "&amp;INDEX(Dati!$BM$1:$BM$1000,MATCH($A30,Dati!$A$1:$A$1000,0))&amp;" · ","")&amp;IF(INDEX(Dati!$EP$1:$EP$1000,MATCH($A30,Dati!$A$1:$A$1000,0))&gt;0,Dati!$BN$3&amp;": "&amp;INDEX(Dati!$BN$1:$BN$1000,MATCH($A30,Dati!$A$1:$A$1000,0))&amp;" · ",""),LEN(IF(INDEX(Dati!$EM$1:$EM$1000,MATCH($A30,Dati!$A$1:$A$1000,0))&gt;0,Dati!$BK$3&amp;": "&amp;INDEX(Dati!$BK$1:$BK$1000,MATCH($A30,Dati!$A$1:$A$1000,0))&amp;" · ","")&amp;IF(INDEX(Dati!$EN$1:$EN$1000,MATCH($A30,Dati!$A$1:$A$1000,0))&gt;0,Dati!$BL$3&amp;": "&amp;INDEX(Dati!$BL$1:$BL$1000,MATCH($A30,Dati!$A$1:$A$1000,0))&amp;" · ","")&amp;IF(INDEX(Dati!$EO$1:$EO$1000,MATCH($A30,Dati!$A$1:$A$1000,0))&gt;0,Dati!$BM$3&amp;": "&amp;INDEX(Dati!$BM$1:$BM$1000,MATCH($A30,Dati!$A$1:$A$1000,0))&amp;" · ","")&amp;IF(INDEX(Dati!$EP$1:$EP$1000,MATCH($A30,Dati!$A$1:$A$1000,0))&gt;0,Dati!$BN$3&amp;": "&amp;INDEX(Dati!$BN$1:$BN$1000,MATCH($A30,Dati!$A$1:$A$1000,0))&amp;" · ",""))-3)),""))</f>
        <v/>
      </c>
      <c r="S30" s="55" t="str">
        <f aca="false">IF($B30="","",IFERROR(IF((IF(INDEX(Dati!$EQ$1:$EQ$1000,MATCH($A30,Dati!$A$1:$A$1000,0))&gt;0,Dati!$BO$3&amp;": "&amp;INDEX(Dati!$BO$1:$BO$1000,MATCH($A30,Dati!$A$1:$A$1000,0))&amp;" · ","")&amp;IF(INDEX(Dati!$ER$1:$ER$1000,MATCH($A30,Dati!$A$1:$A$1000,0))&gt;0,Dati!$BP$3&amp;": "&amp;INDEX(Dati!$BP$1:$BP$1000,MATCH($A30,Dati!$A$1:$A$1000,0))&amp;" · ","")&amp;IF(INDEX(Dati!$ES$1:$ES$1000,MATCH($A30,Dati!$A$1:$A$1000,0))&gt;0,Dati!$BQ$3&amp;": "&amp;INDEX(Dati!$BQ$1:$BQ$1000,MATCH($A30,Dati!$A$1:$A$1000,0))&amp;" · ","")&amp;IF(INDEX(Dati!$ET$1:$ET$1000,MATCH($A30,Dati!$A$1:$A$1000,0))&gt;0,Dati!$BR$3&amp;": "&amp;INDEX(Dati!$BR$1:$BR$1000,MATCH($A30,Dati!$A$1:$A$1000,0))&amp;" · ",""))="",IF(INDEX(Dati!$FW$1:$FW$1000,MATCH($A30,Dati!$A$1:$A$1000,0))=1,"AS da recuperare",""),LEFT(IF(INDEX(Dati!$EQ$1:$EQ$1000,MATCH($A30,Dati!$A$1:$A$1000,0))&gt;0,Dati!$BO$3&amp;": "&amp;INDEX(Dati!$BO$1:$BO$1000,MATCH($A30,Dati!$A$1:$A$1000,0))&amp;" · ","")&amp;IF(INDEX(Dati!$ER$1:$ER$1000,MATCH($A30,Dati!$A$1:$A$1000,0))&gt;0,Dati!$BP$3&amp;": "&amp;INDEX(Dati!$BP$1:$BP$1000,MATCH($A30,Dati!$A$1:$A$1000,0))&amp;" · ","")&amp;IF(INDEX(Dati!$ES$1:$ES$1000,MATCH($A30,Dati!$A$1:$A$1000,0))&gt;0,Dati!$BQ$3&amp;": "&amp;INDEX(Dati!$BQ$1:$BQ$1000,MATCH($A30,Dati!$A$1:$A$1000,0))&amp;" · ","")&amp;IF(INDEX(Dati!$ET$1:$ET$1000,MATCH($A30,Dati!$A$1:$A$1000,0))&gt;0,Dati!$BR$3&amp;": "&amp;INDEX(Dati!$BR$1:$BR$1000,MATCH($A30,Dati!$A$1:$A$1000,0))&amp;" · ",""),LEN(IF(INDEX(Dati!$EQ$1:$EQ$1000,MATCH($A30,Dati!$A$1:$A$1000,0))&gt;0,Dati!$BO$3&amp;": "&amp;INDEX(Dati!$BO$1:$BO$1000,MATCH($A30,Dati!$A$1:$A$1000,0))&amp;" · ","")&amp;IF(INDEX(Dati!$ER$1:$ER$1000,MATCH($A30,Dati!$A$1:$A$1000,0))&gt;0,Dati!$BP$3&amp;": "&amp;INDEX(Dati!$BP$1:$BP$1000,MATCH($A30,Dati!$A$1:$A$1000,0))&amp;" · ","")&amp;IF(INDEX(Dati!$ES$1:$ES$1000,MATCH($A30,Dati!$A$1:$A$1000,0))&gt;0,Dati!$BQ$3&amp;": "&amp;INDEX(Dati!$BQ$1:$BQ$1000,MATCH($A30,Dati!$A$1:$A$1000,0))&amp;" · ","")&amp;IF(INDEX(Dati!$ET$1:$ET$1000,MATCH($A30,Dati!$A$1:$A$1000,0))&gt;0,Dati!$BR$3&amp;": "&amp;INDEX(Dati!$BR$1:$BR$1000,MATCH($A30,Dati!$A$1:$A$1000,0))&amp;" · ",""))-3)),""))</f>
        <v/>
      </c>
      <c r="T30" s="55" t="str">
        <f aca="false">IF($B30="","",IFERROR(IF((IF(INDEX(Dati!$EU$1:$EU$1000,MATCH($A30,Dati!$A$1:$A$1000,0))&gt;0,Dati!$BS$3&amp;": "&amp;INDEX(Dati!$BS$1:$BS$1000,MATCH($A30,Dati!$A$1:$A$1000,0))&amp;" · ","")&amp;IF(INDEX(Dati!$EV$1:$EV$1000,MATCH($A30,Dati!$A$1:$A$1000,0))&gt;0,Dati!$BT$3&amp;": "&amp;INDEX(Dati!$BT$1:$BT$1000,MATCH($A30,Dati!$A$1:$A$1000,0))&amp;" · ","")&amp;IF(INDEX(Dati!$EW$1:$EW$1000,MATCH($A30,Dati!$A$1:$A$1000,0))&gt;0,Dati!$BU$3&amp;": "&amp;INDEX(Dati!$BU$1:$BU$1000,MATCH($A30,Dati!$A$1:$A$1000,0))&amp;" · ","")&amp;IF(INDEX(Dati!$EX$1:$EX$1000,MATCH($A30,Dati!$A$1:$A$1000,0))&gt;0,Dati!$BV$3&amp;": "&amp;INDEX(Dati!$BV$1:$BV$1000,MATCH($A30,Dati!$A$1:$A$1000,0))&amp;" · ",""))="",IF(INDEX(Dati!$FX$1:$FX$1000,MATCH($A30,Dati!$A$1:$A$1000,0))=1,"AS da recuperare",""),LEFT(IF(INDEX(Dati!$EU$1:$EU$1000,MATCH($A30,Dati!$A$1:$A$1000,0))&gt;0,Dati!$BS$3&amp;": "&amp;INDEX(Dati!$BS$1:$BS$1000,MATCH($A30,Dati!$A$1:$A$1000,0))&amp;" · ","")&amp;IF(INDEX(Dati!$EV$1:$EV$1000,MATCH($A30,Dati!$A$1:$A$1000,0))&gt;0,Dati!$BT$3&amp;": "&amp;INDEX(Dati!$BT$1:$BT$1000,MATCH($A30,Dati!$A$1:$A$1000,0))&amp;" · ","")&amp;IF(INDEX(Dati!$EW$1:$EW$1000,MATCH($A30,Dati!$A$1:$A$1000,0))&gt;0,Dati!$BU$3&amp;": "&amp;INDEX(Dati!$BU$1:$BU$1000,MATCH($A30,Dati!$A$1:$A$1000,0))&amp;" · ","")&amp;IF(INDEX(Dati!$EX$1:$EX$1000,MATCH($A30,Dati!$A$1:$A$1000,0))&gt;0,Dati!$BV$3&amp;": "&amp;INDEX(Dati!$BV$1:$BV$1000,MATCH($A30,Dati!$A$1:$A$1000,0))&amp;" · ",""),LEN(IF(INDEX(Dati!$EU$1:$EU$1000,MATCH($A30,Dati!$A$1:$A$1000,0))&gt;0,Dati!$BS$3&amp;": "&amp;INDEX(Dati!$BS$1:$BS$1000,MATCH($A30,Dati!$A$1:$A$1000,0))&amp;" · ","")&amp;IF(INDEX(Dati!$EV$1:$EV$1000,MATCH($A30,Dati!$A$1:$A$1000,0))&gt;0,Dati!$BT$3&amp;": "&amp;INDEX(Dati!$BT$1:$BT$1000,MATCH($A30,Dati!$A$1:$A$1000,0))&amp;" · ","")&amp;IF(INDEX(Dati!$EW$1:$EW$1000,MATCH($A30,Dati!$A$1:$A$1000,0))&gt;0,Dati!$BU$3&amp;": "&amp;INDEX(Dati!$BU$1:$BU$1000,MATCH($A30,Dati!$A$1:$A$1000,0))&amp;" · ","")&amp;IF(INDEX(Dati!$EX$1:$EX$1000,MATCH($A30,Dati!$A$1:$A$1000,0))&gt;0,Dati!$BV$3&amp;": "&amp;INDEX(Dati!$BV$1:$BV$1000,MATCH($A30,Dati!$A$1:$A$1000,0))&amp;" · ",""))-3)),""))</f>
        <v/>
      </c>
      <c r="U30" s="55" t="str">
        <f aca="false">IF($B30="","",IFERROR(IF((IF(INDEX(Dati!$EY$1:$EY$1000,MATCH($A30,Dati!$A$1:$A$1000,0))&gt;0,Dati!$BW$3&amp;": "&amp;INDEX(Dati!$BW$1:$BW$1000,MATCH($A30,Dati!$A$1:$A$1000,0))&amp;" · ","")&amp;IF(INDEX(Dati!$EZ$1:$EZ$1000,MATCH($A30,Dati!$A$1:$A$1000,0))&gt;0,Dati!$BX$3&amp;": "&amp;INDEX(Dati!$BX$1:$BX$1000,MATCH($A30,Dati!$A$1:$A$1000,0))&amp;" · ","")&amp;IF(INDEX(Dati!$FA$1:$FA$1000,MATCH($A30,Dati!$A$1:$A$1000,0))&gt;0,Dati!$BY$3&amp;": "&amp;INDEX(Dati!$BY$1:$BY$1000,MATCH($A30,Dati!$A$1:$A$1000,0))&amp;" · ","")&amp;IF(INDEX(Dati!$FB$1:$FB$1000,MATCH($A30,Dati!$A$1:$A$1000,0))&gt;0,Dati!$BZ$3&amp;": "&amp;INDEX(Dati!$BZ$1:$BZ$1000,MATCH($A30,Dati!$A$1:$A$1000,0))&amp;" · ",""))="",IF(INDEX(Dati!$FY$1:$FY$1000,MATCH($A30,Dati!$A$1:$A$1000,0))=1,"AS da recuperare",""),LEFT(IF(INDEX(Dati!$EY$1:$EY$1000,MATCH($A30,Dati!$A$1:$A$1000,0))&gt;0,Dati!$BW$3&amp;": "&amp;INDEX(Dati!$BW$1:$BW$1000,MATCH($A30,Dati!$A$1:$A$1000,0))&amp;" · ","")&amp;IF(INDEX(Dati!$EZ$1:$EZ$1000,MATCH($A30,Dati!$A$1:$A$1000,0))&gt;0,Dati!$BX$3&amp;": "&amp;INDEX(Dati!$BX$1:$BX$1000,MATCH($A30,Dati!$A$1:$A$1000,0))&amp;" · ","")&amp;IF(INDEX(Dati!$FA$1:$FA$1000,MATCH($A30,Dati!$A$1:$A$1000,0))&gt;0,Dati!$BY$3&amp;": "&amp;INDEX(Dati!$BY$1:$BY$1000,MATCH($A30,Dati!$A$1:$A$1000,0))&amp;" · ","")&amp;IF(INDEX(Dati!$FB$1:$FB$1000,MATCH($A30,Dati!$A$1:$A$1000,0))&gt;0,Dati!$BZ$3&amp;": "&amp;INDEX(Dati!$BZ$1:$BZ$1000,MATCH($A30,Dati!$A$1:$A$1000,0))&amp;" · ",""),LEN(IF(INDEX(Dati!$EY$1:$EY$1000,MATCH($A30,Dati!$A$1:$A$1000,0))&gt;0,Dati!$BW$3&amp;": "&amp;INDEX(Dati!$BW$1:$BW$1000,MATCH($A30,Dati!$A$1:$A$1000,0))&amp;" · ","")&amp;IF(INDEX(Dati!$EZ$1:$EZ$1000,MATCH($A30,Dati!$A$1:$A$1000,0))&gt;0,Dati!$BX$3&amp;": "&amp;INDEX(Dati!$BX$1:$BX$1000,MATCH($A30,Dati!$A$1:$A$1000,0))&amp;" · ","")&amp;IF(INDEX(Dati!$FA$1:$FA$1000,MATCH($A30,Dati!$A$1:$A$1000,0))&gt;0,Dati!$BY$3&amp;": "&amp;INDEX(Dati!$BY$1:$BY$1000,MATCH($A30,Dati!$A$1:$A$1000,0))&amp;" · ","")&amp;IF(INDEX(Dati!$FB$1:$FB$1000,MATCH($A30,Dati!$A$1:$A$1000,0))&gt;0,Dati!$BZ$3&amp;": "&amp;INDEX(Dati!$BZ$1:$BZ$1000,MATCH($A30,Dati!$A$1:$A$1000,0))&amp;" · ",""))-3)),""))</f>
        <v/>
      </c>
      <c r="V30" s="55" t="str">
        <f aca="false">IF($B30="","",IFERROR(IF((IF(INDEX(Dati!$FC$1:$FC$1000,MATCH($A30,Dati!$A$1:$A$1000,0))&gt;0,Dati!$CA$3&amp;": "&amp;INDEX(Dati!$CA$1:$CA$1000,MATCH($A30,Dati!$A$1:$A$1000,0))&amp;" · ","")&amp;IF(INDEX(Dati!$FD$1:$FD$1000,MATCH($A30,Dati!$A$1:$A$1000,0))&gt;0,Dati!$CB$3&amp;": "&amp;INDEX(Dati!$CB$1:$CB$1000,MATCH($A30,Dati!$A$1:$A$1000,0))&amp;" · ","")&amp;IF(INDEX(Dati!$FE$1:$FE$1000,MATCH($A30,Dati!$A$1:$A$1000,0))&gt;0,Dati!$CC$3&amp;": "&amp;INDEX(Dati!$CC$1:$CC$1000,MATCH($A30,Dati!$A$1:$A$1000,0))&amp;" · ","")&amp;IF(INDEX(Dati!$FF$1:$FF$1000,MATCH($A30,Dati!$A$1:$A$1000,0))&gt;0,Dati!$CD$3&amp;": "&amp;INDEX(Dati!$CD$1:$CD$1000,MATCH($A30,Dati!$A$1:$A$1000,0))&amp;" · ",""))="",IF(INDEX(Dati!$FZ$1:$FZ$1000,MATCH($A30,Dati!$A$1:$A$1000,0))=1,"AS da recuperare",""),LEFT(IF(INDEX(Dati!$FC$1:$FC$1000,MATCH($A30,Dati!$A$1:$A$1000,0))&gt;0,Dati!$CA$3&amp;": "&amp;INDEX(Dati!$CA$1:$CA$1000,MATCH($A30,Dati!$A$1:$A$1000,0))&amp;" · ","")&amp;IF(INDEX(Dati!$FD$1:$FD$1000,MATCH($A30,Dati!$A$1:$A$1000,0))&gt;0,Dati!$CB$3&amp;": "&amp;INDEX(Dati!$CB$1:$CB$1000,MATCH($A30,Dati!$A$1:$A$1000,0))&amp;" · ","")&amp;IF(INDEX(Dati!$FE$1:$FE$1000,MATCH($A30,Dati!$A$1:$A$1000,0))&gt;0,Dati!$CC$3&amp;": "&amp;INDEX(Dati!$CC$1:$CC$1000,MATCH($A30,Dati!$A$1:$A$1000,0))&amp;" · ","")&amp;IF(INDEX(Dati!$FF$1:$FF$1000,MATCH($A30,Dati!$A$1:$A$1000,0))&gt;0,Dati!$CD$3&amp;": "&amp;INDEX(Dati!$CD$1:$CD$1000,MATCH($A30,Dati!$A$1:$A$1000,0))&amp;" · ",""),LEN(IF(INDEX(Dati!$FC$1:$FC$1000,MATCH($A30,Dati!$A$1:$A$1000,0))&gt;0,Dati!$CA$3&amp;": "&amp;INDEX(Dati!$CA$1:$CA$1000,MATCH($A30,Dati!$A$1:$A$1000,0))&amp;" · ","")&amp;IF(INDEX(Dati!$FD$1:$FD$1000,MATCH($A30,Dati!$A$1:$A$1000,0))&gt;0,Dati!$CB$3&amp;": "&amp;INDEX(Dati!$CB$1:$CB$1000,MATCH($A30,Dati!$A$1:$A$1000,0))&amp;" · ","")&amp;IF(INDEX(Dati!$FE$1:$FE$1000,MATCH($A30,Dati!$A$1:$A$1000,0))&gt;0,Dati!$CC$3&amp;": "&amp;INDEX(Dati!$CC$1:$CC$1000,MATCH($A30,Dati!$A$1:$A$1000,0))&amp;" · ","")&amp;IF(INDEX(Dati!$FF$1:$FF$1000,MATCH($A30,Dati!$A$1:$A$1000,0))&gt;0,Dati!$CD$3&amp;": "&amp;INDEX(Dati!$CD$1:$CD$1000,MATCH($A30,Dati!$A$1:$A$1000,0))&amp;" · ",""))-3)),""))</f>
        <v/>
      </c>
    </row>
    <row r="31" customFormat="false" ht="19.5" hidden="false" customHeight="true" outlineLevel="0" collapsed="false">
      <c r="A31" s="10" t="n">
        <v>27</v>
      </c>
      <c r="B31" s="16" t="str">
        <f aca="false">IFERROR(INDEX(Alunni!$C$1:$C$1000,MATCH($A31,Alunni!$A$1:$A$1000,0))&amp;"","")</f>
        <v/>
      </c>
      <c r="C31" s="55" t="str">
        <f aca="false">IF($B31="","",IFERROR(IF((IF(INDEX(Dati!$CE$1:$CE$1000,MATCH($A31,Dati!$A$1:$A$1000,0))&gt;0,Dati!$C$3&amp;": "&amp;INDEX(Dati!$C$1:$C$1000,MATCH($A31,Dati!$A$1:$A$1000,0))&amp;" · ","")&amp;IF(INDEX(Dati!$CF$1:$CF$1000,MATCH($A31,Dati!$A$1:$A$1000,0))&gt;0,Dati!$D$3&amp;": "&amp;INDEX(Dati!$D$1:$D$1000,MATCH($A31,Dati!$A$1:$A$1000,0))&amp;" · ","")&amp;IF(INDEX(Dati!$CG$1:$CG$1000,MATCH($A31,Dati!$A$1:$A$1000,0))&gt;0,Dati!$E$3&amp;": "&amp;INDEX(Dati!$E$1:$E$1000,MATCH($A31,Dati!$A$1:$A$1000,0))&amp;" · ","")&amp;IF(INDEX(Dati!$CH$1:$CH$1000,MATCH($A31,Dati!$A$1:$A$1000,0))&gt;0,Dati!$F$3&amp;": "&amp;INDEX(Dati!$F$1:$F$1000,MATCH($A31,Dati!$A$1:$A$1000,0))&amp;" · ",""))="",IF(INDEX(Dati!$FG$1:$FG$1000,MATCH($A31,Dati!$A$1:$A$1000,0))=1,"AS da recuperare",""),LEFT(IF(INDEX(Dati!$CE$1:$CE$1000,MATCH($A31,Dati!$A$1:$A$1000,0))&gt;0,Dati!$C$3&amp;": "&amp;INDEX(Dati!$C$1:$C$1000,MATCH($A31,Dati!$A$1:$A$1000,0))&amp;" · ","")&amp;IF(INDEX(Dati!$CF$1:$CF$1000,MATCH($A31,Dati!$A$1:$A$1000,0))&gt;0,Dati!$D$3&amp;": "&amp;INDEX(Dati!$D$1:$D$1000,MATCH($A31,Dati!$A$1:$A$1000,0))&amp;" · ","")&amp;IF(INDEX(Dati!$CG$1:$CG$1000,MATCH($A31,Dati!$A$1:$A$1000,0))&gt;0,Dati!$E$3&amp;": "&amp;INDEX(Dati!$E$1:$E$1000,MATCH($A31,Dati!$A$1:$A$1000,0))&amp;" · ","")&amp;IF(INDEX(Dati!$CH$1:$CH$1000,MATCH($A31,Dati!$A$1:$A$1000,0))&gt;0,Dati!$F$3&amp;": "&amp;INDEX(Dati!$F$1:$F$1000,MATCH($A31,Dati!$A$1:$A$1000,0))&amp;" · ",""),LEN(IF(INDEX(Dati!$CE$1:$CE$1000,MATCH($A31,Dati!$A$1:$A$1000,0))&gt;0,Dati!$C$3&amp;": "&amp;INDEX(Dati!$C$1:$C$1000,MATCH($A31,Dati!$A$1:$A$1000,0))&amp;" · ","")&amp;IF(INDEX(Dati!$CF$1:$CF$1000,MATCH($A31,Dati!$A$1:$A$1000,0))&gt;0,Dati!$D$3&amp;": "&amp;INDEX(Dati!$D$1:$D$1000,MATCH($A31,Dati!$A$1:$A$1000,0))&amp;" · ","")&amp;IF(INDEX(Dati!$CG$1:$CG$1000,MATCH($A31,Dati!$A$1:$A$1000,0))&gt;0,Dati!$E$3&amp;": "&amp;INDEX(Dati!$E$1:$E$1000,MATCH($A31,Dati!$A$1:$A$1000,0))&amp;" · ","")&amp;IF(INDEX(Dati!$CH$1:$CH$1000,MATCH($A31,Dati!$A$1:$A$1000,0))&gt;0,Dati!$F$3&amp;": "&amp;INDEX(Dati!$F$1:$F$1000,MATCH($A31,Dati!$A$1:$A$1000,0))&amp;" · ",""))-3)),""))</f>
        <v/>
      </c>
      <c r="D31" s="55" t="str">
        <f aca="false">IF($B31="","",IFERROR(IF((IF(INDEX(Dati!$CI$1:$CI$1000,MATCH($A31,Dati!$A$1:$A$1000,0))&gt;0,Dati!$G$3&amp;": "&amp;INDEX(Dati!$G$1:$G$1000,MATCH($A31,Dati!$A$1:$A$1000,0))&amp;" · ","")&amp;IF(INDEX(Dati!$CJ$1:$CJ$1000,MATCH($A31,Dati!$A$1:$A$1000,0))&gt;0,Dati!$H$3&amp;": "&amp;INDEX(Dati!$H$1:$H$1000,MATCH($A31,Dati!$A$1:$A$1000,0))&amp;" · ","")&amp;IF(INDEX(Dati!$CK$1:$CK$1000,MATCH($A31,Dati!$A$1:$A$1000,0))&gt;0,Dati!$I$3&amp;": "&amp;INDEX(Dati!$I$1:$I$1000,MATCH($A31,Dati!$A$1:$A$1000,0))&amp;" · ","")&amp;IF(INDEX(Dati!$CL$1:$CL$1000,MATCH($A31,Dati!$A$1:$A$1000,0))&gt;0,Dati!$J$3&amp;": "&amp;INDEX(Dati!$J$1:$J$1000,MATCH($A31,Dati!$A$1:$A$1000,0))&amp;" · ",""))="",IF(INDEX(Dati!$FH$1:$FH$1000,MATCH($A31,Dati!$A$1:$A$1000,0))=1,"AS da recuperare",""),LEFT(IF(INDEX(Dati!$CI$1:$CI$1000,MATCH($A31,Dati!$A$1:$A$1000,0))&gt;0,Dati!$G$3&amp;": "&amp;INDEX(Dati!$G$1:$G$1000,MATCH($A31,Dati!$A$1:$A$1000,0))&amp;" · ","")&amp;IF(INDEX(Dati!$CJ$1:$CJ$1000,MATCH($A31,Dati!$A$1:$A$1000,0))&gt;0,Dati!$H$3&amp;": "&amp;INDEX(Dati!$H$1:$H$1000,MATCH($A31,Dati!$A$1:$A$1000,0))&amp;" · ","")&amp;IF(INDEX(Dati!$CK$1:$CK$1000,MATCH($A31,Dati!$A$1:$A$1000,0))&gt;0,Dati!$I$3&amp;": "&amp;INDEX(Dati!$I$1:$I$1000,MATCH($A31,Dati!$A$1:$A$1000,0))&amp;" · ","")&amp;IF(INDEX(Dati!$CL$1:$CL$1000,MATCH($A31,Dati!$A$1:$A$1000,0))&gt;0,Dati!$J$3&amp;": "&amp;INDEX(Dati!$J$1:$J$1000,MATCH($A31,Dati!$A$1:$A$1000,0))&amp;" · ",""),LEN(IF(INDEX(Dati!$CI$1:$CI$1000,MATCH($A31,Dati!$A$1:$A$1000,0))&gt;0,Dati!$G$3&amp;": "&amp;INDEX(Dati!$G$1:$G$1000,MATCH($A31,Dati!$A$1:$A$1000,0))&amp;" · ","")&amp;IF(INDEX(Dati!$CJ$1:$CJ$1000,MATCH($A31,Dati!$A$1:$A$1000,0))&gt;0,Dati!$H$3&amp;": "&amp;INDEX(Dati!$H$1:$H$1000,MATCH($A31,Dati!$A$1:$A$1000,0))&amp;" · ","")&amp;IF(INDEX(Dati!$CK$1:$CK$1000,MATCH($A31,Dati!$A$1:$A$1000,0))&gt;0,Dati!$I$3&amp;": "&amp;INDEX(Dati!$I$1:$I$1000,MATCH($A31,Dati!$A$1:$A$1000,0))&amp;" · ","")&amp;IF(INDEX(Dati!$CL$1:$CL$1000,MATCH($A31,Dati!$A$1:$A$1000,0))&gt;0,Dati!$J$3&amp;": "&amp;INDEX(Dati!$J$1:$J$1000,MATCH($A31,Dati!$A$1:$A$1000,0))&amp;" · ",""))-3)),""))</f>
        <v/>
      </c>
      <c r="E31" s="55" t="str">
        <f aca="false">IF($B31="","",IFERROR(IF((IF(INDEX(Dati!$CM$1:$CM$1000,MATCH($A31,Dati!$A$1:$A$1000,0))&gt;0,Dati!$K$3&amp;": "&amp;INDEX(Dati!$K$1:$K$1000,MATCH($A31,Dati!$A$1:$A$1000,0))&amp;" · ","")&amp;IF(INDEX(Dati!$CN$1:$CN$1000,MATCH($A31,Dati!$A$1:$A$1000,0))&gt;0,Dati!$L$3&amp;": "&amp;INDEX(Dati!$L$1:$L$1000,MATCH($A31,Dati!$A$1:$A$1000,0))&amp;" · ","")&amp;IF(INDEX(Dati!$CO$1:$CO$1000,MATCH($A31,Dati!$A$1:$A$1000,0))&gt;0,Dati!$M$3&amp;": "&amp;INDEX(Dati!$M$1:$M$1000,MATCH($A31,Dati!$A$1:$A$1000,0))&amp;" · ","")&amp;IF(INDEX(Dati!$CP$1:$CP$1000,MATCH($A31,Dati!$A$1:$A$1000,0))&gt;0,Dati!$N$3&amp;": "&amp;INDEX(Dati!$N$1:$N$1000,MATCH($A31,Dati!$A$1:$A$1000,0))&amp;" · ",""))="",IF(INDEX(Dati!$FI$1:$FI$1000,MATCH($A31,Dati!$A$1:$A$1000,0))=1,"AS da recuperare",""),LEFT(IF(INDEX(Dati!$CM$1:$CM$1000,MATCH($A31,Dati!$A$1:$A$1000,0))&gt;0,Dati!$K$3&amp;": "&amp;INDEX(Dati!$K$1:$K$1000,MATCH($A31,Dati!$A$1:$A$1000,0))&amp;" · ","")&amp;IF(INDEX(Dati!$CN$1:$CN$1000,MATCH($A31,Dati!$A$1:$A$1000,0))&gt;0,Dati!$L$3&amp;": "&amp;INDEX(Dati!$L$1:$L$1000,MATCH($A31,Dati!$A$1:$A$1000,0))&amp;" · ","")&amp;IF(INDEX(Dati!$CO$1:$CO$1000,MATCH($A31,Dati!$A$1:$A$1000,0))&gt;0,Dati!$M$3&amp;": "&amp;INDEX(Dati!$M$1:$M$1000,MATCH($A31,Dati!$A$1:$A$1000,0))&amp;" · ","")&amp;IF(INDEX(Dati!$CP$1:$CP$1000,MATCH($A31,Dati!$A$1:$A$1000,0))&gt;0,Dati!$N$3&amp;": "&amp;INDEX(Dati!$N$1:$N$1000,MATCH($A31,Dati!$A$1:$A$1000,0))&amp;" · ",""),LEN(IF(INDEX(Dati!$CM$1:$CM$1000,MATCH($A31,Dati!$A$1:$A$1000,0))&gt;0,Dati!$K$3&amp;": "&amp;INDEX(Dati!$K$1:$K$1000,MATCH($A31,Dati!$A$1:$A$1000,0))&amp;" · ","")&amp;IF(INDEX(Dati!$CN$1:$CN$1000,MATCH($A31,Dati!$A$1:$A$1000,0))&gt;0,Dati!$L$3&amp;": "&amp;INDEX(Dati!$L$1:$L$1000,MATCH($A31,Dati!$A$1:$A$1000,0))&amp;" · ","")&amp;IF(INDEX(Dati!$CO$1:$CO$1000,MATCH($A31,Dati!$A$1:$A$1000,0))&gt;0,Dati!$M$3&amp;": "&amp;INDEX(Dati!$M$1:$M$1000,MATCH($A31,Dati!$A$1:$A$1000,0))&amp;" · ","")&amp;IF(INDEX(Dati!$CP$1:$CP$1000,MATCH($A31,Dati!$A$1:$A$1000,0))&gt;0,Dati!$N$3&amp;": "&amp;INDEX(Dati!$N$1:$N$1000,MATCH($A31,Dati!$A$1:$A$1000,0))&amp;" · ",""))-3)),""))</f>
        <v/>
      </c>
      <c r="F31" s="55" t="str">
        <f aca="false">IF($B31="","",IFERROR(IF((IF(INDEX(Dati!$CQ$1:$CQ$1000,MATCH($A31,Dati!$A$1:$A$1000,0))&gt;0,Dati!$O$3&amp;": "&amp;INDEX(Dati!$O$1:$O$1000,MATCH($A31,Dati!$A$1:$A$1000,0))&amp;" · ","")&amp;IF(INDEX(Dati!$CR$1:$CR$1000,MATCH($A31,Dati!$A$1:$A$1000,0))&gt;0,Dati!$P$3&amp;": "&amp;INDEX(Dati!$P$1:$P$1000,MATCH($A31,Dati!$A$1:$A$1000,0))&amp;" · ","")&amp;IF(INDEX(Dati!$CS$1:$CS$1000,MATCH($A31,Dati!$A$1:$A$1000,0))&gt;0,Dati!$Q$3&amp;": "&amp;INDEX(Dati!$Q$1:$Q$1000,MATCH($A31,Dati!$A$1:$A$1000,0))&amp;" · ","")&amp;IF(INDEX(Dati!$CT$1:$CT$1000,MATCH($A31,Dati!$A$1:$A$1000,0))&gt;0,Dati!$R$3&amp;": "&amp;INDEX(Dati!$R$1:$R$1000,MATCH($A31,Dati!$A$1:$A$1000,0))&amp;" · ",""))="",IF(INDEX(Dati!$FJ$1:$FJ$1000,MATCH($A31,Dati!$A$1:$A$1000,0))=1,"AS da recuperare",""),LEFT(IF(INDEX(Dati!$CQ$1:$CQ$1000,MATCH($A31,Dati!$A$1:$A$1000,0))&gt;0,Dati!$O$3&amp;": "&amp;INDEX(Dati!$O$1:$O$1000,MATCH($A31,Dati!$A$1:$A$1000,0))&amp;" · ","")&amp;IF(INDEX(Dati!$CR$1:$CR$1000,MATCH($A31,Dati!$A$1:$A$1000,0))&gt;0,Dati!$P$3&amp;": "&amp;INDEX(Dati!$P$1:$P$1000,MATCH($A31,Dati!$A$1:$A$1000,0))&amp;" · ","")&amp;IF(INDEX(Dati!$CS$1:$CS$1000,MATCH($A31,Dati!$A$1:$A$1000,0))&gt;0,Dati!$Q$3&amp;": "&amp;INDEX(Dati!$Q$1:$Q$1000,MATCH($A31,Dati!$A$1:$A$1000,0))&amp;" · ","")&amp;IF(INDEX(Dati!$CT$1:$CT$1000,MATCH($A31,Dati!$A$1:$A$1000,0))&gt;0,Dati!$R$3&amp;": "&amp;INDEX(Dati!$R$1:$R$1000,MATCH($A31,Dati!$A$1:$A$1000,0))&amp;" · ",""),LEN(IF(INDEX(Dati!$CQ$1:$CQ$1000,MATCH($A31,Dati!$A$1:$A$1000,0))&gt;0,Dati!$O$3&amp;": "&amp;INDEX(Dati!$O$1:$O$1000,MATCH($A31,Dati!$A$1:$A$1000,0))&amp;" · ","")&amp;IF(INDEX(Dati!$CR$1:$CR$1000,MATCH($A31,Dati!$A$1:$A$1000,0))&gt;0,Dati!$P$3&amp;": "&amp;INDEX(Dati!$P$1:$P$1000,MATCH($A31,Dati!$A$1:$A$1000,0))&amp;" · ","")&amp;IF(INDEX(Dati!$CS$1:$CS$1000,MATCH($A31,Dati!$A$1:$A$1000,0))&gt;0,Dati!$Q$3&amp;": "&amp;INDEX(Dati!$Q$1:$Q$1000,MATCH($A31,Dati!$A$1:$A$1000,0))&amp;" · ","")&amp;IF(INDEX(Dati!$CT$1:$CT$1000,MATCH($A31,Dati!$A$1:$A$1000,0))&gt;0,Dati!$R$3&amp;": "&amp;INDEX(Dati!$R$1:$R$1000,MATCH($A31,Dati!$A$1:$A$1000,0))&amp;" · ",""))-3)),""))</f>
        <v/>
      </c>
      <c r="G31" s="55" t="str">
        <f aca="false">IF($B31="","",IFERROR(IF((IF(INDEX(Dati!$CU$1:$CU$1000,MATCH($A31,Dati!$A$1:$A$1000,0))&gt;0,Dati!$S$3&amp;": "&amp;INDEX(Dati!$S$1:$S$1000,MATCH($A31,Dati!$A$1:$A$1000,0))&amp;" · ","")&amp;IF(INDEX(Dati!$CV$1:$CV$1000,MATCH($A31,Dati!$A$1:$A$1000,0))&gt;0,Dati!$T$3&amp;": "&amp;INDEX(Dati!$T$1:$T$1000,MATCH($A31,Dati!$A$1:$A$1000,0))&amp;" · ","")&amp;IF(INDEX(Dati!$CW$1:$CW$1000,MATCH($A31,Dati!$A$1:$A$1000,0))&gt;0,Dati!$U$3&amp;": "&amp;INDEX(Dati!$U$1:$U$1000,MATCH($A31,Dati!$A$1:$A$1000,0))&amp;" · ","")&amp;IF(INDEX(Dati!$CX$1:$CX$1000,MATCH($A31,Dati!$A$1:$A$1000,0))&gt;0,Dati!$V$3&amp;": "&amp;INDEX(Dati!$V$1:$V$1000,MATCH($A31,Dati!$A$1:$A$1000,0))&amp;" · ",""))="",IF(INDEX(Dati!$FK$1:$FK$1000,MATCH($A31,Dati!$A$1:$A$1000,0))=1,"AS da recuperare",""),LEFT(IF(INDEX(Dati!$CU$1:$CU$1000,MATCH($A31,Dati!$A$1:$A$1000,0))&gt;0,Dati!$S$3&amp;": "&amp;INDEX(Dati!$S$1:$S$1000,MATCH($A31,Dati!$A$1:$A$1000,0))&amp;" · ","")&amp;IF(INDEX(Dati!$CV$1:$CV$1000,MATCH($A31,Dati!$A$1:$A$1000,0))&gt;0,Dati!$T$3&amp;": "&amp;INDEX(Dati!$T$1:$T$1000,MATCH($A31,Dati!$A$1:$A$1000,0))&amp;" · ","")&amp;IF(INDEX(Dati!$CW$1:$CW$1000,MATCH($A31,Dati!$A$1:$A$1000,0))&gt;0,Dati!$U$3&amp;": "&amp;INDEX(Dati!$U$1:$U$1000,MATCH($A31,Dati!$A$1:$A$1000,0))&amp;" · ","")&amp;IF(INDEX(Dati!$CX$1:$CX$1000,MATCH($A31,Dati!$A$1:$A$1000,0))&gt;0,Dati!$V$3&amp;": "&amp;INDEX(Dati!$V$1:$V$1000,MATCH($A31,Dati!$A$1:$A$1000,0))&amp;" · ",""),LEN(IF(INDEX(Dati!$CU$1:$CU$1000,MATCH($A31,Dati!$A$1:$A$1000,0))&gt;0,Dati!$S$3&amp;": "&amp;INDEX(Dati!$S$1:$S$1000,MATCH($A31,Dati!$A$1:$A$1000,0))&amp;" · ","")&amp;IF(INDEX(Dati!$CV$1:$CV$1000,MATCH($A31,Dati!$A$1:$A$1000,0))&gt;0,Dati!$T$3&amp;": "&amp;INDEX(Dati!$T$1:$T$1000,MATCH($A31,Dati!$A$1:$A$1000,0))&amp;" · ","")&amp;IF(INDEX(Dati!$CW$1:$CW$1000,MATCH($A31,Dati!$A$1:$A$1000,0))&gt;0,Dati!$U$3&amp;": "&amp;INDEX(Dati!$U$1:$U$1000,MATCH($A31,Dati!$A$1:$A$1000,0))&amp;" · ","")&amp;IF(INDEX(Dati!$CX$1:$CX$1000,MATCH($A31,Dati!$A$1:$A$1000,0))&gt;0,Dati!$V$3&amp;": "&amp;INDEX(Dati!$V$1:$V$1000,MATCH($A31,Dati!$A$1:$A$1000,0))&amp;" · ",""))-3)),""))</f>
        <v/>
      </c>
      <c r="H31" s="55" t="str">
        <f aca="false">IF($B31="","",IFERROR(IF((IF(INDEX(Dati!$CY$1:$CY$1000,MATCH($A31,Dati!$A$1:$A$1000,0))&gt;0,Dati!$W$3&amp;": "&amp;INDEX(Dati!$W$1:$W$1000,MATCH($A31,Dati!$A$1:$A$1000,0))&amp;" · ","")&amp;IF(INDEX(Dati!$CZ$1:$CZ$1000,MATCH($A31,Dati!$A$1:$A$1000,0))&gt;0,Dati!$X$3&amp;": "&amp;INDEX(Dati!$X$1:$X$1000,MATCH($A31,Dati!$A$1:$A$1000,0))&amp;" · ","")&amp;IF(INDEX(Dati!$DA$1:$DA$1000,MATCH($A31,Dati!$A$1:$A$1000,0))&gt;0,Dati!$Y$3&amp;": "&amp;INDEX(Dati!$Y$1:$Y$1000,MATCH($A31,Dati!$A$1:$A$1000,0))&amp;" · ","")&amp;IF(INDEX(Dati!$DB$1:$DB$1000,MATCH($A31,Dati!$A$1:$A$1000,0))&gt;0,Dati!$Z$3&amp;": "&amp;INDEX(Dati!$Z$1:$Z$1000,MATCH($A31,Dati!$A$1:$A$1000,0))&amp;" · ",""))="",IF(INDEX(Dati!$FL$1:$FL$1000,MATCH($A31,Dati!$A$1:$A$1000,0))=1,"AS da recuperare",""),LEFT(IF(INDEX(Dati!$CY$1:$CY$1000,MATCH($A31,Dati!$A$1:$A$1000,0))&gt;0,Dati!$W$3&amp;": "&amp;INDEX(Dati!$W$1:$W$1000,MATCH($A31,Dati!$A$1:$A$1000,0))&amp;" · ","")&amp;IF(INDEX(Dati!$CZ$1:$CZ$1000,MATCH($A31,Dati!$A$1:$A$1000,0))&gt;0,Dati!$X$3&amp;": "&amp;INDEX(Dati!$X$1:$X$1000,MATCH($A31,Dati!$A$1:$A$1000,0))&amp;" · ","")&amp;IF(INDEX(Dati!$DA$1:$DA$1000,MATCH($A31,Dati!$A$1:$A$1000,0))&gt;0,Dati!$Y$3&amp;": "&amp;INDEX(Dati!$Y$1:$Y$1000,MATCH($A31,Dati!$A$1:$A$1000,0))&amp;" · ","")&amp;IF(INDEX(Dati!$DB$1:$DB$1000,MATCH($A31,Dati!$A$1:$A$1000,0))&gt;0,Dati!$Z$3&amp;": "&amp;INDEX(Dati!$Z$1:$Z$1000,MATCH($A31,Dati!$A$1:$A$1000,0))&amp;" · ",""),LEN(IF(INDEX(Dati!$CY$1:$CY$1000,MATCH($A31,Dati!$A$1:$A$1000,0))&gt;0,Dati!$W$3&amp;": "&amp;INDEX(Dati!$W$1:$W$1000,MATCH($A31,Dati!$A$1:$A$1000,0))&amp;" · ","")&amp;IF(INDEX(Dati!$CZ$1:$CZ$1000,MATCH($A31,Dati!$A$1:$A$1000,0))&gt;0,Dati!$X$3&amp;": "&amp;INDEX(Dati!$X$1:$X$1000,MATCH($A31,Dati!$A$1:$A$1000,0))&amp;" · ","")&amp;IF(INDEX(Dati!$DA$1:$DA$1000,MATCH($A31,Dati!$A$1:$A$1000,0))&gt;0,Dati!$Y$3&amp;": "&amp;INDEX(Dati!$Y$1:$Y$1000,MATCH($A31,Dati!$A$1:$A$1000,0))&amp;" · ","")&amp;IF(INDEX(Dati!$DB$1:$DB$1000,MATCH($A31,Dati!$A$1:$A$1000,0))&gt;0,Dati!$Z$3&amp;": "&amp;INDEX(Dati!$Z$1:$Z$1000,MATCH($A31,Dati!$A$1:$A$1000,0))&amp;" · ",""))-3)),""))</f>
        <v/>
      </c>
      <c r="I31" s="55" t="str">
        <f aca="false">IF($B31="","",IFERROR(IF((IF(INDEX(Dati!$DC$1:$DC$1000,MATCH($A31,Dati!$A$1:$A$1000,0))&gt;0,Dati!$AA$3&amp;": "&amp;INDEX(Dati!$AA$1:$AA$1000,MATCH($A31,Dati!$A$1:$A$1000,0))&amp;" · ","")&amp;IF(INDEX(Dati!$DD$1:$DD$1000,MATCH($A31,Dati!$A$1:$A$1000,0))&gt;0,Dati!$AB$3&amp;": "&amp;INDEX(Dati!$AB$1:$AB$1000,MATCH($A31,Dati!$A$1:$A$1000,0))&amp;" · ","")&amp;IF(INDEX(Dati!$DE$1:$DE$1000,MATCH($A31,Dati!$A$1:$A$1000,0))&gt;0,Dati!$AC$3&amp;": "&amp;INDEX(Dati!$AC$1:$AC$1000,MATCH($A31,Dati!$A$1:$A$1000,0))&amp;" · ","")&amp;IF(INDEX(Dati!$DF$1:$DF$1000,MATCH($A31,Dati!$A$1:$A$1000,0))&gt;0,Dati!$AD$3&amp;": "&amp;INDEX(Dati!$AD$1:$AD$1000,MATCH($A31,Dati!$A$1:$A$1000,0))&amp;" · ",""))="",IF(INDEX(Dati!$FM$1:$FM$1000,MATCH($A31,Dati!$A$1:$A$1000,0))=1,"AS da recuperare",""),LEFT(IF(INDEX(Dati!$DC$1:$DC$1000,MATCH($A31,Dati!$A$1:$A$1000,0))&gt;0,Dati!$AA$3&amp;": "&amp;INDEX(Dati!$AA$1:$AA$1000,MATCH($A31,Dati!$A$1:$A$1000,0))&amp;" · ","")&amp;IF(INDEX(Dati!$DD$1:$DD$1000,MATCH($A31,Dati!$A$1:$A$1000,0))&gt;0,Dati!$AB$3&amp;": "&amp;INDEX(Dati!$AB$1:$AB$1000,MATCH($A31,Dati!$A$1:$A$1000,0))&amp;" · ","")&amp;IF(INDEX(Dati!$DE$1:$DE$1000,MATCH($A31,Dati!$A$1:$A$1000,0))&gt;0,Dati!$AC$3&amp;": "&amp;INDEX(Dati!$AC$1:$AC$1000,MATCH($A31,Dati!$A$1:$A$1000,0))&amp;" · ","")&amp;IF(INDEX(Dati!$DF$1:$DF$1000,MATCH($A31,Dati!$A$1:$A$1000,0))&gt;0,Dati!$AD$3&amp;": "&amp;INDEX(Dati!$AD$1:$AD$1000,MATCH($A31,Dati!$A$1:$A$1000,0))&amp;" · ",""),LEN(IF(INDEX(Dati!$DC$1:$DC$1000,MATCH($A31,Dati!$A$1:$A$1000,0))&gt;0,Dati!$AA$3&amp;": "&amp;INDEX(Dati!$AA$1:$AA$1000,MATCH($A31,Dati!$A$1:$A$1000,0))&amp;" · ","")&amp;IF(INDEX(Dati!$DD$1:$DD$1000,MATCH($A31,Dati!$A$1:$A$1000,0))&gt;0,Dati!$AB$3&amp;": "&amp;INDEX(Dati!$AB$1:$AB$1000,MATCH($A31,Dati!$A$1:$A$1000,0))&amp;" · ","")&amp;IF(INDEX(Dati!$DE$1:$DE$1000,MATCH($A31,Dati!$A$1:$A$1000,0))&gt;0,Dati!$AC$3&amp;": "&amp;INDEX(Dati!$AC$1:$AC$1000,MATCH($A31,Dati!$A$1:$A$1000,0))&amp;" · ","")&amp;IF(INDEX(Dati!$DF$1:$DF$1000,MATCH($A31,Dati!$A$1:$A$1000,0))&gt;0,Dati!$AD$3&amp;": "&amp;INDEX(Dati!$AD$1:$AD$1000,MATCH($A31,Dati!$A$1:$A$1000,0))&amp;" · ",""))-3)),""))</f>
        <v/>
      </c>
      <c r="J31" s="55" t="str">
        <f aca="false">IF($B31="","",IFERROR(IF((IF(INDEX(Dati!$DG$1:$DG$1000,MATCH($A31,Dati!$A$1:$A$1000,0))&gt;0,Dati!$AE$3&amp;": "&amp;INDEX(Dati!$AE$1:$AE$1000,MATCH($A31,Dati!$A$1:$A$1000,0))&amp;" · ","")&amp;IF(INDEX(Dati!$DH$1:$DH$1000,MATCH($A31,Dati!$A$1:$A$1000,0))&gt;0,Dati!$AF$3&amp;": "&amp;INDEX(Dati!$AF$1:$AF$1000,MATCH($A31,Dati!$A$1:$A$1000,0))&amp;" · ","")&amp;IF(INDEX(Dati!$DI$1:$DI$1000,MATCH($A31,Dati!$A$1:$A$1000,0))&gt;0,Dati!$AG$3&amp;": "&amp;INDEX(Dati!$AG$1:$AG$1000,MATCH($A31,Dati!$A$1:$A$1000,0))&amp;" · ","")&amp;IF(INDEX(Dati!$DJ$1:$DJ$1000,MATCH($A31,Dati!$A$1:$A$1000,0))&gt;0,Dati!$AH$3&amp;": "&amp;INDEX(Dati!$AH$1:$AH$1000,MATCH($A31,Dati!$A$1:$A$1000,0))&amp;" · ",""))="",IF(INDEX(Dati!$FN$1:$FN$1000,MATCH($A31,Dati!$A$1:$A$1000,0))=1,"AS da recuperare",""),LEFT(IF(INDEX(Dati!$DG$1:$DG$1000,MATCH($A31,Dati!$A$1:$A$1000,0))&gt;0,Dati!$AE$3&amp;": "&amp;INDEX(Dati!$AE$1:$AE$1000,MATCH($A31,Dati!$A$1:$A$1000,0))&amp;" · ","")&amp;IF(INDEX(Dati!$DH$1:$DH$1000,MATCH($A31,Dati!$A$1:$A$1000,0))&gt;0,Dati!$AF$3&amp;": "&amp;INDEX(Dati!$AF$1:$AF$1000,MATCH($A31,Dati!$A$1:$A$1000,0))&amp;" · ","")&amp;IF(INDEX(Dati!$DI$1:$DI$1000,MATCH($A31,Dati!$A$1:$A$1000,0))&gt;0,Dati!$AG$3&amp;": "&amp;INDEX(Dati!$AG$1:$AG$1000,MATCH($A31,Dati!$A$1:$A$1000,0))&amp;" · ","")&amp;IF(INDEX(Dati!$DJ$1:$DJ$1000,MATCH($A31,Dati!$A$1:$A$1000,0))&gt;0,Dati!$AH$3&amp;": "&amp;INDEX(Dati!$AH$1:$AH$1000,MATCH($A31,Dati!$A$1:$A$1000,0))&amp;" · ",""),LEN(IF(INDEX(Dati!$DG$1:$DG$1000,MATCH($A31,Dati!$A$1:$A$1000,0))&gt;0,Dati!$AE$3&amp;": "&amp;INDEX(Dati!$AE$1:$AE$1000,MATCH($A31,Dati!$A$1:$A$1000,0))&amp;" · ","")&amp;IF(INDEX(Dati!$DH$1:$DH$1000,MATCH($A31,Dati!$A$1:$A$1000,0))&gt;0,Dati!$AF$3&amp;": "&amp;INDEX(Dati!$AF$1:$AF$1000,MATCH($A31,Dati!$A$1:$A$1000,0))&amp;" · ","")&amp;IF(INDEX(Dati!$DI$1:$DI$1000,MATCH($A31,Dati!$A$1:$A$1000,0))&gt;0,Dati!$AG$3&amp;": "&amp;INDEX(Dati!$AG$1:$AG$1000,MATCH($A31,Dati!$A$1:$A$1000,0))&amp;" · ","")&amp;IF(INDEX(Dati!$DJ$1:$DJ$1000,MATCH($A31,Dati!$A$1:$A$1000,0))&gt;0,Dati!$AH$3&amp;": "&amp;INDEX(Dati!$AH$1:$AH$1000,MATCH($A31,Dati!$A$1:$A$1000,0))&amp;" · ",""))-3)),""))</f>
        <v/>
      </c>
      <c r="K31" s="55" t="str">
        <f aca="false">IF($B31="","",IFERROR(IF((IF(INDEX(Dati!$DK$1:$DK$1000,MATCH($A31,Dati!$A$1:$A$1000,0))&gt;0,Dati!$AI$3&amp;": "&amp;INDEX(Dati!$AI$1:$AI$1000,MATCH($A31,Dati!$A$1:$A$1000,0))&amp;" · ","")&amp;IF(INDEX(Dati!$DL$1:$DL$1000,MATCH($A31,Dati!$A$1:$A$1000,0))&gt;0,Dati!$AJ$3&amp;": "&amp;INDEX(Dati!$AJ$1:$AJ$1000,MATCH($A31,Dati!$A$1:$A$1000,0))&amp;" · ","")&amp;IF(INDEX(Dati!$DM$1:$DM$1000,MATCH($A31,Dati!$A$1:$A$1000,0))&gt;0,Dati!$AK$3&amp;": "&amp;INDEX(Dati!$AK$1:$AK$1000,MATCH($A31,Dati!$A$1:$A$1000,0))&amp;" · ","")&amp;IF(INDEX(Dati!$DN$1:$DN$1000,MATCH($A31,Dati!$A$1:$A$1000,0))&gt;0,Dati!$AL$3&amp;": "&amp;INDEX(Dati!$AL$1:$AL$1000,MATCH($A31,Dati!$A$1:$A$1000,0))&amp;" · ",""))="",IF(INDEX(Dati!$FO$1:$FO$1000,MATCH($A31,Dati!$A$1:$A$1000,0))=1,"AS da recuperare",""),LEFT(IF(INDEX(Dati!$DK$1:$DK$1000,MATCH($A31,Dati!$A$1:$A$1000,0))&gt;0,Dati!$AI$3&amp;": "&amp;INDEX(Dati!$AI$1:$AI$1000,MATCH($A31,Dati!$A$1:$A$1000,0))&amp;" · ","")&amp;IF(INDEX(Dati!$DL$1:$DL$1000,MATCH($A31,Dati!$A$1:$A$1000,0))&gt;0,Dati!$AJ$3&amp;": "&amp;INDEX(Dati!$AJ$1:$AJ$1000,MATCH($A31,Dati!$A$1:$A$1000,0))&amp;" · ","")&amp;IF(INDEX(Dati!$DM$1:$DM$1000,MATCH($A31,Dati!$A$1:$A$1000,0))&gt;0,Dati!$AK$3&amp;": "&amp;INDEX(Dati!$AK$1:$AK$1000,MATCH($A31,Dati!$A$1:$A$1000,0))&amp;" · ","")&amp;IF(INDEX(Dati!$DN$1:$DN$1000,MATCH($A31,Dati!$A$1:$A$1000,0))&gt;0,Dati!$AL$3&amp;": "&amp;INDEX(Dati!$AL$1:$AL$1000,MATCH($A31,Dati!$A$1:$A$1000,0))&amp;" · ",""),LEN(IF(INDEX(Dati!$DK$1:$DK$1000,MATCH($A31,Dati!$A$1:$A$1000,0))&gt;0,Dati!$AI$3&amp;": "&amp;INDEX(Dati!$AI$1:$AI$1000,MATCH($A31,Dati!$A$1:$A$1000,0))&amp;" · ","")&amp;IF(INDEX(Dati!$DL$1:$DL$1000,MATCH($A31,Dati!$A$1:$A$1000,0))&gt;0,Dati!$AJ$3&amp;": "&amp;INDEX(Dati!$AJ$1:$AJ$1000,MATCH($A31,Dati!$A$1:$A$1000,0))&amp;" · ","")&amp;IF(INDEX(Dati!$DM$1:$DM$1000,MATCH($A31,Dati!$A$1:$A$1000,0))&gt;0,Dati!$AK$3&amp;": "&amp;INDEX(Dati!$AK$1:$AK$1000,MATCH($A31,Dati!$A$1:$A$1000,0))&amp;" · ","")&amp;IF(INDEX(Dati!$DN$1:$DN$1000,MATCH($A31,Dati!$A$1:$A$1000,0))&gt;0,Dati!$AL$3&amp;": "&amp;INDEX(Dati!$AL$1:$AL$1000,MATCH($A31,Dati!$A$1:$A$1000,0))&amp;" · ",""))-3)),""))</f>
        <v/>
      </c>
      <c r="L31" s="55" t="str">
        <f aca="false">IF($B31="","",IFERROR(IF((IF(INDEX(Dati!$DO$1:$DO$1000,MATCH($A31,Dati!$A$1:$A$1000,0))&gt;0,Dati!$AM$3&amp;": "&amp;INDEX(Dati!$AM$1:$AM$1000,MATCH($A31,Dati!$A$1:$A$1000,0))&amp;" · ","")&amp;IF(INDEX(Dati!$DP$1:$DP$1000,MATCH($A31,Dati!$A$1:$A$1000,0))&gt;0,Dati!$AN$3&amp;": "&amp;INDEX(Dati!$AN$1:$AN$1000,MATCH($A31,Dati!$A$1:$A$1000,0))&amp;" · ","")&amp;IF(INDEX(Dati!$DQ$1:$DQ$1000,MATCH($A31,Dati!$A$1:$A$1000,0))&gt;0,Dati!$AO$3&amp;": "&amp;INDEX(Dati!$AO$1:$AO$1000,MATCH($A31,Dati!$A$1:$A$1000,0))&amp;" · ","")&amp;IF(INDEX(Dati!$DR$1:$DR$1000,MATCH($A31,Dati!$A$1:$A$1000,0))&gt;0,Dati!$AP$3&amp;": "&amp;INDEX(Dati!$AP$1:$AP$1000,MATCH($A31,Dati!$A$1:$A$1000,0))&amp;" · ",""))="",IF(INDEX(Dati!$FP$1:$FP$1000,MATCH($A31,Dati!$A$1:$A$1000,0))=1,"AS da recuperare",""),LEFT(IF(INDEX(Dati!$DO$1:$DO$1000,MATCH($A31,Dati!$A$1:$A$1000,0))&gt;0,Dati!$AM$3&amp;": "&amp;INDEX(Dati!$AM$1:$AM$1000,MATCH($A31,Dati!$A$1:$A$1000,0))&amp;" · ","")&amp;IF(INDEX(Dati!$DP$1:$DP$1000,MATCH($A31,Dati!$A$1:$A$1000,0))&gt;0,Dati!$AN$3&amp;": "&amp;INDEX(Dati!$AN$1:$AN$1000,MATCH($A31,Dati!$A$1:$A$1000,0))&amp;" · ","")&amp;IF(INDEX(Dati!$DQ$1:$DQ$1000,MATCH($A31,Dati!$A$1:$A$1000,0))&gt;0,Dati!$AO$3&amp;": "&amp;INDEX(Dati!$AO$1:$AO$1000,MATCH($A31,Dati!$A$1:$A$1000,0))&amp;" · ","")&amp;IF(INDEX(Dati!$DR$1:$DR$1000,MATCH($A31,Dati!$A$1:$A$1000,0))&gt;0,Dati!$AP$3&amp;": "&amp;INDEX(Dati!$AP$1:$AP$1000,MATCH($A31,Dati!$A$1:$A$1000,0))&amp;" · ",""),LEN(IF(INDEX(Dati!$DO$1:$DO$1000,MATCH($A31,Dati!$A$1:$A$1000,0))&gt;0,Dati!$AM$3&amp;": "&amp;INDEX(Dati!$AM$1:$AM$1000,MATCH($A31,Dati!$A$1:$A$1000,0))&amp;" · ","")&amp;IF(INDEX(Dati!$DP$1:$DP$1000,MATCH($A31,Dati!$A$1:$A$1000,0))&gt;0,Dati!$AN$3&amp;": "&amp;INDEX(Dati!$AN$1:$AN$1000,MATCH($A31,Dati!$A$1:$A$1000,0))&amp;" · ","")&amp;IF(INDEX(Dati!$DQ$1:$DQ$1000,MATCH($A31,Dati!$A$1:$A$1000,0))&gt;0,Dati!$AO$3&amp;": "&amp;INDEX(Dati!$AO$1:$AO$1000,MATCH($A31,Dati!$A$1:$A$1000,0))&amp;" · ","")&amp;IF(INDEX(Dati!$DR$1:$DR$1000,MATCH($A31,Dati!$A$1:$A$1000,0))&gt;0,Dati!$AP$3&amp;": "&amp;INDEX(Dati!$AP$1:$AP$1000,MATCH($A31,Dati!$A$1:$A$1000,0))&amp;" · ",""))-3)),""))</f>
        <v/>
      </c>
      <c r="M31" s="55" t="str">
        <f aca="false">IF($B31="","",IFERROR(IF((IF(INDEX(Dati!$DS$1:$DS$1000,MATCH($A31,Dati!$A$1:$A$1000,0))&gt;0,Dati!$AQ$3&amp;": "&amp;INDEX(Dati!$AQ$1:$AQ$1000,MATCH($A31,Dati!$A$1:$A$1000,0))&amp;" · ","")&amp;IF(INDEX(Dati!$DT$1:$DT$1000,MATCH($A31,Dati!$A$1:$A$1000,0))&gt;0,Dati!$AR$3&amp;": "&amp;INDEX(Dati!$AR$1:$AR$1000,MATCH($A31,Dati!$A$1:$A$1000,0))&amp;" · ","")&amp;IF(INDEX(Dati!$DU$1:$DU$1000,MATCH($A31,Dati!$A$1:$A$1000,0))&gt;0,Dati!$AS$3&amp;": "&amp;INDEX(Dati!$AS$1:$AS$1000,MATCH($A31,Dati!$A$1:$A$1000,0))&amp;" · ","")&amp;IF(INDEX(Dati!$DV$1:$DV$1000,MATCH($A31,Dati!$A$1:$A$1000,0))&gt;0,Dati!$AT$3&amp;": "&amp;INDEX(Dati!$AT$1:$AT$1000,MATCH($A31,Dati!$A$1:$A$1000,0))&amp;" · ",""))="",IF(INDEX(Dati!$FQ$1:$FQ$1000,MATCH($A31,Dati!$A$1:$A$1000,0))=1,"AS da recuperare",""),LEFT(IF(INDEX(Dati!$DS$1:$DS$1000,MATCH($A31,Dati!$A$1:$A$1000,0))&gt;0,Dati!$AQ$3&amp;": "&amp;INDEX(Dati!$AQ$1:$AQ$1000,MATCH($A31,Dati!$A$1:$A$1000,0))&amp;" · ","")&amp;IF(INDEX(Dati!$DT$1:$DT$1000,MATCH($A31,Dati!$A$1:$A$1000,0))&gt;0,Dati!$AR$3&amp;": "&amp;INDEX(Dati!$AR$1:$AR$1000,MATCH($A31,Dati!$A$1:$A$1000,0))&amp;" · ","")&amp;IF(INDEX(Dati!$DU$1:$DU$1000,MATCH($A31,Dati!$A$1:$A$1000,0))&gt;0,Dati!$AS$3&amp;": "&amp;INDEX(Dati!$AS$1:$AS$1000,MATCH($A31,Dati!$A$1:$A$1000,0))&amp;" · ","")&amp;IF(INDEX(Dati!$DV$1:$DV$1000,MATCH($A31,Dati!$A$1:$A$1000,0))&gt;0,Dati!$AT$3&amp;": "&amp;INDEX(Dati!$AT$1:$AT$1000,MATCH($A31,Dati!$A$1:$A$1000,0))&amp;" · ",""),LEN(IF(INDEX(Dati!$DS$1:$DS$1000,MATCH($A31,Dati!$A$1:$A$1000,0))&gt;0,Dati!$AQ$3&amp;": "&amp;INDEX(Dati!$AQ$1:$AQ$1000,MATCH($A31,Dati!$A$1:$A$1000,0))&amp;" · ","")&amp;IF(INDEX(Dati!$DT$1:$DT$1000,MATCH($A31,Dati!$A$1:$A$1000,0))&gt;0,Dati!$AR$3&amp;": "&amp;INDEX(Dati!$AR$1:$AR$1000,MATCH($A31,Dati!$A$1:$A$1000,0))&amp;" · ","")&amp;IF(INDEX(Dati!$DU$1:$DU$1000,MATCH($A31,Dati!$A$1:$A$1000,0))&gt;0,Dati!$AS$3&amp;": "&amp;INDEX(Dati!$AS$1:$AS$1000,MATCH($A31,Dati!$A$1:$A$1000,0))&amp;" · ","")&amp;IF(INDEX(Dati!$DV$1:$DV$1000,MATCH($A31,Dati!$A$1:$A$1000,0))&gt;0,Dati!$AT$3&amp;": "&amp;INDEX(Dati!$AT$1:$AT$1000,MATCH($A31,Dati!$A$1:$A$1000,0))&amp;" · ",""))-3)),""))</f>
        <v/>
      </c>
      <c r="N31" s="55" t="str">
        <f aca="false">IF($B31="","",IFERROR(IF((IF(INDEX(Dati!$DW$1:$DW$1000,MATCH($A31,Dati!$A$1:$A$1000,0))&gt;0,Dati!$AU$3&amp;": "&amp;INDEX(Dati!$AU$1:$AU$1000,MATCH($A31,Dati!$A$1:$A$1000,0))&amp;" · ","")&amp;IF(INDEX(Dati!$DX$1:$DX$1000,MATCH($A31,Dati!$A$1:$A$1000,0))&gt;0,Dati!$AV$3&amp;": "&amp;INDEX(Dati!$AV$1:$AV$1000,MATCH($A31,Dati!$A$1:$A$1000,0))&amp;" · ","")&amp;IF(INDEX(Dati!$DY$1:$DY$1000,MATCH($A31,Dati!$A$1:$A$1000,0))&gt;0,Dati!$AW$3&amp;": "&amp;INDEX(Dati!$AW$1:$AW$1000,MATCH($A31,Dati!$A$1:$A$1000,0))&amp;" · ","")&amp;IF(INDEX(Dati!$DZ$1:$DZ$1000,MATCH($A31,Dati!$A$1:$A$1000,0))&gt;0,Dati!$AX$3&amp;": "&amp;INDEX(Dati!$AX$1:$AX$1000,MATCH($A31,Dati!$A$1:$A$1000,0))&amp;" · ",""))="",IF(INDEX(Dati!$FR$1:$FR$1000,MATCH($A31,Dati!$A$1:$A$1000,0))=1,"AS da recuperare",""),LEFT(IF(INDEX(Dati!$DW$1:$DW$1000,MATCH($A31,Dati!$A$1:$A$1000,0))&gt;0,Dati!$AU$3&amp;": "&amp;INDEX(Dati!$AU$1:$AU$1000,MATCH($A31,Dati!$A$1:$A$1000,0))&amp;" · ","")&amp;IF(INDEX(Dati!$DX$1:$DX$1000,MATCH($A31,Dati!$A$1:$A$1000,0))&gt;0,Dati!$AV$3&amp;": "&amp;INDEX(Dati!$AV$1:$AV$1000,MATCH($A31,Dati!$A$1:$A$1000,0))&amp;" · ","")&amp;IF(INDEX(Dati!$DY$1:$DY$1000,MATCH($A31,Dati!$A$1:$A$1000,0))&gt;0,Dati!$AW$3&amp;": "&amp;INDEX(Dati!$AW$1:$AW$1000,MATCH($A31,Dati!$A$1:$A$1000,0))&amp;" · ","")&amp;IF(INDEX(Dati!$DZ$1:$DZ$1000,MATCH($A31,Dati!$A$1:$A$1000,0))&gt;0,Dati!$AX$3&amp;": "&amp;INDEX(Dati!$AX$1:$AX$1000,MATCH($A31,Dati!$A$1:$A$1000,0))&amp;" · ",""),LEN(IF(INDEX(Dati!$DW$1:$DW$1000,MATCH($A31,Dati!$A$1:$A$1000,0))&gt;0,Dati!$AU$3&amp;": "&amp;INDEX(Dati!$AU$1:$AU$1000,MATCH($A31,Dati!$A$1:$A$1000,0))&amp;" · ","")&amp;IF(INDEX(Dati!$DX$1:$DX$1000,MATCH($A31,Dati!$A$1:$A$1000,0))&gt;0,Dati!$AV$3&amp;": "&amp;INDEX(Dati!$AV$1:$AV$1000,MATCH($A31,Dati!$A$1:$A$1000,0))&amp;" · ","")&amp;IF(INDEX(Dati!$DY$1:$DY$1000,MATCH($A31,Dati!$A$1:$A$1000,0))&gt;0,Dati!$AW$3&amp;": "&amp;INDEX(Dati!$AW$1:$AW$1000,MATCH($A31,Dati!$A$1:$A$1000,0))&amp;" · ","")&amp;IF(INDEX(Dati!$DZ$1:$DZ$1000,MATCH($A31,Dati!$A$1:$A$1000,0))&gt;0,Dati!$AX$3&amp;": "&amp;INDEX(Dati!$AX$1:$AX$1000,MATCH($A31,Dati!$A$1:$A$1000,0))&amp;" · ",""))-3)),""))</f>
        <v/>
      </c>
      <c r="O31" s="55" t="str">
        <f aca="false">IF($B31="","",IFERROR(IF((IF(INDEX(Dati!$EA$1:$EA$1000,MATCH($A31,Dati!$A$1:$A$1000,0))&gt;0,Dati!$AY$3&amp;": "&amp;INDEX(Dati!$AY$1:$AY$1000,MATCH($A31,Dati!$A$1:$A$1000,0))&amp;" · ","")&amp;IF(INDEX(Dati!$EB$1:$EB$1000,MATCH($A31,Dati!$A$1:$A$1000,0))&gt;0,Dati!$AZ$3&amp;": "&amp;INDEX(Dati!$AZ$1:$AZ$1000,MATCH($A31,Dati!$A$1:$A$1000,0))&amp;" · ","")&amp;IF(INDEX(Dati!$EC$1:$EC$1000,MATCH($A31,Dati!$A$1:$A$1000,0))&gt;0,Dati!$BA$3&amp;": "&amp;INDEX(Dati!$BA$1:$BA$1000,MATCH($A31,Dati!$A$1:$A$1000,0))&amp;" · ","")&amp;IF(INDEX(Dati!$ED$1:$ED$1000,MATCH($A31,Dati!$A$1:$A$1000,0))&gt;0,Dati!$BB$3&amp;": "&amp;INDEX(Dati!$BB$1:$BB$1000,MATCH($A31,Dati!$A$1:$A$1000,0))&amp;" · ",""))="",IF(INDEX(Dati!$FS$1:$FS$1000,MATCH($A31,Dati!$A$1:$A$1000,0))=1,"AS da recuperare",""),LEFT(IF(INDEX(Dati!$EA$1:$EA$1000,MATCH($A31,Dati!$A$1:$A$1000,0))&gt;0,Dati!$AY$3&amp;": "&amp;INDEX(Dati!$AY$1:$AY$1000,MATCH($A31,Dati!$A$1:$A$1000,0))&amp;" · ","")&amp;IF(INDEX(Dati!$EB$1:$EB$1000,MATCH($A31,Dati!$A$1:$A$1000,0))&gt;0,Dati!$AZ$3&amp;": "&amp;INDEX(Dati!$AZ$1:$AZ$1000,MATCH($A31,Dati!$A$1:$A$1000,0))&amp;" · ","")&amp;IF(INDEX(Dati!$EC$1:$EC$1000,MATCH($A31,Dati!$A$1:$A$1000,0))&gt;0,Dati!$BA$3&amp;": "&amp;INDEX(Dati!$BA$1:$BA$1000,MATCH($A31,Dati!$A$1:$A$1000,0))&amp;" · ","")&amp;IF(INDEX(Dati!$ED$1:$ED$1000,MATCH($A31,Dati!$A$1:$A$1000,0))&gt;0,Dati!$BB$3&amp;": "&amp;INDEX(Dati!$BB$1:$BB$1000,MATCH($A31,Dati!$A$1:$A$1000,0))&amp;" · ",""),LEN(IF(INDEX(Dati!$EA$1:$EA$1000,MATCH($A31,Dati!$A$1:$A$1000,0))&gt;0,Dati!$AY$3&amp;": "&amp;INDEX(Dati!$AY$1:$AY$1000,MATCH($A31,Dati!$A$1:$A$1000,0))&amp;" · ","")&amp;IF(INDEX(Dati!$EB$1:$EB$1000,MATCH($A31,Dati!$A$1:$A$1000,0))&gt;0,Dati!$AZ$3&amp;": "&amp;INDEX(Dati!$AZ$1:$AZ$1000,MATCH($A31,Dati!$A$1:$A$1000,0))&amp;" · ","")&amp;IF(INDEX(Dati!$EC$1:$EC$1000,MATCH($A31,Dati!$A$1:$A$1000,0))&gt;0,Dati!$BA$3&amp;": "&amp;INDEX(Dati!$BA$1:$BA$1000,MATCH($A31,Dati!$A$1:$A$1000,0))&amp;" · ","")&amp;IF(INDEX(Dati!$ED$1:$ED$1000,MATCH($A31,Dati!$A$1:$A$1000,0))&gt;0,Dati!$BB$3&amp;": "&amp;INDEX(Dati!$BB$1:$BB$1000,MATCH($A31,Dati!$A$1:$A$1000,0))&amp;" · ",""))-3)),""))</f>
        <v/>
      </c>
      <c r="P31" s="55" t="str">
        <f aca="false">IF($B31="","",IFERROR(IF((IF(INDEX(Dati!$EE$1:$EE$1000,MATCH($A31,Dati!$A$1:$A$1000,0))&gt;0,Dati!$BC$3&amp;": "&amp;INDEX(Dati!$BC$1:$BC$1000,MATCH($A31,Dati!$A$1:$A$1000,0))&amp;" · ","")&amp;IF(INDEX(Dati!$EF$1:$EF$1000,MATCH($A31,Dati!$A$1:$A$1000,0))&gt;0,Dati!$BD$3&amp;": "&amp;INDEX(Dati!$BD$1:$BD$1000,MATCH($A31,Dati!$A$1:$A$1000,0))&amp;" · ","")&amp;IF(INDEX(Dati!$EG$1:$EG$1000,MATCH($A31,Dati!$A$1:$A$1000,0))&gt;0,Dati!$BE$3&amp;": "&amp;INDEX(Dati!$BE$1:$BE$1000,MATCH($A31,Dati!$A$1:$A$1000,0))&amp;" · ","")&amp;IF(INDEX(Dati!$EH$1:$EH$1000,MATCH($A31,Dati!$A$1:$A$1000,0))&gt;0,Dati!$BF$3&amp;": "&amp;INDEX(Dati!$BF$1:$BF$1000,MATCH($A31,Dati!$A$1:$A$1000,0))&amp;" · ",""))="",IF(INDEX(Dati!$FT$1:$FT$1000,MATCH($A31,Dati!$A$1:$A$1000,0))=1,"AS da recuperare",""),LEFT(IF(INDEX(Dati!$EE$1:$EE$1000,MATCH($A31,Dati!$A$1:$A$1000,0))&gt;0,Dati!$BC$3&amp;": "&amp;INDEX(Dati!$BC$1:$BC$1000,MATCH($A31,Dati!$A$1:$A$1000,0))&amp;" · ","")&amp;IF(INDEX(Dati!$EF$1:$EF$1000,MATCH($A31,Dati!$A$1:$A$1000,0))&gt;0,Dati!$BD$3&amp;": "&amp;INDEX(Dati!$BD$1:$BD$1000,MATCH($A31,Dati!$A$1:$A$1000,0))&amp;" · ","")&amp;IF(INDEX(Dati!$EG$1:$EG$1000,MATCH($A31,Dati!$A$1:$A$1000,0))&gt;0,Dati!$BE$3&amp;": "&amp;INDEX(Dati!$BE$1:$BE$1000,MATCH($A31,Dati!$A$1:$A$1000,0))&amp;" · ","")&amp;IF(INDEX(Dati!$EH$1:$EH$1000,MATCH($A31,Dati!$A$1:$A$1000,0))&gt;0,Dati!$BF$3&amp;": "&amp;INDEX(Dati!$BF$1:$BF$1000,MATCH($A31,Dati!$A$1:$A$1000,0))&amp;" · ",""),LEN(IF(INDEX(Dati!$EE$1:$EE$1000,MATCH($A31,Dati!$A$1:$A$1000,0))&gt;0,Dati!$BC$3&amp;": "&amp;INDEX(Dati!$BC$1:$BC$1000,MATCH($A31,Dati!$A$1:$A$1000,0))&amp;" · ","")&amp;IF(INDEX(Dati!$EF$1:$EF$1000,MATCH($A31,Dati!$A$1:$A$1000,0))&gt;0,Dati!$BD$3&amp;": "&amp;INDEX(Dati!$BD$1:$BD$1000,MATCH($A31,Dati!$A$1:$A$1000,0))&amp;" · ","")&amp;IF(INDEX(Dati!$EG$1:$EG$1000,MATCH($A31,Dati!$A$1:$A$1000,0))&gt;0,Dati!$BE$3&amp;": "&amp;INDEX(Dati!$BE$1:$BE$1000,MATCH($A31,Dati!$A$1:$A$1000,0))&amp;" · ","")&amp;IF(INDEX(Dati!$EH$1:$EH$1000,MATCH($A31,Dati!$A$1:$A$1000,0))&gt;0,Dati!$BF$3&amp;": "&amp;INDEX(Dati!$BF$1:$BF$1000,MATCH($A31,Dati!$A$1:$A$1000,0))&amp;" · ",""))-3)),""))</f>
        <v/>
      </c>
      <c r="Q31" s="55" t="str">
        <f aca="false">IF($B31="","",IFERROR(IF((IF(INDEX(Dati!$EI$1:$EI$1000,MATCH($A31,Dati!$A$1:$A$1000,0))&gt;0,Dati!$BG$3&amp;": "&amp;INDEX(Dati!$BG$1:$BG$1000,MATCH($A31,Dati!$A$1:$A$1000,0))&amp;" · ","")&amp;IF(INDEX(Dati!$EJ$1:$EJ$1000,MATCH($A31,Dati!$A$1:$A$1000,0))&gt;0,Dati!$BH$3&amp;": "&amp;INDEX(Dati!$BH$1:$BH$1000,MATCH($A31,Dati!$A$1:$A$1000,0))&amp;" · ","")&amp;IF(INDEX(Dati!$EK$1:$EK$1000,MATCH($A31,Dati!$A$1:$A$1000,0))&gt;0,Dati!$BI$3&amp;": "&amp;INDEX(Dati!$BI$1:$BI$1000,MATCH($A31,Dati!$A$1:$A$1000,0))&amp;" · ","")&amp;IF(INDEX(Dati!$EL$1:$EL$1000,MATCH($A31,Dati!$A$1:$A$1000,0))&gt;0,Dati!$BJ$3&amp;": "&amp;INDEX(Dati!$BJ$1:$BJ$1000,MATCH($A31,Dati!$A$1:$A$1000,0))&amp;" · ",""))="",IF(INDEX(Dati!$FU$1:$FU$1000,MATCH($A31,Dati!$A$1:$A$1000,0))=1,"AS da recuperare",""),LEFT(IF(INDEX(Dati!$EI$1:$EI$1000,MATCH($A31,Dati!$A$1:$A$1000,0))&gt;0,Dati!$BG$3&amp;": "&amp;INDEX(Dati!$BG$1:$BG$1000,MATCH($A31,Dati!$A$1:$A$1000,0))&amp;" · ","")&amp;IF(INDEX(Dati!$EJ$1:$EJ$1000,MATCH($A31,Dati!$A$1:$A$1000,0))&gt;0,Dati!$BH$3&amp;": "&amp;INDEX(Dati!$BH$1:$BH$1000,MATCH($A31,Dati!$A$1:$A$1000,0))&amp;" · ","")&amp;IF(INDEX(Dati!$EK$1:$EK$1000,MATCH($A31,Dati!$A$1:$A$1000,0))&gt;0,Dati!$BI$3&amp;": "&amp;INDEX(Dati!$BI$1:$BI$1000,MATCH($A31,Dati!$A$1:$A$1000,0))&amp;" · ","")&amp;IF(INDEX(Dati!$EL$1:$EL$1000,MATCH($A31,Dati!$A$1:$A$1000,0))&gt;0,Dati!$BJ$3&amp;": "&amp;INDEX(Dati!$BJ$1:$BJ$1000,MATCH($A31,Dati!$A$1:$A$1000,0))&amp;" · ",""),LEN(IF(INDEX(Dati!$EI$1:$EI$1000,MATCH($A31,Dati!$A$1:$A$1000,0))&gt;0,Dati!$BG$3&amp;": "&amp;INDEX(Dati!$BG$1:$BG$1000,MATCH($A31,Dati!$A$1:$A$1000,0))&amp;" · ","")&amp;IF(INDEX(Dati!$EJ$1:$EJ$1000,MATCH($A31,Dati!$A$1:$A$1000,0))&gt;0,Dati!$BH$3&amp;": "&amp;INDEX(Dati!$BH$1:$BH$1000,MATCH($A31,Dati!$A$1:$A$1000,0))&amp;" · ","")&amp;IF(INDEX(Dati!$EK$1:$EK$1000,MATCH($A31,Dati!$A$1:$A$1000,0))&gt;0,Dati!$BI$3&amp;": "&amp;INDEX(Dati!$BI$1:$BI$1000,MATCH($A31,Dati!$A$1:$A$1000,0))&amp;" · ","")&amp;IF(INDEX(Dati!$EL$1:$EL$1000,MATCH($A31,Dati!$A$1:$A$1000,0))&gt;0,Dati!$BJ$3&amp;": "&amp;INDEX(Dati!$BJ$1:$BJ$1000,MATCH($A31,Dati!$A$1:$A$1000,0))&amp;" · ",""))-3)),""))</f>
        <v/>
      </c>
      <c r="R31" s="55" t="str">
        <f aca="false">IF($B31="","",IFERROR(IF((IF(INDEX(Dati!$EM$1:$EM$1000,MATCH($A31,Dati!$A$1:$A$1000,0))&gt;0,Dati!$BK$3&amp;": "&amp;INDEX(Dati!$BK$1:$BK$1000,MATCH($A31,Dati!$A$1:$A$1000,0))&amp;" · ","")&amp;IF(INDEX(Dati!$EN$1:$EN$1000,MATCH($A31,Dati!$A$1:$A$1000,0))&gt;0,Dati!$BL$3&amp;": "&amp;INDEX(Dati!$BL$1:$BL$1000,MATCH($A31,Dati!$A$1:$A$1000,0))&amp;" · ","")&amp;IF(INDEX(Dati!$EO$1:$EO$1000,MATCH($A31,Dati!$A$1:$A$1000,0))&gt;0,Dati!$BM$3&amp;": "&amp;INDEX(Dati!$BM$1:$BM$1000,MATCH($A31,Dati!$A$1:$A$1000,0))&amp;" · ","")&amp;IF(INDEX(Dati!$EP$1:$EP$1000,MATCH($A31,Dati!$A$1:$A$1000,0))&gt;0,Dati!$BN$3&amp;": "&amp;INDEX(Dati!$BN$1:$BN$1000,MATCH($A31,Dati!$A$1:$A$1000,0))&amp;" · ",""))="",IF(INDEX(Dati!$FV$1:$FV$1000,MATCH($A31,Dati!$A$1:$A$1000,0))=1,"AS da recuperare",""),LEFT(IF(INDEX(Dati!$EM$1:$EM$1000,MATCH($A31,Dati!$A$1:$A$1000,0))&gt;0,Dati!$BK$3&amp;": "&amp;INDEX(Dati!$BK$1:$BK$1000,MATCH($A31,Dati!$A$1:$A$1000,0))&amp;" · ","")&amp;IF(INDEX(Dati!$EN$1:$EN$1000,MATCH($A31,Dati!$A$1:$A$1000,0))&gt;0,Dati!$BL$3&amp;": "&amp;INDEX(Dati!$BL$1:$BL$1000,MATCH($A31,Dati!$A$1:$A$1000,0))&amp;" · ","")&amp;IF(INDEX(Dati!$EO$1:$EO$1000,MATCH($A31,Dati!$A$1:$A$1000,0))&gt;0,Dati!$BM$3&amp;": "&amp;INDEX(Dati!$BM$1:$BM$1000,MATCH($A31,Dati!$A$1:$A$1000,0))&amp;" · ","")&amp;IF(INDEX(Dati!$EP$1:$EP$1000,MATCH($A31,Dati!$A$1:$A$1000,0))&gt;0,Dati!$BN$3&amp;": "&amp;INDEX(Dati!$BN$1:$BN$1000,MATCH($A31,Dati!$A$1:$A$1000,0))&amp;" · ",""),LEN(IF(INDEX(Dati!$EM$1:$EM$1000,MATCH($A31,Dati!$A$1:$A$1000,0))&gt;0,Dati!$BK$3&amp;": "&amp;INDEX(Dati!$BK$1:$BK$1000,MATCH($A31,Dati!$A$1:$A$1000,0))&amp;" · ","")&amp;IF(INDEX(Dati!$EN$1:$EN$1000,MATCH($A31,Dati!$A$1:$A$1000,0))&gt;0,Dati!$BL$3&amp;": "&amp;INDEX(Dati!$BL$1:$BL$1000,MATCH($A31,Dati!$A$1:$A$1000,0))&amp;" · ","")&amp;IF(INDEX(Dati!$EO$1:$EO$1000,MATCH($A31,Dati!$A$1:$A$1000,0))&gt;0,Dati!$BM$3&amp;": "&amp;INDEX(Dati!$BM$1:$BM$1000,MATCH($A31,Dati!$A$1:$A$1000,0))&amp;" · ","")&amp;IF(INDEX(Dati!$EP$1:$EP$1000,MATCH($A31,Dati!$A$1:$A$1000,0))&gt;0,Dati!$BN$3&amp;": "&amp;INDEX(Dati!$BN$1:$BN$1000,MATCH($A31,Dati!$A$1:$A$1000,0))&amp;" · ",""))-3)),""))</f>
        <v/>
      </c>
      <c r="S31" s="55" t="str">
        <f aca="false">IF($B31="","",IFERROR(IF((IF(INDEX(Dati!$EQ$1:$EQ$1000,MATCH($A31,Dati!$A$1:$A$1000,0))&gt;0,Dati!$BO$3&amp;": "&amp;INDEX(Dati!$BO$1:$BO$1000,MATCH($A31,Dati!$A$1:$A$1000,0))&amp;" · ","")&amp;IF(INDEX(Dati!$ER$1:$ER$1000,MATCH($A31,Dati!$A$1:$A$1000,0))&gt;0,Dati!$BP$3&amp;": "&amp;INDEX(Dati!$BP$1:$BP$1000,MATCH($A31,Dati!$A$1:$A$1000,0))&amp;" · ","")&amp;IF(INDEX(Dati!$ES$1:$ES$1000,MATCH($A31,Dati!$A$1:$A$1000,0))&gt;0,Dati!$BQ$3&amp;": "&amp;INDEX(Dati!$BQ$1:$BQ$1000,MATCH($A31,Dati!$A$1:$A$1000,0))&amp;" · ","")&amp;IF(INDEX(Dati!$ET$1:$ET$1000,MATCH($A31,Dati!$A$1:$A$1000,0))&gt;0,Dati!$BR$3&amp;": "&amp;INDEX(Dati!$BR$1:$BR$1000,MATCH($A31,Dati!$A$1:$A$1000,0))&amp;" · ",""))="",IF(INDEX(Dati!$FW$1:$FW$1000,MATCH($A31,Dati!$A$1:$A$1000,0))=1,"AS da recuperare",""),LEFT(IF(INDEX(Dati!$EQ$1:$EQ$1000,MATCH($A31,Dati!$A$1:$A$1000,0))&gt;0,Dati!$BO$3&amp;": "&amp;INDEX(Dati!$BO$1:$BO$1000,MATCH($A31,Dati!$A$1:$A$1000,0))&amp;" · ","")&amp;IF(INDEX(Dati!$ER$1:$ER$1000,MATCH($A31,Dati!$A$1:$A$1000,0))&gt;0,Dati!$BP$3&amp;": "&amp;INDEX(Dati!$BP$1:$BP$1000,MATCH($A31,Dati!$A$1:$A$1000,0))&amp;" · ","")&amp;IF(INDEX(Dati!$ES$1:$ES$1000,MATCH($A31,Dati!$A$1:$A$1000,0))&gt;0,Dati!$BQ$3&amp;": "&amp;INDEX(Dati!$BQ$1:$BQ$1000,MATCH($A31,Dati!$A$1:$A$1000,0))&amp;" · ","")&amp;IF(INDEX(Dati!$ET$1:$ET$1000,MATCH($A31,Dati!$A$1:$A$1000,0))&gt;0,Dati!$BR$3&amp;": "&amp;INDEX(Dati!$BR$1:$BR$1000,MATCH($A31,Dati!$A$1:$A$1000,0))&amp;" · ",""),LEN(IF(INDEX(Dati!$EQ$1:$EQ$1000,MATCH($A31,Dati!$A$1:$A$1000,0))&gt;0,Dati!$BO$3&amp;": "&amp;INDEX(Dati!$BO$1:$BO$1000,MATCH($A31,Dati!$A$1:$A$1000,0))&amp;" · ","")&amp;IF(INDEX(Dati!$ER$1:$ER$1000,MATCH($A31,Dati!$A$1:$A$1000,0))&gt;0,Dati!$BP$3&amp;": "&amp;INDEX(Dati!$BP$1:$BP$1000,MATCH($A31,Dati!$A$1:$A$1000,0))&amp;" · ","")&amp;IF(INDEX(Dati!$ES$1:$ES$1000,MATCH($A31,Dati!$A$1:$A$1000,0))&gt;0,Dati!$BQ$3&amp;": "&amp;INDEX(Dati!$BQ$1:$BQ$1000,MATCH($A31,Dati!$A$1:$A$1000,0))&amp;" · ","")&amp;IF(INDEX(Dati!$ET$1:$ET$1000,MATCH($A31,Dati!$A$1:$A$1000,0))&gt;0,Dati!$BR$3&amp;": "&amp;INDEX(Dati!$BR$1:$BR$1000,MATCH($A31,Dati!$A$1:$A$1000,0))&amp;" · ",""))-3)),""))</f>
        <v/>
      </c>
      <c r="T31" s="55" t="str">
        <f aca="false">IF($B31="","",IFERROR(IF((IF(INDEX(Dati!$EU$1:$EU$1000,MATCH($A31,Dati!$A$1:$A$1000,0))&gt;0,Dati!$BS$3&amp;": "&amp;INDEX(Dati!$BS$1:$BS$1000,MATCH($A31,Dati!$A$1:$A$1000,0))&amp;" · ","")&amp;IF(INDEX(Dati!$EV$1:$EV$1000,MATCH($A31,Dati!$A$1:$A$1000,0))&gt;0,Dati!$BT$3&amp;": "&amp;INDEX(Dati!$BT$1:$BT$1000,MATCH($A31,Dati!$A$1:$A$1000,0))&amp;" · ","")&amp;IF(INDEX(Dati!$EW$1:$EW$1000,MATCH($A31,Dati!$A$1:$A$1000,0))&gt;0,Dati!$BU$3&amp;": "&amp;INDEX(Dati!$BU$1:$BU$1000,MATCH($A31,Dati!$A$1:$A$1000,0))&amp;" · ","")&amp;IF(INDEX(Dati!$EX$1:$EX$1000,MATCH($A31,Dati!$A$1:$A$1000,0))&gt;0,Dati!$BV$3&amp;": "&amp;INDEX(Dati!$BV$1:$BV$1000,MATCH($A31,Dati!$A$1:$A$1000,0))&amp;" · ",""))="",IF(INDEX(Dati!$FX$1:$FX$1000,MATCH($A31,Dati!$A$1:$A$1000,0))=1,"AS da recuperare",""),LEFT(IF(INDEX(Dati!$EU$1:$EU$1000,MATCH($A31,Dati!$A$1:$A$1000,0))&gt;0,Dati!$BS$3&amp;": "&amp;INDEX(Dati!$BS$1:$BS$1000,MATCH($A31,Dati!$A$1:$A$1000,0))&amp;" · ","")&amp;IF(INDEX(Dati!$EV$1:$EV$1000,MATCH($A31,Dati!$A$1:$A$1000,0))&gt;0,Dati!$BT$3&amp;": "&amp;INDEX(Dati!$BT$1:$BT$1000,MATCH($A31,Dati!$A$1:$A$1000,0))&amp;" · ","")&amp;IF(INDEX(Dati!$EW$1:$EW$1000,MATCH($A31,Dati!$A$1:$A$1000,0))&gt;0,Dati!$BU$3&amp;": "&amp;INDEX(Dati!$BU$1:$BU$1000,MATCH($A31,Dati!$A$1:$A$1000,0))&amp;" · ","")&amp;IF(INDEX(Dati!$EX$1:$EX$1000,MATCH($A31,Dati!$A$1:$A$1000,0))&gt;0,Dati!$BV$3&amp;": "&amp;INDEX(Dati!$BV$1:$BV$1000,MATCH($A31,Dati!$A$1:$A$1000,0))&amp;" · ",""),LEN(IF(INDEX(Dati!$EU$1:$EU$1000,MATCH($A31,Dati!$A$1:$A$1000,0))&gt;0,Dati!$BS$3&amp;": "&amp;INDEX(Dati!$BS$1:$BS$1000,MATCH($A31,Dati!$A$1:$A$1000,0))&amp;" · ","")&amp;IF(INDEX(Dati!$EV$1:$EV$1000,MATCH($A31,Dati!$A$1:$A$1000,0))&gt;0,Dati!$BT$3&amp;": "&amp;INDEX(Dati!$BT$1:$BT$1000,MATCH($A31,Dati!$A$1:$A$1000,0))&amp;" · ","")&amp;IF(INDEX(Dati!$EW$1:$EW$1000,MATCH($A31,Dati!$A$1:$A$1000,0))&gt;0,Dati!$BU$3&amp;": "&amp;INDEX(Dati!$BU$1:$BU$1000,MATCH($A31,Dati!$A$1:$A$1000,0))&amp;" · ","")&amp;IF(INDEX(Dati!$EX$1:$EX$1000,MATCH($A31,Dati!$A$1:$A$1000,0))&gt;0,Dati!$BV$3&amp;": "&amp;INDEX(Dati!$BV$1:$BV$1000,MATCH($A31,Dati!$A$1:$A$1000,0))&amp;" · ",""))-3)),""))</f>
        <v/>
      </c>
      <c r="U31" s="55" t="str">
        <f aca="false">IF($B31="","",IFERROR(IF((IF(INDEX(Dati!$EY$1:$EY$1000,MATCH($A31,Dati!$A$1:$A$1000,0))&gt;0,Dati!$BW$3&amp;": "&amp;INDEX(Dati!$BW$1:$BW$1000,MATCH($A31,Dati!$A$1:$A$1000,0))&amp;" · ","")&amp;IF(INDEX(Dati!$EZ$1:$EZ$1000,MATCH($A31,Dati!$A$1:$A$1000,0))&gt;0,Dati!$BX$3&amp;": "&amp;INDEX(Dati!$BX$1:$BX$1000,MATCH($A31,Dati!$A$1:$A$1000,0))&amp;" · ","")&amp;IF(INDEX(Dati!$FA$1:$FA$1000,MATCH($A31,Dati!$A$1:$A$1000,0))&gt;0,Dati!$BY$3&amp;": "&amp;INDEX(Dati!$BY$1:$BY$1000,MATCH($A31,Dati!$A$1:$A$1000,0))&amp;" · ","")&amp;IF(INDEX(Dati!$FB$1:$FB$1000,MATCH($A31,Dati!$A$1:$A$1000,0))&gt;0,Dati!$BZ$3&amp;": "&amp;INDEX(Dati!$BZ$1:$BZ$1000,MATCH($A31,Dati!$A$1:$A$1000,0))&amp;" · ",""))="",IF(INDEX(Dati!$FY$1:$FY$1000,MATCH($A31,Dati!$A$1:$A$1000,0))=1,"AS da recuperare",""),LEFT(IF(INDEX(Dati!$EY$1:$EY$1000,MATCH($A31,Dati!$A$1:$A$1000,0))&gt;0,Dati!$BW$3&amp;": "&amp;INDEX(Dati!$BW$1:$BW$1000,MATCH($A31,Dati!$A$1:$A$1000,0))&amp;" · ","")&amp;IF(INDEX(Dati!$EZ$1:$EZ$1000,MATCH($A31,Dati!$A$1:$A$1000,0))&gt;0,Dati!$BX$3&amp;": "&amp;INDEX(Dati!$BX$1:$BX$1000,MATCH($A31,Dati!$A$1:$A$1000,0))&amp;" · ","")&amp;IF(INDEX(Dati!$FA$1:$FA$1000,MATCH($A31,Dati!$A$1:$A$1000,0))&gt;0,Dati!$BY$3&amp;": "&amp;INDEX(Dati!$BY$1:$BY$1000,MATCH($A31,Dati!$A$1:$A$1000,0))&amp;" · ","")&amp;IF(INDEX(Dati!$FB$1:$FB$1000,MATCH($A31,Dati!$A$1:$A$1000,0))&gt;0,Dati!$BZ$3&amp;": "&amp;INDEX(Dati!$BZ$1:$BZ$1000,MATCH($A31,Dati!$A$1:$A$1000,0))&amp;" · ",""),LEN(IF(INDEX(Dati!$EY$1:$EY$1000,MATCH($A31,Dati!$A$1:$A$1000,0))&gt;0,Dati!$BW$3&amp;": "&amp;INDEX(Dati!$BW$1:$BW$1000,MATCH($A31,Dati!$A$1:$A$1000,0))&amp;" · ","")&amp;IF(INDEX(Dati!$EZ$1:$EZ$1000,MATCH($A31,Dati!$A$1:$A$1000,0))&gt;0,Dati!$BX$3&amp;": "&amp;INDEX(Dati!$BX$1:$BX$1000,MATCH($A31,Dati!$A$1:$A$1000,0))&amp;" · ","")&amp;IF(INDEX(Dati!$FA$1:$FA$1000,MATCH($A31,Dati!$A$1:$A$1000,0))&gt;0,Dati!$BY$3&amp;": "&amp;INDEX(Dati!$BY$1:$BY$1000,MATCH($A31,Dati!$A$1:$A$1000,0))&amp;" · ","")&amp;IF(INDEX(Dati!$FB$1:$FB$1000,MATCH($A31,Dati!$A$1:$A$1000,0))&gt;0,Dati!$BZ$3&amp;": "&amp;INDEX(Dati!$BZ$1:$BZ$1000,MATCH($A31,Dati!$A$1:$A$1000,0))&amp;" · ",""))-3)),""))</f>
        <v/>
      </c>
      <c r="V31" s="55" t="str">
        <f aca="false">IF($B31="","",IFERROR(IF((IF(INDEX(Dati!$FC$1:$FC$1000,MATCH($A31,Dati!$A$1:$A$1000,0))&gt;0,Dati!$CA$3&amp;": "&amp;INDEX(Dati!$CA$1:$CA$1000,MATCH($A31,Dati!$A$1:$A$1000,0))&amp;" · ","")&amp;IF(INDEX(Dati!$FD$1:$FD$1000,MATCH($A31,Dati!$A$1:$A$1000,0))&gt;0,Dati!$CB$3&amp;": "&amp;INDEX(Dati!$CB$1:$CB$1000,MATCH($A31,Dati!$A$1:$A$1000,0))&amp;" · ","")&amp;IF(INDEX(Dati!$FE$1:$FE$1000,MATCH($A31,Dati!$A$1:$A$1000,0))&gt;0,Dati!$CC$3&amp;": "&amp;INDEX(Dati!$CC$1:$CC$1000,MATCH($A31,Dati!$A$1:$A$1000,0))&amp;" · ","")&amp;IF(INDEX(Dati!$FF$1:$FF$1000,MATCH($A31,Dati!$A$1:$A$1000,0))&gt;0,Dati!$CD$3&amp;": "&amp;INDEX(Dati!$CD$1:$CD$1000,MATCH($A31,Dati!$A$1:$A$1000,0))&amp;" · ",""))="",IF(INDEX(Dati!$FZ$1:$FZ$1000,MATCH($A31,Dati!$A$1:$A$1000,0))=1,"AS da recuperare",""),LEFT(IF(INDEX(Dati!$FC$1:$FC$1000,MATCH($A31,Dati!$A$1:$A$1000,0))&gt;0,Dati!$CA$3&amp;": "&amp;INDEX(Dati!$CA$1:$CA$1000,MATCH($A31,Dati!$A$1:$A$1000,0))&amp;" · ","")&amp;IF(INDEX(Dati!$FD$1:$FD$1000,MATCH($A31,Dati!$A$1:$A$1000,0))&gt;0,Dati!$CB$3&amp;": "&amp;INDEX(Dati!$CB$1:$CB$1000,MATCH($A31,Dati!$A$1:$A$1000,0))&amp;" · ","")&amp;IF(INDEX(Dati!$FE$1:$FE$1000,MATCH($A31,Dati!$A$1:$A$1000,0))&gt;0,Dati!$CC$3&amp;": "&amp;INDEX(Dati!$CC$1:$CC$1000,MATCH($A31,Dati!$A$1:$A$1000,0))&amp;" · ","")&amp;IF(INDEX(Dati!$FF$1:$FF$1000,MATCH($A31,Dati!$A$1:$A$1000,0))&gt;0,Dati!$CD$3&amp;": "&amp;INDEX(Dati!$CD$1:$CD$1000,MATCH($A31,Dati!$A$1:$A$1000,0))&amp;" · ",""),LEN(IF(INDEX(Dati!$FC$1:$FC$1000,MATCH($A31,Dati!$A$1:$A$1000,0))&gt;0,Dati!$CA$3&amp;": "&amp;INDEX(Dati!$CA$1:$CA$1000,MATCH($A31,Dati!$A$1:$A$1000,0))&amp;" · ","")&amp;IF(INDEX(Dati!$FD$1:$FD$1000,MATCH($A31,Dati!$A$1:$A$1000,0))&gt;0,Dati!$CB$3&amp;": "&amp;INDEX(Dati!$CB$1:$CB$1000,MATCH($A31,Dati!$A$1:$A$1000,0))&amp;" · ","")&amp;IF(INDEX(Dati!$FE$1:$FE$1000,MATCH($A31,Dati!$A$1:$A$1000,0))&gt;0,Dati!$CC$3&amp;": "&amp;INDEX(Dati!$CC$1:$CC$1000,MATCH($A31,Dati!$A$1:$A$1000,0))&amp;" · ","")&amp;IF(INDEX(Dati!$FF$1:$FF$1000,MATCH($A31,Dati!$A$1:$A$1000,0))&gt;0,Dati!$CD$3&amp;": "&amp;INDEX(Dati!$CD$1:$CD$1000,MATCH($A31,Dati!$A$1:$A$1000,0))&amp;" · ",""))-3)),""))</f>
        <v/>
      </c>
    </row>
    <row r="32" customFormat="false" ht="19.5" hidden="false" customHeight="true" outlineLevel="0" collapsed="false">
      <c r="A32" s="10" t="n">
        <v>28</v>
      </c>
      <c r="B32" s="16" t="str">
        <f aca="false">IFERROR(INDEX(Alunni!$C$1:$C$1000,MATCH($A32,Alunni!$A$1:$A$1000,0))&amp;"","")</f>
        <v/>
      </c>
      <c r="C32" s="55" t="str">
        <f aca="false">IF($B32="","",IFERROR(IF((IF(INDEX(Dati!$CE$1:$CE$1000,MATCH($A32,Dati!$A$1:$A$1000,0))&gt;0,Dati!$C$3&amp;": "&amp;INDEX(Dati!$C$1:$C$1000,MATCH($A32,Dati!$A$1:$A$1000,0))&amp;" · ","")&amp;IF(INDEX(Dati!$CF$1:$CF$1000,MATCH($A32,Dati!$A$1:$A$1000,0))&gt;0,Dati!$D$3&amp;": "&amp;INDEX(Dati!$D$1:$D$1000,MATCH($A32,Dati!$A$1:$A$1000,0))&amp;" · ","")&amp;IF(INDEX(Dati!$CG$1:$CG$1000,MATCH($A32,Dati!$A$1:$A$1000,0))&gt;0,Dati!$E$3&amp;": "&amp;INDEX(Dati!$E$1:$E$1000,MATCH($A32,Dati!$A$1:$A$1000,0))&amp;" · ","")&amp;IF(INDEX(Dati!$CH$1:$CH$1000,MATCH($A32,Dati!$A$1:$A$1000,0))&gt;0,Dati!$F$3&amp;": "&amp;INDEX(Dati!$F$1:$F$1000,MATCH($A32,Dati!$A$1:$A$1000,0))&amp;" · ",""))="",IF(INDEX(Dati!$FG$1:$FG$1000,MATCH($A32,Dati!$A$1:$A$1000,0))=1,"AS da recuperare",""),LEFT(IF(INDEX(Dati!$CE$1:$CE$1000,MATCH($A32,Dati!$A$1:$A$1000,0))&gt;0,Dati!$C$3&amp;": "&amp;INDEX(Dati!$C$1:$C$1000,MATCH($A32,Dati!$A$1:$A$1000,0))&amp;" · ","")&amp;IF(INDEX(Dati!$CF$1:$CF$1000,MATCH($A32,Dati!$A$1:$A$1000,0))&gt;0,Dati!$D$3&amp;": "&amp;INDEX(Dati!$D$1:$D$1000,MATCH($A32,Dati!$A$1:$A$1000,0))&amp;" · ","")&amp;IF(INDEX(Dati!$CG$1:$CG$1000,MATCH($A32,Dati!$A$1:$A$1000,0))&gt;0,Dati!$E$3&amp;": "&amp;INDEX(Dati!$E$1:$E$1000,MATCH($A32,Dati!$A$1:$A$1000,0))&amp;" · ","")&amp;IF(INDEX(Dati!$CH$1:$CH$1000,MATCH($A32,Dati!$A$1:$A$1000,0))&gt;0,Dati!$F$3&amp;": "&amp;INDEX(Dati!$F$1:$F$1000,MATCH($A32,Dati!$A$1:$A$1000,0))&amp;" · ",""),LEN(IF(INDEX(Dati!$CE$1:$CE$1000,MATCH($A32,Dati!$A$1:$A$1000,0))&gt;0,Dati!$C$3&amp;": "&amp;INDEX(Dati!$C$1:$C$1000,MATCH($A32,Dati!$A$1:$A$1000,0))&amp;" · ","")&amp;IF(INDEX(Dati!$CF$1:$CF$1000,MATCH($A32,Dati!$A$1:$A$1000,0))&gt;0,Dati!$D$3&amp;": "&amp;INDEX(Dati!$D$1:$D$1000,MATCH($A32,Dati!$A$1:$A$1000,0))&amp;" · ","")&amp;IF(INDEX(Dati!$CG$1:$CG$1000,MATCH($A32,Dati!$A$1:$A$1000,0))&gt;0,Dati!$E$3&amp;": "&amp;INDEX(Dati!$E$1:$E$1000,MATCH($A32,Dati!$A$1:$A$1000,0))&amp;" · ","")&amp;IF(INDEX(Dati!$CH$1:$CH$1000,MATCH($A32,Dati!$A$1:$A$1000,0))&gt;0,Dati!$F$3&amp;": "&amp;INDEX(Dati!$F$1:$F$1000,MATCH($A32,Dati!$A$1:$A$1000,0))&amp;" · ",""))-3)),""))</f>
        <v/>
      </c>
      <c r="D32" s="55" t="str">
        <f aca="false">IF($B32="","",IFERROR(IF((IF(INDEX(Dati!$CI$1:$CI$1000,MATCH($A32,Dati!$A$1:$A$1000,0))&gt;0,Dati!$G$3&amp;": "&amp;INDEX(Dati!$G$1:$G$1000,MATCH($A32,Dati!$A$1:$A$1000,0))&amp;" · ","")&amp;IF(INDEX(Dati!$CJ$1:$CJ$1000,MATCH($A32,Dati!$A$1:$A$1000,0))&gt;0,Dati!$H$3&amp;": "&amp;INDEX(Dati!$H$1:$H$1000,MATCH($A32,Dati!$A$1:$A$1000,0))&amp;" · ","")&amp;IF(INDEX(Dati!$CK$1:$CK$1000,MATCH($A32,Dati!$A$1:$A$1000,0))&gt;0,Dati!$I$3&amp;": "&amp;INDEX(Dati!$I$1:$I$1000,MATCH($A32,Dati!$A$1:$A$1000,0))&amp;" · ","")&amp;IF(INDEX(Dati!$CL$1:$CL$1000,MATCH($A32,Dati!$A$1:$A$1000,0))&gt;0,Dati!$J$3&amp;": "&amp;INDEX(Dati!$J$1:$J$1000,MATCH($A32,Dati!$A$1:$A$1000,0))&amp;" · ",""))="",IF(INDEX(Dati!$FH$1:$FH$1000,MATCH($A32,Dati!$A$1:$A$1000,0))=1,"AS da recuperare",""),LEFT(IF(INDEX(Dati!$CI$1:$CI$1000,MATCH($A32,Dati!$A$1:$A$1000,0))&gt;0,Dati!$G$3&amp;": "&amp;INDEX(Dati!$G$1:$G$1000,MATCH($A32,Dati!$A$1:$A$1000,0))&amp;" · ","")&amp;IF(INDEX(Dati!$CJ$1:$CJ$1000,MATCH($A32,Dati!$A$1:$A$1000,0))&gt;0,Dati!$H$3&amp;": "&amp;INDEX(Dati!$H$1:$H$1000,MATCH($A32,Dati!$A$1:$A$1000,0))&amp;" · ","")&amp;IF(INDEX(Dati!$CK$1:$CK$1000,MATCH($A32,Dati!$A$1:$A$1000,0))&gt;0,Dati!$I$3&amp;": "&amp;INDEX(Dati!$I$1:$I$1000,MATCH($A32,Dati!$A$1:$A$1000,0))&amp;" · ","")&amp;IF(INDEX(Dati!$CL$1:$CL$1000,MATCH($A32,Dati!$A$1:$A$1000,0))&gt;0,Dati!$J$3&amp;": "&amp;INDEX(Dati!$J$1:$J$1000,MATCH($A32,Dati!$A$1:$A$1000,0))&amp;" · ",""),LEN(IF(INDEX(Dati!$CI$1:$CI$1000,MATCH($A32,Dati!$A$1:$A$1000,0))&gt;0,Dati!$G$3&amp;": "&amp;INDEX(Dati!$G$1:$G$1000,MATCH($A32,Dati!$A$1:$A$1000,0))&amp;" · ","")&amp;IF(INDEX(Dati!$CJ$1:$CJ$1000,MATCH($A32,Dati!$A$1:$A$1000,0))&gt;0,Dati!$H$3&amp;": "&amp;INDEX(Dati!$H$1:$H$1000,MATCH($A32,Dati!$A$1:$A$1000,0))&amp;" · ","")&amp;IF(INDEX(Dati!$CK$1:$CK$1000,MATCH($A32,Dati!$A$1:$A$1000,0))&gt;0,Dati!$I$3&amp;": "&amp;INDEX(Dati!$I$1:$I$1000,MATCH($A32,Dati!$A$1:$A$1000,0))&amp;" · ","")&amp;IF(INDEX(Dati!$CL$1:$CL$1000,MATCH($A32,Dati!$A$1:$A$1000,0))&gt;0,Dati!$J$3&amp;": "&amp;INDEX(Dati!$J$1:$J$1000,MATCH($A32,Dati!$A$1:$A$1000,0))&amp;" · ",""))-3)),""))</f>
        <v/>
      </c>
      <c r="E32" s="55" t="str">
        <f aca="false">IF($B32="","",IFERROR(IF((IF(INDEX(Dati!$CM$1:$CM$1000,MATCH($A32,Dati!$A$1:$A$1000,0))&gt;0,Dati!$K$3&amp;": "&amp;INDEX(Dati!$K$1:$K$1000,MATCH($A32,Dati!$A$1:$A$1000,0))&amp;" · ","")&amp;IF(INDEX(Dati!$CN$1:$CN$1000,MATCH($A32,Dati!$A$1:$A$1000,0))&gt;0,Dati!$L$3&amp;": "&amp;INDEX(Dati!$L$1:$L$1000,MATCH($A32,Dati!$A$1:$A$1000,0))&amp;" · ","")&amp;IF(INDEX(Dati!$CO$1:$CO$1000,MATCH($A32,Dati!$A$1:$A$1000,0))&gt;0,Dati!$M$3&amp;": "&amp;INDEX(Dati!$M$1:$M$1000,MATCH($A32,Dati!$A$1:$A$1000,0))&amp;" · ","")&amp;IF(INDEX(Dati!$CP$1:$CP$1000,MATCH($A32,Dati!$A$1:$A$1000,0))&gt;0,Dati!$N$3&amp;": "&amp;INDEX(Dati!$N$1:$N$1000,MATCH($A32,Dati!$A$1:$A$1000,0))&amp;" · ",""))="",IF(INDEX(Dati!$FI$1:$FI$1000,MATCH($A32,Dati!$A$1:$A$1000,0))=1,"AS da recuperare",""),LEFT(IF(INDEX(Dati!$CM$1:$CM$1000,MATCH($A32,Dati!$A$1:$A$1000,0))&gt;0,Dati!$K$3&amp;": "&amp;INDEX(Dati!$K$1:$K$1000,MATCH($A32,Dati!$A$1:$A$1000,0))&amp;" · ","")&amp;IF(INDEX(Dati!$CN$1:$CN$1000,MATCH($A32,Dati!$A$1:$A$1000,0))&gt;0,Dati!$L$3&amp;": "&amp;INDEX(Dati!$L$1:$L$1000,MATCH($A32,Dati!$A$1:$A$1000,0))&amp;" · ","")&amp;IF(INDEX(Dati!$CO$1:$CO$1000,MATCH($A32,Dati!$A$1:$A$1000,0))&gt;0,Dati!$M$3&amp;": "&amp;INDEX(Dati!$M$1:$M$1000,MATCH($A32,Dati!$A$1:$A$1000,0))&amp;" · ","")&amp;IF(INDEX(Dati!$CP$1:$CP$1000,MATCH($A32,Dati!$A$1:$A$1000,0))&gt;0,Dati!$N$3&amp;": "&amp;INDEX(Dati!$N$1:$N$1000,MATCH($A32,Dati!$A$1:$A$1000,0))&amp;" · ",""),LEN(IF(INDEX(Dati!$CM$1:$CM$1000,MATCH($A32,Dati!$A$1:$A$1000,0))&gt;0,Dati!$K$3&amp;": "&amp;INDEX(Dati!$K$1:$K$1000,MATCH($A32,Dati!$A$1:$A$1000,0))&amp;" · ","")&amp;IF(INDEX(Dati!$CN$1:$CN$1000,MATCH($A32,Dati!$A$1:$A$1000,0))&gt;0,Dati!$L$3&amp;": "&amp;INDEX(Dati!$L$1:$L$1000,MATCH($A32,Dati!$A$1:$A$1000,0))&amp;" · ","")&amp;IF(INDEX(Dati!$CO$1:$CO$1000,MATCH($A32,Dati!$A$1:$A$1000,0))&gt;0,Dati!$M$3&amp;": "&amp;INDEX(Dati!$M$1:$M$1000,MATCH($A32,Dati!$A$1:$A$1000,0))&amp;" · ","")&amp;IF(INDEX(Dati!$CP$1:$CP$1000,MATCH($A32,Dati!$A$1:$A$1000,0))&gt;0,Dati!$N$3&amp;": "&amp;INDEX(Dati!$N$1:$N$1000,MATCH($A32,Dati!$A$1:$A$1000,0))&amp;" · ",""))-3)),""))</f>
        <v/>
      </c>
      <c r="F32" s="55" t="str">
        <f aca="false">IF($B32="","",IFERROR(IF((IF(INDEX(Dati!$CQ$1:$CQ$1000,MATCH($A32,Dati!$A$1:$A$1000,0))&gt;0,Dati!$O$3&amp;": "&amp;INDEX(Dati!$O$1:$O$1000,MATCH($A32,Dati!$A$1:$A$1000,0))&amp;" · ","")&amp;IF(INDEX(Dati!$CR$1:$CR$1000,MATCH($A32,Dati!$A$1:$A$1000,0))&gt;0,Dati!$P$3&amp;": "&amp;INDEX(Dati!$P$1:$P$1000,MATCH($A32,Dati!$A$1:$A$1000,0))&amp;" · ","")&amp;IF(INDEX(Dati!$CS$1:$CS$1000,MATCH($A32,Dati!$A$1:$A$1000,0))&gt;0,Dati!$Q$3&amp;": "&amp;INDEX(Dati!$Q$1:$Q$1000,MATCH($A32,Dati!$A$1:$A$1000,0))&amp;" · ","")&amp;IF(INDEX(Dati!$CT$1:$CT$1000,MATCH($A32,Dati!$A$1:$A$1000,0))&gt;0,Dati!$R$3&amp;": "&amp;INDEX(Dati!$R$1:$R$1000,MATCH($A32,Dati!$A$1:$A$1000,0))&amp;" · ",""))="",IF(INDEX(Dati!$FJ$1:$FJ$1000,MATCH($A32,Dati!$A$1:$A$1000,0))=1,"AS da recuperare",""),LEFT(IF(INDEX(Dati!$CQ$1:$CQ$1000,MATCH($A32,Dati!$A$1:$A$1000,0))&gt;0,Dati!$O$3&amp;": "&amp;INDEX(Dati!$O$1:$O$1000,MATCH($A32,Dati!$A$1:$A$1000,0))&amp;" · ","")&amp;IF(INDEX(Dati!$CR$1:$CR$1000,MATCH($A32,Dati!$A$1:$A$1000,0))&gt;0,Dati!$P$3&amp;": "&amp;INDEX(Dati!$P$1:$P$1000,MATCH($A32,Dati!$A$1:$A$1000,0))&amp;" · ","")&amp;IF(INDEX(Dati!$CS$1:$CS$1000,MATCH($A32,Dati!$A$1:$A$1000,0))&gt;0,Dati!$Q$3&amp;": "&amp;INDEX(Dati!$Q$1:$Q$1000,MATCH($A32,Dati!$A$1:$A$1000,0))&amp;" · ","")&amp;IF(INDEX(Dati!$CT$1:$CT$1000,MATCH($A32,Dati!$A$1:$A$1000,0))&gt;0,Dati!$R$3&amp;": "&amp;INDEX(Dati!$R$1:$R$1000,MATCH($A32,Dati!$A$1:$A$1000,0))&amp;" · ",""),LEN(IF(INDEX(Dati!$CQ$1:$CQ$1000,MATCH($A32,Dati!$A$1:$A$1000,0))&gt;0,Dati!$O$3&amp;": "&amp;INDEX(Dati!$O$1:$O$1000,MATCH($A32,Dati!$A$1:$A$1000,0))&amp;" · ","")&amp;IF(INDEX(Dati!$CR$1:$CR$1000,MATCH($A32,Dati!$A$1:$A$1000,0))&gt;0,Dati!$P$3&amp;": "&amp;INDEX(Dati!$P$1:$P$1000,MATCH($A32,Dati!$A$1:$A$1000,0))&amp;" · ","")&amp;IF(INDEX(Dati!$CS$1:$CS$1000,MATCH($A32,Dati!$A$1:$A$1000,0))&gt;0,Dati!$Q$3&amp;": "&amp;INDEX(Dati!$Q$1:$Q$1000,MATCH($A32,Dati!$A$1:$A$1000,0))&amp;" · ","")&amp;IF(INDEX(Dati!$CT$1:$CT$1000,MATCH($A32,Dati!$A$1:$A$1000,0))&gt;0,Dati!$R$3&amp;": "&amp;INDEX(Dati!$R$1:$R$1000,MATCH($A32,Dati!$A$1:$A$1000,0))&amp;" · ",""))-3)),""))</f>
        <v/>
      </c>
      <c r="G32" s="55" t="str">
        <f aca="false">IF($B32="","",IFERROR(IF((IF(INDEX(Dati!$CU$1:$CU$1000,MATCH($A32,Dati!$A$1:$A$1000,0))&gt;0,Dati!$S$3&amp;": "&amp;INDEX(Dati!$S$1:$S$1000,MATCH($A32,Dati!$A$1:$A$1000,0))&amp;" · ","")&amp;IF(INDEX(Dati!$CV$1:$CV$1000,MATCH($A32,Dati!$A$1:$A$1000,0))&gt;0,Dati!$T$3&amp;": "&amp;INDEX(Dati!$T$1:$T$1000,MATCH($A32,Dati!$A$1:$A$1000,0))&amp;" · ","")&amp;IF(INDEX(Dati!$CW$1:$CW$1000,MATCH($A32,Dati!$A$1:$A$1000,0))&gt;0,Dati!$U$3&amp;": "&amp;INDEX(Dati!$U$1:$U$1000,MATCH($A32,Dati!$A$1:$A$1000,0))&amp;" · ","")&amp;IF(INDEX(Dati!$CX$1:$CX$1000,MATCH($A32,Dati!$A$1:$A$1000,0))&gt;0,Dati!$V$3&amp;": "&amp;INDEX(Dati!$V$1:$V$1000,MATCH($A32,Dati!$A$1:$A$1000,0))&amp;" · ",""))="",IF(INDEX(Dati!$FK$1:$FK$1000,MATCH($A32,Dati!$A$1:$A$1000,0))=1,"AS da recuperare",""),LEFT(IF(INDEX(Dati!$CU$1:$CU$1000,MATCH($A32,Dati!$A$1:$A$1000,0))&gt;0,Dati!$S$3&amp;": "&amp;INDEX(Dati!$S$1:$S$1000,MATCH($A32,Dati!$A$1:$A$1000,0))&amp;" · ","")&amp;IF(INDEX(Dati!$CV$1:$CV$1000,MATCH($A32,Dati!$A$1:$A$1000,0))&gt;0,Dati!$T$3&amp;": "&amp;INDEX(Dati!$T$1:$T$1000,MATCH($A32,Dati!$A$1:$A$1000,0))&amp;" · ","")&amp;IF(INDEX(Dati!$CW$1:$CW$1000,MATCH($A32,Dati!$A$1:$A$1000,0))&gt;0,Dati!$U$3&amp;": "&amp;INDEX(Dati!$U$1:$U$1000,MATCH($A32,Dati!$A$1:$A$1000,0))&amp;" · ","")&amp;IF(INDEX(Dati!$CX$1:$CX$1000,MATCH($A32,Dati!$A$1:$A$1000,0))&gt;0,Dati!$V$3&amp;": "&amp;INDEX(Dati!$V$1:$V$1000,MATCH($A32,Dati!$A$1:$A$1000,0))&amp;" · ",""),LEN(IF(INDEX(Dati!$CU$1:$CU$1000,MATCH($A32,Dati!$A$1:$A$1000,0))&gt;0,Dati!$S$3&amp;": "&amp;INDEX(Dati!$S$1:$S$1000,MATCH($A32,Dati!$A$1:$A$1000,0))&amp;" · ","")&amp;IF(INDEX(Dati!$CV$1:$CV$1000,MATCH($A32,Dati!$A$1:$A$1000,0))&gt;0,Dati!$T$3&amp;": "&amp;INDEX(Dati!$T$1:$T$1000,MATCH($A32,Dati!$A$1:$A$1000,0))&amp;" · ","")&amp;IF(INDEX(Dati!$CW$1:$CW$1000,MATCH($A32,Dati!$A$1:$A$1000,0))&gt;0,Dati!$U$3&amp;": "&amp;INDEX(Dati!$U$1:$U$1000,MATCH($A32,Dati!$A$1:$A$1000,0))&amp;" · ","")&amp;IF(INDEX(Dati!$CX$1:$CX$1000,MATCH($A32,Dati!$A$1:$A$1000,0))&gt;0,Dati!$V$3&amp;": "&amp;INDEX(Dati!$V$1:$V$1000,MATCH($A32,Dati!$A$1:$A$1000,0))&amp;" · ",""))-3)),""))</f>
        <v/>
      </c>
      <c r="H32" s="55" t="str">
        <f aca="false">IF($B32="","",IFERROR(IF((IF(INDEX(Dati!$CY$1:$CY$1000,MATCH($A32,Dati!$A$1:$A$1000,0))&gt;0,Dati!$W$3&amp;": "&amp;INDEX(Dati!$W$1:$W$1000,MATCH($A32,Dati!$A$1:$A$1000,0))&amp;" · ","")&amp;IF(INDEX(Dati!$CZ$1:$CZ$1000,MATCH($A32,Dati!$A$1:$A$1000,0))&gt;0,Dati!$X$3&amp;": "&amp;INDEX(Dati!$X$1:$X$1000,MATCH($A32,Dati!$A$1:$A$1000,0))&amp;" · ","")&amp;IF(INDEX(Dati!$DA$1:$DA$1000,MATCH($A32,Dati!$A$1:$A$1000,0))&gt;0,Dati!$Y$3&amp;": "&amp;INDEX(Dati!$Y$1:$Y$1000,MATCH($A32,Dati!$A$1:$A$1000,0))&amp;" · ","")&amp;IF(INDEX(Dati!$DB$1:$DB$1000,MATCH($A32,Dati!$A$1:$A$1000,0))&gt;0,Dati!$Z$3&amp;": "&amp;INDEX(Dati!$Z$1:$Z$1000,MATCH($A32,Dati!$A$1:$A$1000,0))&amp;" · ",""))="",IF(INDEX(Dati!$FL$1:$FL$1000,MATCH($A32,Dati!$A$1:$A$1000,0))=1,"AS da recuperare",""),LEFT(IF(INDEX(Dati!$CY$1:$CY$1000,MATCH($A32,Dati!$A$1:$A$1000,0))&gt;0,Dati!$W$3&amp;": "&amp;INDEX(Dati!$W$1:$W$1000,MATCH($A32,Dati!$A$1:$A$1000,0))&amp;" · ","")&amp;IF(INDEX(Dati!$CZ$1:$CZ$1000,MATCH($A32,Dati!$A$1:$A$1000,0))&gt;0,Dati!$X$3&amp;": "&amp;INDEX(Dati!$X$1:$X$1000,MATCH($A32,Dati!$A$1:$A$1000,0))&amp;" · ","")&amp;IF(INDEX(Dati!$DA$1:$DA$1000,MATCH($A32,Dati!$A$1:$A$1000,0))&gt;0,Dati!$Y$3&amp;": "&amp;INDEX(Dati!$Y$1:$Y$1000,MATCH($A32,Dati!$A$1:$A$1000,0))&amp;" · ","")&amp;IF(INDEX(Dati!$DB$1:$DB$1000,MATCH($A32,Dati!$A$1:$A$1000,0))&gt;0,Dati!$Z$3&amp;": "&amp;INDEX(Dati!$Z$1:$Z$1000,MATCH($A32,Dati!$A$1:$A$1000,0))&amp;" · ",""),LEN(IF(INDEX(Dati!$CY$1:$CY$1000,MATCH($A32,Dati!$A$1:$A$1000,0))&gt;0,Dati!$W$3&amp;": "&amp;INDEX(Dati!$W$1:$W$1000,MATCH($A32,Dati!$A$1:$A$1000,0))&amp;" · ","")&amp;IF(INDEX(Dati!$CZ$1:$CZ$1000,MATCH($A32,Dati!$A$1:$A$1000,0))&gt;0,Dati!$X$3&amp;": "&amp;INDEX(Dati!$X$1:$X$1000,MATCH($A32,Dati!$A$1:$A$1000,0))&amp;" · ","")&amp;IF(INDEX(Dati!$DA$1:$DA$1000,MATCH($A32,Dati!$A$1:$A$1000,0))&gt;0,Dati!$Y$3&amp;": "&amp;INDEX(Dati!$Y$1:$Y$1000,MATCH($A32,Dati!$A$1:$A$1000,0))&amp;" · ","")&amp;IF(INDEX(Dati!$DB$1:$DB$1000,MATCH($A32,Dati!$A$1:$A$1000,0))&gt;0,Dati!$Z$3&amp;": "&amp;INDEX(Dati!$Z$1:$Z$1000,MATCH($A32,Dati!$A$1:$A$1000,0))&amp;" · ",""))-3)),""))</f>
        <v/>
      </c>
      <c r="I32" s="55" t="str">
        <f aca="false">IF($B32="","",IFERROR(IF((IF(INDEX(Dati!$DC$1:$DC$1000,MATCH($A32,Dati!$A$1:$A$1000,0))&gt;0,Dati!$AA$3&amp;": "&amp;INDEX(Dati!$AA$1:$AA$1000,MATCH($A32,Dati!$A$1:$A$1000,0))&amp;" · ","")&amp;IF(INDEX(Dati!$DD$1:$DD$1000,MATCH($A32,Dati!$A$1:$A$1000,0))&gt;0,Dati!$AB$3&amp;": "&amp;INDEX(Dati!$AB$1:$AB$1000,MATCH($A32,Dati!$A$1:$A$1000,0))&amp;" · ","")&amp;IF(INDEX(Dati!$DE$1:$DE$1000,MATCH($A32,Dati!$A$1:$A$1000,0))&gt;0,Dati!$AC$3&amp;": "&amp;INDEX(Dati!$AC$1:$AC$1000,MATCH($A32,Dati!$A$1:$A$1000,0))&amp;" · ","")&amp;IF(INDEX(Dati!$DF$1:$DF$1000,MATCH($A32,Dati!$A$1:$A$1000,0))&gt;0,Dati!$AD$3&amp;": "&amp;INDEX(Dati!$AD$1:$AD$1000,MATCH($A32,Dati!$A$1:$A$1000,0))&amp;" · ",""))="",IF(INDEX(Dati!$FM$1:$FM$1000,MATCH($A32,Dati!$A$1:$A$1000,0))=1,"AS da recuperare",""),LEFT(IF(INDEX(Dati!$DC$1:$DC$1000,MATCH($A32,Dati!$A$1:$A$1000,0))&gt;0,Dati!$AA$3&amp;": "&amp;INDEX(Dati!$AA$1:$AA$1000,MATCH($A32,Dati!$A$1:$A$1000,0))&amp;" · ","")&amp;IF(INDEX(Dati!$DD$1:$DD$1000,MATCH($A32,Dati!$A$1:$A$1000,0))&gt;0,Dati!$AB$3&amp;": "&amp;INDEX(Dati!$AB$1:$AB$1000,MATCH($A32,Dati!$A$1:$A$1000,0))&amp;" · ","")&amp;IF(INDEX(Dati!$DE$1:$DE$1000,MATCH($A32,Dati!$A$1:$A$1000,0))&gt;0,Dati!$AC$3&amp;": "&amp;INDEX(Dati!$AC$1:$AC$1000,MATCH($A32,Dati!$A$1:$A$1000,0))&amp;" · ","")&amp;IF(INDEX(Dati!$DF$1:$DF$1000,MATCH($A32,Dati!$A$1:$A$1000,0))&gt;0,Dati!$AD$3&amp;": "&amp;INDEX(Dati!$AD$1:$AD$1000,MATCH($A32,Dati!$A$1:$A$1000,0))&amp;" · ",""),LEN(IF(INDEX(Dati!$DC$1:$DC$1000,MATCH($A32,Dati!$A$1:$A$1000,0))&gt;0,Dati!$AA$3&amp;": "&amp;INDEX(Dati!$AA$1:$AA$1000,MATCH($A32,Dati!$A$1:$A$1000,0))&amp;" · ","")&amp;IF(INDEX(Dati!$DD$1:$DD$1000,MATCH($A32,Dati!$A$1:$A$1000,0))&gt;0,Dati!$AB$3&amp;": "&amp;INDEX(Dati!$AB$1:$AB$1000,MATCH($A32,Dati!$A$1:$A$1000,0))&amp;" · ","")&amp;IF(INDEX(Dati!$DE$1:$DE$1000,MATCH($A32,Dati!$A$1:$A$1000,0))&gt;0,Dati!$AC$3&amp;": "&amp;INDEX(Dati!$AC$1:$AC$1000,MATCH($A32,Dati!$A$1:$A$1000,0))&amp;" · ","")&amp;IF(INDEX(Dati!$DF$1:$DF$1000,MATCH($A32,Dati!$A$1:$A$1000,0))&gt;0,Dati!$AD$3&amp;": "&amp;INDEX(Dati!$AD$1:$AD$1000,MATCH($A32,Dati!$A$1:$A$1000,0))&amp;" · ",""))-3)),""))</f>
        <v/>
      </c>
      <c r="J32" s="55" t="str">
        <f aca="false">IF($B32="","",IFERROR(IF((IF(INDEX(Dati!$DG$1:$DG$1000,MATCH($A32,Dati!$A$1:$A$1000,0))&gt;0,Dati!$AE$3&amp;": "&amp;INDEX(Dati!$AE$1:$AE$1000,MATCH($A32,Dati!$A$1:$A$1000,0))&amp;" · ","")&amp;IF(INDEX(Dati!$DH$1:$DH$1000,MATCH($A32,Dati!$A$1:$A$1000,0))&gt;0,Dati!$AF$3&amp;": "&amp;INDEX(Dati!$AF$1:$AF$1000,MATCH($A32,Dati!$A$1:$A$1000,0))&amp;" · ","")&amp;IF(INDEX(Dati!$DI$1:$DI$1000,MATCH($A32,Dati!$A$1:$A$1000,0))&gt;0,Dati!$AG$3&amp;": "&amp;INDEX(Dati!$AG$1:$AG$1000,MATCH($A32,Dati!$A$1:$A$1000,0))&amp;" · ","")&amp;IF(INDEX(Dati!$DJ$1:$DJ$1000,MATCH($A32,Dati!$A$1:$A$1000,0))&gt;0,Dati!$AH$3&amp;": "&amp;INDEX(Dati!$AH$1:$AH$1000,MATCH($A32,Dati!$A$1:$A$1000,0))&amp;" · ",""))="",IF(INDEX(Dati!$FN$1:$FN$1000,MATCH($A32,Dati!$A$1:$A$1000,0))=1,"AS da recuperare",""),LEFT(IF(INDEX(Dati!$DG$1:$DG$1000,MATCH($A32,Dati!$A$1:$A$1000,0))&gt;0,Dati!$AE$3&amp;": "&amp;INDEX(Dati!$AE$1:$AE$1000,MATCH($A32,Dati!$A$1:$A$1000,0))&amp;" · ","")&amp;IF(INDEX(Dati!$DH$1:$DH$1000,MATCH($A32,Dati!$A$1:$A$1000,0))&gt;0,Dati!$AF$3&amp;": "&amp;INDEX(Dati!$AF$1:$AF$1000,MATCH($A32,Dati!$A$1:$A$1000,0))&amp;" · ","")&amp;IF(INDEX(Dati!$DI$1:$DI$1000,MATCH($A32,Dati!$A$1:$A$1000,0))&gt;0,Dati!$AG$3&amp;": "&amp;INDEX(Dati!$AG$1:$AG$1000,MATCH($A32,Dati!$A$1:$A$1000,0))&amp;" · ","")&amp;IF(INDEX(Dati!$DJ$1:$DJ$1000,MATCH($A32,Dati!$A$1:$A$1000,0))&gt;0,Dati!$AH$3&amp;": "&amp;INDEX(Dati!$AH$1:$AH$1000,MATCH($A32,Dati!$A$1:$A$1000,0))&amp;" · ",""),LEN(IF(INDEX(Dati!$DG$1:$DG$1000,MATCH($A32,Dati!$A$1:$A$1000,0))&gt;0,Dati!$AE$3&amp;": "&amp;INDEX(Dati!$AE$1:$AE$1000,MATCH($A32,Dati!$A$1:$A$1000,0))&amp;" · ","")&amp;IF(INDEX(Dati!$DH$1:$DH$1000,MATCH($A32,Dati!$A$1:$A$1000,0))&gt;0,Dati!$AF$3&amp;": "&amp;INDEX(Dati!$AF$1:$AF$1000,MATCH($A32,Dati!$A$1:$A$1000,0))&amp;" · ","")&amp;IF(INDEX(Dati!$DI$1:$DI$1000,MATCH($A32,Dati!$A$1:$A$1000,0))&gt;0,Dati!$AG$3&amp;": "&amp;INDEX(Dati!$AG$1:$AG$1000,MATCH($A32,Dati!$A$1:$A$1000,0))&amp;" · ","")&amp;IF(INDEX(Dati!$DJ$1:$DJ$1000,MATCH($A32,Dati!$A$1:$A$1000,0))&gt;0,Dati!$AH$3&amp;": "&amp;INDEX(Dati!$AH$1:$AH$1000,MATCH($A32,Dati!$A$1:$A$1000,0))&amp;" · ",""))-3)),""))</f>
        <v/>
      </c>
      <c r="K32" s="55" t="str">
        <f aca="false">IF($B32="","",IFERROR(IF((IF(INDEX(Dati!$DK$1:$DK$1000,MATCH($A32,Dati!$A$1:$A$1000,0))&gt;0,Dati!$AI$3&amp;": "&amp;INDEX(Dati!$AI$1:$AI$1000,MATCH($A32,Dati!$A$1:$A$1000,0))&amp;" · ","")&amp;IF(INDEX(Dati!$DL$1:$DL$1000,MATCH($A32,Dati!$A$1:$A$1000,0))&gt;0,Dati!$AJ$3&amp;": "&amp;INDEX(Dati!$AJ$1:$AJ$1000,MATCH($A32,Dati!$A$1:$A$1000,0))&amp;" · ","")&amp;IF(INDEX(Dati!$DM$1:$DM$1000,MATCH($A32,Dati!$A$1:$A$1000,0))&gt;0,Dati!$AK$3&amp;": "&amp;INDEX(Dati!$AK$1:$AK$1000,MATCH($A32,Dati!$A$1:$A$1000,0))&amp;" · ","")&amp;IF(INDEX(Dati!$DN$1:$DN$1000,MATCH($A32,Dati!$A$1:$A$1000,0))&gt;0,Dati!$AL$3&amp;": "&amp;INDEX(Dati!$AL$1:$AL$1000,MATCH($A32,Dati!$A$1:$A$1000,0))&amp;" · ",""))="",IF(INDEX(Dati!$FO$1:$FO$1000,MATCH($A32,Dati!$A$1:$A$1000,0))=1,"AS da recuperare",""),LEFT(IF(INDEX(Dati!$DK$1:$DK$1000,MATCH($A32,Dati!$A$1:$A$1000,0))&gt;0,Dati!$AI$3&amp;": "&amp;INDEX(Dati!$AI$1:$AI$1000,MATCH($A32,Dati!$A$1:$A$1000,0))&amp;" · ","")&amp;IF(INDEX(Dati!$DL$1:$DL$1000,MATCH($A32,Dati!$A$1:$A$1000,0))&gt;0,Dati!$AJ$3&amp;": "&amp;INDEX(Dati!$AJ$1:$AJ$1000,MATCH($A32,Dati!$A$1:$A$1000,0))&amp;" · ","")&amp;IF(INDEX(Dati!$DM$1:$DM$1000,MATCH($A32,Dati!$A$1:$A$1000,0))&gt;0,Dati!$AK$3&amp;": "&amp;INDEX(Dati!$AK$1:$AK$1000,MATCH($A32,Dati!$A$1:$A$1000,0))&amp;" · ","")&amp;IF(INDEX(Dati!$DN$1:$DN$1000,MATCH($A32,Dati!$A$1:$A$1000,0))&gt;0,Dati!$AL$3&amp;": "&amp;INDEX(Dati!$AL$1:$AL$1000,MATCH($A32,Dati!$A$1:$A$1000,0))&amp;" · ",""),LEN(IF(INDEX(Dati!$DK$1:$DK$1000,MATCH($A32,Dati!$A$1:$A$1000,0))&gt;0,Dati!$AI$3&amp;": "&amp;INDEX(Dati!$AI$1:$AI$1000,MATCH($A32,Dati!$A$1:$A$1000,0))&amp;" · ","")&amp;IF(INDEX(Dati!$DL$1:$DL$1000,MATCH($A32,Dati!$A$1:$A$1000,0))&gt;0,Dati!$AJ$3&amp;": "&amp;INDEX(Dati!$AJ$1:$AJ$1000,MATCH($A32,Dati!$A$1:$A$1000,0))&amp;" · ","")&amp;IF(INDEX(Dati!$DM$1:$DM$1000,MATCH($A32,Dati!$A$1:$A$1000,0))&gt;0,Dati!$AK$3&amp;": "&amp;INDEX(Dati!$AK$1:$AK$1000,MATCH($A32,Dati!$A$1:$A$1000,0))&amp;" · ","")&amp;IF(INDEX(Dati!$DN$1:$DN$1000,MATCH($A32,Dati!$A$1:$A$1000,0))&gt;0,Dati!$AL$3&amp;": "&amp;INDEX(Dati!$AL$1:$AL$1000,MATCH($A32,Dati!$A$1:$A$1000,0))&amp;" · ",""))-3)),""))</f>
        <v/>
      </c>
      <c r="L32" s="55" t="str">
        <f aca="false">IF($B32="","",IFERROR(IF((IF(INDEX(Dati!$DO$1:$DO$1000,MATCH($A32,Dati!$A$1:$A$1000,0))&gt;0,Dati!$AM$3&amp;": "&amp;INDEX(Dati!$AM$1:$AM$1000,MATCH($A32,Dati!$A$1:$A$1000,0))&amp;" · ","")&amp;IF(INDEX(Dati!$DP$1:$DP$1000,MATCH($A32,Dati!$A$1:$A$1000,0))&gt;0,Dati!$AN$3&amp;": "&amp;INDEX(Dati!$AN$1:$AN$1000,MATCH($A32,Dati!$A$1:$A$1000,0))&amp;" · ","")&amp;IF(INDEX(Dati!$DQ$1:$DQ$1000,MATCH($A32,Dati!$A$1:$A$1000,0))&gt;0,Dati!$AO$3&amp;": "&amp;INDEX(Dati!$AO$1:$AO$1000,MATCH($A32,Dati!$A$1:$A$1000,0))&amp;" · ","")&amp;IF(INDEX(Dati!$DR$1:$DR$1000,MATCH($A32,Dati!$A$1:$A$1000,0))&gt;0,Dati!$AP$3&amp;": "&amp;INDEX(Dati!$AP$1:$AP$1000,MATCH($A32,Dati!$A$1:$A$1000,0))&amp;" · ",""))="",IF(INDEX(Dati!$FP$1:$FP$1000,MATCH($A32,Dati!$A$1:$A$1000,0))=1,"AS da recuperare",""),LEFT(IF(INDEX(Dati!$DO$1:$DO$1000,MATCH($A32,Dati!$A$1:$A$1000,0))&gt;0,Dati!$AM$3&amp;": "&amp;INDEX(Dati!$AM$1:$AM$1000,MATCH($A32,Dati!$A$1:$A$1000,0))&amp;" · ","")&amp;IF(INDEX(Dati!$DP$1:$DP$1000,MATCH($A32,Dati!$A$1:$A$1000,0))&gt;0,Dati!$AN$3&amp;": "&amp;INDEX(Dati!$AN$1:$AN$1000,MATCH($A32,Dati!$A$1:$A$1000,0))&amp;" · ","")&amp;IF(INDEX(Dati!$DQ$1:$DQ$1000,MATCH($A32,Dati!$A$1:$A$1000,0))&gt;0,Dati!$AO$3&amp;": "&amp;INDEX(Dati!$AO$1:$AO$1000,MATCH($A32,Dati!$A$1:$A$1000,0))&amp;" · ","")&amp;IF(INDEX(Dati!$DR$1:$DR$1000,MATCH($A32,Dati!$A$1:$A$1000,0))&gt;0,Dati!$AP$3&amp;": "&amp;INDEX(Dati!$AP$1:$AP$1000,MATCH($A32,Dati!$A$1:$A$1000,0))&amp;" · ",""),LEN(IF(INDEX(Dati!$DO$1:$DO$1000,MATCH($A32,Dati!$A$1:$A$1000,0))&gt;0,Dati!$AM$3&amp;": "&amp;INDEX(Dati!$AM$1:$AM$1000,MATCH($A32,Dati!$A$1:$A$1000,0))&amp;" · ","")&amp;IF(INDEX(Dati!$DP$1:$DP$1000,MATCH($A32,Dati!$A$1:$A$1000,0))&gt;0,Dati!$AN$3&amp;": "&amp;INDEX(Dati!$AN$1:$AN$1000,MATCH($A32,Dati!$A$1:$A$1000,0))&amp;" · ","")&amp;IF(INDEX(Dati!$DQ$1:$DQ$1000,MATCH($A32,Dati!$A$1:$A$1000,0))&gt;0,Dati!$AO$3&amp;": "&amp;INDEX(Dati!$AO$1:$AO$1000,MATCH($A32,Dati!$A$1:$A$1000,0))&amp;" · ","")&amp;IF(INDEX(Dati!$DR$1:$DR$1000,MATCH($A32,Dati!$A$1:$A$1000,0))&gt;0,Dati!$AP$3&amp;": "&amp;INDEX(Dati!$AP$1:$AP$1000,MATCH($A32,Dati!$A$1:$A$1000,0))&amp;" · ",""))-3)),""))</f>
        <v/>
      </c>
      <c r="M32" s="55" t="str">
        <f aca="false">IF($B32="","",IFERROR(IF((IF(INDEX(Dati!$DS$1:$DS$1000,MATCH($A32,Dati!$A$1:$A$1000,0))&gt;0,Dati!$AQ$3&amp;": "&amp;INDEX(Dati!$AQ$1:$AQ$1000,MATCH($A32,Dati!$A$1:$A$1000,0))&amp;" · ","")&amp;IF(INDEX(Dati!$DT$1:$DT$1000,MATCH($A32,Dati!$A$1:$A$1000,0))&gt;0,Dati!$AR$3&amp;": "&amp;INDEX(Dati!$AR$1:$AR$1000,MATCH($A32,Dati!$A$1:$A$1000,0))&amp;" · ","")&amp;IF(INDEX(Dati!$DU$1:$DU$1000,MATCH($A32,Dati!$A$1:$A$1000,0))&gt;0,Dati!$AS$3&amp;": "&amp;INDEX(Dati!$AS$1:$AS$1000,MATCH($A32,Dati!$A$1:$A$1000,0))&amp;" · ","")&amp;IF(INDEX(Dati!$DV$1:$DV$1000,MATCH($A32,Dati!$A$1:$A$1000,0))&gt;0,Dati!$AT$3&amp;": "&amp;INDEX(Dati!$AT$1:$AT$1000,MATCH($A32,Dati!$A$1:$A$1000,0))&amp;" · ",""))="",IF(INDEX(Dati!$FQ$1:$FQ$1000,MATCH($A32,Dati!$A$1:$A$1000,0))=1,"AS da recuperare",""),LEFT(IF(INDEX(Dati!$DS$1:$DS$1000,MATCH($A32,Dati!$A$1:$A$1000,0))&gt;0,Dati!$AQ$3&amp;": "&amp;INDEX(Dati!$AQ$1:$AQ$1000,MATCH($A32,Dati!$A$1:$A$1000,0))&amp;" · ","")&amp;IF(INDEX(Dati!$DT$1:$DT$1000,MATCH($A32,Dati!$A$1:$A$1000,0))&gt;0,Dati!$AR$3&amp;": "&amp;INDEX(Dati!$AR$1:$AR$1000,MATCH($A32,Dati!$A$1:$A$1000,0))&amp;" · ","")&amp;IF(INDEX(Dati!$DU$1:$DU$1000,MATCH($A32,Dati!$A$1:$A$1000,0))&gt;0,Dati!$AS$3&amp;": "&amp;INDEX(Dati!$AS$1:$AS$1000,MATCH($A32,Dati!$A$1:$A$1000,0))&amp;" · ","")&amp;IF(INDEX(Dati!$DV$1:$DV$1000,MATCH($A32,Dati!$A$1:$A$1000,0))&gt;0,Dati!$AT$3&amp;": "&amp;INDEX(Dati!$AT$1:$AT$1000,MATCH($A32,Dati!$A$1:$A$1000,0))&amp;" · ",""),LEN(IF(INDEX(Dati!$DS$1:$DS$1000,MATCH($A32,Dati!$A$1:$A$1000,0))&gt;0,Dati!$AQ$3&amp;": "&amp;INDEX(Dati!$AQ$1:$AQ$1000,MATCH($A32,Dati!$A$1:$A$1000,0))&amp;" · ","")&amp;IF(INDEX(Dati!$DT$1:$DT$1000,MATCH($A32,Dati!$A$1:$A$1000,0))&gt;0,Dati!$AR$3&amp;": "&amp;INDEX(Dati!$AR$1:$AR$1000,MATCH($A32,Dati!$A$1:$A$1000,0))&amp;" · ","")&amp;IF(INDEX(Dati!$DU$1:$DU$1000,MATCH($A32,Dati!$A$1:$A$1000,0))&gt;0,Dati!$AS$3&amp;": "&amp;INDEX(Dati!$AS$1:$AS$1000,MATCH($A32,Dati!$A$1:$A$1000,0))&amp;" · ","")&amp;IF(INDEX(Dati!$DV$1:$DV$1000,MATCH($A32,Dati!$A$1:$A$1000,0))&gt;0,Dati!$AT$3&amp;": "&amp;INDEX(Dati!$AT$1:$AT$1000,MATCH($A32,Dati!$A$1:$A$1000,0))&amp;" · ",""))-3)),""))</f>
        <v/>
      </c>
      <c r="N32" s="55" t="str">
        <f aca="false">IF($B32="","",IFERROR(IF((IF(INDEX(Dati!$DW$1:$DW$1000,MATCH($A32,Dati!$A$1:$A$1000,0))&gt;0,Dati!$AU$3&amp;": "&amp;INDEX(Dati!$AU$1:$AU$1000,MATCH($A32,Dati!$A$1:$A$1000,0))&amp;" · ","")&amp;IF(INDEX(Dati!$DX$1:$DX$1000,MATCH($A32,Dati!$A$1:$A$1000,0))&gt;0,Dati!$AV$3&amp;": "&amp;INDEX(Dati!$AV$1:$AV$1000,MATCH($A32,Dati!$A$1:$A$1000,0))&amp;" · ","")&amp;IF(INDEX(Dati!$DY$1:$DY$1000,MATCH($A32,Dati!$A$1:$A$1000,0))&gt;0,Dati!$AW$3&amp;": "&amp;INDEX(Dati!$AW$1:$AW$1000,MATCH($A32,Dati!$A$1:$A$1000,0))&amp;" · ","")&amp;IF(INDEX(Dati!$DZ$1:$DZ$1000,MATCH($A32,Dati!$A$1:$A$1000,0))&gt;0,Dati!$AX$3&amp;": "&amp;INDEX(Dati!$AX$1:$AX$1000,MATCH($A32,Dati!$A$1:$A$1000,0))&amp;" · ",""))="",IF(INDEX(Dati!$FR$1:$FR$1000,MATCH($A32,Dati!$A$1:$A$1000,0))=1,"AS da recuperare",""),LEFT(IF(INDEX(Dati!$DW$1:$DW$1000,MATCH($A32,Dati!$A$1:$A$1000,0))&gt;0,Dati!$AU$3&amp;": "&amp;INDEX(Dati!$AU$1:$AU$1000,MATCH($A32,Dati!$A$1:$A$1000,0))&amp;" · ","")&amp;IF(INDEX(Dati!$DX$1:$DX$1000,MATCH($A32,Dati!$A$1:$A$1000,0))&gt;0,Dati!$AV$3&amp;": "&amp;INDEX(Dati!$AV$1:$AV$1000,MATCH($A32,Dati!$A$1:$A$1000,0))&amp;" · ","")&amp;IF(INDEX(Dati!$DY$1:$DY$1000,MATCH($A32,Dati!$A$1:$A$1000,0))&gt;0,Dati!$AW$3&amp;": "&amp;INDEX(Dati!$AW$1:$AW$1000,MATCH($A32,Dati!$A$1:$A$1000,0))&amp;" · ","")&amp;IF(INDEX(Dati!$DZ$1:$DZ$1000,MATCH($A32,Dati!$A$1:$A$1000,0))&gt;0,Dati!$AX$3&amp;": "&amp;INDEX(Dati!$AX$1:$AX$1000,MATCH($A32,Dati!$A$1:$A$1000,0))&amp;" · ",""),LEN(IF(INDEX(Dati!$DW$1:$DW$1000,MATCH($A32,Dati!$A$1:$A$1000,0))&gt;0,Dati!$AU$3&amp;": "&amp;INDEX(Dati!$AU$1:$AU$1000,MATCH($A32,Dati!$A$1:$A$1000,0))&amp;" · ","")&amp;IF(INDEX(Dati!$DX$1:$DX$1000,MATCH($A32,Dati!$A$1:$A$1000,0))&gt;0,Dati!$AV$3&amp;": "&amp;INDEX(Dati!$AV$1:$AV$1000,MATCH($A32,Dati!$A$1:$A$1000,0))&amp;" · ","")&amp;IF(INDEX(Dati!$DY$1:$DY$1000,MATCH($A32,Dati!$A$1:$A$1000,0))&gt;0,Dati!$AW$3&amp;": "&amp;INDEX(Dati!$AW$1:$AW$1000,MATCH($A32,Dati!$A$1:$A$1000,0))&amp;" · ","")&amp;IF(INDEX(Dati!$DZ$1:$DZ$1000,MATCH($A32,Dati!$A$1:$A$1000,0))&gt;0,Dati!$AX$3&amp;": "&amp;INDEX(Dati!$AX$1:$AX$1000,MATCH($A32,Dati!$A$1:$A$1000,0))&amp;" · ",""))-3)),""))</f>
        <v/>
      </c>
      <c r="O32" s="55" t="str">
        <f aca="false">IF($B32="","",IFERROR(IF((IF(INDEX(Dati!$EA$1:$EA$1000,MATCH($A32,Dati!$A$1:$A$1000,0))&gt;0,Dati!$AY$3&amp;": "&amp;INDEX(Dati!$AY$1:$AY$1000,MATCH($A32,Dati!$A$1:$A$1000,0))&amp;" · ","")&amp;IF(INDEX(Dati!$EB$1:$EB$1000,MATCH($A32,Dati!$A$1:$A$1000,0))&gt;0,Dati!$AZ$3&amp;": "&amp;INDEX(Dati!$AZ$1:$AZ$1000,MATCH($A32,Dati!$A$1:$A$1000,0))&amp;" · ","")&amp;IF(INDEX(Dati!$EC$1:$EC$1000,MATCH($A32,Dati!$A$1:$A$1000,0))&gt;0,Dati!$BA$3&amp;": "&amp;INDEX(Dati!$BA$1:$BA$1000,MATCH($A32,Dati!$A$1:$A$1000,0))&amp;" · ","")&amp;IF(INDEX(Dati!$ED$1:$ED$1000,MATCH($A32,Dati!$A$1:$A$1000,0))&gt;0,Dati!$BB$3&amp;": "&amp;INDEX(Dati!$BB$1:$BB$1000,MATCH($A32,Dati!$A$1:$A$1000,0))&amp;" · ",""))="",IF(INDEX(Dati!$FS$1:$FS$1000,MATCH($A32,Dati!$A$1:$A$1000,0))=1,"AS da recuperare",""),LEFT(IF(INDEX(Dati!$EA$1:$EA$1000,MATCH($A32,Dati!$A$1:$A$1000,0))&gt;0,Dati!$AY$3&amp;": "&amp;INDEX(Dati!$AY$1:$AY$1000,MATCH($A32,Dati!$A$1:$A$1000,0))&amp;" · ","")&amp;IF(INDEX(Dati!$EB$1:$EB$1000,MATCH($A32,Dati!$A$1:$A$1000,0))&gt;0,Dati!$AZ$3&amp;": "&amp;INDEX(Dati!$AZ$1:$AZ$1000,MATCH($A32,Dati!$A$1:$A$1000,0))&amp;" · ","")&amp;IF(INDEX(Dati!$EC$1:$EC$1000,MATCH($A32,Dati!$A$1:$A$1000,0))&gt;0,Dati!$BA$3&amp;": "&amp;INDEX(Dati!$BA$1:$BA$1000,MATCH($A32,Dati!$A$1:$A$1000,0))&amp;" · ","")&amp;IF(INDEX(Dati!$ED$1:$ED$1000,MATCH($A32,Dati!$A$1:$A$1000,0))&gt;0,Dati!$BB$3&amp;": "&amp;INDEX(Dati!$BB$1:$BB$1000,MATCH($A32,Dati!$A$1:$A$1000,0))&amp;" · ",""),LEN(IF(INDEX(Dati!$EA$1:$EA$1000,MATCH($A32,Dati!$A$1:$A$1000,0))&gt;0,Dati!$AY$3&amp;": "&amp;INDEX(Dati!$AY$1:$AY$1000,MATCH($A32,Dati!$A$1:$A$1000,0))&amp;" · ","")&amp;IF(INDEX(Dati!$EB$1:$EB$1000,MATCH($A32,Dati!$A$1:$A$1000,0))&gt;0,Dati!$AZ$3&amp;": "&amp;INDEX(Dati!$AZ$1:$AZ$1000,MATCH($A32,Dati!$A$1:$A$1000,0))&amp;" · ","")&amp;IF(INDEX(Dati!$EC$1:$EC$1000,MATCH($A32,Dati!$A$1:$A$1000,0))&gt;0,Dati!$BA$3&amp;": "&amp;INDEX(Dati!$BA$1:$BA$1000,MATCH($A32,Dati!$A$1:$A$1000,0))&amp;" · ","")&amp;IF(INDEX(Dati!$ED$1:$ED$1000,MATCH($A32,Dati!$A$1:$A$1000,0))&gt;0,Dati!$BB$3&amp;": "&amp;INDEX(Dati!$BB$1:$BB$1000,MATCH($A32,Dati!$A$1:$A$1000,0))&amp;" · ",""))-3)),""))</f>
        <v/>
      </c>
      <c r="P32" s="55" t="str">
        <f aca="false">IF($B32="","",IFERROR(IF((IF(INDEX(Dati!$EE$1:$EE$1000,MATCH($A32,Dati!$A$1:$A$1000,0))&gt;0,Dati!$BC$3&amp;": "&amp;INDEX(Dati!$BC$1:$BC$1000,MATCH($A32,Dati!$A$1:$A$1000,0))&amp;" · ","")&amp;IF(INDEX(Dati!$EF$1:$EF$1000,MATCH($A32,Dati!$A$1:$A$1000,0))&gt;0,Dati!$BD$3&amp;": "&amp;INDEX(Dati!$BD$1:$BD$1000,MATCH($A32,Dati!$A$1:$A$1000,0))&amp;" · ","")&amp;IF(INDEX(Dati!$EG$1:$EG$1000,MATCH($A32,Dati!$A$1:$A$1000,0))&gt;0,Dati!$BE$3&amp;": "&amp;INDEX(Dati!$BE$1:$BE$1000,MATCH($A32,Dati!$A$1:$A$1000,0))&amp;" · ","")&amp;IF(INDEX(Dati!$EH$1:$EH$1000,MATCH($A32,Dati!$A$1:$A$1000,0))&gt;0,Dati!$BF$3&amp;": "&amp;INDEX(Dati!$BF$1:$BF$1000,MATCH($A32,Dati!$A$1:$A$1000,0))&amp;" · ",""))="",IF(INDEX(Dati!$FT$1:$FT$1000,MATCH($A32,Dati!$A$1:$A$1000,0))=1,"AS da recuperare",""),LEFT(IF(INDEX(Dati!$EE$1:$EE$1000,MATCH($A32,Dati!$A$1:$A$1000,0))&gt;0,Dati!$BC$3&amp;": "&amp;INDEX(Dati!$BC$1:$BC$1000,MATCH($A32,Dati!$A$1:$A$1000,0))&amp;" · ","")&amp;IF(INDEX(Dati!$EF$1:$EF$1000,MATCH($A32,Dati!$A$1:$A$1000,0))&gt;0,Dati!$BD$3&amp;": "&amp;INDEX(Dati!$BD$1:$BD$1000,MATCH($A32,Dati!$A$1:$A$1000,0))&amp;" · ","")&amp;IF(INDEX(Dati!$EG$1:$EG$1000,MATCH($A32,Dati!$A$1:$A$1000,0))&gt;0,Dati!$BE$3&amp;": "&amp;INDEX(Dati!$BE$1:$BE$1000,MATCH($A32,Dati!$A$1:$A$1000,0))&amp;" · ","")&amp;IF(INDEX(Dati!$EH$1:$EH$1000,MATCH($A32,Dati!$A$1:$A$1000,0))&gt;0,Dati!$BF$3&amp;": "&amp;INDEX(Dati!$BF$1:$BF$1000,MATCH($A32,Dati!$A$1:$A$1000,0))&amp;" · ",""),LEN(IF(INDEX(Dati!$EE$1:$EE$1000,MATCH($A32,Dati!$A$1:$A$1000,0))&gt;0,Dati!$BC$3&amp;": "&amp;INDEX(Dati!$BC$1:$BC$1000,MATCH($A32,Dati!$A$1:$A$1000,0))&amp;" · ","")&amp;IF(INDEX(Dati!$EF$1:$EF$1000,MATCH($A32,Dati!$A$1:$A$1000,0))&gt;0,Dati!$BD$3&amp;": "&amp;INDEX(Dati!$BD$1:$BD$1000,MATCH($A32,Dati!$A$1:$A$1000,0))&amp;" · ","")&amp;IF(INDEX(Dati!$EG$1:$EG$1000,MATCH($A32,Dati!$A$1:$A$1000,0))&gt;0,Dati!$BE$3&amp;": "&amp;INDEX(Dati!$BE$1:$BE$1000,MATCH($A32,Dati!$A$1:$A$1000,0))&amp;" · ","")&amp;IF(INDEX(Dati!$EH$1:$EH$1000,MATCH($A32,Dati!$A$1:$A$1000,0))&gt;0,Dati!$BF$3&amp;": "&amp;INDEX(Dati!$BF$1:$BF$1000,MATCH($A32,Dati!$A$1:$A$1000,0))&amp;" · ",""))-3)),""))</f>
        <v/>
      </c>
      <c r="Q32" s="55" t="str">
        <f aca="false">IF($B32="","",IFERROR(IF((IF(INDEX(Dati!$EI$1:$EI$1000,MATCH($A32,Dati!$A$1:$A$1000,0))&gt;0,Dati!$BG$3&amp;": "&amp;INDEX(Dati!$BG$1:$BG$1000,MATCH($A32,Dati!$A$1:$A$1000,0))&amp;" · ","")&amp;IF(INDEX(Dati!$EJ$1:$EJ$1000,MATCH($A32,Dati!$A$1:$A$1000,0))&gt;0,Dati!$BH$3&amp;": "&amp;INDEX(Dati!$BH$1:$BH$1000,MATCH($A32,Dati!$A$1:$A$1000,0))&amp;" · ","")&amp;IF(INDEX(Dati!$EK$1:$EK$1000,MATCH($A32,Dati!$A$1:$A$1000,0))&gt;0,Dati!$BI$3&amp;": "&amp;INDEX(Dati!$BI$1:$BI$1000,MATCH($A32,Dati!$A$1:$A$1000,0))&amp;" · ","")&amp;IF(INDEX(Dati!$EL$1:$EL$1000,MATCH($A32,Dati!$A$1:$A$1000,0))&gt;0,Dati!$BJ$3&amp;": "&amp;INDEX(Dati!$BJ$1:$BJ$1000,MATCH($A32,Dati!$A$1:$A$1000,0))&amp;" · ",""))="",IF(INDEX(Dati!$FU$1:$FU$1000,MATCH($A32,Dati!$A$1:$A$1000,0))=1,"AS da recuperare",""),LEFT(IF(INDEX(Dati!$EI$1:$EI$1000,MATCH($A32,Dati!$A$1:$A$1000,0))&gt;0,Dati!$BG$3&amp;": "&amp;INDEX(Dati!$BG$1:$BG$1000,MATCH($A32,Dati!$A$1:$A$1000,0))&amp;" · ","")&amp;IF(INDEX(Dati!$EJ$1:$EJ$1000,MATCH($A32,Dati!$A$1:$A$1000,0))&gt;0,Dati!$BH$3&amp;": "&amp;INDEX(Dati!$BH$1:$BH$1000,MATCH($A32,Dati!$A$1:$A$1000,0))&amp;" · ","")&amp;IF(INDEX(Dati!$EK$1:$EK$1000,MATCH($A32,Dati!$A$1:$A$1000,0))&gt;0,Dati!$BI$3&amp;": "&amp;INDEX(Dati!$BI$1:$BI$1000,MATCH($A32,Dati!$A$1:$A$1000,0))&amp;" · ","")&amp;IF(INDEX(Dati!$EL$1:$EL$1000,MATCH($A32,Dati!$A$1:$A$1000,0))&gt;0,Dati!$BJ$3&amp;": "&amp;INDEX(Dati!$BJ$1:$BJ$1000,MATCH($A32,Dati!$A$1:$A$1000,0))&amp;" · ",""),LEN(IF(INDEX(Dati!$EI$1:$EI$1000,MATCH($A32,Dati!$A$1:$A$1000,0))&gt;0,Dati!$BG$3&amp;": "&amp;INDEX(Dati!$BG$1:$BG$1000,MATCH($A32,Dati!$A$1:$A$1000,0))&amp;" · ","")&amp;IF(INDEX(Dati!$EJ$1:$EJ$1000,MATCH($A32,Dati!$A$1:$A$1000,0))&gt;0,Dati!$BH$3&amp;": "&amp;INDEX(Dati!$BH$1:$BH$1000,MATCH($A32,Dati!$A$1:$A$1000,0))&amp;" · ","")&amp;IF(INDEX(Dati!$EK$1:$EK$1000,MATCH($A32,Dati!$A$1:$A$1000,0))&gt;0,Dati!$BI$3&amp;": "&amp;INDEX(Dati!$BI$1:$BI$1000,MATCH($A32,Dati!$A$1:$A$1000,0))&amp;" · ","")&amp;IF(INDEX(Dati!$EL$1:$EL$1000,MATCH($A32,Dati!$A$1:$A$1000,0))&gt;0,Dati!$BJ$3&amp;": "&amp;INDEX(Dati!$BJ$1:$BJ$1000,MATCH($A32,Dati!$A$1:$A$1000,0))&amp;" · ",""))-3)),""))</f>
        <v/>
      </c>
      <c r="R32" s="55" t="str">
        <f aca="false">IF($B32="","",IFERROR(IF((IF(INDEX(Dati!$EM$1:$EM$1000,MATCH($A32,Dati!$A$1:$A$1000,0))&gt;0,Dati!$BK$3&amp;": "&amp;INDEX(Dati!$BK$1:$BK$1000,MATCH($A32,Dati!$A$1:$A$1000,0))&amp;" · ","")&amp;IF(INDEX(Dati!$EN$1:$EN$1000,MATCH($A32,Dati!$A$1:$A$1000,0))&gt;0,Dati!$BL$3&amp;": "&amp;INDEX(Dati!$BL$1:$BL$1000,MATCH($A32,Dati!$A$1:$A$1000,0))&amp;" · ","")&amp;IF(INDEX(Dati!$EO$1:$EO$1000,MATCH($A32,Dati!$A$1:$A$1000,0))&gt;0,Dati!$BM$3&amp;": "&amp;INDEX(Dati!$BM$1:$BM$1000,MATCH($A32,Dati!$A$1:$A$1000,0))&amp;" · ","")&amp;IF(INDEX(Dati!$EP$1:$EP$1000,MATCH($A32,Dati!$A$1:$A$1000,0))&gt;0,Dati!$BN$3&amp;": "&amp;INDEX(Dati!$BN$1:$BN$1000,MATCH($A32,Dati!$A$1:$A$1000,0))&amp;" · ",""))="",IF(INDEX(Dati!$FV$1:$FV$1000,MATCH($A32,Dati!$A$1:$A$1000,0))=1,"AS da recuperare",""),LEFT(IF(INDEX(Dati!$EM$1:$EM$1000,MATCH($A32,Dati!$A$1:$A$1000,0))&gt;0,Dati!$BK$3&amp;": "&amp;INDEX(Dati!$BK$1:$BK$1000,MATCH($A32,Dati!$A$1:$A$1000,0))&amp;" · ","")&amp;IF(INDEX(Dati!$EN$1:$EN$1000,MATCH($A32,Dati!$A$1:$A$1000,0))&gt;0,Dati!$BL$3&amp;": "&amp;INDEX(Dati!$BL$1:$BL$1000,MATCH($A32,Dati!$A$1:$A$1000,0))&amp;" · ","")&amp;IF(INDEX(Dati!$EO$1:$EO$1000,MATCH($A32,Dati!$A$1:$A$1000,0))&gt;0,Dati!$BM$3&amp;": "&amp;INDEX(Dati!$BM$1:$BM$1000,MATCH($A32,Dati!$A$1:$A$1000,0))&amp;" · ","")&amp;IF(INDEX(Dati!$EP$1:$EP$1000,MATCH($A32,Dati!$A$1:$A$1000,0))&gt;0,Dati!$BN$3&amp;": "&amp;INDEX(Dati!$BN$1:$BN$1000,MATCH($A32,Dati!$A$1:$A$1000,0))&amp;" · ",""),LEN(IF(INDEX(Dati!$EM$1:$EM$1000,MATCH($A32,Dati!$A$1:$A$1000,0))&gt;0,Dati!$BK$3&amp;": "&amp;INDEX(Dati!$BK$1:$BK$1000,MATCH($A32,Dati!$A$1:$A$1000,0))&amp;" · ","")&amp;IF(INDEX(Dati!$EN$1:$EN$1000,MATCH($A32,Dati!$A$1:$A$1000,0))&gt;0,Dati!$BL$3&amp;": "&amp;INDEX(Dati!$BL$1:$BL$1000,MATCH($A32,Dati!$A$1:$A$1000,0))&amp;" · ","")&amp;IF(INDEX(Dati!$EO$1:$EO$1000,MATCH($A32,Dati!$A$1:$A$1000,0))&gt;0,Dati!$BM$3&amp;": "&amp;INDEX(Dati!$BM$1:$BM$1000,MATCH($A32,Dati!$A$1:$A$1000,0))&amp;" · ","")&amp;IF(INDEX(Dati!$EP$1:$EP$1000,MATCH($A32,Dati!$A$1:$A$1000,0))&gt;0,Dati!$BN$3&amp;": "&amp;INDEX(Dati!$BN$1:$BN$1000,MATCH($A32,Dati!$A$1:$A$1000,0))&amp;" · ",""))-3)),""))</f>
        <v/>
      </c>
      <c r="S32" s="55" t="str">
        <f aca="false">IF($B32="","",IFERROR(IF((IF(INDEX(Dati!$EQ$1:$EQ$1000,MATCH($A32,Dati!$A$1:$A$1000,0))&gt;0,Dati!$BO$3&amp;": "&amp;INDEX(Dati!$BO$1:$BO$1000,MATCH($A32,Dati!$A$1:$A$1000,0))&amp;" · ","")&amp;IF(INDEX(Dati!$ER$1:$ER$1000,MATCH($A32,Dati!$A$1:$A$1000,0))&gt;0,Dati!$BP$3&amp;": "&amp;INDEX(Dati!$BP$1:$BP$1000,MATCH($A32,Dati!$A$1:$A$1000,0))&amp;" · ","")&amp;IF(INDEX(Dati!$ES$1:$ES$1000,MATCH($A32,Dati!$A$1:$A$1000,0))&gt;0,Dati!$BQ$3&amp;": "&amp;INDEX(Dati!$BQ$1:$BQ$1000,MATCH($A32,Dati!$A$1:$A$1000,0))&amp;" · ","")&amp;IF(INDEX(Dati!$ET$1:$ET$1000,MATCH($A32,Dati!$A$1:$A$1000,0))&gt;0,Dati!$BR$3&amp;": "&amp;INDEX(Dati!$BR$1:$BR$1000,MATCH($A32,Dati!$A$1:$A$1000,0))&amp;" · ",""))="",IF(INDEX(Dati!$FW$1:$FW$1000,MATCH($A32,Dati!$A$1:$A$1000,0))=1,"AS da recuperare",""),LEFT(IF(INDEX(Dati!$EQ$1:$EQ$1000,MATCH($A32,Dati!$A$1:$A$1000,0))&gt;0,Dati!$BO$3&amp;": "&amp;INDEX(Dati!$BO$1:$BO$1000,MATCH($A32,Dati!$A$1:$A$1000,0))&amp;" · ","")&amp;IF(INDEX(Dati!$ER$1:$ER$1000,MATCH($A32,Dati!$A$1:$A$1000,0))&gt;0,Dati!$BP$3&amp;": "&amp;INDEX(Dati!$BP$1:$BP$1000,MATCH($A32,Dati!$A$1:$A$1000,0))&amp;" · ","")&amp;IF(INDEX(Dati!$ES$1:$ES$1000,MATCH($A32,Dati!$A$1:$A$1000,0))&gt;0,Dati!$BQ$3&amp;": "&amp;INDEX(Dati!$BQ$1:$BQ$1000,MATCH($A32,Dati!$A$1:$A$1000,0))&amp;" · ","")&amp;IF(INDEX(Dati!$ET$1:$ET$1000,MATCH($A32,Dati!$A$1:$A$1000,0))&gt;0,Dati!$BR$3&amp;": "&amp;INDEX(Dati!$BR$1:$BR$1000,MATCH($A32,Dati!$A$1:$A$1000,0))&amp;" · ",""),LEN(IF(INDEX(Dati!$EQ$1:$EQ$1000,MATCH($A32,Dati!$A$1:$A$1000,0))&gt;0,Dati!$BO$3&amp;": "&amp;INDEX(Dati!$BO$1:$BO$1000,MATCH($A32,Dati!$A$1:$A$1000,0))&amp;" · ","")&amp;IF(INDEX(Dati!$ER$1:$ER$1000,MATCH($A32,Dati!$A$1:$A$1000,0))&gt;0,Dati!$BP$3&amp;": "&amp;INDEX(Dati!$BP$1:$BP$1000,MATCH($A32,Dati!$A$1:$A$1000,0))&amp;" · ","")&amp;IF(INDEX(Dati!$ES$1:$ES$1000,MATCH($A32,Dati!$A$1:$A$1000,0))&gt;0,Dati!$BQ$3&amp;": "&amp;INDEX(Dati!$BQ$1:$BQ$1000,MATCH($A32,Dati!$A$1:$A$1000,0))&amp;" · ","")&amp;IF(INDEX(Dati!$ET$1:$ET$1000,MATCH($A32,Dati!$A$1:$A$1000,0))&gt;0,Dati!$BR$3&amp;": "&amp;INDEX(Dati!$BR$1:$BR$1000,MATCH($A32,Dati!$A$1:$A$1000,0))&amp;" · ",""))-3)),""))</f>
        <v/>
      </c>
      <c r="T32" s="55" t="str">
        <f aca="false">IF($B32="","",IFERROR(IF((IF(INDEX(Dati!$EU$1:$EU$1000,MATCH($A32,Dati!$A$1:$A$1000,0))&gt;0,Dati!$BS$3&amp;": "&amp;INDEX(Dati!$BS$1:$BS$1000,MATCH($A32,Dati!$A$1:$A$1000,0))&amp;" · ","")&amp;IF(INDEX(Dati!$EV$1:$EV$1000,MATCH($A32,Dati!$A$1:$A$1000,0))&gt;0,Dati!$BT$3&amp;": "&amp;INDEX(Dati!$BT$1:$BT$1000,MATCH($A32,Dati!$A$1:$A$1000,0))&amp;" · ","")&amp;IF(INDEX(Dati!$EW$1:$EW$1000,MATCH($A32,Dati!$A$1:$A$1000,0))&gt;0,Dati!$BU$3&amp;": "&amp;INDEX(Dati!$BU$1:$BU$1000,MATCH($A32,Dati!$A$1:$A$1000,0))&amp;" · ","")&amp;IF(INDEX(Dati!$EX$1:$EX$1000,MATCH($A32,Dati!$A$1:$A$1000,0))&gt;0,Dati!$BV$3&amp;": "&amp;INDEX(Dati!$BV$1:$BV$1000,MATCH($A32,Dati!$A$1:$A$1000,0))&amp;" · ",""))="",IF(INDEX(Dati!$FX$1:$FX$1000,MATCH($A32,Dati!$A$1:$A$1000,0))=1,"AS da recuperare",""),LEFT(IF(INDEX(Dati!$EU$1:$EU$1000,MATCH($A32,Dati!$A$1:$A$1000,0))&gt;0,Dati!$BS$3&amp;": "&amp;INDEX(Dati!$BS$1:$BS$1000,MATCH($A32,Dati!$A$1:$A$1000,0))&amp;" · ","")&amp;IF(INDEX(Dati!$EV$1:$EV$1000,MATCH($A32,Dati!$A$1:$A$1000,0))&gt;0,Dati!$BT$3&amp;": "&amp;INDEX(Dati!$BT$1:$BT$1000,MATCH($A32,Dati!$A$1:$A$1000,0))&amp;" · ","")&amp;IF(INDEX(Dati!$EW$1:$EW$1000,MATCH($A32,Dati!$A$1:$A$1000,0))&gt;0,Dati!$BU$3&amp;": "&amp;INDEX(Dati!$BU$1:$BU$1000,MATCH($A32,Dati!$A$1:$A$1000,0))&amp;" · ","")&amp;IF(INDEX(Dati!$EX$1:$EX$1000,MATCH($A32,Dati!$A$1:$A$1000,0))&gt;0,Dati!$BV$3&amp;": "&amp;INDEX(Dati!$BV$1:$BV$1000,MATCH($A32,Dati!$A$1:$A$1000,0))&amp;" · ",""),LEN(IF(INDEX(Dati!$EU$1:$EU$1000,MATCH($A32,Dati!$A$1:$A$1000,0))&gt;0,Dati!$BS$3&amp;": "&amp;INDEX(Dati!$BS$1:$BS$1000,MATCH($A32,Dati!$A$1:$A$1000,0))&amp;" · ","")&amp;IF(INDEX(Dati!$EV$1:$EV$1000,MATCH($A32,Dati!$A$1:$A$1000,0))&gt;0,Dati!$BT$3&amp;": "&amp;INDEX(Dati!$BT$1:$BT$1000,MATCH($A32,Dati!$A$1:$A$1000,0))&amp;" · ","")&amp;IF(INDEX(Dati!$EW$1:$EW$1000,MATCH($A32,Dati!$A$1:$A$1000,0))&gt;0,Dati!$BU$3&amp;": "&amp;INDEX(Dati!$BU$1:$BU$1000,MATCH($A32,Dati!$A$1:$A$1000,0))&amp;" · ","")&amp;IF(INDEX(Dati!$EX$1:$EX$1000,MATCH($A32,Dati!$A$1:$A$1000,0))&gt;0,Dati!$BV$3&amp;": "&amp;INDEX(Dati!$BV$1:$BV$1000,MATCH($A32,Dati!$A$1:$A$1000,0))&amp;" · ",""))-3)),""))</f>
        <v/>
      </c>
      <c r="U32" s="55" t="str">
        <f aca="false">IF($B32="","",IFERROR(IF((IF(INDEX(Dati!$EY$1:$EY$1000,MATCH($A32,Dati!$A$1:$A$1000,0))&gt;0,Dati!$BW$3&amp;": "&amp;INDEX(Dati!$BW$1:$BW$1000,MATCH($A32,Dati!$A$1:$A$1000,0))&amp;" · ","")&amp;IF(INDEX(Dati!$EZ$1:$EZ$1000,MATCH($A32,Dati!$A$1:$A$1000,0))&gt;0,Dati!$BX$3&amp;": "&amp;INDEX(Dati!$BX$1:$BX$1000,MATCH($A32,Dati!$A$1:$A$1000,0))&amp;" · ","")&amp;IF(INDEX(Dati!$FA$1:$FA$1000,MATCH($A32,Dati!$A$1:$A$1000,0))&gt;0,Dati!$BY$3&amp;": "&amp;INDEX(Dati!$BY$1:$BY$1000,MATCH($A32,Dati!$A$1:$A$1000,0))&amp;" · ","")&amp;IF(INDEX(Dati!$FB$1:$FB$1000,MATCH($A32,Dati!$A$1:$A$1000,0))&gt;0,Dati!$BZ$3&amp;": "&amp;INDEX(Dati!$BZ$1:$BZ$1000,MATCH($A32,Dati!$A$1:$A$1000,0))&amp;" · ",""))="",IF(INDEX(Dati!$FY$1:$FY$1000,MATCH($A32,Dati!$A$1:$A$1000,0))=1,"AS da recuperare",""),LEFT(IF(INDEX(Dati!$EY$1:$EY$1000,MATCH($A32,Dati!$A$1:$A$1000,0))&gt;0,Dati!$BW$3&amp;": "&amp;INDEX(Dati!$BW$1:$BW$1000,MATCH($A32,Dati!$A$1:$A$1000,0))&amp;" · ","")&amp;IF(INDEX(Dati!$EZ$1:$EZ$1000,MATCH($A32,Dati!$A$1:$A$1000,0))&gt;0,Dati!$BX$3&amp;": "&amp;INDEX(Dati!$BX$1:$BX$1000,MATCH($A32,Dati!$A$1:$A$1000,0))&amp;" · ","")&amp;IF(INDEX(Dati!$FA$1:$FA$1000,MATCH($A32,Dati!$A$1:$A$1000,0))&gt;0,Dati!$BY$3&amp;": "&amp;INDEX(Dati!$BY$1:$BY$1000,MATCH($A32,Dati!$A$1:$A$1000,0))&amp;" · ","")&amp;IF(INDEX(Dati!$FB$1:$FB$1000,MATCH($A32,Dati!$A$1:$A$1000,0))&gt;0,Dati!$BZ$3&amp;": "&amp;INDEX(Dati!$BZ$1:$BZ$1000,MATCH($A32,Dati!$A$1:$A$1000,0))&amp;" · ",""),LEN(IF(INDEX(Dati!$EY$1:$EY$1000,MATCH($A32,Dati!$A$1:$A$1000,0))&gt;0,Dati!$BW$3&amp;": "&amp;INDEX(Dati!$BW$1:$BW$1000,MATCH($A32,Dati!$A$1:$A$1000,0))&amp;" · ","")&amp;IF(INDEX(Dati!$EZ$1:$EZ$1000,MATCH($A32,Dati!$A$1:$A$1000,0))&gt;0,Dati!$BX$3&amp;": "&amp;INDEX(Dati!$BX$1:$BX$1000,MATCH($A32,Dati!$A$1:$A$1000,0))&amp;" · ","")&amp;IF(INDEX(Dati!$FA$1:$FA$1000,MATCH($A32,Dati!$A$1:$A$1000,0))&gt;0,Dati!$BY$3&amp;": "&amp;INDEX(Dati!$BY$1:$BY$1000,MATCH($A32,Dati!$A$1:$A$1000,0))&amp;" · ","")&amp;IF(INDEX(Dati!$FB$1:$FB$1000,MATCH($A32,Dati!$A$1:$A$1000,0))&gt;0,Dati!$BZ$3&amp;": "&amp;INDEX(Dati!$BZ$1:$BZ$1000,MATCH($A32,Dati!$A$1:$A$1000,0))&amp;" · ",""))-3)),""))</f>
        <v/>
      </c>
      <c r="V32" s="55" t="str">
        <f aca="false">IF($B32="","",IFERROR(IF((IF(INDEX(Dati!$FC$1:$FC$1000,MATCH($A32,Dati!$A$1:$A$1000,0))&gt;0,Dati!$CA$3&amp;": "&amp;INDEX(Dati!$CA$1:$CA$1000,MATCH($A32,Dati!$A$1:$A$1000,0))&amp;" · ","")&amp;IF(INDEX(Dati!$FD$1:$FD$1000,MATCH($A32,Dati!$A$1:$A$1000,0))&gt;0,Dati!$CB$3&amp;": "&amp;INDEX(Dati!$CB$1:$CB$1000,MATCH($A32,Dati!$A$1:$A$1000,0))&amp;" · ","")&amp;IF(INDEX(Dati!$FE$1:$FE$1000,MATCH($A32,Dati!$A$1:$A$1000,0))&gt;0,Dati!$CC$3&amp;": "&amp;INDEX(Dati!$CC$1:$CC$1000,MATCH($A32,Dati!$A$1:$A$1000,0))&amp;" · ","")&amp;IF(INDEX(Dati!$FF$1:$FF$1000,MATCH($A32,Dati!$A$1:$A$1000,0))&gt;0,Dati!$CD$3&amp;": "&amp;INDEX(Dati!$CD$1:$CD$1000,MATCH($A32,Dati!$A$1:$A$1000,0))&amp;" · ",""))="",IF(INDEX(Dati!$FZ$1:$FZ$1000,MATCH($A32,Dati!$A$1:$A$1000,0))=1,"AS da recuperare",""),LEFT(IF(INDEX(Dati!$FC$1:$FC$1000,MATCH($A32,Dati!$A$1:$A$1000,0))&gt;0,Dati!$CA$3&amp;": "&amp;INDEX(Dati!$CA$1:$CA$1000,MATCH($A32,Dati!$A$1:$A$1000,0))&amp;" · ","")&amp;IF(INDEX(Dati!$FD$1:$FD$1000,MATCH($A32,Dati!$A$1:$A$1000,0))&gt;0,Dati!$CB$3&amp;": "&amp;INDEX(Dati!$CB$1:$CB$1000,MATCH($A32,Dati!$A$1:$A$1000,0))&amp;" · ","")&amp;IF(INDEX(Dati!$FE$1:$FE$1000,MATCH($A32,Dati!$A$1:$A$1000,0))&gt;0,Dati!$CC$3&amp;": "&amp;INDEX(Dati!$CC$1:$CC$1000,MATCH($A32,Dati!$A$1:$A$1000,0))&amp;" · ","")&amp;IF(INDEX(Dati!$FF$1:$FF$1000,MATCH($A32,Dati!$A$1:$A$1000,0))&gt;0,Dati!$CD$3&amp;": "&amp;INDEX(Dati!$CD$1:$CD$1000,MATCH($A32,Dati!$A$1:$A$1000,0))&amp;" · ",""),LEN(IF(INDEX(Dati!$FC$1:$FC$1000,MATCH($A32,Dati!$A$1:$A$1000,0))&gt;0,Dati!$CA$3&amp;": "&amp;INDEX(Dati!$CA$1:$CA$1000,MATCH($A32,Dati!$A$1:$A$1000,0))&amp;" · ","")&amp;IF(INDEX(Dati!$FD$1:$FD$1000,MATCH($A32,Dati!$A$1:$A$1000,0))&gt;0,Dati!$CB$3&amp;": "&amp;INDEX(Dati!$CB$1:$CB$1000,MATCH($A32,Dati!$A$1:$A$1000,0))&amp;" · ","")&amp;IF(INDEX(Dati!$FE$1:$FE$1000,MATCH($A32,Dati!$A$1:$A$1000,0))&gt;0,Dati!$CC$3&amp;": "&amp;INDEX(Dati!$CC$1:$CC$1000,MATCH($A32,Dati!$A$1:$A$1000,0))&amp;" · ","")&amp;IF(INDEX(Dati!$FF$1:$FF$1000,MATCH($A32,Dati!$A$1:$A$1000,0))&gt;0,Dati!$CD$3&amp;": "&amp;INDEX(Dati!$CD$1:$CD$1000,MATCH($A32,Dati!$A$1:$A$1000,0))&amp;" · ",""))-3)),""))</f>
        <v/>
      </c>
    </row>
    <row r="33" customFormat="false" ht="19.5" hidden="false" customHeight="true" outlineLevel="0" collapsed="false">
      <c r="A33" s="10" t="n">
        <v>29</v>
      </c>
      <c r="B33" s="16" t="str">
        <f aca="false">IFERROR(INDEX(Alunni!$C$1:$C$1000,MATCH($A33,Alunni!$A$1:$A$1000,0))&amp;"","")</f>
        <v/>
      </c>
      <c r="C33" s="55" t="str">
        <f aca="false">IF($B33="","",IFERROR(IF((IF(INDEX(Dati!$CE$1:$CE$1000,MATCH($A33,Dati!$A$1:$A$1000,0))&gt;0,Dati!$C$3&amp;": "&amp;INDEX(Dati!$C$1:$C$1000,MATCH($A33,Dati!$A$1:$A$1000,0))&amp;" · ","")&amp;IF(INDEX(Dati!$CF$1:$CF$1000,MATCH($A33,Dati!$A$1:$A$1000,0))&gt;0,Dati!$D$3&amp;": "&amp;INDEX(Dati!$D$1:$D$1000,MATCH($A33,Dati!$A$1:$A$1000,0))&amp;" · ","")&amp;IF(INDEX(Dati!$CG$1:$CG$1000,MATCH($A33,Dati!$A$1:$A$1000,0))&gt;0,Dati!$E$3&amp;": "&amp;INDEX(Dati!$E$1:$E$1000,MATCH($A33,Dati!$A$1:$A$1000,0))&amp;" · ","")&amp;IF(INDEX(Dati!$CH$1:$CH$1000,MATCH($A33,Dati!$A$1:$A$1000,0))&gt;0,Dati!$F$3&amp;": "&amp;INDEX(Dati!$F$1:$F$1000,MATCH($A33,Dati!$A$1:$A$1000,0))&amp;" · ",""))="",IF(INDEX(Dati!$FG$1:$FG$1000,MATCH($A33,Dati!$A$1:$A$1000,0))=1,"AS da recuperare",""),LEFT(IF(INDEX(Dati!$CE$1:$CE$1000,MATCH($A33,Dati!$A$1:$A$1000,0))&gt;0,Dati!$C$3&amp;": "&amp;INDEX(Dati!$C$1:$C$1000,MATCH($A33,Dati!$A$1:$A$1000,0))&amp;" · ","")&amp;IF(INDEX(Dati!$CF$1:$CF$1000,MATCH($A33,Dati!$A$1:$A$1000,0))&gt;0,Dati!$D$3&amp;": "&amp;INDEX(Dati!$D$1:$D$1000,MATCH($A33,Dati!$A$1:$A$1000,0))&amp;" · ","")&amp;IF(INDEX(Dati!$CG$1:$CG$1000,MATCH($A33,Dati!$A$1:$A$1000,0))&gt;0,Dati!$E$3&amp;": "&amp;INDEX(Dati!$E$1:$E$1000,MATCH($A33,Dati!$A$1:$A$1000,0))&amp;" · ","")&amp;IF(INDEX(Dati!$CH$1:$CH$1000,MATCH($A33,Dati!$A$1:$A$1000,0))&gt;0,Dati!$F$3&amp;": "&amp;INDEX(Dati!$F$1:$F$1000,MATCH($A33,Dati!$A$1:$A$1000,0))&amp;" · ",""),LEN(IF(INDEX(Dati!$CE$1:$CE$1000,MATCH($A33,Dati!$A$1:$A$1000,0))&gt;0,Dati!$C$3&amp;": "&amp;INDEX(Dati!$C$1:$C$1000,MATCH($A33,Dati!$A$1:$A$1000,0))&amp;" · ","")&amp;IF(INDEX(Dati!$CF$1:$CF$1000,MATCH($A33,Dati!$A$1:$A$1000,0))&gt;0,Dati!$D$3&amp;": "&amp;INDEX(Dati!$D$1:$D$1000,MATCH($A33,Dati!$A$1:$A$1000,0))&amp;" · ","")&amp;IF(INDEX(Dati!$CG$1:$CG$1000,MATCH($A33,Dati!$A$1:$A$1000,0))&gt;0,Dati!$E$3&amp;": "&amp;INDEX(Dati!$E$1:$E$1000,MATCH($A33,Dati!$A$1:$A$1000,0))&amp;" · ","")&amp;IF(INDEX(Dati!$CH$1:$CH$1000,MATCH($A33,Dati!$A$1:$A$1000,0))&gt;0,Dati!$F$3&amp;": "&amp;INDEX(Dati!$F$1:$F$1000,MATCH($A33,Dati!$A$1:$A$1000,0))&amp;" · ",""))-3)),""))</f>
        <v/>
      </c>
      <c r="D33" s="55" t="str">
        <f aca="false">IF($B33="","",IFERROR(IF((IF(INDEX(Dati!$CI$1:$CI$1000,MATCH($A33,Dati!$A$1:$A$1000,0))&gt;0,Dati!$G$3&amp;": "&amp;INDEX(Dati!$G$1:$G$1000,MATCH($A33,Dati!$A$1:$A$1000,0))&amp;" · ","")&amp;IF(INDEX(Dati!$CJ$1:$CJ$1000,MATCH($A33,Dati!$A$1:$A$1000,0))&gt;0,Dati!$H$3&amp;": "&amp;INDEX(Dati!$H$1:$H$1000,MATCH($A33,Dati!$A$1:$A$1000,0))&amp;" · ","")&amp;IF(INDEX(Dati!$CK$1:$CK$1000,MATCH($A33,Dati!$A$1:$A$1000,0))&gt;0,Dati!$I$3&amp;": "&amp;INDEX(Dati!$I$1:$I$1000,MATCH($A33,Dati!$A$1:$A$1000,0))&amp;" · ","")&amp;IF(INDEX(Dati!$CL$1:$CL$1000,MATCH($A33,Dati!$A$1:$A$1000,0))&gt;0,Dati!$J$3&amp;": "&amp;INDEX(Dati!$J$1:$J$1000,MATCH($A33,Dati!$A$1:$A$1000,0))&amp;" · ",""))="",IF(INDEX(Dati!$FH$1:$FH$1000,MATCH($A33,Dati!$A$1:$A$1000,0))=1,"AS da recuperare",""),LEFT(IF(INDEX(Dati!$CI$1:$CI$1000,MATCH($A33,Dati!$A$1:$A$1000,0))&gt;0,Dati!$G$3&amp;": "&amp;INDEX(Dati!$G$1:$G$1000,MATCH($A33,Dati!$A$1:$A$1000,0))&amp;" · ","")&amp;IF(INDEX(Dati!$CJ$1:$CJ$1000,MATCH($A33,Dati!$A$1:$A$1000,0))&gt;0,Dati!$H$3&amp;": "&amp;INDEX(Dati!$H$1:$H$1000,MATCH($A33,Dati!$A$1:$A$1000,0))&amp;" · ","")&amp;IF(INDEX(Dati!$CK$1:$CK$1000,MATCH($A33,Dati!$A$1:$A$1000,0))&gt;0,Dati!$I$3&amp;": "&amp;INDEX(Dati!$I$1:$I$1000,MATCH($A33,Dati!$A$1:$A$1000,0))&amp;" · ","")&amp;IF(INDEX(Dati!$CL$1:$CL$1000,MATCH($A33,Dati!$A$1:$A$1000,0))&gt;0,Dati!$J$3&amp;": "&amp;INDEX(Dati!$J$1:$J$1000,MATCH($A33,Dati!$A$1:$A$1000,0))&amp;" · ",""),LEN(IF(INDEX(Dati!$CI$1:$CI$1000,MATCH($A33,Dati!$A$1:$A$1000,0))&gt;0,Dati!$G$3&amp;": "&amp;INDEX(Dati!$G$1:$G$1000,MATCH($A33,Dati!$A$1:$A$1000,0))&amp;" · ","")&amp;IF(INDEX(Dati!$CJ$1:$CJ$1000,MATCH($A33,Dati!$A$1:$A$1000,0))&gt;0,Dati!$H$3&amp;": "&amp;INDEX(Dati!$H$1:$H$1000,MATCH($A33,Dati!$A$1:$A$1000,0))&amp;" · ","")&amp;IF(INDEX(Dati!$CK$1:$CK$1000,MATCH($A33,Dati!$A$1:$A$1000,0))&gt;0,Dati!$I$3&amp;": "&amp;INDEX(Dati!$I$1:$I$1000,MATCH($A33,Dati!$A$1:$A$1000,0))&amp;" · ","")&amp;IF(INDEX(Dati!$CL$1:$CL$1000,MATCH($A33,Dati!$A$1:$A$1000,0))&gt;0,Dati!$J$3&amp;": "&amp;INDEX(Dati!$J$1:$J$1000,MATCH($A33,Dati!$A$1:$A$1000,0))&amp;" · ",""))-3)),""))</f>
        <v/>
      </c>
      <c r="E33" s="55" t="str">
        <f aca="false">IF($B33="","",IFERROR(IF((IF(INDEX(Dati!$CM$1:$CM$1000,MATCH($A33,Dati!$A$1:$A$1000,0))&gt;0,Dati!$K$3&amp;": "&amp;INDEX(Dati!$K$1:$K$1000,MATCH($A33,Dati!$A$1:$A$1000,0))&amp;" · ","")&amp;IF(INDEX(Dati!$CN$1:$CN$1000,MATCH($A33,Dati!$A$1:$A$1000,0))&gt;0,Dati!$L$3&amp;": "&amp;INDEX(Dati!$L$1:$L$1000,MATCH($A33,Dati!$A$1:$A$1000,0))&amp;" · ","")&amp;IF(INDEX(Dati!$CO$1:$CO$1000,MATCH($A33,Dati!$A$1:$A$1000,0))&gt;0,Dati!$M$3&amp;": "&amp;INDEX(Dati!$M$1:$M$1000,MATCH($A33,Dati!$A$1:$A$1000,0))&amp;" · ","")&amp;IF(INDEX(Dati!$CP$1:$CP$1000,MATCH($A33,Dati!$A$1:$A$1000,0))&gt;0,Dati!$N$3&amp;": "&amp;INDEX(Dati!$N$1:$N$1000,MATCH($A33,Dati!$A$1:$A$1000,0))&amp;" · ",""))="",IF(INDEX(Dati!$FI$1:$FI$1000,MATCH($A33,Dati!$A$1:$A$1000,0))=1,"AS da recuperare",""),LEFT(IF(INDEX(Dati!$CM$1:$CM$1000,MATCH($A33,Dati!$A$1:$A$1000,0))&gt;0,Dati!$K$3&amp;": "&amp;INDEX(Dati!$K$1:$K$1000,MATCH($A33,Dati!$A$1:$A$1000,0))&amp;" · ","")&amp;IF(INDEX(Dati!$CN$1:$CN$1000,MATCH($A33,Dati!$A$1:$A$1000,0))&gt;0,Dati!$L$3&amp;": "&amp;INDEX(Dati!$L$1:$L$1000,MATCH($A33,Dati!$A$1:$A$1000,0))&amp;" · ","")&amp;IF(INDEX(Dati!$CO$1:$CO$1000,MATCH($A33,Dati!$A$1:$A$1000,0))&gt;0,Dati!$M$3&amp;": "&amp;INDEX(Dati!$M$1:$M$1000,MATCH($A33,Dati!$A$1:$A$1000,0))&amp;" · ","")&amp;IF(INDEX(Dati!$CP$1:$CP$1000,MATCH($A33,Dati!$A$1:$A$1000,0))&gt;0,Dati!$N$3&amp;": "&amp;INDEX(Dati!$N$1:$N$1000,MATCH($A33,Dati!$A$1:$A$1000,0))&amp;" · ",""),LEN(IF(INDEX(Dati!$CM$1:$CM$1000,MATCH($A33,Dati!$A$1:$A$1000,0))&gt;0,Dati!$K$3&amp;": "&amp;INDEX(Dati!$K$1:$K$1000,MATCH($A33,Dati!$A$1:$A$1000,0))&amp;" · ","")&amp;IF(INDEX(Dati!$CN$1:$CN$1000,MATCH($A33,Dati!$A$1:$A$1000,0))&gt;0,Dati!$L$3&amp;": "&amp;INDEX(Dati!$L$1:$L$1000,MATCH($A33,Dati!$A$1:$A$1000,0))&amp;" · ","")&amp;IF(INDEX(Dati!$CO$1:$CO$1000,MATCH($A33,Dati!$A$1:$A$1000,0))&gt;0,Dati!$M$3&amp;": "&amp;INDEX(Dati!$M$1:$M$1000,MATCH($A33,Dati!$A$1:$A$1000,0))&amp;" · ","")&amp;IF(INDEX(Dati!$CP$1:$CP$1000,MATCH($A33,Dati!$A$1:$A$1000,0))&gt;0,Dati!$N$3&amp;": "&amp;INDEX(Dati!$N$1:$N$1000,MATCH($A33,Dati!$A$1:$A$1000,0))&amp;" · ",""))-3)),""))</f>
        <v/>
      </c>
      <c r="F33" s="55" t="str">
        <f aca="false">IF($B33="","",IFERROR(IF((IF(INDEX(Dati!$CQ$1:$CQ$1000,MATCH($A33,Dati!$A$1:$A$1000,0))&gt;0,Dati!$O$3&amp;": "&amp;INDEX(Dati!$O$1:$O$1000,MATCH($A33,Dati!$A$1:$A$1000,0))&amp;" · ","")&amp;IF(INDEX(Dati!$CR$1:$CR$1000,MATCH($A33,Dati!$A$1:$A$1000,0))&gt;0,Dati!$P$3&amp;": "&amp;INDEX(Dati!$P$1:$P$1000,MATCH($A33,Dati!$A$1:$A$1000,0))&amp;" · ","")&amp;IF(INDEX(Dati!$CS$1:$CS$1000,MATCH($A33,Dati!$A$1:$A$1000,0))&gt;0,Dati!$Q$3&amp;": "&amp;INDEX(Dati!$Q$1:$Q$1000,MATCH($A33,Dati!$A$1:$A$1000,0))&amp;" · ","")&amp;IF(INDEX(Dati!$CT$1:$CT$1000,MATCH($A33,Dati!$A$1:$A$1000,0))&gt;0,Dati!$R$3&amp;": "&amp;INDEX(Dati!$R$1:$R$1000,MATCH($A33,Dati!$A$1:$A$1000,0))&amp;" · ",""))="",IF(INDEX(Dati!$FJ$1:$FJ$1000,MATCH($A33,Dati!$A$1:$A$1000,0))=1,"AS da recuperare",""),LEFT(IF(INDEX(Dati!$CQ$1:$CQ$1000,MATCH($A33,Dati!$A$1:$A$1000,0))&gt;0,Dati!$O$3&amp;": "&amp;INDEX(Dati!$O$1:$O$1000,MATCH($A33,Dati!$A$1:$A$1000,0))&amp;" · ","")&amp;IF(INDEX(Dati!$CR$1:$CR$1000,MATCH($A33,Dati!$A$1:$A$1000,0))&gt;0,Dati!$P$3&amp;": "&amp;INDEX(Dati!$P$1:$P$1000,MATCH($A33,Dati!$A$1:$A$1000,0))&amp;" · ","")&amp;IF(INDEX(Dati!$CS$1:$CS$1000,MATCH($A33,Dati!$A$1:$A$1000,0))&gt;0,Dati!$Q$3&amp;": "&amp;INDEX(Dati!$Q$1:$Q$1000,MATCH($A33,Dati!$A$1:$A$1000,0))&amp;" · ","")&amp;IF(INDEX(Dati!$CT$1:$CT$1000,MATCH($A33,Dati!$A$1:$A$1000,0))&gt;0,Dati!$R$3&amp;": "&amp;INDEX(Dati!$R$1:$R$1000,MATCH($A33,Dati!$A$1:$A$1000,0))&amp;" · ",""),LEN(IF(INDEX(Dati!$CQ$1:$CQ$1000,MATCH($A33,Dati!$A$1:$A$1000,0))&gt;0,Dati!$O$3&amp;": "&amp;INDEX(Dati!$O$1:$O$1000,MATCH($A33,Dati!$A$1:$A$1000,0))&amp;" · ","")&amp;IF(INDEX(Dati!$CR$1:$CR$1000,MATCH($A33,Dati!$A$1:$A$1000,0))&gt;0,Dati!$P$3&amp;": "&amp;INDEX(Dati!$P$1:$P$1000,MATCH($A33,Dati!$A$1:$A$1000,0))&amp;" · ","")&amp;IF(INDEX(Dati!$CS$1:$CS$1000,MATCH($A33,Dati!$A$1:$A$1000,0))&gt;0,Dati!$Q$3&amp;": "&amp;INDEX(Dati!$Q$1:$Q$1000,MATCH($A33,Dati!$A$1:$A$1000,0))&amp;" · ","")&amp;IF(INDEX(Dati!$CT$1:$CT$1000,MATCH($A33,Dati!$A$1:$A$1000,0))&gt;0,Dati!$R$3&amp;": "&amp;INDEX(Dati!$R$1:$R$1000,MATCH($A33,Dati!$A$1:$A$1000,0))&amp;" · ",""))-3)),""))</f>
        <v/>
      </c>
      <c r="G33" s="55" t="str">
        <f aca="false">IF($B33="","",IFERROR(IF((IF(INDEX(Dati!$CU$1:$CU$1000,MATCH($A33,Dati!$A$1:$A$1000,0))&gt;0,Dati!$S$3&amp;": "&amp;INDEX(Dati!$S$1:$S$1000,MATCH($A33,Dati!$A$1:$A$1000,0))&amp;" · ","")&amp;IF(INDEX(Dati!$CV$1:$CV$1000,MATCH($A33,Dati!$A$1:$A$1000,0))&gt;0,Dati!$T$3&amp;": "&amp;INDEX(Dati!$T$1:$T$1000,MATCH($A33,Dati!$A$1:$A$1000,0))&amp;" · ","")&amp;IF(INDEX(Dati!$CW$1:$CW$1000,MATCH($A33,Dati!$A$1:$A$1000,0))&gt;0,Dati!$U$3&amp;": "&amp;INDEX(Dati!$U$1:$U$1000,MATCH($A33,Dati!$A$1:$A$1000,0))&amp;" · ","")&amp;IF(INDEX(Dati!$CX$1:$CX$1000,MATCH($A33,Dati!$A$1:$A$1000,0))&gt;0,Dati!$V$3&amp;": "&amp;INDEX(Dati!$V$1:$V$1000,MATCH($A33,Dati!$A$1:$A$1000,0))&amp;" · ",""))="",IF(INDEX(Dati!$FK$1:$FK$1000,MATCH($A33,Dati!$A$1:$A$1000,0))=1,"AS da recuperare",""),LEFT(IF(INDEX(Dati!$CU$1:$CU$1000,MATCH($A33,Dati!$A$1:$A$1000,0))&gt;0,Dati!$S$3&amp;": "&amp;INDEX(Dati!$S$1:$S$1000,MATCH($A33,Dati!$A$1:$A$1000,0))&amp;" · ","")&amp;IF(INDEX(Dati!$CV$1:$CV$1000,MATCH($A33,Dati!$A$1:$A$1000,0))&gt;0,Dati!$T$3&amp;": "&amp;INDEX(Dati!$T$1:$T$1000,MATCH($A33,Dati!$A$1:$A$1000,0))&amp;" · ","")&amp;IF(INDEX(Dati!$CW$1:$CW$1000,MATCH($A33,Dati!$A$1:$A$1000,0))&gt;0,Dati!$U$3&amp;": "&amp;INDEX(Dati!$U$1:$U$1000,MATCH($A33,Dati!$A$1:$A$1000,0))&amp;" · ","")&amp;IF(INDEX(Dati!$CX$1:$CX$1000,MATCH($A33,Dati!$A$1:$A$1000,0))&gt;0,Dati!$V$3&amp;": "&amp;INDEX(Dati!$V$1:$V$1000,MATCH($A33,Dati!$A$1:$A$1000,0))&amp;" · ",""),LEN(IF(INDEX(Dati!$CU$1:$CU$1000,MATCH($A33,Dati!$A$1:$A$1000,0))&gt;0,Dati!$S$3&amp;": "&amp;INDEX(Dati!$S$1:$S$1000,MATCH($A33,Dati!$A$1:$A$1000,0))&amp;" · ","")&amp;IF(INDEX(Dati!$CV$1:$CV$1000,MATCH($A33,Dati!$A$1:$A$1000,0))&gt;0,Dati!$T$3&amp;": "&amp;INDEX(Dati!$T$1:$T$1000,MATCH($A33,Dati!$A$1:$A$1000,0))&amp;" · ","")&amp;IF(INDEX(Dati!$CW$1:$CW$1000,MATCH($A33,Dati!$A$1:$A$1000,0))&gt;0,Dati!$U$3&amp;": "&amp;INDEX(Dati!$U$1:$U$1000,MATCH($A33,Dati!$A$1:$A$1000,0))&amp;" · ","")&amp;IF(INDEX(Dati!$CX$1:$CX$1000,MATCH($A33,Dati!$A$1:$A$1000,0))&gt;0,Dati!$V$3&amp;": "&amp;INDEX(Dati!$V$1:$V$1000,MATCH($A33,Dati!$A$1:$A$1000,0))&amp;" · ",""))-3)),""))</f>
        <v/>
      </c>
      <c r="H33" s="55" t="str">
        <f aca="false">IF($B33="","",IFERROR(IF((IF(INDEX(Dati!$CY$1:$CY$1000,MATCH($A33,Dati!$A$1:$A$1000,0))&gt;0,Dati!$W$3&amp;": "&amp;INDEX(Dati!$W$1:$W$1000,MATCH($A33,Dati!$A$1:$A$1000,0))&amp;" · ","")&amp;IF(INDEX(Dati!$CZ$1:$CZ$1000,MATCH($A33,Dati!$A$1:$A$1000,0))&gt;0,Dati!$X$3&amp;": "&amp;INDEX(Dati!$X$1:$X$1000,MATCH($A33,Dati!$A$1:$A$1000,0))&amp;" · ","")&amp;IF(INDEX(Dati!$DA$1:$DA$1000,MATCH($A33,Dati!$A$1:$A$1000,0))&gt;0,Dati!$Y$3&amp;": "&amp;INDEX(Dati!$Y$1:$Y$1000,MATCH($A33,Dati!$A$1:$A$1000,0))&amp;" · ","")&amp;IF(INDEX(Dati!$DB$1:$DB$1000,MATCH($A33,Dati!$A$1:$A$1000,0))&gt;0,Dati!$Z$3&amp;": "&amp;INDEX(Dati!$Z$1:$Z$1000,MATCH($A33,Dati!$A$1:$A$1000,0))&amp;" · ",""))="",IF(INDEX(Dati!$FL$1:$FL$1000,MATCH($A33,Dati!$A$1:$A$1000,0))=1,"AS da recuperare",""),LEFT(IF(INDEX(Dati!$CY$1:$CY$1000,MATCH($A33,Dati!$A$1:$A$1000,0))&gt;0,Dati!$W$3&amp;": "&amp;INDEX(Dati!$W$1:$W$1000,MATCH($A33,Dati!$A$1:$A$1000,0))&amp;" · ","")&amp;IF(INDEX(Dati!$CZ$1:$CZ$1000,MATCH($A33,Dati!$A$1:$A$1000,0))&gt;0,Dati!$X$3&amp;": "&amp;INDEX(Dati!$X$1:$X$1000,MATCH($A33,Dati!$A$1:$A$1000,0))&amp;" · ","")&amp;IF(INDEX(Dati!$DA$1:$DA$1000,MATCH($A33,Dati!$A$1:$A$1000,0))&gt;0,Dati!$Y$3&amp;": "&amp;INDEX(Dati!$Y$1:$Y$1000,MATCH($A33,Dati!$A$1:$A$1000,0))&amp;" · ","")&amp;IF(INDEX(Dati!$DB$1:$DB$1000,MATCH($A33,Dati!$A$1:$A$1000,0))&gt;0,Dati!$Z$3&amp;": "&amp;INDEX(Dati!$Z$1:$Z$1000,MATCH($A33,Dati!$A$1:$A$1000,0))&amp;" · ",""),LEN(IF(INDEX(Dati!$CY$1:$CY$1000,MATCH($A33,Dati!$A$1:$A$1000,0))&gt;0,Dati!$W$3&amp;": "&amp;INDEX(Dati!$W$1:$W$1000,MATCH($A33,Dati!$A$1:$A$1000,0))&amp;" · ","")&amp;IF(INDEX(Dati!$CZ$1:$CZ$1000,MATCH($A33,Dati!$A$1:$A$1000,0))&gt;0,Dati!$X$3&amp;": "&amp;INDEX(Dati!$X$1:$X$1000,MATCH($A33,Dati!$A$1:$A$1000,0))&amp;" · ","")&amp;IF(INDEX(Dati!$DA$1:$DA$1000,MATCH($A33,Dati!$A$1:$A$1000,0))&gt;0,Dati!$Y$3&amp;": "&amp;INDEX(Dati!$Y$1:$Y$1000,MATCH($A33,Dati!$A$1:$A$1000,0))&amp;" · ","")&amp;IF(INDEX(Dati!$DB$1:$DB$1000,MATCH($A33,Dati!$A$1:$A$1000,0))&gt;0,Dati!$Z$3&amp;": "&amp;INDEX(Dati!$Z$1:$Z$1000,MATCH($A33,Dati!$A$1:$A$1000,0))&amp;" · ",""))-3)),""))</f>
        <v/>
      </c>
      <c r="I33" s="55" t="str">
        <f aca="false">IF($B33="","",IFERROR(IF((IF(INDEX(Dati!$DC$1:$DC$1000,MATCH($A33,Dati!$A$1:$A$1000,0))&gt;0,Dati!$AA$3&amp;": "&amp;INDEX(Dati!$AA$1:$AA$1000,MATCH($A33,Dati!$A$1:$A$1000,0))&amp;" · ","")&amp;IF(INDEX(Dati!$DD$1:$DD$1000,MATCH($A33,Dati!$A$1:$A$1000,0))&gt;0,Dati!$AB$3&amp;": "&amp;INDEX(Dati!$AB$1:$AB$1000,MATCH($A33,Dati!$A$1:$A$1000,0))&amp;" · ","")&amp;IF(INDEX(Dati!$DE$1:$DE$1000,MATCH($A33,Dati!$A$1:$A$1000,0))&gt;0,Dati!$AC$3&amp;": "&amp;INDEX(Dati!$AC$1:$AC$1000,MATCH($A33,Dati!$A$1:$A$1000,0))&amp;" · ","")&amp;IF(INDEX(Dati!$DF$1:$DF$1000,MATCH($A33,Dati!$A$1:$A$1000,0))&gt;0,Dati!$AD$3&amp;": "&amp;INDEX(Dati!$AD$1:$AD$1000,MATCH($A33,Dati!$A$1:$A$1000,0))&amp;" · ",""))="",IF(INDEX(Dati!$FM$1:$FM$1000,MATCH($A33,Dati!$A$1:$A$1000,0))=1,"AS da recuperare",""),LEFT(IF(INDEX(Dati!$DC$1:$DC$1000,MATCH($A33,Dati!$A$1:$A$1000,0))&gt;0,Dati!$AA$3&amp;": "&amp;INDEX(Dati!$AA$1:$AA$1000,MATCH($A33,Dati!$A$1:$A$1000,0))&amp;" · ","")&amp;IF(INDEX(Dati!$DD$1:$DD$1000,MATCH($A33,Dati!$A$1:$A$1000,0))&gt;0,Dati!$AB$3&amp;": "&amp;INDEX(Dati!$AB$1:$AB$1000,MATCH($A33,Dati!$A$1:$A$1000,0))&amp;" · ","")&amp;IF(INDEX(Dati!$DE$1:$DE$1000,MATCH($A33,Dati!$A$1:$A$1000,0))&gt;0,Dati!$AC$3&amp;": "&amp;INDEX(Dati!$AC$1:$AC$1000,MATCH($A33,Dati!$A$1:$A$1000,0))&amp;" · ","")&amp;IF(INDEX(Dati!$DF$1:$DF$1000,MATCH($A33,Dati!$A$1:$A$1000,0))&gt;0,Dati!$AD$3&amp;": "&amp;INDEX(Dati!$AD$1:$AD$1000,MATCH($A33,Dati!$A$1:$A$1000,0))&amp;" · ",""),LEN(IF(INDEX(Dati!$DC$1:$DC$1000,MATCH($A33,Dati!$A$1:$A$1000,0))&gt;0,Dati!$AA$3&amp;": "&amp;INDEX(Dati!$AA$1:$AA$1000,MATCH($A33,Dati!$A$1:$A$1000,0))&amp;" · ","")&amp;IF(INDEX(Dati!$DD$1:$DD$1000,MATCH($A33,Dati!$A$1:$A$1000,0))&gt;0,Dati!$AB$3&amp;": "&amp;INDEX(Dati!$AB$1:$AB$1000,MATCH($A33,Dati!$A$1:$A$1000,0))&amp;" · ","")&amp;IF(INDEX(Dati!$DE$1:$DE$1000,MATCH($A33,Dati!$A$1:$A$1000,0))&gt;0,Dati!$AC$3&amp;": "&amp;INDEX(Dati!$AC$1:$AC$1000,MATCH($A33,Dati!$A$1:$A$1000,0))&amp;" · ","")&amp;IF(INDEX(Dati!$DF$1:$DF$1000,MATCH($A33,Dati!$A$1:$A$1000,0))&gt;0,Dati!$AD$3&amp;": "&amp;INDEX(Dati!$AD$1:$AD$1000,MATCH($A33,Dati!$A$1:$A$1000,0))&amp;" · ",""))-3)),""))</f>
        <v/>
      </c>
      <c r="J33" s="55" t="str">
        <f aca="false">IF($B33="","",IFERROR(IF((IF(INDEX(Dati!$DG$1:$DG$1000,MATCH($A33,Dati!$A$1:$A$1000,0))&gt;0,Dati!$AE$3&amp;": "&amp;INDEX(Dati!$AE$1:$AE$1000,MATCH($A33,Dati!$A$1:$A$1000,0))&amp;" · ","")&amp;IF(INDEX(Dati!$DH$1:$DH$1000,MATCH($A33,Dati!$A$1:$A$1000,0))&gt;0,Dati!$AF$3&amp;": "&amp;INDEX(Dati!$AF$1:$AF$1000,MATCH($A33,Dati!$A$1:$A$1000,0))&amp;" · ","")&amp;IF(INDEX(Dati!$DI$1:$DI$1000,MATCH($A33,Dati!$A$1:$A$1000,0))&gt;0,Dati!$AG$3&amp;": "&amp;INDEX(Dati!$AG$1:$AG$1000,MATCH($A33,Dati!$A$1:$A$1000,0))&amp;" · ","")&amp;IF(INDEX(Dati!$DJ$1:$DJ$1000,MATCH($A33,Dati!$A$1:$A$1000,0))&gt;0,Dati!$AH$3&amp;": "&amp;INDEX(Dati!$AH$1:$AH$1000,MATCH($A33,Dati!$A$1:$A$1000,0))&amp;" · ",""))="",IF(INDEX(Dati!$FN$1:$FN$1000,MATCH($A33,Dati!$A$1:$A$1000,0))=1,"AS da recuperare",""),LEFT(IF(INDEX(Dati!$DG$1:$DG$1000,MATCH($A33,Dati!$A$1:$A$1000,0))&gt;0,Dati!$AE$3&amp;": "&amp;INDEX(Dati!$AE$1:$AE$1000,MATCH($A33,Dati!$A$1:$A$1000,0))&amp;" · ","")&amp;IF(INDEX(Dati!$DH$1:$DH$1000,MATCH($A33,Dati!$A$1:$A$1000,0))&gt;0,Dati!$AF$3&amp;": "&amp;INDEX(Dati!$AF$1:$AF$1000,MATCH($A33,Dati!$A$1:$A$1000,0))&amp;" · ","")&amp;IF(INDEX(Dati!$DI$1:$DI$1000,MATCH($A33,Dati!$A$1:$A$1000,0))&gt;0,Dati!$AG$3&amp;": "&amp;INDEX(Dati!$AG$1:$AG$1000,MATCH($A33,Dati!$A$1:$A$1000,0))&amp;" · ","")&amp;IF(INDEX(Dati!$DJ$1:$DJ$1000,MATCH($A33,Dati!$A$1:$A$1000,0))&gt;0,Dati!$AH$3&amp;": "&amp;INDEX(Dati!$AH$1:$AH$1000,MATCH($A33,Dati!$A$1:$A$1000,0))&amp;" · ",""),LEN(IF(INDEX(Dati!$DG$1:$DG$1000,MATCH($A33,Dati!$A$1:$A$1000,0))&gt;0,Dati!$AE$3&amp;": "&amp;INDEX(Dati!$AE$1:$AE$1000,MATCH($A33,Dati!$A$1:$A$1000,0))&amp;" · ","")&amp;IF(INDEX(Dati!$DH$1:$DH$1000,MATCH($A33,Dati!$A$1:$A$1000,0))&gt;0,Dati!$AF$3&amp;": "&amp;INDEX(Dati!$AF$1:$AF$1000,MATCH($A33,Dati!$A$1:$A$1000,0))&amp;" · ","")&amp;IF(INDEX(Dati!$DI$1:$DI$1000,MATCH($A33,Dati!$A$1:$A$1000,0))&gt;0,Dati!$AG$3&amp;": "&amp;INDEX(Dati!$AG$1:$AG$1000,MATCH($A33,Dati!$A$1:$A$1000,0))&amp;" · ","")&amp;IF(INDEX(Dati!$DJ$1:$DJ$1000,MATCH($A33,Dati!$A$1:$A$1000,0))&gt;0,Dati!$AH$3&amp;": "&amp;INDEX(Dati!$AH$1:$AH$1000,MATCH($A33,Dati!$A$1:$A$1000,0))&amp;" · ",""))-3)),""))</f>
        <v/>
      </c>
      <c r="K33" s="55" t="str">
        <f aca="false">IF($B33="","",IFERROR(IF((IF(INDEX(Dati!$DK$1:$DK$1000,MATCH($A33,Dati!$A$1:$A$1000,0))&gt;0,Dati!$AI$3&amp;": "&amp;INDEX(Dati!$AI$1:$AI$1000,MATCH($A33,Dati!$A$1:$A$1000,0))&amp;" · ","")&amp;IF(INDEX(Dati!$DL$1:$DL$1000,MATCH($A33,Dati!$A$1:$A$1000,0))&gt;0,Dati!$AJ$3&amp;": "&amp;INDEX(Dati!$AJ$1:$AJ$1000,MATCH($A33,Dati!$A$1:$A$1000,0))&amp;" · ","")&amp;IF(INDEX(Dati!$DM$1:$DM$1000,MATCH($A33,Dati!$A$1:$A$1000,0))&gt;0,Dati!$AK$3&amp;": "&amp;INDEX(Dati!$AK$1:$AK$1000,MATCH($A33,Dati!$A$1:$A$1000,0))&amp;" · ","")&amp;IF(INDEX(Dati!$DN$1:$DN$1000,MATCH($A33,Dati!$A$1:$A$1000,0))&gt;0,Dati!$AL$3&amp;": "&amp;INDEX(Dati!$AL$1:$AL$1000,MATCH($A33,Dati!$A$1:$A$1000,0))&amp;" · ",""))="",IF(INDEX(Dati!$FO$1:$FO$1000,MATCH($A33,Dati!$A$1:$A$1000,0))=1,"AS da recuperare",""),LEFT(IF(INDEX(Dati!$DK$1:$DK$1000,MATCH($A33,Dati!$A$1:$A$1000,0))&gt;0,Dati!$AI$3&amp;": "&amp;INDEX(Dati!$AI$1:$AI$1000,MATCH($A33,Dati!$A$1:$A$1000,0))&amp;" · ","")&amp;IF(INDEX(Dati!$DL$1:$DL$1000,MATCH($A33,Dati!$A$1:$A$1000,0))&gt;0,Dati!$AJ$3&amp;": "&amp;INDEX(Dati!$AJ$1:$AJ$1000,MATCH($A33,Dati!$A$1:$A$1000,0))&amp;" · ","")&amp;IF(INDEX(Dati!$DM$1:$DM$1000,MATCH($A33,Dati!$A$1:$A$1000,0))&gt;0,Dati!$AK$3&amp;": "&amp;INDEX(Dati!$AK$1:$AK$1000,MATCH($A33,Dati!$A$1:$A$1000,0))&amp;" · ","")&amp;IF(INDEX(Dati!$DN$1:$DN$1000,MATCH($A33,Dati!$A$1:$A$1000,0))&gt;0,Dati!$AL$3&amp;": "&amp;INDEX(Dati!$AL$1:$AL$1000,MATCH($A33,Dati!$A$1:$A$1000,0))&amp;" · ",""),LEN(IF(INDEX(Dati!$DK$1:$DK$1000,MATCH($A33,Dati!$A$1:$A$1000,0))&gt;0,Dati!$AI$3&amp;": "&amp;INDEX(Dati!$AI$1:$AI$1000,MATCH($A33,Dati!$A$1:$A$1000,0))&amp;" · ","")&amp;IF(INDEX(Dati!$DL$1:$DL$1000,MATCH($A33,Dati!$A$1:$A$1000,0))&gt;0,Dati!$AJ$3&amp;": "&amp;INDEX(Dati!$AJ$1:$AJ$1000,MATCH($A33,Dati!$A$1:$A$1000,0))&amp;" · ","")&amp;IF(INDEX(Dati!$DM$1:$DM$1000,MATCH($A33,Dati!$A$1:$A$1000,0))&gt;0,Dati!$AK$3&amp;": "&amp;INDEX(Dati!$AK$1:$AK$1000,MATCH($A33,Dati!$A$1:$A$1000,0))&amp;" · ","")&amp;IF(INDEX(Dati!$DN$1:$DN$1000,MATCH($A33,Dati!$A$1:$A$1000,0))&gt;0,Dati!$AL$3&amp;": "&amp;INDEX(Dati!$AL$1:$AL$1000,MATCH($A33,Dati!$A$1:$A$1000,0))&amp;" · ",""))-3)),""))</f>
        <v/>
      </c>
      <c r="L33" s="55" t="str">
        <f aca="false">IF($B33="","",IFERROR(IF((IF(INDEX(Dati!$DO$1:$DO$1000,MATCH($A33,Dati!$A$1:$A$1000,0))&gt;0,Dati!$AM$3&amp;": "&amp;INDEX(Dati!$AM$1:$AM$1000,MATCH($A33,Dati!$A$1:$A$1000,0))&amp;" · ","")&amp;IF(INDEX(Dati!$DP$1:$DP$1000,MATCH($A33,Dati!$A$1:$A$1000,0))&gt;0,Dati!$AN$3&amp;": "&amp;INDEX(Dati!$AN$1:$AN$1000,MATCH($A33,Dati!$A$1:$A$1000,0))&amp;" · ","")&amp;IF(INDEX(Dati!$DQ$1:$DQ$1000,MATCH($A33,Dati!$A$1:$A$1000,0))&gt;0,Dati!$AO$3&amp;": "&amp;INDEX(Dati!$AO$1:$AO$1000,MATCH($A33,Dati!$A$1:$A$1000,0))&amp;" · ","")&amp;IF(INDEX(Dati!$DR$1:$DR$1000,MATCH($A33,Dati!$A$1:$A$1000,0))&gt;0,Dati!$AP$3&amp;": "&amp;INDEX(Dati!$AP$1:$AP$1000,MATCH($A33,Dati!$A$1:$A$1000,0))&amp;" · ",""))="",IF(INDEX(Dati!$FP$1:$FP$1000,MATCH($A33,Dati!$A$1:$A$1000,0))=1,"AS da recuperare",""),LEFT(IF(INDEX(Dati!$DO$1:$DO$1000,MATCH($A33,Dati!$A$1:$A$1000,0))&gt;0,Dati!$AM$3&amp;": "&amp;INDEX(Dati!$AM$1:$AM$1000,MATCH($A33,Dati!$A$1:$A$1000,0))&amp;" · ","")&amp;IF(INDEX(Dati!$DP$1:$DP$1000,MATCH($A33,Dati!$A$1:$A$1000,0))&gt;0,Dati!$AN$3&amp;": "&amp;INDEX(Dati!$AN$1:$AN$1000,MATCH($A33,Dati!$A$1:$A$1000,0))&amp;" · ","")&amp;IF(INDEX(Dati!$DQ$1:$DQ$1000,MATCH($A33,Dati!$A$1:$A$1000,0))&gt;0,Dati!$AO$3&amp;": "&amp;INDEX(Dati!$AO$1:$AO$1000,MATCH($A33,Dati!$A$1:$A$1000,0))&amp;" · ","")&amp;IF(INDEX(Dati!$DR$1:$DR$1000,MATCH($A33,Dati!$A$1:$A$1000,0))&gt;0,Dati!$AP$3&amp;": "&amp;INDEX(Dati!$AP$1:$AP$1000,MATCH($A33,Dati!$A$1:$A$1000,0))&amp;" · ",""),LEN(IF(INDEX(Dati!$DO$1:$DO$1000,MATCH($A33,Dati!$A$1:$A$1000,0))&gt;0,Dati!$AM$3&amp;": "&amp;INDEX(Dati!$AM$1:$AM$1000,MATCH($A33,Dati!$A$1:$A$1000,0))&amp;" · ","")&amp;IF(INDEX(Dati!$DP$1:$DP$1000,MATCH($A33,Dati!$A$1:$A$1000,0))&gt;0,Dati!$AN$3&amp;": "&amp;INDEX(Dati!$AN$1:$AN$1000,MATCH($A33,Dati!$A$1:$A$1000,0))&amp;" · ","")&amp;IF(INDEX(Dati!$DQ$1:$DQ$1000,MATCH($A33,Dati!$A$1:$A$1000,0))&gt;0,Dati!$AO$3&amp;": "&amp;INDEX(Dati!$AO$1:$AO$1000,MATCH($A33,Dati!$A$1:$A$1000,0))&amp;" · ","")&amp;IF(INDEX(Dati!$DR$1:$DR$1000,MATCH($A33,Dati!$A$1:$A$1000,0))&gt;0,Dati!$AP$3&amp;": "&amp;INDEX(Dati!$AP$1:$AP$1000,MATCH($A33,Dati!$A$1:$A$1000,0))&amp;" · ",""))-3)),""))</f>
        <v/>
      </c>
      <c r="M33" s="55" t="str">
        <f aca="false">IF($B33="","",IFERROR(IF((IF(INDEX(Dati!$DS$1:$DS$1000,MATCH($A33,Dati!$A$1:$A$1000,0))&gt;0,Dati!$AQ$3&amp;": "&amp;INDEX(Dati!$AQ$1:$AQ$1000,MATCH($A33,Dati!$A$1:$A$1000,0))&amp;" · ","")&amp;IF(INDEX(Dati!$DT$1:$DT$1000,MATCH($A33,Dati!$A$1:$A$1000,0))&gt;0,Dati!$AR$3&amp;": "&amp;INDEX(Dati!$AR$1:$AR$1000,MATCH($A33,Dati!$A$1:$A$1000,0))&amp;" · ","")&amp;IF(INDEX(Dati!$DU$1:$DU$1000,MATCH($A33,Dati!$A$1:$A$1000,0))&gt;0,Dati!$AS$3&amp;": "&amp;INDEX(Dati!$AS$1:$AS$1000,MATCH($A33,Dati!$A$1:$A$1000,0))&amp;" · ","")&amp;IF(INDEX(Dati!$DV$1:$DV$1000,MATCH($A33,Dati!$A$1:$A$1000,0))&gt;0,Dati!$AT$3&amp;": "&amp;INDEX(Dati!$AT$1:$AT$1000,MATCH($A33,Dati!$A$1:$A$1000,0))&amp;" · ",""))="",IF(INDEX(Dati!$FQ$1:$FQ$1000,MATCH($A33,Dati!$A$1:$A$1000,0))=1,"AS da recuperare",""),LEFT(IF(INDEX(Dati!$DS$1:$DS$1000,MATCH($A33,Dati!$A$1:$A$1000,0))&gt;0,Dati!$AQ$3&amp;": "&amp;INDEX(Dati!$AQ$1:$AQ$1000,MATCH($A33,Dati!$A$1:$A$1000,0))&amp;" · ","")&amp;IF(INDEX(Dati!$DT$1:$DT$1000,MATCH($A33,Dati!$A$1:$A$1000,0))&gt;0,Dati!$AR$3&amp;": "&amp;INDEX(Dati!$AR$1:$AR$1000,MATCH($A33,Dati!$A$1:$A$1000,0))&amp;" · ","")&amp;IF(INDEX(Dati!$DU$1:$DU$1000,MATCH($A33,Dati!$A$1:$A$1000,0))&gt;0,Dati!$AS$3&amp;": "&amp;INDEX(Dati!$AS$1:$AS$1000,MATCH($A33,Dati!$A$1:$A$1000,0))&amp;" · ","")&amp;IF(INDEX(Dati!$DV$1:$DV$1000,MATCH($A33,Dati!$A$1:$A$1000,0))&gt;0,Dati!$AT$3&amp;": "&amp;INDEX(Dati!$AT$1:$AT$1000,MATCH($A33,Dati!$A$1:$A$1000,0))&amp;" · ",""),LEN(IF(INDEX(Dati!$DS$1:$DS$1000,MATCH($A33,Dati!$A$1:$A$1000,0))&gt;0,Dati!$AQ$3&amp;": "&amp;INDEX(Dati!$AQ$1:$AQ$1000,MATCH($A33,Dati!$A$1:$A$1000,0))&amp;" · ","")&amp;IF(INDEX(Dati!$DT$1:$DT$1000,MATCH($A33,Dati!$A$1:$A$1000,0))&gt;0,Dati!$AR$3&amp;": "&amp;INDEX(Dati!$AR$1:$AR$1000,MATCH($A33,Dati!$A$1:$A$1000,0))&amp;" · ","")&amp;IF(INDEX(Dati!$DU$1:$DU$1000,MATCH($A33,Dati!$A$1:$A$1000,0))&gt;0,Dati!$AS$3&amp;": "&amp;INDEX(Dati!$AS$1:$AS$1000,MATCH($A33,Dati!$A$1:$A$1000,0))&amp;" · ","")&amp;IF(INDEX(Dati!$DV$1:$DV$1000,MATCH($A33,Dati!$A$1:$A$1000,0))&gt;0,Dati!$AT$3&amp;": "&amp;INDEX(Dati!$AT$1:$AT$1000,MATCH($A33,Dati!$A$1:$A$1000,0))&amp;" · ",""))-3)),""))</f>
        <v/>
      </c>
      <c r="N33" s="55" t="str">
        <f aca="false">IF($B33="","",IFERROR(IF((IF(INDEX(Dati!$DW$1:$DW$1000,MATCH($A33,Dati!$A$1:$A$1000,0))&gt;0,Dati!$AU$3&amp;": "&amp;INDEX(Dati!$AU$1:$AU$1000,MATCH($A33,Dati!$A$1:$A$1000,0))&amp;" · ","")&amp;IF(INDEX(Dati!$DX$1:$DX$1000,MATCH($A33,Dati!$A$1:$A$1000,0))&gt;0,Dati!$AV$3&amp;": "&amp;INDEX(Dati!$AV$1:$AV$1000,MATCH($A33,Dati!$A$1:$A$1000,0))&amp;" · ","")&amp;IF(INDEX(Dati!$DY$1:$DY$1000,MATCH($A33,Dati!$A$1:$A$1000,0))&gt;0,Dati!$AW$3&amp;": "&amp;INDEX(Dati!$AW$1:$AW$1000,MATCH($A33,Dati!$A$1:$A$1000,0))&amp;" · ","")&amp;IF(INDEX(Dati!$DZ$1:$DZ$1000,MATCH($A33,Dati!$A$1:$A$1000,0))&gt;0,Dati!$AX$3&amp;": "&amp;INDEX(Dati!$AX$1:$AX$1000,MATCH($A33,Dati!$A$1:$A$1000,0))&amp;" · ",""))="",IF(INDEX(Dati!$FR$1:$FR$1000,MATCH($A33,Dati!$A$1:$A$1000,0))=1,"AS da recuperare",""),LEFT(IF(INDEX(Dati!$DW$1:$DW$1000,MATCH($A33,Dati!$A$1:$A$1000,0))&gt;0,Dati!$AU$3&amp;": "&amp;INDEX(Dati!$AU$1:$AU$1000,MATCH($A33,Dati!$A$1:$A$1000,0))&amp;" · ","")&amp;IF(INDEX(Dati!$DX$1:$DX$1000,MATCH($A33,Dati!$A$1:$A$1000,0))&gt;0,Dati!$AV$3&amp;": "&amp;INDEX(Dati!$AV$1:$AV$1000,MATCH($A33,Dati!$A$1:$A$1000,0))&amp;" · ","")&amp;IF(INDEX(Dati!$DY$1:$DY$1000,MATCH($A33,Dati!$A$1:$A$1000,0))&gt;0,Dati!$AW$3&amp;": "&amp;INDEX(Dati!$AW$1:$AW$1000,MATCH($A33,Dati!$A$1:$A$1000,0))&amp;" · ","")&amp;IF(INDEX(Dati!$DZ$1:$DZ$1000,MATCH($A33,Dati!$A$1:$A$1000,0))&gt;0,Dati!$AX$3&amp;": "&amp;INDEX(Dati!$AX$1:$AX$1000,MATCH($A33,Dati!$A$1:$A$1000,0))&amp;" · ",""),LEN(IF(INDEX(Dati!$DW$1:$DW$1000,MATCH($A33,Dati!$A$1:$A$1000,0))&gt;0,Dati!$AU$3&amp;": "&amp;INDEX(Dati!$AU$1:$AU$1000,MATCH($A33,Dati!$A$1:$A$1000,0))&amp;" · ","")&amp;IF(INDEX(Dati!$DX$1:$DX$1000,MATCH($A33,Dati!$A$1:$A$1000,0))&gt;0,Dati!$AV$3&amp;": "&amp;INDEX(Dati!$AV$1:$AV$1000,MATCH($A33,Dati!$A$1:$A$1000,0))&amp;" · ","")&amp;IF(INDEX(Dati!$DY$1:$DY$1000,MATCH($A33,Dati!$A$1:$A$1000,0))&gt;0,Dati!$AW$3&amp;": "&amp;INDEX(Dati!$AW$1:$AW$1000,MATCH($A33,Dati!$A$1:$A$1000,0))&amp;" · ","")&amp;IF(INDEX(Dati!$DZ$1:$DZ$1000,MATCH($A33,Dati!$A$1:$A$1000,0))&gt;0,Dati!$AX$3&amp;": "&amp;INDEX(Dati!$AX$1:$AX$1000,MATCH($A33,Dati!$A$1:$A$1000,0))&amp;" · ",""))-3)),""))</f>
        <v/>
      </c>
      <c r="O33" s="55" t="str">
        <f aca="false">IF($B33="","",IFERROR(IF((IF(INDEX(Dati!$EA$1:$EA$1000,MATCH($A33,Dati!$A$1:$A$1000,0))&gt;0,Dati!$AY$3&amp;": "&amp;INDEX(Dati!$AY$1:$AY$1000,MATCH($A33,Dati!$A$1:$A$1000,0))&amp;" · ","")&amp;IF(INDEX(Dati!$EB$1:$EB$1000,MATCH($A33,Dati!$A$1:$A$1000,0))&gt;0,Dati!$AZ$3&amp;": "&amp;INDEX(Dati!$AZ$1:$AZ$1000,MATCH($A33,Dati!$A$1:$A$1000,0))&amp;" · ","")&amp;IF(INDEX(Dati!$EC$1:$EC$1000,MATCH($A33,Dati!$A$1:$A$1000,0))&gt;0,Dati!$BA$3&amp;": "&amp;INDEX(Dati!$BA$1:$BA$1000,MATCH($A33,Dati!$A$1:$A$1000,0))&amp;" · ","")&amp;IF(INDEX(Dati!$ED$1:$ED$1000,MATCH($A33,Dati!$A$1:$A$1000,0))&gt;0,Dati!$BB$3&amp;": "&amp;INDEX(Dati!$BB$1:$BB$1000,MATCH($A33,Dati!$A$1:$A$1000,0))&amp;" · ",""))="",IF(INDEX(Dati!$FS$1:$FS$1000,MATCH($A33,Dati!$A$1:$A$1000,0))=1,"AS da recuperare",""),LEFT(IF(INDEX(Dati!$EA$1:$EA$1000,MATCH($A33,Dati!$A$1:$A$1000,0))&gt;0,Dati!$AY$3&amp;": "&amp;INDEX(Dati!$AY$1:$AY$1000,MATCH($A33,Dati!$A$1:$A$1000,0))&amp;" · ","")&amp;IF(INDEX(Dati!$EB$1:$EB$1000,MATCH($A33,Dati!$A$1:$A$1000,0))&gt;0,Dati!$AZ$3&amp;": "&amp;INDEX(Dati!$AZ$1:$AZ$1000,MATCH($A33,Dati!$A$1:$A$1000,0))&amp;" · ","")&amp;IF(INDEX(Dati!$EC$1:$EC$1000,MATCH($A33,Dati!$A$1:$A$1000,0))&gt;0,Dati!$BA$3&amp;": "&amp;INDEX(Dati!$BA$1:$BA$1000,MATCH($A33,Dati!$A$1:$A$1000,0))&amp;" · ","")&amp;IF(INDEX(Dati!$ED$1:$ED$1000,MATCH($A33,Dati!$A$1:$A$1000,0))&gt;0,Dati!$BB$3&amp;": "&amp;INDEX(Dati!$BB$1:$BB$1000,MATCH($A33,Dati!$A$1:$A$1000,0))&amp;" · ",""),LEN(IF(INDEX(Dati!$EA$1:$EA$1000,MATCH($A33,Dati!$A$1:$A$1000,0))&gt;0,Dati!$AY$3&amp;": "&amp;INDEX(Dati!$AY$1:$AY$1000,MATCH($A33,Dati!$A$1:$A$1000,0))&amp;" · ","")&amp;IF(INDEX(Dati!$EB$1:$EB$1000,MATCH($A33,Dati!$A$1:$A$1000,0))&gt;0,Dati!$AZ$3&amp;": "&amp;INDEX(Dati!$AZ$1:$AZ$1000,MATCH($A33,Dati!$A$1:$A$1000,0))&amp;" · ","")&amp;IF(INDEX(Dati!$EC$1:$EC$1000,MATCH($A33,Dati!$A$1:$A$1000,0))&gt;0,Dati!$BA$3&amp;": "&amp;INDEX(Dati!$BA$1:$BA$1000,MATCH($A33,Dati!$A$1:$A$1000,0))&amp;" · ","")&amp;IF(INDEX(Dati!$ED$1:$ED$1000,MATCH($A33,Dati!$A$1:$A$1000,0))&gt;0,Dati!$BB$3&amp;": "&amp;INDEX(Dati!$BB$1:$BB$1000,MATCH($A33,Dati!$A$1:$A$1000,0))&amp;" · ",""))-3)),""))</f>
        <v/>
      </c>
      <c r="P33" s="55" t="str">
        <f aca="false">IF($B33="","",IFERROR(IF((IF(INDEX(Dati!$EE$1:$EE$1000,MATCH($A33,Dati!$A$1:$A$1000,0))&gt;0,Dati!$BC$3&amp;": "&amp;INDEX(Dati!$BC$1:$BC$1000,MATCH($A33,Dati!$A$1:$A$1000,0))&amp;" · ","")&amp;IF(INDEX(Dati!$EF$1:$EF$1000,MATCH($A33,Dati!$A$1:$A$1000,0))&gt;0,Dati!$BD$3&amp;": "&amp;INDEX(Dati!$BD$1:$BD$1000,MATCH($A33,Dati!$A$1:$A$1000,0))&amp;" · ","")&amp;IF(INDEX(Dati!$EG$1:$EG$1000,MATCH($A33,Dati!$A$1:$A$1000,0))&gt;0,Dati!$BE$3&amp;": "&amp;INDEX(Dati!$BE$1:$BE$1000,MATCH($A33,Dati!$A$1:$A$1000,0))&amp;" · ","")&amp;IF(INDEX(Dati!$EH$1:$EH$1000,MATCH($A33,Dati!$A$1:$A$1000,0))&gt;0,Dati!$BF$3&amp;": "&amp;INDEX(Dati!$BF$1:$BF$1000,MATCH($A33,Dati!$A$1:$A$1000,0))&amp;" · ",""))="",IF(INDEX(Dati!$FT$1:$FT$1000,MATCH($A33,Dati!$A$1:$A$1000,0))=1,"AS da recuperare",""),LEFT(IF(INDEX(Dati!$EE$1:$EE$1000,MATCH($A33,Dati!$A$1:$A$1000,0))&gt;0,Dati!$BC$3&amp;": "&amp;INDEX(Dati!$BC$1:$BC$1000,MATCH($A33,Dati!$A$1:$A$1000,0))&amp;" · ","")&amp;IF(INDEX(Dati!$EF$1:$EF$1000,MATCH($A33,Dati!$A$1:$A$1000,0))&gt;0,Dati!$BD$3&amp;": "&amp;INDEX(Dati!$BD$1:$BD$1000,MATCH($A33,Dati!$A$1:$A$1000,0))&amp;" · ","")&amp;IF(INDEX(Dati!$EG$1:$EG$1000,MATCH($A33,Dati!$A$1:$A$1000,0))&gt;0,Dati!$BE$3&amp;": "&amp;INDEX(Dati!$BE$1:$BE$1000,MATCH($A33,Dati!$A$1:$A$1000,0))&amp;" · ","")&amp;IF(INDEX(Dati!$EH$1:$EH$1000,MATCH($A33,Dati!$A$1:$A$1000,0))&gt;0,Dati!$BF$3&amp;": "&amp;INDEX(Dati!$BF$1:$BF$1000,MATCH($A33,Dati!$A$1:$A$1000,0))&amp;" · ",""),LEN(IF(INDEX(Dati!$EE$1:$EE$1000,MATCH($A33,Dati!$A$1:$A$1000,0))&gt;0,Dati!$BC$3&amp;": "&amp;INDEX(Dati!$BC$1:$BC$1000,MATCH($A33,Dati!$A$1:$A$1000,0))&amp;" · ","")&amp;IF(INDEX(Dati!$EF$1:$EF$1000,MATCH($A33,Dati!$A$1:$A$1000,0))&gt;0,Dati!$BD$3&amp;": "&amp;INDEX(Dati!$BD$1:$BD$1000,MATCH($A33,Dati!$A$1:$A$1000,0))&amp;" · ","")&amp;IF(INDEX(Dati!$EG$1:$EG$1000,MATCH($A33,Dati!$A$1:$A$1000,0))&gt;0,Dati!$BE$3&amp;": "&amp;INDEX(Dati!$BE$1:$BE$1000,MATCH($A33,Dati!$A$1:$A$1000,0))&amp;" · ","")&amp;IF(INDEX(Dati!$EH$1:$EH$1000,MATCH($A33,Dati!$A$1:$A$1000,0))&gt;0,Dati!$BF$3&amp;": "&amp;INDEX(Dati!$BF$1:$BF$1000,MATCH($A33,Dati!$A$1:$A$1000,0))&amp;" · ",""))-3)),""))</f>
        <v/>
      </c>
      <c r="Q33" s="55" t="str">
        <f aca="false">IF($B33="","",IFERROR(IF((IF(INDEX(Dati!$EI$1:$EI$1000,MATCH($A33,Dati!$A$1:$A$1000,0))&gt;0,Dati!$BG$3&amp;": "&amp;INDEX(Dati!$BG$1:$BG$1000,MATCH($A33,Dati!$A$1:$A$1000,0))&amp;" · ","")&amp;IF(INDEX(Dati!$EJ$1:$EJ$1000,MATCH($A33,Dati!$A$1:$A$1000,0))&gt;0,Dati!$BH$3&amp;": "&amp;INDEX(Dati!$BH$1:$BH$1000,MATCH($A33,Dati!$A$1:$A$1000,0))&amp;" · ","")&amp;IF(INDEX(Dati!$EK$1:$EK$1000,MATCH($A33,Dati!$A$1:$A$1000,0))&gt;0,Dati!$BI$3&amp;": "&amp;INDEX(Dati!$BI$1:$BI$1000,MATCH($A33,Dati!$A$1:$A$1000,0))&amp;" · ","")&amp;IF(INDEX(Dati!$EL$1:$EL$1000,MATCH($A33,Dati!$A$1:$A$1000,0))&gt;0,Dati!$BJ$3&amp;": "&amp;INDEX(Dati!$BJ$1:$BJ$1000,MATCH($A33,Dati!$A$1:$A$1000,0))&amp;" · ",""))="",IF(INDEX(Dati!$FU$1:$FU$1000,MATCH($A33,Dati!$A$1:$A$1000,0))=1,"AS da recuperare",""),LEFT(IF(INDEX(Dati!$EI$1:$EI$1000,MATCH($A33,Dati!$A$1:$A$1000,0))&gt;0,Dati!$BG$3&amp;": "&amp;INDEX(Dati!$BG$1:$BG$1000,MATCH($A33,Dati!$A$1:$A$1000,0))&amp;" · ","")&amp;IF(INDEX(Dati!$EJ$1:$EJ$1000,MATCH($A33,Dati!$A$1:$A$1000,0))&gt;0,Dati!$BH$3&amp;": "&amp;INDEX(Dati!$BH$1:$BH$1000,MATCH($A33,Dati!$A$1:$A$1000,0))&amp;" · ","")&amp;IF(INDEX(Dati!$EK$1:$EK$1000,MATCH($A33,Dati!$A$1:$A$1000,0))&gt;0,Dati!$BI$3&amp;": "&amp;INDEX(Dati!$BI$1:$BI$1000,MATCH($A33,Dati!$A$1:$A$1000,0))&amp;" · ","")&amp;IF(INDEX(Dati!$EL$1:$EL$1000,MATCH($A33,Dati!$A$1:$A$1000,0))&gt;0,Dati!$BJ$3&amp;": "&amp;INDEX(Dati!$BJ$1:$BJ$1000,MATCH($A33,Dati!$A$1:$A$1000,0))&amp;" · ",""),LEN(IF(INDEX(Dati!$EI$1:$EI$1000,MATCH($A33,Dati!$A$1:$A$1000,0))&gt;0,Dati!$BG$3&amp;": "&amp;INDEX(Dati!$BG$1:$BG$1000,MATCH($A33,Dati!$A$1:$A$1000,0))&amp;" · ","")&amp;IF(INDEX(Dati!$EJ$1:$EJ$1000,MATCH($A33,Dati!$A$1:$A$1000,0))&gt;0,Dati!$BH$3&amp;": "&amp;INDEX(Dati!$BH$1:$BH$1000,MATCH($A33,Dati!$A$1:$A$1000,0))&amp;" · ","")&amp;IF(INDEX(Dati!$EK$1:$EK$1000,MATCH($A33,Dati!$A$1:$A$1000,0))&gt;0,Dati!$BI$3&amp;": "&amp;INDEX(Dati!$BI$1:$BI$1000,MATCH($A33,Dati!$A$1:$A$1000,0))&amp;" · ","")&amp;IF(INDEX(Dati!$EL$1:$EL$1000,MATCH($A33,Dati!$A$1:$A$1000,0))&gt;0,Dati!$BJ$3&amp;": "&amp;INDEX(Dati!$BJ$1:$BJ$1000,MATCH($A33,Dati!$A$1:$A$1000,0))&amp;" · ",""))-3)),""))</f>
        <v/>
      </c>
      <c r="R33" s="55" t="str">
        <f aca="false">IF($B33="","",IFERROR(IF((IF(INDEX(Dati!$EM$1:$EM$1000,MATCH($A33,Dati!$A$1:$A$1000,0))&gt;0,Dati!$BK$3&amp;": "&amp;INDEX(Dati!$BK$1:$BK$1000,MATCH($A33,Dati!$A$1:$A$1000,0))&amp;" · ","")&amp;IF(INDEX(Dati!$EN$1:$EN$1000,MATCH($A33,Dati!$A$1:$A$1000,0))&gt;0,Dati!$BL$3&amp;": "&amp;INDEX(Dati!$BL$1:$BL$1000,MATCH($A33,Dati!$A$1:$A$1000,0))&amp;" · ","")&amp;IF(INDEX(Dati!$EO$1:$EO$1000,MATCH($A33,Dati!$A$1:$A$1000,0))&gt;0,Dati!$BM$3&amp;": "&amp;INDEX(Dati!$BM$1:$BM$1000,MATCH($A33,Dati!$A$1:$A$1000,0))&amp;" · ","")&amp;IF(INDEX(Dati!$EP$1:$EP$1000,MATCH($A33,Dati!$A$1:$A$1000,0))&gt;0,Dati!$BN$3&amp;": "&amp;INDEX(Dati!$BN$1:$BN$1000,MATCH($A33,Dati!$A$1:$A$1000,0))&amp;" · ",""))="",IF(INDEX(Dati!$FV$1:$FV$1000,MATCH($A33,Dati!$A$1:$A$1000,0))=1,"AS da recuperare",""),LEFT(IF(INDEX(Dati!$EM$1:$EM$1000,MATCH($A33,Dati!$A$1:$A$1000,0))&gt;0,Dati!$BK$3&amp;": "&amp;INDEX(Dati!$BK$1:$BK$1000,MATCH($A33,Dati!$A$1:$A$1000,0))&amp;" · ","")&amp;IF(INDEX(Dati!$EN$1:$EN$1000,MATCH($A33,Dati!$A$1:$A$1000,0))&gt;0,Dati!$BL$3&amp;": "&amp;INDEX(Dati!$BL$1:$BL$1000,MATCH($A33,Dati!$A$1:$A$1000,0))&amp;" · ","")&amp;IF(INDEX(Dati!$EO$1:$EO$1000,MATCH($A33,Dati!$A$1:$A$1000,0))&gt;0,Dati!$BM$3&amp;": "&amp;INDEX(Dati!$BM$1:$BM$1000,MATCH($A33,Dati!$A$1:$A$1000,0))&amp;" · ","")&amp;IF(INDEX(Dati!$EP$1:$EP$1000,MATCH($A33,Dati!$A$1:$A$1000,0))&gt;0,Dati!$BN$3&amp;": "&amp;INDEX(Dati!$BN$1:$BN$1000,MATCH($A33,Dati!$A$1:$A$1000,0))&amp;" · ",""),LEN(IF(INDEX(Dati!$EM$1:$EM$1000,MATCH($A33,Dati!$A$1:$A$1000,0))&gt;0,Dati!$BK$3&amp;": "&amp;INDEX(Dati!$BK$1:$BK$1000,MATCH($A33,Dati!$A$1:$A$1000,0))&amp;" · ","")&amp;IF(INDEX(Dati!$EN$1:$EN$1000,MATCH($A33,Dati!$A$1:$A$1000,0))&gt;0,Dati!$BL$3&amp;": "&amp;INDEX(Dati!$BL$1:$BL$1000,MATCH($A33,Dati!$A$1:$A$1000,0))&amp;" · ","")&amp;IF(INDEX(Dati!$EO$1:$EO$1000,MATCH($A33,Dati!$A$1:$A$1000,0))&gt;0,Dati!$BM$3&amp;": "&amp;INDEX(Dati!$BM$1:$BM$1000,MATCH($A33,Dati!$A$1:$A$1000,0))&amp;" · ","")&amp;IF(INDEX(Dati!$EP$1:$EP$1000,MATCH($A33,Dati!$A$1:$A$1000,0))&gt;0,Dati!$BN$3&amp;": "&amp;INDEX(Dati!$BN$1:$BN$1000,MATCH($A33,Dati!$A$1:$A$1000,0))&amp;" · ",""))-3)),""))</f>
        <v/>
      </c>
      <c r="S33" s="55" t="str">
        <f aca="false">IF($B33="","",IFERROR(IF((IF(INDEX(Dati!$EQ$1:$EQ$1000,MATCH($A33,Dati!$A$1:$A$1000,0))&gt;0,Dati!$BO$3&amp;": "&amp;INDEX(Dati!$BO$1:$BO$1000,MATCH($A33,Dati!$A$1:$A$1000,0))&amp;" · ","")&amp;IF(INDEX(Dati!$ER$1:$ER$1000,MATCH($A33,Dati!$A$1:$A$1000,0))&gt;0,Dati!$BP$3&amp;": "&amp;INDEX(Dati!$BP$1:$BP$1000,MATCH($A33,Dati!$A$1:$A$1000,0))&amp;" · ","")&amp;IF(INDEX(Dati!$ES$1:$ES$1000,MATCH($A33,Dati!$A$1:$A$1000,0))&gt;0,Dati!$BQ$3&amp;": "&amp;INDEX(Dati!$BQ$1:$BQ$1000,MATCH($A33,Dati!$A$1:$A$1000,0))&amp;" · ","")&amp;IF(INDEX(Dati!$ET$1:$ET$1000,MATCH($A33,Dati!$A$1:$A$1000,0))&gt;0,Dati!$BR$3&amp;": "&amp;INDEX(Dati!$BR$1:$BR$1000,MATCH($A33,Dati!$A$1:$A$1000,0))&amp;" · ",""))="",IF(INDEX(Dati!$FW$1:$FW$1000,MATCH($A33,Dati!$A$1:$A$1000,0))=1,"AS da recuperare",""),LEFT(IF(INDEX(Dati!$EQ$1:$EQ$1000,MATCH($A33,Dati!$A$1:$A$1000,0))&gt;0,Dati!$BO$3&amp;": "&amp;INDEX(Dati!$BO$1:$BO$1000,MATCH($A33,Dati!$A$1:$A$1000,0))&amp;" · ","")&amp;IF(INDEX(Dati!$ER$1:$ER$1000,MATCH($A33,Dati!$A$1:$A$1000,0))&gt;0,Dati!$BP$3&amp;": "&amp;INDEX(Dati!$BP$1:$BP$1000,MATCH($A33,Dati!$A$1:$A$1000,0))&amp;" · ","")&amp;IF(INDEX(Dati!$ES$1:$ES$1000,MATCH($A33,Dati!$A$1:$A$1000,0))&gt;0,Dati!$BQ$3&amp;": "&amp;INDEX(Dati!$BQ$1:$BQ$1000,MATCH($A33,Dati!$A$1:$A$1000,0))&amp;" · ","")&amp;IF(INDEX(Dati!$ET$1:$ET$1000,MATCH($A33,Dati!$A$1:$A$1000,0))&gt;0,Dati!$BR$3&amp;": "&amp;INDEX(Dati!$BR$1:$BR$1000,MATCH($A33,Dati!$A$1:$A$1000,0))&amp;" · ",""),LEN(IF(INDEX(Dati!$EQ$1:$EQ$1000,MATCH($A33,Dati!$A$1:$A$1000,0))&gt;0,Dati!$BO$3&amp;": "&amp;INDEX(Dati!$BO$1:$BO$1000,MATCH($A33,Dati!$A$1:$A$1000,0))&amp;" · ","")&amp;IF(INDEX(Dati!$ER$1:$ER$1000,MATCH($A33,Dati!$A$1:$A$1000,0))&gt;0,Dati!$BP$3&amp;": "&amp;INDEX(Dati!$BP$1:$BP$1000,MATCH($A33,Dati!$A$1:$A$1000,0))&amp;" · ","")&amp;IF(INDEX(Dati!$ES$1:$ES$1000,MATCH($A33,Dati!$A$1:$A$1000,0))&gt;0,Dati!$BQ$3&amp;": "&amp;INDEX(Dati!$BQ$1:$BQ$1000,MATCH($A33,Dati!$A$1:$A$1000,0))&amp;" · ","")&amp;IF(INDEX(Dati!$ET$1:$ET$1000,MATCH($A33,Dati!$A$1:$A$1000,0))&gt;0,Dati!$BR$3&amp;": "&amp;INDEX(Dati!$BR$1:$BR$1000,MATCH($A33,Dati!$A$1:$A$1000,0))&amp;" · ",""))-3)),""))</f>
        <v/>
      </c>
      <c r="T33" s="55" t="str">
        <f aca="false">IF($B33="","",IFERROR(IF((IF(INDEX(Dati!$EU$1:$EU$1000,MATCH($A33,Dati!$A$1:$A$1000,0))&gt;0,Dati!$BS$3&amp;": "&amp;INDEX(Dati!$BS$1:$BS$1000,MATCH($A33,Dati!$A$1:$A$1000,0))&amp;" · ","")&amp;IF(INDEX(Dati!$EV$1:$EV$1000,MATCH($A33,Dati!$A$1:$A$1000,0))&gt;0,Dati!$BT$3&amp;": "&amp;INDEX(Dati!$BT$1:$BT$1000,MATCH($A33,Dati!$A$1:$A$1000,0))&amp;" · ","")&amp;IF(INDEX(Dati!$EW$1:$EW$1000,MATCH($A33,Dati!$A$1:$A$1000,0))&gt;0,Dati!$BU$3&amp;": "&amp;INDEX(Dati!$BU$1:$BU$1000,MATCH($A33,Dati!$A$1:$A$1000,0))&amp;" · ","")&amp;IF(INDEX(Dati!$EX$1:$EX$1000,MATCH($A33,Dati!$A$1:$A$1000,0))&gt;0,Dati!$BV$3&amp;": "&amp;INDEX(Dati!$BV$1:$BV$1000,MATCH($A33,Dati!$A$1:$A$1000,0))&amp;" · ",""))="",IF(INDEX(Dati!$FX$1:$FX$1000,MATCH($A33,Dati!$A$1:$A$1000,0))=1,"AS da recuperare",""),LEFT(IF(INDEX(Dati!$EU$1:$EU$1000,MATCH($A33,Dati!$A$1:$A$1000,0))&gt;0,Dati!$BS$3&amp;": "&amp;INDEX(Dati!$BS$1:$BS$1000,MATCH($A33,Dati!$A$1:$A$1000,0))&amp;" · ","")&amp;IF(INDEX(Dati!$EV$1:$EV$1000,MATCH($A33,Dati!$A$1:$A$1000,0))&gt;0,Dati!$BT$3&amp;": "&amp;INDEX(Dati!$BT$1:$BT$1000,MATCH($A33,Dati!$A$1:$A$1000,0))&amp;" · ","")&amp;IF(INDEX(Dati!$EW$1:$EW$1000,MATCH($A33,Dati!$A$1:$A$1000,0))&gt;0,Dati!$BU$3&amp;": "&amp;INDEX(Dati!$BU$1:$BU$1000,MATCH($A33,Dati!$A$1:$A$1000,0))&amp;" · ","")&amp;IF(INDEX(Dati!$EX$1:$EX$1000,MATCH($A33,Dati!$A$1:$A$1000,0))&gt;0,Dati!$BV$3&amp;": "&amp;INDEX(Dati!$BV$1:$BV$1000,MATCH($A33,Dati!$A$1:$A$1000,0))&amp;" · ",""),LEN(IF(INDEX(Dati!$EU$1:$EU$1000,MATCH($A33,Dati!$A$1:$A$1000,0))&gt;0,Dati!$BS$3&amp;": "&amp;INDEX(Dati!$BS$1:$BS$1000,MATCH($A33,Dati!$A$1:$A$1000,0))&amp;" · ","")&amp;IF(INDEX(Dati!$EV$1:$EV$1000,MATCH($A33,Dati!$A$1:$A$1000,0))&gt;0,Dati!$BT$3&amp;": "&amp;INDEX(Dati!$BT$1:$BT$1000,MATCH($A33,Dati!$A$1:$A$1000,0))&amp;" · ","")&amp;IF(INDEX(Dati!$EW$1:$EW$1000,MATCH($A33,Dati!$A$1:$A$1000,0))&gt;0,Dati!$BU$3&amp;": "&amp;INDEX(Dati!$BU$1:$BU$1000,MATCH($A33,Dati!$A$1:$A$1000,0))&amp;" · ","")&amp;IF(INDEX(Dati!$EX$1:$EX$1000,MATCH($A33,Dati!$A$1:$A$1000,0))&gt;0,Dati!$BV$3&amp;": "&amp;INDEX(Dati!$BV$1:$BV$1000,MATCH($A33,Dati!$A$1:$A$1000,0))&amp;" · ",""))-3)),""))</f>
        <v/>
      </c>
      <c r="U33" s="55" t="str">
        <f aca="false">IF($B33="","",IFERROR(IF((IF(INDEX(Dati!$EY$1:$EY$1000,MATCH($A33,Dati!$A$1:$A$1000,0))&gt;0,Dati!$BW$3&amp;": "&amp;INDEX(Dati!$BW$1:$BW$1000,MATCH($A33,Dati!$A$1:$A$1000,0))&amp;" · ","")&amp;IF(INDEX(Dati!$EZ$1:$EZ$1000,MATCH($A33,Dati!$A$1:$A$1000,0))&gt;0,Dati!$BX$3&amp;": "&amp;INDEX(Dati!$BX$1:$BX$1000,MATCH($A33,Dati!$A$1:$A$1000,0))&amp;" · ","")&amp;IF(INDEX(Dati!$FA$1:$FA$1000,MATCH($A33,Dati!$A$1:$A$1000,0))&gt;0,Dati!$BY$3&amp;": "&amp;INDEX(Dati!$BY$1:$BY$1000,MATCH($A33,Dati!$A$1:$A$1000,0))&amp;" · ","")&amp;IF(INDEX(Dati!$FB$1:$FB$1000,MATCH($A33,Dati!$A$1:$A$1000,0))&gt;0,Dati!$BZ$3&amp;": "&amp;INDEX(Dati!$BZ$1:$BZ$1000,MATCH($A33,Dati!$A$1:$A$1000,0))&amp;" · ",""))="",IF(INDEX(Dati!$FY$1:$FY$1000,MATCH($A33,Dati!$A$1:$A$1000,0))=1,"AS da recuperare",""),LEFT(IF(INDEX(Dati!$EY$1:$EY$1000,MATCH($A33,Dati!$A$1:$A$1000,0))&gt;0,Dati!$BW$3&amp;": "&amp;INDEX(Dati!$BW$1:$BW$1000,MATCH($A33,Dati!$A$1:$A$1000,0))&amp;" · ","")&amp;IF(INDEX(Dati!$EZ$1:$EZ$1000,MATCH($A33,Dati!$A$1:$A$1000,0))&gt;0,Dati!$BX$3&amp;": "&amp;INDEX(Dati!$BX$1:$BX$1000,MATCH($A33,Dati!$A$1:$A$1000,0))&amp;" · ","")&amp;IF(INDEX(Dati!$FA$1:$FA$1000,MATCH($A33,Dati!$A$1:$A$1000,0))&gt;0,Dati!$BY$3&amp;": "&amp;INDEX(Dati!$BY$1:$BY$1000,MATCH($A33,Dati!$A$1:$A$1000,0))&amp;" · ","")&amp;IF(INDEX(Dati!$FB$1:$FB$1000,MATCH($A33,Dati!$A$1:$A$1000,0))&gt;0,Dati!$BZ$3&amp;": "&amp;INDEX(Dati!$BZ$1:$BZ$1000,MATCH($A33,Dati!$A$1:$A$1000,0))&amp;" · ",""),LEN(IF(INDEX(Dati!$EY$1:$EY$1000,MATCH($A33,Dati!$A$1:$A$1000,0))&gt;0,Dati!$BW$3&amp;": "&amp;INDEX(Dati!$BW$1:$BW$1000,MATCH($A33,Dati!$A$1:$A$1000,0))&amp;" · ","")&amp;IF(INDEX(Dati!$EZ$1:$EZ$1000,MATCH($A33,Dati!$A$1:$A$1000,0))&gt;0,Dati!$BX$3&amp;": "&amp;INDEX(Dati!$BX$1:$BX$1000,MATCH($A33,Dati!$A$1:$A$1000,0))&amp;" · ","")&amp;IF(INDEX(Dati!$FA$1:$FA$1000,MATCH($A33,Dati!$A$1:$A$1000,0))&gt;0,Dati!$BY$3&amp;": "&amp;INDEX(Dati!$BY$1:$BY$1000,MATCH($A33,Dati!$A$1:$A$1000,0))&amp;" · ","")&amp;IF(INDEX(Dati!$FB$1:$FB$1000,MATCH($A33,Dati!$A$1:$A$1000,0))&gt;0,Dati!$BZ$3&amp;": "&amp;INDEX(Dati!$BZ$1:$BZ$1000,MATCH($A33,Dati!$A$1:$A$1000,0))&amp;" · ",""))-3)),""))</f>
        <v/>
      </c>
      <c r="V33" s="55" t="str">
        <f aca="false">IF($B33="","",IFERROR(IF((IF(INDEX(Dati!$FC$1:$FC$1000,MATCH($A33,Dati!$A$1:$A$1000,0))&gt;0,Dati!$CA$3&amp;": "&amp;INDEX(Dati!$CA$1:$CA$1000,MATCH($A33,Dati!$A$1:$A$1000,0))&amp;" · ","")&amp;IF(INDEX(Dati!$FD$1:$FD$1000,MATCH($A33,Dati!$A$1:$A$1000,0))&gt;0,Dati!$CB$3&amp;": "&amp;INDEX(Dati!$CB$1:$CB$1000,MATCH($A33,Dati!$A$1:$A$1000,0))&amp;" · ","")&amp;IF(INDEX(Dati!$FE$1:$FE$1000,MATCH($A33,Dati!$A$1:$A$1000,0))&gt;0,Dati!$CC$3&amp;": "&amp;INDEX(Dati!$CC$1:$CC$1000,MATCH($A33,Dati!$A$1:$A$1000,0))&amp;" · ","")&amp;IF(INDEX(Dati!$FF$1:$FF$1000,MATCH($A33,Dati!$A$1:$A$1000,0))&gt;0,Dati!$CD$3&amp;": "&amp;INDEX(Dati!$CD$1:$CD$1000,MATCH($A33,Dati!$A$1:$A$1000,0))&amp;" · ",""))="",IF(INDEX(Dati!$FZ$1:$FZ$1000,MATCH($A33,Dati!$A$1:$A$1000,0))=1,"AS da recuperare",""),LEFT(IF(INDEX(Dati!$FC$1:$FC$1000,MATCH($A33,Dati!$A$1:$A$1000,0))&gt;0,Dati!$CA$3&amp;": "&amp;INDEX(Dati!$CA$1:$CA$1000,MATCH($A33,Dati!$A$1:$A$1000,0))&amp;" · ","")&amp;IF(INDEX(Dati!$FD$1:$FD$1000,MATCH($A33,Dati!$A$1:$A$1000,0))&gt;0,Dati!$CB$3&amp;": "&amp;INDEX(Dati!$CB$1:$CB$1000,MATCH($A33,Dati!$A$1:$A$1000,0))&amp;" · ","")&amp;IF(INDEX(Dati!$FE$1:$FE$1000,MATCH($A33,Dati!$A$1:$A$1000,0))&gt;0,Dati!$CC$3&amp;": "&amp;INDEX(Dati!$CC$1:$CC$1000,MATCH($A33,Dati!$A$1:$A$1000,0))&amp;" · ","")&amp;IF(INDEX(Dati!$FF$1:$FF$1000,MATCH($A33,Dati!$A$1:$A$1000,0))&gt;0,Dati!$CD$3&amp;": "&amp;INDEX(Dati!$CD$1:$CD$1000,MATCH($A33,Dati!$A$1:$A$1000,0))&amp;" · ",""),LEN(IF(INDEX(Dati!$FC$1:$FC$1000,MATCH($A33,Dati!$A$1:$A$1000,0))&gt;0,Dati!$CA$3&amp;": "&amp;INDEX(Dati!$CA$1:$CA$1000,MATCH($A33,Dati!$A$1:$A$1000,0))&amp;" · ","")&amp;IF(INDEX(Dati!$FD$1:$FD$1000,MATCH($A33,Dati!$A$1:$A$1000,0))&gt;0,Dati!$CB$3&amp;": "&amp;INDEX(Dati!$CB$1:$CB$1000,MATCH($A33,Dati!$A$1:$A$1000,0))&amp;" · ","")&amp;IF(INDEX(Dati!$FE$1:$FE$1000,MATCH($A33,Dati!$A$1:$A$1000,0))&gt;0,Dati!$CC$3&amp;": "&amp;INDEX(Dati!$CC$1:$CC$1000,MATCH($A33,Dati!$A$1:$A$1000,0))&amp;" · ","")&amp;IF(INDEX(Dati!$FF$1:$FF$1000,MATCH($A33,Dati!$A$1:$A$1000,0))&gt;0,Dati!$CD$3&amp;": "&amp;INDEX(Dati!$CD$1:$CD$1000,MATCH($A33,Dati!$A$1:$A$1000,0))&amp;" · ",""))-3)),""))</f>
        <v/>
      </c>
    </row>
    <row r="34" customFormat="false" ht="19.5" hidden="false" customHeight="true" outlineLevel="0" collapsed="false">
      <c r="A34" s="10" t="n">
        <v>30</v>
      </c>
      <c r="B34" s="16" t="str">
        <f aca="false">IFERROR(INDEX(Alunni!$C$1:$C$1000,MATCH($A34,Alunni!$A$1:$A$1000,0))&amp;"","")</f>
        <v/>
      </c>
      <c r="C34" s="55" t="str">
        <f aca="false">IF($B34="","",IFERROR(IF((IF(INDEX(Dati!$CE$1:$CE$1000,MATCH($A34,Dati!$A$1:$A$1000,0))&gt;0,Dati!$C$3&amp;": "&amp;INDEX(Dati!$C$1:$C$1000,MATCH($A34,Dati!$A$1:$A$1000,0))&amp;" · ","")&amp;IF(INDEX(Dati!$CF$1:$CF$1000,MATCH($A34,Dati!$A$1:$A$1000,0))&gt;0,Dati!$D$3&amp;": "&amp;INDEX(Dati!$D$1:$D$1000,MATCH($A34,Dati!$A$1:$A$1000,0))&amp;" · ","")&amp;IF(INDEX(Dati!$CG$1:$CG$1000,MATCH($A34,Dati!$A$1:$A$1000,0))&gt;0,Dati!$E$3&amp;": "&amp;INDEX(Dati!$E$1:$E$1000,MATCH($A34,Dati!$A$1:$A$1000,0))&amp;" · ","")&amp;IF(INDEX(Dati!$CH$1:$CH$1000,MATCH($A34,Dati!$A$1:$A$1000,0))&gt;0,Dati!$F$3&amp;": "&amp;INDEX(Dati!$F$1:$F$1000,MATCH($A34,Dati!$A$1:$A$1000,0))&amp;" · ",""))="",IF(INDEX(Dati!$FG$1:$FG$1000,MATCH($A34,Dati!$A$1:$A$1000,0))=1,"AS da recuperare",""),LEFT(IF(INDEX(Dati!$CE$1:$CE$1000,MATCH($A34,Dati!$A$1:$A$1000,0))&gt;0,Dati!$C$3&amp;": "&amp;INDEX(Dati!$C$1:$C$1000,MATCH($A34,Dati!$A$1:$A$1000,0))&amp;" · ","")&amp;IF(INDEX(Dati!$CF$1:$CF$1000,MATCH($A34,Dati!$A$1:$A$1000,0))&gt;0,Dati!$D$3&amp;": "&amp;INDEX(Dati!$D$1:$D$1000,MATCH($A34,Dati!$A$1:$A$1000,0))&amp;" · ","")&amp;IF(INDEX(Dati!$CG$1:$CG$1000,MATCH($A34,Dati!$A$1:$A$1000,0))&gt;0,Dati!$E$3&amp;": "&amp;INDEX(Dati!$E$1:$E$1000,MATCH($A34,Dati!$A$1:$A$1000,0))&amp;" · ","")&amp;IF(INDEX(Dati!$CH$1:$CH$1000,MATCH($A34,Dati!$A$1:$A$1000,0))&gt;0,Dati!$F$3&amp;": "&amp;INDEX(Dati!$F$1:$F$1000,MATCH($A34,Dati!$A$1:$A$1000,0))&amp;" · ",""),LEN(IF(INDEX(Dati!$CE$1:$CE$1000,MATCH($A34,Dati!$A$1:$A$1000,0))&gt;0,Dati!$C$3&amp;": "&amp;INDEX(Dati!$C$1:$C$1000,MATCH($A34,Dati!$A$1:$A$1000,0))&amp;" · ","")&amp;IF(INDEX(Dati!$CF$1:$CF$1000,MATCH($A34,Dati!$A$1:$A$1000,0))&gt;0,Dati!$D$3&amp;": "&amp;INDEX(Dati!$D$1:$D$1000,MATCH($A34,Dati!$A$1:$A$1000,0))&amp;" · ","")&amp;IF(INDEX(Dati!$CG$1:$CG$1000,MATCH($A34,Dati!$A$1:$A$1000,0))&gt;0,Dati!$E$3&amp;": "&amp;INDEX(Dati!$E$1:$E$1000,MATCH($A34,Dati!$A$1:$A$1000,0))&amp;" · ","")&amp;IF(INDEX(Dati!$CH$1:$CH$1000,MATCH($A34,Dati!$A$1:$A$1000,0))&gt;0,Dati!$F$3&amp;": "&amp;INDEX(Dati!$F$1:$F$1000,MATCH($A34,Dati!$A$1:$A$1000,0))&amp;" · ",""))-3)),""))</f>
        <v/>
      </c>
      <c r="D34" s="55" t="str">
        <f aca="false">IF($B34="","",IFERROR(IF((IF(INDEX(Dati!$CI$1:$CI$1000,MATCH($A34,Dati!$A$1:$A$1000,0))&gt;0,Dati!$G$3&amp;": "&amp;INDEX(Dati!$G$1:$G$1000,MATCH($A34,Dati!$A$1:$A$1000,0))&amp;" · ","")&amp;IF(INDEX(Dati!$CJ$1:$CJ$1000,MATCH($A34,Dati!$A$1:$A$1000,0))&gt;0,Dati!$H$3&amp;": "&amp;INDEX(Dati!$H$1:$H$1000,MATCH($A34,Dati!$A$1:$A$1000,0))&amp;" · ","")&amp;IF(INDEX(Dati!$CK$1:$CK$1000,MATCH($A34,Dati!$A$1:$A$1000,0))&gt;0,Dati!$I$3&amp;": "&amp;INDEX(Dati!$I$1:$I$1000,MATCH($A34,Dati!$A$1:$A$1000,0))&amp;" · ","")&amp;IF(INDEX(Dati!$CL$1:$CL$1000,MATCH($A34,Dati!$A$1:$A$1000,0))&gt;0,Dati!$J$3&amp;": "&amp;INDEX(Dati!$J$1:$J$1000,MATCH($A34,Dati!$A$1:$A$1000,0))&amp;" · ",""))="",IF(INDEX(Dati!$FH$1:$FH$1000,MATCH($A34,Dati!$A$1:$A$1000,0))=1,"AS da recuperare",""),LEFT(IF(INDEX(Dati!$CI$1:$CI$1000,MATCH($A34,Dati!$A$1:$A$1000,0))&gt;0,Dati!$G$3&amp;": "&amp;INDEX(Dati!$G$1:$G$1000,MATCH($A34,Dati!$A$1:$A$1000,0))&amp;" · ","")&amp;IF(INDEX(Dati!$CJ$1:$CJ$1000,MATCH($A34,Dati!$A$1:$A$1000,0))&gt;0,Dati!$H$3&amp;": "&amp;INDEX(Dati!$H$1:$H$1000,MATCH($A34,Dati!$A$1:$A$1000,0))&amp;" · ","")&amp;IF(INDEX(Dati!$CK$1:$CK$1000,MATCH($A34,Dati!$A$1:$A$1000,0))&gt;0,Dati!$I$3&amp;": "&amp;INDEX(Dati!$I$1:$I$1000,MATCH($A34,Dati!$A$1:$A$1000,0))&amp;" · ","")&amp;IF(INDEX(Dati!$CL$1:$CL$1000,MATCH($A34,Dati!$A$1:$A$1000,0))&gt;0,Dati!$J$3&amp;": "&amp;INDEX(Dati!$J$1:$J$1000,MATCH($A34,Dati!$A$1:$A$1000,0))&amp;" · ",""),LEN(IF(INDEX(Dati!$CI$1:$CI$1000,MATCH($A34,Dati!$A$1:$A$1000,0))&gt;0,Dati!$G$3&amp;": "&amp;INDEX(Dati!$G$1:$G$1000,MATCH($A34,Dati!$A$1:$A$1000,0))&amp;" · ","")&amp;IF(INDEX(Dati!$CJ$1:$CJ$1000,MATCH($A34,Dati!$A$1:$A$1000,0))&gt;0,Dati!$H$3&amp;": "&amp;INDEX(Dati!$H$1:$H$1000,MATCH($A34,Dati!$A$1:$A$1000,0))&amp;" · ","")&amp;IF(INDEX(Dati!$CK$1:$CK$1000,MATCH($A34,Dati!$A$1:$A$1000,0))&gt;0,Dati!$I$3&amp;": "&amp;INDEX(Dati!$I$1:$I$1000,MATCH($A34,Dati!$A$1:$A$1000,0))&amp;" · ","")&amp;IF(INDEX(Dati!$CL$1:$CL$1000,MATCH($A34,Dati!$A$1:$A$1000,0))&gt;0,Dati!$J$3&amp;": "&amp;INDEX(Dati!$J$1:$J$1000,MATCH($A34,Dati!$A$1:$A$1000,0))&amp;" · ",""))-3)),""))</f>
        <v/>
      </c>
      <c r="E34" s="55" t="str">
        <f aca="false">IF($B34="","",IFERROR(IF((IF(INDEX(Dati!$CM$1:$CM$1000,MATCH($A34,Dati!$A$1:$A$1000,0))&gt;0,Dati!$K$3&amp;": "&amp;INDEX(Dati!$K$1:$K$1000,MATCH($A34,Dati!$A$1:$A$1000,0))&amp;" · ","")&amp;IF(INDEX(Dati!$CN$1:$CN$1000,MATCH($A34,Dati!$A$1:$A$1000,0))&gt;0,Dati!$L$3&amp;": "&amp;INDEX(Dati!$L$1:$L$1000,MATCH($A34,Dati!$A$1:$A$1000,0))&amp;" · ","")&amp;IF(INDEX(Dati!$CO$1:$CO$1000,MATCH($A34,Dati!$A$1:$A$1000,0))&gt;0,Dati!$M$3&amp;": "&amp;INDEX(Dati!$M$1:$M$1000,MATCH($A34,Dati!$A$1:$A$1000,0))&amp;" · ","")&amp;IF(INDEX(Dati!$CP$1:$CP$1000,MATCH($A34,Dati!$A$1:$A$1000,0))&gt;0,Dati!$N$3&amp;": "&amp;INDEX(Dati!$N$1:$N$1000,MATCH($A34,Dati!$A$1:$A$1000,0))&amp;" · ",""))="",IF(INDEX(Dati!$FI$1:$FI$1000,MATCH($A34,Dati!$A$1:$A$1000,0))=1,"AS da recuperare",""),LEFT(IF(INDEX(Dati!$CM$1:$CM$1000,MATCH($A34,Dati!$A$1:$A$1000,0))&gt;0,Dati!$K$3&amp;": "&amp;INDEX(Dati!$K$1:$K$1000,MATCH($A34,Dati!$A$1:$A$1000,0))&amp;" · ","")&amp;IF(INDEX(Dati!$CN$1:$CN$1000,MATCH($A34,Dati!$A$1:$A$1000,0))&gt;0,Dati!$L$3&amp;": "&amp;INDEX(Dati!$L$1:$L$1000,MATCH($A34,Dati!$A$1:$A$1000,0))&amp;" · ","")&amp;IF(INDEX(Dati!$CO$1:$CO$1000,MATCH($A34,Dati!$A$1:$A$1000,0))&gt;0,Dati!$M$3&amp;": "&amp;INDEX(Dati!$M$1:$M$1000,MATCH($A34,Dati!$A$1:$A$1000,0))&amp;" · ","")&amp;IF(INDEX(Dati!$CP$1:$CP$1000,MATCH($A34,Dati!$A$1:$A$1000,0))&gt;0,Dati!$N$3&amp;": "&amp;INDEX(Dati!$N$1:$N$1000,MATCH($A34,Dati!$A$1:$A$1000,0))&amp;" · ",""),LEN(IF(INDEX(Dati!$CM$1:$CM$1000,MATCH($A34,Dati!$A$1:$A$1000,0))&gt;0,Dati!$K$3&amp;": "&amp;INDEX(Dati!$K$1:$K$1000,MATCH($A34,Dati!$A$1:$A$1000,0))&amp;" · ","")&amp;IF(INDEX(Dati!$CN$1:$CN$1000,MATCH($A34,Dati!$A$1:$A$1000,0))&gt;0,Dati!$L$3&amp;": "&amp;INDEX(Dati!$L$1:$L$1000,MATCH($A34,Dati!$A$1:$A$1000,0))&amp;" · ","")&amp;IF(INDEX(Dati!$CO$1:$CO$1000,MATCH($A34,Dati!$A$1:$A$1000,0))&gt;0,Dati!$M$3&amp;": "&amp;INDEX(Dati!$M$1:$M$1000,MATCH($A34,Dati!$A$1:$A$1000,0))&amp;" · ","")&amp;IF(INDEX(Dati!$CP$1:$CP$1000,MATCH($A34,Dati!$A$1:$A$1000,0))&gt;0,Dati!$N$3&amp;": "&amp;INDEX(Dati!$N$1:$N$1000,MATCH($A34,Dati!$A$1:$A$1000,0))&amp;" · ",""))-3)),""))</f>
        <v/>
      </c>
      <c r="F34" s="55" t="str">
        <f aca="false">IF($B34="","",IFERROR(IF((IF(INDEX(Dati!$CQ$1:$CQ$1000,MATCH($A34,Dati!$A$1:$A$1000,0))&gt;0,Dati!$O$3&amp;": "&amp;INDEX(Dati!$O$1:$O$1000,MATCH($A34,Dati!$A$1:$A$1000,0))&amp;" · ","")&amp;IF(INDEX(Dati!$CR$1:$CR$1000,MATCH($A34,Dati!$A$1:$A$1000,0))&gt;0,Dati!$P$3&amp;": "&amp;INDEX(Dati!$P$1:$P$1000,MATCH($A34,Dati!$A$1:$A$1000,0))&amp;" · ","")&amp;IF(INDEX(Dati!$CS$1:$CS$1000,MATCH($A34,Dati!$A$1:$A$1000,0))&gt;0,Dati!$Q$3&amp;": "&amp;INDEX(Dati!$Q$1:$Q$1000,MATCH($A34,Dati!$A$1:$A$1000,0))&amp;" · ","")&amp;IF(INDEX(Dati!$CT$1:$CT$1000,MATCH($A34,Dati!$A$1:$A$1000,0))&gt;0,Dati!$R$3&amp;": "&amp;INDEX(Dati!$R$1:$R$1000,MATCH($A34,Dati!$A$1:$A$1000,0))&amp;" · ",""))="",IF(INDEX(Dati!$FJ$1:$FJ$1000,MATCH($A34,Dati!$A$1:$A$1000,0))=1,"AS da recuperare",""),LEFT(IF(INDEX(Dati!$CQ$1:$CQ$1000,MATCH($A34,Dati!$A$1:$A$1000,0))&gt;0,Dati!$O$3&amp;": "&amp;INDEX(Dati!$O$1:$O$1000,MATCH($A34,Dati!$A$1:$A$1000,0))&amp;" · ","")&amp;IF(INDEX(Dati!$CR$1:$CR$1000,MATCH($A34,Dati!$A$1:$A$1000,0))&gt;0,Dati!$P$3&amp;": "&amp;INDEX(Dati!$P$1:$P$1000,MATCH($A34,Dati!$A$1:$A$1000,0))&amp;" · ","")&amp;IF(INDEX(Dati!$CS$1:$CS$1000,MATCH($A34,Dati!$A$1:$A$1000,0))&gt;0,Dati!$Q$3&amp;": "&amp;INDEX(Dati!$Q$1:$Q$1000,MATCH($A34,Dati!$A$1:$A$1000,0))&amp;" · ","")&amp;IF(INDEX(Dati!$CT$1:$CT$1000,MATCH($A34,Dati!$A$1:$A$1000,0))&gt;0,Dati!$R$3&amp;": "&amp;INDEX(Dati!$R$1:$R$1000,MATCH($A34,Dati!$A$1:$A$1000,0))&amp;" · ",""),LEN(IF(INDEX(Dati!$CQ$1:$CQ$1000,MATCH($A34,Dati!$A$1:$A$1000,0))&gt;0,Dati!$O$3&amp;": "&amp;INDEX(Dati!$O$1:$O$1000,MATCH($A34,Dati!$A$1:$A$1000,0))&amp;" · ","")&amp;IF(INDEX(Dati!$CR$1:$CR$1000,MATCH($A34,Dati!$A$1:$A$1000,0))&gt;0,Dati!$P$3&amp;": "&amp;INDEX(Dati!$P$1:$P$1000,MATCH($A34,Dati!$A$1:$A$1000,0))&amp;" · ","")&amp;IF(INDEX(Dati!$CS$1:$CS$1000,MATCH($A34,Dati!$A$1:$A$1000,0))&gt;0,Dati!$Q$3&amp;": "&amp;INDEX(Dati!$Q$1:$Q$1000,MATCH($A34,Dati!$A$1:$A$1000,0))&amp;" · ","")&amp;IF(INDEX(Dati!$CT$1:$CT$1000,MATCH($A34,Dati!$A$1:$A$1000,0))&gt;0,Dati!$R$3&amp;": "&amp;INDEX(Dati!$R$1:$R$1000,MATCH($A34,Dati!$A$1:$A$1000,0))&amp;" · ",""))-3)),""))</f>
        <v/>
      </c>
      <c r="G34" s="55" t="str">
        <f aca="false">IF($B34="","",IFERROR(IF((IF(INDEX(Dati!$CU$1:$CU$1000,MATCH($A34,Dati!$A$1:$A$1000,0))&gt;0,Dati!$S$3&amp;": "&amp;INDEX(Dati!$S$1:$S$1000,MATCH($A34,Dati!$A$1:$A$1000,0))&amp;" · ","")&amp;IF(INDEX(Dati!$CV$1:$CV$1000,MATCH($A34,Dati!$A$1:$A$1000,0))&gt;0,Dati!$T$3&amp;": "&amp;INDEX(Dati!$T$1:$T$1000,MATCH($A34,Dati!$A$1:$A$1000,0))&amp;" · ","")&amp;IF(INDEX(Dati!$CW$1:$CW$1000,MATCH($A34,Dati!$A$1:$A$1000,0))&gt;0,Dati!$U$3&amp;": "&amp;INDEX(Dati!$U$1:$U$1000,MATCH($A34,Dati!$A$1:$A$1000,0))&amp;" · ","")&amp;IF(INDEX(Dati!$CX$1:$CX$1000,MATCH($A34,Dati!$A$1:$A$1000,0))&gt;0,Dati!$V$3&amp;": "&amp;INDEX(Dati!$V$1:$V$1000,MATCH($A34,Dati!$A$1:$A$1000,0))&amp;" · ",""))="",IF(INDEX(Dati!$FK$1:$FK$1000,MATCH($A34,Dati!$A$1:$A$1000,0))=1,"AS da recuperare",""),LEFT(IF(INDEX(Dati!$CU$1:$CU$1000,MATCH($A34,Dati!$A$1:$A$1000,0))&gt;0,Dati!$S$3&amp;": "&amp;INDEX(Dati!$S$1:$S$1000,MATCH($A34,Dati!$A$1:$A$1000,0))&amp;" · ","")&amp;IF(INDEX(Dati!$CV$1:$CV$1000,MATCH($A34,Dati!$A$1:$A$1000,0))&gt;0,Dati!$T$3&amp;": "&amp;INDEX(Dati!$T$1:$T$1000,MATCH($A34,Dati!$A$1:$A$1000,0))&amp;" · ","")&amp;IF(INDEX(Dati!$CW$1:$CW$1000,MATCH($A34,Dati!$A$1:$A$1000,0))&gt;0,Dati!$U$3&amp;": "&amp;INDEX(Dati!$U$1:$U$1000,MATCH($A34,Dati!$A$1:$A$1000,0))&amp;" · ","")&amp;IF(INDEX(Dati!$CX$1:$CX$1000,MATCH($A34,Dati!$A$1:$A$1000,0))&gt;0,Dati!$V$3&amp;": "&amp;INDEX(Dati!$V$1:$V$1000,MATCH($A34,Dati!$A$1:$A$1000,0))&amp;" · ",""),LEN(IF(INDEX(Dati!$CU$1:$CU$1000,MATCH($A34,Dati!$A$1:$A$1000,0))&gt;0,Dati!$S$3&amp;": "&amp;INDEX(Dati!$S$1:$S$1000,MATCH($A34,Dati!$A$1:$A$1000,0))&amp;" · ","")&amp;IF(INDEX(Dati!$CV$1:$CV$1000,MATCH($A34,Dati!$A$1:$A$1000,0))&gt;0,Dati!$T$3&amp;": "&amp;INDEX(Dati!$T$1:$T$1000,MATCH($A34,Dati!$A$1:$A$1000,0))&amp;" · ","")&amp;IF(INDEX(Dati!$CW$1:$CW$1000,MATCH($A34,Dati!$A$1:$A$1000,0))&gt;0,Dati!$U$3&amp;": "&amp;INDEX(Dati!$U$1:$U$1000,MATCH($A34,Dati!$A$1:$A$1000,0))&amp;" · ","")&amp;IF(INDEX(Dati!$CX$1:$CX$1000,MATCH($A34,Dati!$A$1:$A$1000,0))&gt;0,Dati!$V$3&amp;": "&amp;INDEX(Dati!$V$1:$V$1000,MATCH($A34,Dati!$A$1:$A$1000,0))&amp;" · ",""))-3)),""))</f>
        <v/>
      </c>
      <c r="H34" s="55" t="str">
        <f aca="false">IF($B34="","",IFERROR(IF((IF(INDEX(Dati!$CY$1:$CY$1000,MATCH($A34,Dati!$A$1:$A$1000,0))&gt;0,Dati!$W$3&amp;": "&amp;INDEX(Dati!$W$1:$W$1000,MATCH($A34,Dati!$A$1:$A$1000,0))&amp;" · ","")&amp;IF(INDEX(Dati!$CZ$1:$CZ$1000,MATCH($A34,Dati!$A$1:$A$1000,0))&gt;0,Dati!$X$3&amp;": "&amp;INDEX(Dati!$X$1:$X$1000,MATCH($A34,Dati!$A$1:$A$1000,0))&amp;" · ","")&amp;IF(INDEX(Dati!$DA$1:$DA$1000,MATCH($A34,Dati!$A$1:$A$1000,0))&gt;0,Dati!$Y$3&amp;": "&amp;INDEX(Dati!$Y$1:$Y$1000,MATCH($A34,Dati!$A$1:$A$1000,0))&amp;" · ","")&amp;IF(INDEX(Dati!$DB$1:$DB$1000,MATCH($A34,Dati!$A$1:$A$1000,0))&gt;0,Dati!$Z$3&amp;": "&amp;INDEX(Dati!$Z$1:$Z$1000,MATCH($A34,Dati!$A$1:$A$1000,0))&amp;" · ",""))="",IF(INDEX(Dati!$FL$1:$FL$1000,MATCH($A34,Dati!$A$1:$A$1000,0))=1,"AS da recuperare",""),LEFT(IF(INDEX(Dati!$CY$1:$CY$1000,MATCH($A34,Dati!$A$1:$A$1000,0))&gt;0,Dati!$W$3&amp;": "&amp;INDEX(Dati!$W$1:$W$1000,MATCH($A34,Dati!$A$1:$A$1000,0))&amp;" · ","")&amp;IF(INDEX(Dati!$CZ$1:$CZ$1000,MATCH($A34,Dati!$A$1:$A$1000,0))&gt;0,Dati!$X$3&amp;": "&amp;INDEX(Dati!$X$1:$X$1000,MATCH($A34,Dati!$A$1:$A$1000,0))&amp;" · ","")&amp;IF(INDEX(Dati!$DA$1:$DA$1000,MATCH($A34,Dati!$A$1:$A$1000,0))&gt;0,Dati!$Y$3&amp;": "&amp;INDEX(Dati!$Y$1:$Y$1000,MATCH($A34,Dati!$A$1:$A$1000,0))&amp;" · ","")&amp;IF(INDEX(Dati!$DB$1:$DB$1000,MATCH($A34,Dati!$A$1:$A$1000,0))&gt;0,Dati!$Z$3&amp;": "&amp;INDEX(Dati!$Z$1:$Z$1000,MATCH($A34,Dati!$A$1:$A$1000,0))&amp;" · ",""),LEN(IF(INDEX(Dati!$CY$1:$CY$1000,MATCH($A34,Dati!$A$1:$A$1000,0))&gt;0,Dati!$W$3&amp;": "&amp;INDEX(Dati!$W$1:$W$1000,MATCH($A34,Dati!$A$1:$A$1000,0))&amp;" · ","")&amp;IF(INDEX(Dati!$CZ$1:$CZ$1000,MATCH($A34,Dati!$A$1:$A$1000,0))&gt;0,Dati!$X$3&amp;": "&amp;INDEX(Dati!$X$1:$X$1000,MATCH($A34,Dati!$A$1:$A$1000,0))&amp;" · ","")&amp;IF(INDEX(Dati!$DA$1:$DA$1000,MATCH($A34,Dati!$A$1:$A$1000,0))&gt;0,Dati!$Y$3&amp;": "&amp;INDEX(Dati!$Y$1:$Y$1000,MATCH($A34,Dati!$A$1:$A$1000,0))&amp;" · ","")&amp;IF(INDEX(Dati!$DB$1:$DB$1000,MATCH($A34,Dati!$A$1:$A$1000,0))&gt;0,Dati!$Z$3&amp;": "&amp;INDEX(Dati!$Z$1:$Z$1000,MATCH($A34,Dati!$A$1:$A$1000,0))&amp;" · ",""))-3)),""))</f>
        <v/>
      </c>
      <c r="I34" s="55" t="str">
        <f aca="false">IF($B34="","",IFERROR(IF((IF(INDEX(Dati!$DC$1:$DC$1000,MATCH($A34,Dati!$A$1:$A$1000,0))&gt;0,Dati!$AA$3&amp;": "&amp;INDEX(Dati!$AA$1:$AA$1000,MATCH($A34,Dati!$A$1:$A$1000,0))&amp;" · ","")&amp;IF(INDEX(Dati!$DD$1:$DD$1000,MATCH($A34,Dati!$A$1:$A$1000,0))&gt;0,Dati!$AB$3&amp;": "&amp;INDEX(Dati!$AB$1:$AB$1000,MATCH($A34,Dati!$A$1:$A$1000,0))&amp;" · ","")&amp;IF(INDEX(Dati!$DE$1:$DE$1000,MATCH($A34,Dati!$A$1:$A$1000,0))&gt;0,Dati!$AC$3&amp;": "&amp;INDEX(Dati!$AC$1:$AC$1000,MATCH($A34,Dati!$A$1:$A$1000,0))&amp;" · ","")&amp;IF(INDEX(Dati!$DF$1:$DF$1000,MATCH($A34,Dati!$A$1:$A$1000,0))&gt;0,Dati!$AD$3&amp;": "&amp;INDEX(Dati!$AD$1:$AD$1000,MATCH($A34,Dati!$A$1:$A$1000,0))&amp;" · ",""))="",IF(INDEX(Dati!$FM$1:$FM$1000,MATCH($A34,Dati!$A$1:$A$1000,0))=1,"AS da recuperare",""),LEFT(IF(INDEX(Dati!$DC$1:$DC$1000,MATCH($A34,Dati!$A$1:$A$1000,0))&gt;0,Dati!$AA$3&amp;": "&amp;INDEX(Dati!$AA$1:$AA$1000,MATCH($A34,Dati!$A$1:$A$1000,0))&amp;" · ","")&amp;IF(INDEX(Dati!$DD$1:$DD$1000,MATCH($A34,Dati!$A$1:$A$1000,0))&gt;0,Dati!$AB$3&amp;": "&amp;INDEX(Dati!$AB$1:$AB$1000,MATCH($A34,Dati!$A$1:$A$1000,0))&amp;" · ","")&amp;IF(INDEX(Dati!$DE$1:$DE$1000,MATCH($A34,Dati!$A$1:$A$1000,0))&gt;0,Dati!$AC$3&amp;": "&amp;INDEX(Dati!$AC$1:$AC$1000,MATCH($A34,Dati!$A$1:$A$1000,0))&amp;" · ","")&amp;IF(INDEX(Dati!$DF$1:$DF$1000,MATCH($A34,Dati!$A$1:$A$1000,0))&gt;0,Dati!$AD$3&amp;": "&amp;INDEX(Dati!$AD$1:$AD$1000,MATCH($A34,Dati!$A$1:$A$1000,0))&amp;" · ",""),LEN(IF(INDEX(Dati!$DC$1:$DC$1000,MATCH($A34,Dati!$A$1:$A$1000,0))&gt;0,Dati!$AA$3&amp;": "&amp;INDEX(Dati!$AA$1:$AA$1000,MATCH($A34,Dati!$A$1:$A$1000,0))&amp;" · ","")&amp;IF(INDEX(Dati!$DD$1:$DD$1000,MATCH($A34,Dati!$A$1:$A$1000,0))&gt;0,Dati!$AB$3&amp;": "&amp;INDEX(Dati!$AB$1:$AB$1000,MATCH($A34,Dati!$A$1:$A$1000,0))&amp;" · ","")&amp;IF(INDEX(Dati!$DE$1:$DE$1000,MATCH($A34,Dati!$A$1:$A$1000,0))&gt;0,Dati!$AC$3&amp;": "&amp;INDEX(Dati!$AC$1:$AC$1000,MATCH($A34,Dati!$A$1:$A$1000,0))&amp;" · ","")&amp;IF(INDEX(Dati!$DF$1:$DF$1000,MATCH($A34,Dati!$A$1:$A$1000,0))&gt;0,Dati!$AD$3&amp;": "&amp;INDEX(Dati!$AD$1:$AD$1000,MATCH($A34,Dati!$A$1:$A$1000,0))&amp;" · ",""))-3)),""))</f>
        <v/>
      </c>
      <c r="J34" s="55" t="str">
        <f aca="false">IF($B34="","",IFERROR(IF((IF(INDEX(Dati!$DG$1:$DG$1000,MATCH($A34,Dati!$A$1:$A$1000,0))&gt;0,Dati!$AE$3&amp;": "&amp;INDEX(Dati!$AE$1:$AE$1000,MATCH($A34,Dati!$A$1:$A$1000,0))&amp;" · ","")&amp;IF(INDEX(Dati!$DH$1:$DH$1000,MATCH($A34,Dati!$A$1:$A$1000,0))&gt;0,Dati!$AF$3&amp;": "&amp;INDEX(Dati!$AF$1:$AF$1000,MATCH($A34,Dati!$A$1:$A$1000,0))&amp;" · ","")&amp;IF(INDEX(Dati!$DI$1:$DI$1000,MATCH($A34,Dati!$A$1:$A$1000,0))&gt;0,Dati!$AG$3&amp;": "&amp;INDEX(Dati!$AG$1:$AG$1000,MATCH($A34,Dati!$A$1:$A$1000,0))&amp;" · ","")&amp;IF(INDEX(Dati!$DJ$1:$DJ$1000,MATCH($A34,Dati!$A$1:$A$1000,0))&gt;0,Dati!$AH$3&amp;": "&amp;INDEX(Dati!$AH$1:$AH$1000,MATCH($A34,Dati!$A$1:$A$1000,0))&amp;" · ",""))="",IF(INDEX(Dati!$FN$1:$FN$1000,MATCH($A34,Dati!$A$1:$A$1000,0))=1,"AS da recuperare",""),LEFT(IF(INDEX(Dati!$DG$1:$DG$1000,MATCH($A34,Dati!$A$1:$A$1000,0))&gt;0,Dati!$AE$3&amp;": "&amp;INDEX(Dati!$AE$1:$AE$1000,MATCH($A34,Dati!$A$1:$A$1000,0))&amp;" · ","")&amp;IF(INDEX(Dati!$DH$1:$DH$1000,MATCH($A34,Dati!$A$1:$A$1000,0))&gt;0,Dati!$AF$3&amp;": "&amp;INDEX(Dati!$AF$1:$AF$1000,MATCH($A34,Dati!$A$1:$A$1000,0))&amp;" · ","")&amp;IF(INDEX(Dati!$DI$1:$DI$1000,MATCH($A34,Dati!$A$1:$A$1000,0))&gt;0,Dati!$AG$3&amp;": "&amp;INDEX(Dati!$AG$1:$AG$1000,MATCH($A34,Dati!$A$1:$A$1000,0))&amp;" · ","")&amp;IF(INDEX(Dati!$DJ$1:$DJ$1000,MATCH($A34,Dati!$A$1:$A$1000,0))&gt;0,Dati!$AH$3&amp;": "&amp;INDEX(Dati!$AH$1:$AH$1000,MATCH($A34,Dati!$A$1:$A$1000,0))&amp;" · ",""),LEN(IF(INDEX(Dati!$DG$1:$DG$1000,MATCH($A34,Dati!$A$1:$A$1000,0))&gt;0,Dati!$AE$3&amp;": "&amp;INDEX(Dati!$AE$1:$AE$1000,MATCH($A34,Dati!$A$1:$A$1000,0))&amp;" · ","")&amp;IF(INDEX(Dati!$DH$1:$DH$1000,MATCH($A34,Dati!$A$1:$A$1000,0))&gt;0,Dati!$AF$3&amp;": "&amp;INDEX(Dati!$AF$1:$AF$1000,MATCH($A34,Dati!$A$1:$A$1000,0))&amp;" · ","")&amp;IF(INDEX(Dati!$DI$1:$DI$1000,MATCH($A34,Dati!$A$1:$A$1000,0))&gt;0,Dati!$AG$3&amp;": "&amp;INDEX(Dati!$AG$1:$AG$1000,MATCH($A34,Dati!$A$1:$A$1000,0))&amp;" · ","")&amp;IF(INDEX(Dati!$DJ$1:$DJ$1000,MATCH($A34,Dati!$A$1:$A$1000,0))&gt;0,Dati!$AH$3&amp;": "&amp;INDEX(Dati!$AH$1:$AH$1000,MATCH($A34,Dati!$A$1:$A$1000,0))&amp;" · ",""))-3)),""))</f>
        <v/>
      </c>
      <c r="K34" s="55" t="str">
        <f aca="false">IF($B34="","",IFERROR(IF((IF(INDEX(Dati!$DK$1:$DK$1000,MATCH($A34,Dati!$A$1:$A$1000,0))&gt;0,Dati!$AI$3&amp;": "&amp;INDEX(Dati!$AI$1:$AI$1000,MATCH($A34,Dati!$A$1:$A$1000,0))&amp;" · ","")&amp;IF(INDEX(Dati!$DL$1:$DL$1000,MATCH($A34,Dati!$A$1:$A$1000,0))&gt;0,Dati!$AJ$3&amp;": "&amp;INDEX(Dati!$AJ$1:$AJ$1000,MATCH($A34,Dati!$A$1:$A$1000,0))&amp;" · ","")&amp;IF(INDEX(Dati!$DM$1:$DM$1000,MATCH($A34,Dati!$A$1:$A$1000,0))&gt;0,Dati!$AK$3&amp;": "&amp;INDEX(Dati!$AK$1:$AK$1000,MATCH($A34,Dati!$A$1:$A$1000,0))&amp;" · ","")&amp;IF(INDEX(Dati!$DN$1:$DN$1000,MATCH($A34,Dati!$A$1:$A$1000,0))&gt;0,Dati!$AL$3&amp;": "&amp;INDEX(Dati!$AL$1:$AL$1000,MATCH($A34,Dati!$A$1:$A$1000,0))&amp;" · ",""))="",IF(INDEX(Dati!$FO$1:$FO$1000,MATCH($A34,Dati!$A$1:$A$1000,0))=1,"AS da recuperare",""),LEFT(IF(INDEX(Dati!$DK$1:$DK$1000,MATCH($A34,Dati!$A$1:$A$1000,0))&gt;0,Dati!$AI$3&amp;": "&amp;INDEX(Dati!$AI$1:$AI$1000,MATCH($A34,Dati!$A$1:$A$1000,0))&amp;" · ","")&amp;IF(INDEX(Dati!$DL$1:$DL$1000,MATCH($A34,Dati!$A$1:$A$1000,0))&gt;0,Dati!$AJ$3&amp;": "&amp;INDEX(Dati!$AJ$1:$AJ$1000,MATCH($A34,Dati!$A$1:$A$1000,0))&amp;" · ","")&amp;IF(INDEX(Dati!$DM$1:$DM$1000,MATCH($A34,Dati!$A$1:$A$1000,0))&gt;0,Dati!$AK$3&amp;": "&amp;INDEX(Dati!$AK$1:$AK$1000,MATCH($A34,Dati!$A$1:$A$1000,0))&amp;" · ","")&amp;IF(INDEX(Dati!$DN$1:$DN$1000,MATCH($A34,Dati!$A$1:$A$1000,0))&gt;0,Dati!$AL$3&amp;": "&amp;INDEX(Dati!$AL$1:$AL$1000,MATCH($A34,Dati!$A$1:$A$1000,0))&amp;" · ",""),LEN(IF(INDEX(Dati!$DK$1:$DK$1000,MATCH($A34,Dati!$A$1:$A$1000,0))&gt;0,Dati!$AI$3&amp;": "&amp;INDEX(Dati!$AI$1:$AI$1000,MATCH($A34,Dati!$A$1:$A$1000,0))&amp;" · ","")&amp;IF(INDEX(Dati!$DL$1:$DL$1000,MATCH($A34,Dati!$A$1:$A$1000,0))&gt;0,Dati!$AJ$3&amp;": "&amp;INDEX(Dati!$AJ$1:$AJ$1000,MATCH($A34,Dati!$A$1:$A$1000,0))&amp;" · ","")&amp;IF(INDEX(Dati!$DM$1:$DM$1000,MATCH($A34,Dati!$A$1:$A$1000,0))&gt;0,Dati!$AK$3&amp;": "&amp;INDEX(Dati!$AK$1:$AK$1000,MATCH($A34,Dati!$A$1:$A$1000,0))&amp;" · ","")&amp;IF(INDEX(Dati!$DN$1:$DN$1000,MATCH($A34,Dati!$A$1:$A$1000,0))&gt;0,Dati!$AL$3&amp;": "&amp;INDEX(Dati!$AL$1:$AL$1000,MATCH($A34,Dati!$A$1:$A$1000,0))&amp;" · ",""))-3)),""))</f>
        <v/>
      </c>
      <c r="L34" s="55" t="str">
        <f aca="false">IF($B34="","",IFERROR(IF((IF(INDEX(Dati!$DO$1:$DO$1000,MATCH($A34,Dati!$A$1:$A$1000,0))&gt;0,Dati!$AM$3&amp;": "&amp;INDEX(Dati!$AM$1:$AM$1000,MATCH($A34,Dati!$A$1:$A$1000,0))&amp;" · ","")&amp;IF(INDEX(Dati!$DP$1:$DP$1000,MATCH($A34,Dati!$A$1:$A$1000,0))&gt;0,Dati!$AN$3&amp;": "&amp;INDEX(Dati!$AN$1:$AN$1000,MATCH($A34,Dati!$A$1:$A$1000,0))&amp;" · ","")&amp;IF(INDEX(Dati!$DQ$1:$DQ$1000,MATCH($A34,Dati!$A$1:$A$1000,0))&gt;0,Dati!$AO$3&amp;": "&amp;INDEX(Dati!$AO$1:$AO$1000,MATCH($A34,Dati!$A$1:$A$1000,0))&amp;" · ","")&amp;IF(INDEX(Dati!$DR$1:$DR$1000,MATCH($A34,Dati!$A$1:$A$1000,0))&gt;0,Dati!$AP$3&amp;": "&amp;INDEX(Dati!$AP$1:$AP$1000,MATCH($A34,Dati!$A$1:$A$1000,0))&amp;" · ",""))="",IF(INDEX(Dati!$FP$1:$FP$1000,MATCH($A34,Dati!$A$1:$A$1000,0))=1,"AS da recuperare",""),LEFT(IF(INDEX(Dati!$DO$1:$DO$1000,MATCH($A34,Dati!$A$1:$A$1000,0))&gt;0,Dati!$AM$3&amp;": "&amp;INDEX(Dati!$AM$1:$AM$1000,MATCH($A34,Dati!$A$1:$A$1000,0))&amp;" · ","")&amp;IF(INDEX(Dati!$DP$1:$DP$1000,MATCH($A34,Dati!$A$1:$A$1000,0))&gt;0,Dati!$AN$3&amp;": "&amp;INDEX(Dati!$AN$1:$AN$1000,MATCH($A34,Dati!$A$1:$A$1000,0))&amp;" · ","")&amp;IF(INDEX(Dati!$DQ$1:$DQ$1000,MATCH($A34,Dati!$A$1:$A$1000,0))&gt;0,Dati!$AO$3&amp;": "&amp;INDEX(Dati!$AO$1:$AO$1000,MATCH($A34,Dati!$A$1:$A$1000,0))&amp;" · ","")&amp;IF(INDEX(Dati!$DR$1:$DR$1000,MATCH($A34,Dati!$A$1:$A$1000,0))&gt;0,Dati!$AP$3&amp;": "&amp;INDEX(Dati!$AP$1:$AP$1000,MATCH($A34,Dati!$A$1:$A$1000,0))&amp;" · ",""),LEN(IF(INDEX(Dati!$DO$1:$DO$1000,MATCH($A34,Dati!$A$1:$A$1000,0))&gt;0,Dati!$AM$3&amp;": "&amp;INDEX(Dati!$AM$1:$AM$1000,MATCH($A34,Dati!$A$1:$A$1000,0))&amp;" · ","")&amp;IF(INDEX(Dati!$DP$1:$DP$1000,MATCH($A34,Dati!$A$1:$A$1000,0))&gt;0,Dati!$AN$3&amp;": "&amp;INDEX(Dati!$AN$1:$AN$1000,MATCH($A34,Dati!$A$1:$A$1000,0))&amp;" · ","")&amp;IF(INDEX(Dati!$DQ$1:$DQ$1000,MATCH($A34,Dati!$A$1:$A$1000,0))&gt;0,Dati!$AO$3&amp;": "&amp;INDEX(Dati!$AO$1:$AO$1000,MATCH($A34,Dati!$A$1:$A$1000,0))&amp;" · ","")&amp;IF(INDEX(Dati!$DR$1:$DR$1000,MATCH($A34,Dati!$A$1:$A$1000,0))&gt;0,Dati!$AP$3&amp;": "&amp;INDEX(Dati!$AP$1:$AP$1000,MATCH($A34,Dati!$A$1:$A$1000,0))&amp;" · ",""))-3)),""))</f>
        <v/>
      </c>
      <c r="M34" s="55" t="str">
        <f aca="false">IF($B34="","",IFERROR(IF((IF(INDEX(Dati!$DS$1:$DS$1000,MATCH($A34,Dati!$A$1:$A$1000,0))&gt;0,Dati!$AQ$3&amp;": "&amp;INDEX(Dati!$AQ$1:$AQ$1000,MATCH($A34,Dati!$A$1:$A$1000,0))&amp;" · ","")&amp;IF(INDEX(Dati!$DT$1:$DT$1000,MATCH($A34,Dati!$A$1:$A$1000,0))&gt;0,Dati!$AR$3&amp;": "&amp;INDEX(Dati!$AR$1:$AR$1000,MATCH($A34,Dati!$A$1:$A$1000,0))&amp;" · ","")&amp;IF(INDEX(Dati!$DU$1:$DU$1000,MATCH($A34,Dati!$A$1:$A$1000,0))&gt;0,Dati!$AS$3&amp;": "&amp;INDEX(Dati!$AS$1:$AS$1000,MATCH($A34,Dati!$A$1:$A$1000,0))&amp;" · ","")&amp;IF(INDEX(Dati!$DV$1:$DV$1000,MATCH($A34,Dati!$A$1:$A$1000,0))&gt;0,Dati!$AT$3&amp;": "&amp;INDEX(Dati!$AT$1:$AT$1000,MATCH($A34,Dati!$A$1:$A$1000,0))&amp;" · ",""))="",IF(INDEX(Dati!$FQ$1:$FQ$1000,MATCH($A34,Dati!$A$1:$A$1000,0))=1,"AS da recuperare",""),LEFT(IF(INDEX(Dati!$DS$1:$DS$1000,MATCH($A34,Dati!$A$1:$A$1000,0))&gt;0,Dati!$AQ$3&amp;": "&amp;INDEX(Dati!$AQ$1:$AQ$1000,MATCH($A34,Dati!$A$1:$A$1000,0))&amp;" · ","")&amp;IF(INDEX(Dati!$DT$1:$DT$1000,MATCH($A34,Dati!$A$1:$A$1000,0))&gt;0,Dati!$AR$3&amp;": "&amp;INDEX(Dati!$AR$1:$AR$1000,MATCH($A34,Dati!$A$1:$A$1000,0))&amp;" · ","")&amp;IF(INDEX(Dati!$DU$1:$DU$1000,MATCH($A34,Dati!$A$1:$A$1000,0))&gt;0,Dati!$AS$3&amp;": "&amp;INDEX(Dati!$AS$1:$AS$1000,MATCH($A34,Dati!$A$1:$A$1000,0))&amp;" · ","")&amp;IF(INDEX(Dati!$DV$1:$DV$1000,MATCH($A34,Dati!$A$1:$A$1000,0))&gt;0,Dati!$AT$3&amp;": "&amp;INDEX(Dati!$AT$1:$AT$1000,MATCH($A34,Dati!$A$1:$A$1000,0))&amp;" · ",""),LEN(IF(INDEX(Dati!$DS$1:$DS$1000,MATCH($A34,Dati!$A$1:$A$1000,0))&gt;0,Dati!$AQ$3&amp;": "&amp;INDEX(Dati!$AQ$1:$AQ$1000,MATCH($A34,Dati!$A$1:$A$1000,0))&amp;" · ","")&amp;IF(INDEX(Dati!$DT$1:$DT$1000,MATCH($A34,Dati!$A$1:$A$1000,0))&gt;0,Dati!$AR$3&amp;": "&amp;INDEX(Dati!$AR$1:$AR$1000,MATCH($A34,Dati!$A$1:$A$1000,0))&amp;" · ","")&amp;IF(INDEX(Dati!$DU$1:$DU$1000,MATCH($A34,Dati!$A$1:$A$1000,0))&gt;0,Dati!$AS$3&amp;": "&amp;INDEX(Dati!$AS$1:$AS$1000,MATCH($A34,Dati!$A$1:$A$1000,0))&amp;" · ","")&amp;IF(INDEX(Dati!$DV$1:$DV$1000,MATCH($A34,Dati!$A$1:$A$1000,0))&gt;0,Dati!$AT$3&amp;": "&amp;INDEX(Dati!$AT$1:$AT$1000,MATCH($A34,Dati!$A$1:$A$1000,0))&amp;" · ",""))-3)),""))</f>
        <v/>
      </c>
      <c r="N34" s="55" t="str">
        <f aca="false">IF($B34="","",IFERROR(IF((IF(INDEX(Dati!$DW$1:$DW$1000,MATCH($A34,Dati!$A$1:$A$1000,0))&gt;0,Dati!$AU$3&amp;": "&amp;INDEX(Dati!$AU$1:$AU$1000,MATCH($A34,Dati!$A$1:$A$1000,0))&amp;" · ","")&amp;IF(INDEX(Dati!$DX$1:$DX$1000,MATCH($A34,Dati!$A$1:$A$1000,0))&gt;0,Dati!$AV$3&amp;": "&amp;INDEX(Dati!$AV$1:$AV$1000,MATCH($A34,Dati!$A$1:$A$1000,0))&amp;" · ","")&amp;IF(INDEX(Dati!$DY$1:$DY$1000,MATCH($A34,Dati!$A$1:$A$1000,0))&gt;0,Dati!$AW$3&amp;": "&amp;INDEX(Dati!$AW$1:$AW$1000,MATCH($A34,Dati!$A$1:$A$1000,0))&amp;" · ","")&amp;IF(INDEX(Dati!$DZ$1:$DZ$1000,MATCH($A34,Dati!$A$1:$A$1000,0))&gt;0,Dati!$AX$3&amp;": "&amp;INDEX(Dati!$AX$1:$AX$1000,MATCH($A34,Dati!$A$1:$A$1000,0))&amp;" · ",""))="",IF(INDEX(Dati!$FR$1:$FR$1000,MATCH($A34,Dati!$A$1:$A$1000,0))=1,"AS da recuperare",""),LEFT(IF(INDEX(Dati!$DW$1:$DW$1000,MATCH($A34,Dati!$A$1:$A$1000,0))&gt;0,Dati!$AU$3&amp;": "&amp;INDEX(Dati!$AU$1:$AU$1000,MATCH($A34,Dati!$A$1:$A$1000,0))&amp;" · ","")&amp;IF(INDEX(Dati!$DX$1:$DX$1000,MATCH($A34,Dati!$A$1:$A$1000,0))&gt;0,Dati!$AV$3&amp;": "&amp;INDEX(Dati!$AV$1:$AV$1000,MATCH($A34,Dati!$A$1:$A$1000,0))&amp;" · ","")&amp;IF(INDEX(Dati!$DY$1:$DY$1000,MATCH($A34,Dati!$A$1:$A$1000,0))&gt;0,Dati!$AW$3&amp;": "&amp;INDEX(Dati!$AW$1:$AW$1000,MATCH($A34,Dati!$A$1:$A$1000,0))&amp;" · ","")&amp;IF(INDEX(Dati!$DZ$1:$DZ$1000,MATCH($A34,Dati!$A$1:$A$1000,0))&gt;0,Dati!$AX$3&amp;": "&amp;INDEX(Dati!$AX$1:$AX$1000,MATCH($A34,Dati!$A$1:$A$1000,0))&amp;" · ",""),LEN(IF(INDEX(Dati!$DW$1:$DW$1000,MATCH($A34,Dati!$A$1:$A$1000,0))&gt;0,Dati!$AU$3&amp;": "&amp;INDEX(Dati!$AU$1:$AU$1000,MATCH($A34,Dati!$A$1:$A$1000,0))&amp;" · ","")&amp;IF(INDEX(Dati!$DX$1:$DX$1000,MATCH($A34,Dati!$A$1:$A$1000,0))&gt;0,Dati!$AV$3&amp;": "&amp;INDEX(Dati!$AV$1:$AV$1000,MATCH($A34,Dati!$A$1:$A$1000,0))&amp;" · ","")&amp;IF(INDEX(Dati!$DY$1:$DY$1000,MATCH($A34,Dati!$A$1:$A$1000,0))&gt;0,Dati!$AW$3&amp;": "&amp;INDEX(Dati!$AW$1:$AW$1000,MATCH($A34,Dati!$A$1:$A$1000,0))&amp;" · ","")&amp;IF(INDEX(Dati!$DZ$1:$DZ$1000,MATCH($A34,Dati!$A$1:$A$1000,0))&gt;0,Dati!$AX$3&amp;": "&amp;INDEX(Dati!$AX$1:$AX$1000,MATCH($A34,Dati!$A$1:$A$1000,0))&amp;" · ",""))-3)),""))</f>
        <v/>
      </c>
      <c r="O34" s="55" t="str">
        <f aca="false">IF($B34="","",IFERROR(IF((IF(INDEX(Dati!$EA$1:$EA$1000,MATCH($A34,Dati!$A$1:$A$1000,0))&gt;0,Dati!$AY$3&amp;": "&amp;INDEX(Dati!$AY$1:$AY$1000,MATCH($A34,Dati!$A$1:$A$1000,0))&amp;" · ","")&amp;IF(INDEX(Dati!$EB$1:$EB$1000,MATCH($A34,Dati!$A$1:$A$1000,0))&gt;0,Dati!$AZ$3&amp;": "&amp;INDEX(Dati!$AZ$1:$AZ$1000,MATCH($A34,Dati!$A$1:$A$1000,0))&amp;" · ","")&amp;IF(INDEX(Dati!$EC$1:$EC$1000,MATCH($A34,Dati!$A$1:$A$1000,0))&gt;0,Dati!$BA$3&amp;": "&amp;INDEX(Dati!$BA$1:$BA$1000,MATCH($A34,Dati!$A$1:$A$1000,0))&amp;" · ","")&amp;IF(INDEX(Dati!$ED$1:$ED$1000,MATCH($A34,Dati!$A$1:$A$1000,0))&gt;0,Dati!$BB$3&amp;": "&amp;INDEX(Dati!$BB$1:$BB$1000,MATCH($A34,Dati!$A$1:$A$1000,0))&amp;" · ",""))="",IF(INDEX(Dati!$FS$1:$FS$1000,MATCH($A34,Dati!$A$1:$A$1000,0))=1,"AS da recuperare",""),LEFT(IF(INDEX(Dati!$EA$1:$EA$1000,MATCH($A34,Dati!$A$1:$A$1000,0))&gt;0,Dati!$AY$3&amp;": "&amp;INDEX(Dati!$AY$1:$AY$1000,MATCH($A34,Dati!$A$1:$A$1000,0))&amp;" · ","")&amp;IF(INDEX(Dati!$EB$1:$EB$1000,MATCH($A34,Dati!$A$1:$A$1000,0))&gt;0,Dati!$AZ$3&amp;": "&amp;INDEX(Dati!$AZ$1:$AZ$1000,MATCH($A34,Dati!$A$1:$A$1000,0))&amp;" · ","")&amp;IF(INDEX(Dati!$EC$1:$EC$1000,MATCH($A34,Dati!$A$1:$A$1000,0))&gt;0,Dati!$BA$3&amp;": "&amp;INDEX(Dati!$BA$1:$BA$1000,MATCH($A34,Dati!$A$1:$A$1000,0))&amp;" · ","")&amp;IF(INDEX(Dati!$ED$1:$ED$1000,MATCH($A34,Dati!$A$1:$A$1000,0))&gt;0,Dati!$BB$3&amp;": "&amp;INDEX(Dati!$BB$1:$BB$1000,MATCH($A34,Dati!$A$1:$A$1000,0))&amp;" · ",""),LEN(IF(INDEX(Dati!$EA$1:$EA$1000,MATCH($A34,Dati!$A$1:$A$1000,0))&gt;0,Dati!$AY$3&amp;": "&amp;INDEX(Dati!$AY$1:$AY$1000,MATCH($A34,Dati!$A$1:$A$1000,0))&amp;" · ","")&amp;IF(INDEX(Dati!$EB$1:$EB$1000,MATCH($A34,Dati!$A$1:$A$1000,0))&gt;0,Dati!$AZ$3&amp;": "&amp;INDEX(Dati!$AZ$1:$AZ$1000,MATCH($A34,Dati!$A$1:$A$1000,0))&amp;" · ","")&amp;IF(INDEX(Dati!$EC$1:$EC$1000,MATCH($A34,Dati!$A$1:$A$1000,0))&gt;0,Dati!$BA$3&amp;": "&amp;INDEX(Dati!$BA$1:$BA$1000,MATCH($A34,Dati!$A$1:$A$1000,0))&amp;" · ","")&amp;IF(INDEX(Dati!$ED$1:$ED$1000,MATCH($A34,Dati!$A$1:$A$1000,0))&gt;0,Dati!$BB$3&amp;": "&amp;INDEX(Dati!$BB$1:$BB$1000,MATCH($A34,Dati!$A$1:$A$1000,0))&amp;" · ",""))-3)),""))</f>
        <v/>
      </c>
      <c r="P34" s="55" t="str">
        <f aca="false">IF($B34="","",IFERROR(IF((IF(INDEX(Dati!$EE$1:$EE$1000,MATCH($A34,Dati!$A$1:$A$1000,0))&gt;0,Dati!$BC$3&amp;": "&amp;INDEX(Dati!$BC$1:$BC$1000,MATCH($A34,Dati!$A$1:$A$1000,0))&amp;" · ","")&amp;IF(INDEX(Dati!$EF$1:$EF$1000,MATCH($A34,Dati!$A$1:$A$1000,0))&gt;0,Dati!$BD$3&amp;": "&amp;INDEX(Dati!$BD$1:$BD$1000,MATCH($A34,Dati!$A$1:$A$1000,0))&amp;" · ","")&amp;IF(INDEX(Dati!$EG$1:$EG$1000,MATCH($A34,Dati!$A$1:$A$1000,0))&gt;0,Dati!$BE$3&amp;": "&amp;INDEX(Dati!$BE$1:$BE$1000,MATCH($A34,Dati!$A$1:$A$1000,0))&amp;" · ","")&amp;IF(INDEX(Dati!$EH$1:$EH$1000,MATCH($A34,Dati!$A$1:$A$1000,0))&gt;0,Dati!$BF$3&amp;": "&amp;INDEX(Dati!$BF$1:$BF$1000,MATCH($A34,Dati!$A$1:$A$1000,0))&amp;" · ",""))="",IF(INDEX(Dati!$FT$1:$FT$1000,MATCH($A34,Dati!$A$1:$A$1000,0))=1,"AS da recuperare",""),LEFT(IF(INDEX(Dati!$EE$1:$EE$1000,MATCH($A34,Dati!$A$1:$A$1000,0))&gt;0,Dati!$BC$3&amp;": "&amp;INDEX(Dati!$BC$1:$BC$1000,MATCH($A34,Dati!$A$1:$A$1000,0))&amp;" · ","")&amp;IF(INDEX(Dati!$EF$1:$EF$1000,MATCH($A34,Dati!$A$1:$A$1000,0))&gt;0,Dati!$BD$3&amp;": "&amp;INDEX(Dati!$BD$1:$BD$1000,MATCH($A34,Dati!$A$1:$A$1000,0))&amp;" · ","")&amp;IF(INDEX(Dati!$EG$1:$EG$1000,MATCH($A34,Dati!$A$1:$A$1000,0))&gt;0,Dati!$BE$3&amp;": "&amp;INDEX(Dati!$BE$1:$BE$1000,MATCH($A34,Dati!$A$1:$A$1000,0))&amp;" · ","")&amp;IF(INDEX(Dati!$EH$1:$EH$1000,MATCH($A34,Dati!$A$1:$A$1000,0))&gt;0,Dati!$BF$3&amp;": "&amp;INDEX(Dati!$BF$1:$BF$1000,MATCH($A34,Dati!$A$1:$A$1000,0))&amp;" · ",""),LEN(IF(INDEX(Dati!$EE$1:$EE$1000,MATCH($A34,Dati!$A$1:$A$1000,0))&gt;0,Dati!$BC$3&amp;": "&amp;INDEX(Dati!$BC$1:$BC$1000,MATCH($A34,Dati!$A$1:$A$1000,0))&amp;" · ","")&amp;IF(INDEX(Dati!$EF$1:$EF$1000,MATCH($A34,Dati!$A$1:$A$1000,0))&gt;0,Dati!$BD$3&amp;": "&amp;INDEX(Dati!$BD$1:$BD$1000,MATCH($A34,Dati!$A$1:$A$1000,0))&amp;" · ","")&amp;IF(INDEX(Dati!$EG$1:$EG$1000,MATCH($A34,Dati!$A$1:$A$1000,0))&gt;0,Dati!$BE$3&amp;": "&amp;INDEX(Dati!$BE$1:$BE$1000,MATCH($A34,Dati!$A$1:$A$1000,0))&amp;" · ","")&amp;IF(INDEX(Dati!$EH$1:$EH$1000,MATCH($A34,Dati!$A$1:$A$1000,0))&gt;0,Dati!$BF$3&amp;": "&amp;INDEX(Dati!$BF$1:$BF$1000,MATCH($A34,Dati!$A$1:$A$1000,0))&amp;" · ",""))-3)),""))</f>
        <v/>
      </c>
      <c r="Q34" s="55" t="str">
        <f aca="false">IF($B34="","",IFERROR(IF((IF(INDEX(Dati!$EI$1:$EI$1000,MATCH($A34,Dati!$A$1:$A$1000,0))&gt;0,Dati!$BG$3&amp;": "&amp;INDEX(Dati!$BG$1:$BG$1000,MATCH($A34,Dati!$A$1:$A$1000,0))&amp;" · ","")&amp;IF(INDEX(Dati!$EJ$1:$EJ$1000,MATCH($A34,Dati!$A$1:$A$1000,0))&gt;0,Dati!$BH$3&amp;": "&amp;INDEX(Dati!$BH$1:$BH$1000,MATCH($A34,Dati!$A$1:$A$1000,0))&amp;" · ","")&amp;IF(INDEX(Dati!$EK$1:$EK$1000,MATCH($A34,Dati!$A$1:$A$1000,0))&gt;0,Dati!$BI$3&amp;": "&amp;INDEX(Dati!$BI$1:$BI$1000,MATCH($A34,Dati!$A$1:$A$1000,0))&amp;" · ","")&amp;IF(INDEX(Dati!$EL$1:$EL$1000,MATCH($A34,Dati!$A$1:$A$1000,0))&gt;0,Dati!$BJ$3&amp;": "&amp;INDEX(Dati!$BJ$1:$BJ$1000,MATCH($A34,Dati!$A$1:$A$1000,0))&amp;" · ",""))="",IF(INDEX(Dati!$FU$1:$FU$1000,MATCH($A34,Dati!$A$1:$A$1000,0))=1,"AS da recuperare",""),LEFT(IF(INDEX(Dati!$EI$1:$EI$1000,MATCH($A34,Dati!$A$1:$A$1000,0))&gt;0,Dati!$BG$3&amp;": "&amp;INDEX(Dati!$BG$1:$BG$1000,MATCH($A34,Dati!$A$1:$A$1000,0))&amp;" · ","")&amp;IF(INDEX(Dati!$EJ$1:$EJ$1000,MATCH($A34,Dati!$A$1:$A$1000,0))&gt;0,Dati!$BH$3&amp;": "&amp;INDEX(Dati!$BH$1:$BH$1000,MATCH($A34,Dati!$A$1:$A$1000,0))&amp;" · ","")&amp;IF(INDEX(Dati!$EK$1:$EK$1000,MATCH($A34,Dati!$A$1:$A$1000,0))&gt;0,Dati!$BI$3&amp;": "&amp;INDEX(Dati!$BI$1:$BI$1000,MATCH($A34,Dati!$A$1:$A$1000,0))&amp;" · ","")&amp;IF(INDEX(Dati!$EL$1:$EL$1000,MATCH($A34,Dati!$A$1:$A$1000,0))&gt;0,Dati!$BJ$3&amp;": "&amp;INDEX(Dati!$BJ$1:$BJ$1000,MATCH($A34,Dati!$A$1:$A$1000,0))&amp;" · ",""),LEN(IF(INDEX(Dati!$EI$1:$EI$1000,MATCH($A34,Dati!$A$1:$A$1000,0))&gt;0,Dati!$BG$3&amp;": "&amp;INDEX(Dati!$BG$1:$BG$1000,MATCH($A34,Dati!$A$1:$A$1000,0))&amp;" · ","")&amp;IF(INDEX(Dati!$EJ$1:$EJ$1000,MATCH($A34,Dati!$A$1:$A$1000,0))&gt;0,Dati!$BH$3&amp;": "&amp;INDEX(Dati!$BH$1:$BH$1000,MATCH($A34,Dati!$A$1:$A$1000,0))&amp;" · ","")&amp;IF(INDEX(Dati!$EK$1:$EK$1000,MATCH($A34,Dati!$A$1:$A$1000,0))&gt;0,Dati!$BI$3&amp;": "&amp;INDEX(Dati!$BI$1:$BI$1000,MATCH($A34,Dati!$A$1:$A$1000,0))&amp;" · ","")&amp;IF(INDEX(Dati!$EL$1:$EL$1000,MATCH($A34,Dati!$A$1:$A$1000,0))&gt;0,Dati!$BJ$3&amp;": "&amp;INDEX(Dati!$BJ$1:$BJ$1000,MATCH($A34,Dati!$A$1:$A$1000,0))&amp;" · ",""))-3)),""))</f>
        <v/>
      </c>
      <c r="R34" s="55" t="str">
        <f aca="false">IF($B34="","",IFERROR(IF((IF(INDEX(Dati!$EM$1:$EM$1000,MATCH($A34,Dati!$A$1:$A$1000,0))&gt;0,Dati!$BK$3&amp;": "&amp;INDEX(Dati!$BK$1:$BK$1000,MATCH($A34,Dati!$A$1:$A$1000,0))&amp;" · ","")&amp;IF(INDEX(Dati!$EN$1:$EN$1000,MATCH($A34,Dati!$A$1:$A$1000,0))&gt;0,Dati!$BL$3&amp;": "&amp;INDEX(Dati!$BL$1:$BL$1000,MATCH($A34,Dati!$A$1:$A$1000,0))&amp;" · ","")&amp;IF(INDEX(Dati!$EO$1:$EO$1000,MATCH($A34,Dati!$A$1:$A$1000,0))&gt;0,Dati!$BM$3&amp;": "&amp;INDEX(Dati!$BM$1:$BM$1000,MATCH($A34,Dati!$A$1:$A$1000,0))&amp;" · ","")&amp;IF(INDEX(Dati!$EP$1:$EP$1000,MATCH($A34,Dati!$A$1:$A$1000,0))&gt;0,Dati!$BN$3&amp;": "&amp;INDEX(Dati!$BN$1:$BN$1000,MATCH($A34,Dati!$A$1:$A$1000,0))&amp;" · ",""))="",IF(INDEX(Dati!$FV$1:$FV$1000,MATCH($A34,Dati!$A$1:$A$1000,0))=1,"AS da recuperare",""),LEFT(IF(INDEX(Dati!$EM$1:$EM$1000,MATCH($A34,Dati!$A$1:$A$1000,0))&gt;0,Dati!$BK$3&amp;": "&amp;INDEX(Dati!$BK$1:$BK$1000,MATCH($A34,Dati!$A$1:$A$1000,0))&amp;" · ","")&amp;IF(INDEX(Dati!$EN$1:$EN$1000,MATCH($A34,Dati!$A$1:$A$1000,0))&gt;0,Dati!$BL$3&amp;": "&amp;INDEX(Dati!$BL$1:$BL$1000,MATCH($A34,Dati!$A$1:$A$1000,0))&amp;" · ","")&amp;IF(INDEX(Dati!$EO$1:$EO$1000,MATCH($A34,Dati!$A$1:$A$1000,0))&gt;0,Dati!$BM$3&amp;": "&amp;INDEX(Dati!$BM$1:$BM$1000,MATCH($A34,Dati!$A$1:$A$1000,0))&amp;" · ","")&amp;IF(INDEX(Dati!$EP$1:$EP$1000,MATCH($A34,Dati!$A$1:$A$1000,0))&gt;0,Dati!$BN$3&amp;": "&amp;INDEX(Dati!$BN$1:$BN$1000,MATCH($A34,Dati!$A$1:$A$1000,0))&amp;" · ",""),LEN(IF(INDEX(Dati!$EM$1:$EM$1000,MATCH($A34,Dati!$A$1:$A$1000,0))&gt;0,Dati!$BK$3&amp;": "&amp;INDEX(Dati!$BK$1:$BK$1000,MATCH($A34,Dati!$A$1:$A$1000,0))&amp;" · ","")&amp;IF(INDEX(Dati!$EN$1:$EN$1000,MATCH($A34,Dati!$A$1:$A$1000,0))&gt;0,Dati!$BL$3&amp;": "&amp;INDEX(Dati!$BL$1:$BL$1000,MATCH($A34,Dati!$A$1:$A$1000,0))&amp;" · ","")&amp;IF(INDEX(Dati!$EO$1:$EO$1000,MATCH($A34,Dati!$A$1:$A$1000,0))&gt;0,Dati!$BM$3&amp;": "&amp;INDEX(Dati!$BM$1:$BM$1000,MATCH($A34,Dati!$A$1:$A$1000,0))&amp;" · ","")&amp;IF(INDEX(Dati!$EP$1:$EP$1000,MATCH($A34,Dati!$A$1:$A$1000,0))&gt;0,Dati!$BN$3&amp;": "&amp;INDEX(Dati!$BN$1:$BN$1000,MATCH($A34,Dati!$A$1:$A$1000,0))&amp;" · ",""))-3)),""))</f>
        <v/>
      </c>
      <c r="S34" s="55" t="str">
        <f aca="false">IF($B34="","",IFERROR(IF((IF(INDEX(Dati!$EQ$1:$EQ$1000,MATCH($A34,Dati!$A$1:$A$1000,0))&gt;0,Dati!$BO$3&amp;": "&amp;INDEX(Dati!$BO$1:$BO$1000,MATCH($A34,Dati!$A$1:$A$1000,0))&amp;" · ","")&amp;IF(INDEX(Dati!$ER$1:$ER$1000,MATCH($A34,Dati!$A$1:$A$1000,0))&gt;0,Dati!$BP$3&amp;": "&amp;INDEX(Dati!$BP$1:$BP$1000,MATCH($A34,Dati!$A$1:$A$1000,0))&amp;" · ","")&amp;IF(INDEX(Dati!$ES$1:$ES$1000,MATCH($A34,Dati!$A$1:$A$1000,0))&gt;0,Dati!$BQ$3&amp;": "&amp;INDEX(Dati!$BQ$1:$BQ$1000,MATCH($A34,Dati!$A$1:$A$1000,0))&amp;" · ","")&amp;IF(INDEX(Dati!$ET$1:$ET$1000,MATCH($A34,Dati!$A$1:$A$1000,0))&gt;0,Dati!$BR$3&amp;": "&amp;INDEX(Dati!$BR$1:$BR$1000,MATCH($A34,Dati!$A$1:$A$1000,0))&amp;" · ",""))="",IF(INDEX(Dati!$FW$1:$FW$1000,MATCH($A34,Dati!$A$1:$A$1000,0))=1,"AS da recuperare",""),LEFT(IF(INDEX(Dati!$EQ$1:$EQ$1000,MATCH($A34,Dati!$A$1:$A$1000,0))&gt;0,Dati!$BO$3&amp;": "&amp;INDEX(Dati!$BO$1:$BO$1000,MATCH($A34,Dati!$A$1:$A$1000,0))&amp;" · ","")&amp;IF(INDEX(Dati!$ER$1:$ER$1000,MATCH($A34,Dati!$A$1:$A$1000,0))&gt;0,Dati!$BP$3&amp;": "&amp;INDEX(Dati!$BP$1:$BP$1000,MATCH($A34,Dati!$A$1:$A$1000,0))&amp;" · ","")&amp;IF(INDEX(Dati!$ES$1:$ES$1000,MATCH($A34,Dati!$A$1:$A$1000,0))&gt;0,Dati!$BQ$3&amp;": "&amp;INDEX(Dati!$BQ$1:$BQ$1000,MATCH($A34,Dati!$A$1:$A$1000,0))&amp;" · ","")&amp;IF(INDEX(Dati!$ET$1:$ET$1000,MATCH($A34,Dati!$A$1:$A$1000,0))&gt;0,Dati!$BR$3&amp;": "&amp;INDEX(Dati!$BR$1:$BR$1000,MATCH($A34,Dati!$A$1:$A$1000,0))&amp;" · ",""),LEN(IF(INDEX(Dati!$EQ$1:$EQ$1000,MATCH($A34,Dati!$A$1:$A$1000,0))&gt;0,Dati!$BO$3&amp;": "&amp;INDEX(Dati!$BO$1:$BO$1000,MATCH($A34,Dati!$A$1:$A$1000,0))&amp;" · ","")&amp;IF(INDEX(Dati!$ER$1:$ER$1000,MATCH($A34,Dati!$A$1:$A$1000,0))&gt;0,Dati!$BP$3&amp;": "&amp;INDEX(Dati!$BP$1:$BP$1000,MATCH($A34,Dati!$A$1:$A$1000,0))&amp;" · ","")&amp;IF(INDEX(Dati!$ES$1:$ES$1000,MATCH($A34,Dati!$A$1:$A$1000,0))&gt;0,Dati!$BQ$3&amp;": "&amp;INDEX(Dati!$BQ$1:$BQ$1000,MATCH($A34,Dati!$A$1:$A$1000,0))&amp;" · ","")&amp;IF(INDEX(Dati!$ET$1:$ET$1000,MATCH($A34,Dati!$A$1:$A$1000,0))&gt;0,Dati!$BR$3&amp;": "&amp;INDEX(Dati!$BR$1:$BR$1000,MATCH($A34,Dati!$A$1:$A$1000,0))&amp;" · ",""))-3)),""))</f>
        <v/>
      </c>
      <c r="T34" s="55" t="str">
        <f aca="false">IF($B34="","",IFERROR(IF((IF(INDEX(Dati!$EU$1:$EU$1000,MATCH($A34,Dati!$A$1:$A$1000,0))&gt;0,Dati!$BS$3&amp;": "&amp;INDEX(Dati!$BS$1:$BS$1000,MATCH($A34,Dati!$A$1:$A$1000,0))&amp;" · ","")&amp;IF(INDEX(Dati!$EV$1:$EV$1000,MATCH($A34,Dati!$A$1:$A$1000,0))&gt;0,Dati!$BT$3&amp;": "&amp;INDEX(Dati!$BT$1:$BT$1000,MATCH($A34,Dati!$A$1:$A$1000,0))&amp;" · ","")&amp;IF(INDEX(Dati!$EW$1:$EW$1000,MATCH($A34,Dati!$A$1:$A$1000,0))&gt;0,Dati!$BU$3&amp;": "&amp;INDEX(Dati!$BU$1:$BU$1000,MATCH($A34,Dati!$A$1:$A$1000,0))&amp;" · ","")&amp;IF(INDEX(Dati!$EX$1:$EX$1000,MATCH($A34,Dati!$A$1:$A$1000,0))&gt;0,Dati!$BV$3&amp;": "&amp;INDEX(Dati!$BV$1:$BV$1000,MATCH($A34,Dati!$A$1:$A$1000,0))&amp;" · ",""))="",IF(INDEX(Dati!$FX$1:$FX$1000,MATCH($A34,Dati!$A$1:$A$1000,0))=1,"AS da recuperare",""),LEFT(IF(INDEX(Dati!$EU$1:$EU$1000,MATCH($A34,Dati!$A$1:$A$1000,0))&gt;0,Dati!$BS$3&amp;": "&amp;INDEX(Dati!$BS$1:$BS$1000,MATCH($A34,Dati!$A$1:$A$1000,0))&amp;" · ","")&amp;IF(INDEX(Dati!$EV$1:$EV$1000,MATCH($A34,Dati!$A$1:$A$1000,0))&gt;0,Dati!$BT$3&amp;": "&amp;INDEX(Dati!$BT$1:$BT$1000,MATCH($A34,Dati!$A$1:$A$1000,0))&amp;" · ","")&amp;IF(INDEX(Dati!$EW$1:$EW$1000,MATCH($A34,Dati!$A$1:$A$1000,0))&gt;0,Dati!$BU$3&amp;": "&amp;INDEX(Dati!$BU$1:$BU$1000,MATCH($A34,Dati!$A$1:$A$1000,0))&amp;" · ","")&amp;IF(INDEX(Dati!$EX$1:$EX$1000,MATCH($A34,Dati!$A$1:$A$1000,0))&gt;0,Dati!$BV$3&amp;": "&amp;INDEX(Dati!$BV$1:$BV$1000,MATCH($A34,Dati!$A$1:$A$1000,0))&amp;" · ",""),LEN(IF(INDEX(Dati!$EU$1:$EU$1000,MATCH($A34,Dati!$A$1:$A$1000,0))&gt;0,Dati!$BS$3&amp;": "&amp;INDEX(Dati!$BS$1:$BS$1000,MATCH($A34,Dati!$A$1:$A$1000,0))&amp;" · ","")&amp;IF(INDEX(Dati!$EV$1:$EV$1000,MATCH($A34,Dati!$A$1:$A$1000,0))&gt;0,Dati!$BT$3&amp;": "&amp;INDEX(Dati!$BT$1:$BT$1000,MATCH($A34,Dati!$A$1:$A$1000,0))&amp;" · ","")&amp;IF(INDEX(Dati!$EW$1:$EW$1000,MATCH($A34,Dati!$A$1:$A$1000,0))&gt;0,Dati!$BU$3&amp;": "&amp;INDEX(Dati!$BU$1:$BU$1000,MATCH($A34,Dati!$A$1:$A$1000,0))&amp;" · ","")&amp;IF(INDEX(Dati!$EX$1:$EX$1000,MATCH($A34,Dati!$A$1:$A$1000,0))&gt;0,Dati!$BV$3&amp;": "&amp;INDEX(Dati!$BV$1:$BV$1000,MATCH($A34,Dati!$A$1:$A$1000,0))&amp;" · ",""))-3)),""))</f>
        <v/>
      </c>
      <c r="U34" s="55" t="str">
        <f aca="false">IF($B34="","",IFERROR(IF((IF(INDEX(Dati!$EY$1:$EY$1000,MATCH($A34,Dati!$A$1:$A$1000,0))&gt;0,Dati!$BW$3&amp;": "&amp;INDEX(Dati!$BW$1:$BW$1000,MATCH($A34,Dati!$A$1:$A$1000,0))&amp;" · ","")&amp;IF(INDEX(Dati!$EZ$1:$EZ$1000,MATCH($A34,Dati!$A$1:$A$1000,0))&gt;0,Dati!$BX$3&amp;": "&amp;INDEX(Dati!$BX$1:$BX$1000,MATCH($A34,Dati!$A$1:$A$1000,0))&amp;" · ","")&amp;IF(INDEX(Dati!$FA$1:$FA$1000,MATCH($A34,Dati!$A$1:$A$1000,0))&gt;0,Dati!$BY$3&amp;": "&amp;INDEX(Dati!$BY$1:$BY$1000,MATCH($A34,Dati!$A$1:$A$1000,0))&amp;" · ","")&amp;IF(INDEX(Dati!$FB$1:$FB$1000,MATCH($A34,Dati!$A$1:$A$1000,0))&gt;0,Dati!$BZ$3&amp;": "&amp;INDEX(Dati!$BZ$1:$BZ$1000,MATCH($A34,Dati!$A$1:$A$1000,0))&amp;" · ",""))="",IF(INDEX(Dati!$FY$1:$FY$1000,MATCH($A34,Dati!$A$1:$A$1000,0))=1,"AS da recuperare",""),LEFT(IF(INDEX(Dati!$EY$1:$EY$1000,MATCH($A34,Dati!$A$1:$A$1000,0))&gt;0,Dati!$BW$3&amp;": "&amp;INDEX(Dati!$BW$1:$BW$1000,MATCH($A34,Dati!$A$1:$A$1000,0))&amp;" · ","")&amp;IF(INDEX(Dati!$EZ$1:$EZ$1000,MATCH($A34,Dati!$A$1:$A$1000,0))&gt;0,Dati!$BX$3&amp;": "&amp;INDEX(Dati!$BX$1:$BX$1000,MATCH($A34,Dati!$A$1:$A$1000,0))&amp;" · ","")&amp;IF(INDEX(Dati!$FA$1:$FA$1000,MATCH($A34,Dati!$A$1:$A$1000,0))&gt;0,Dati!$BY$3&amp;": "&amp;INDEX(Dati!$BY$1:$BY$1000,MATCH($A34,Dati!$A$1:$A$1000,0))&amp;" · ","")&amp;IF(INDEX(Dati!$FB$1:$FB$1000,MATCH($A34,Dati!$A$1:$A$1000,0))&gt;0,Dati!$BZ$3&amp;": "&amp;INDEX(Dati!$BZ$1:$BZ$1000,MATCH($A34,Dati!$A$1:$A$1000,0))&amp;" · ",""),LEN(IF(INDEX(Dati!$EY$1:$EY$1000,MATCH($A34,Dati!$A$1:$A$1000,0))&gt;0,Dati!$BW$3&amp;": "&amp;INDEX(Dati!$BW$1:$BW$1000,MATCH($A34,Dati!$A$1:$A$1000,0))&amp;" · ","")&amp;IF(INDEX(Dati!$EZ$1:$EZ$1000,MATCH($A34,Dati!$A$1:$A$1000,0))&gt;0,Dati!$BX$3&amp;": "&amp;INDEX(Dati!$BX$1:$BX$1000,MATCH($A34,Dati!$A$1:$A$1000,0))&amp;" · ","")&amp;IF(INDEX(Dati!$FA$1:$FA$1000,MATCH($A34,Dati!$A$1:$A$1000,0))&gt;0,Dati!$BY$3&amp;": "&amp;INDEX(Dati!$BY$1:$BY$1000,MATCH($A34,Dati!$A$1:$A$1000,0))&amp;" · ","")&amp;IF(INDEX(Dati!$FB$1:$FB$1000,MATCH($A34,Dati!$A$1:$A$1000,0))&gt;0,Dati!$BZ$3&amp;": "&amp;INDEX(Dati!$BZ$1:$BZ$1000,MATCH($A34,Dati!$A$1:$A$1000,0))&amp;" · ",""))-3)),""))</f>
        <v/>
      </c>
      <c r="V34" s="55" t="str">
        <f aca="false">IF($B34="","",IFERROR(IF((IF(INDEX(Dati!$FC$1:$FC$1000,MATCH($A34,Dati!$A$1:$A$1000,0))&gt;0,Dati!$CA$3&amp;": "&amp;INDEX(Dati!$CA$1:$CA$1000,MATCH($A34,Dati!$A$1:$A$1000,0))&amp;" · ","")&amp;IF(INDEX(Dati!$FD$1:$FD$1000,MATCH($A34,Dati!$A$1:$A$1000,0))&gt;0,Dati!$CB$3&amp;": "&amp;INDEX(Dati!$CB$1:$CB$1000,MATCH($A34,Dati!$A$1:$A$1000,0))&amp;" · ","")&amp;IF(INDEX(Dati!$FE$1:$FE$1000,MATCH($A34,Dati!$A$1:$A$1000,0))&gt;0,Dati!$CC$3&amp;": "&amp;INDEX(Dati!$CC$1:$CC$1000,MATCH($A34,Dati!$A$1:$A$1000,0))&amp;" · ","")&amp;IF(INDEX(Dati!$FF$1:$FF$1000,MATCH($A34,Dati!$A$1:$A$1000,0))&gt;0,Dati!$CD$3&amp;": "&amp;INDEX(Dati!$CD$1:$CD$1000,MATCH($A34,Dati!$A$1:$A$1000,0))&amp;" · ",""))="",IF(INDEX(Dati!$FZ$1:$FZ$1000,MATCH($A34,Dati!$A$1:$A$1000,0))=1,"AS da recuperare",""),LEFT(IF(INDEX(Dati!$FC$1:$FC$1000,MATCH($A34,Dati!$A$1:$A$1000,0))&gt;0,Dati!$CA$3&amp;": "&amp;INDEX(Dati!$CA$1:$CA$1000,MATCH($A34,Dati!$A$1:$A$1000,0))&amp;" · ","")&amp;IF(INDEX(Dati!$FD$1:$FD$1000,MATCH($A34,Dati!$A$1:$A$1000,0))&gt;0,Dati!$CB$3&amp;": "&amp;INDEX(Dati!$CB$1:$CB$1000,MATCH($A34,Dati!$A$1:$A$1000,0))&amp;" · ","")&amp;IF(INDEX(Dati!$FE$1:$FE$1000,MATCH($A34,Dati!$A$1:$A$1000,0))&gt;0,Dati!$CC$3&amp;": "&amp;INDEX(Dati!$CC$1:$CC$1000,MATCH($A34,Dati!$A$1:$A$1000,0))&amp;" · ","")&amp;IF(INDEX(Dati!$FF$1:$FF$1000,MATCH($A34,Dati!$A$1:$A$1000,0))&gt;0,Dati!$CD$3&amp;": "&amp;INDEX(Dati!$CD$1:$CD$1000,MATCH($A34,Dati!$A$1:$A$1000,0))&amp;" · ",""),LEN(IF(INDEX(Dati!$FC$1:$FC$1000,MATCH($A34,Dati!$A$1:$A$1000,0))&gt;0,Dati!$CA$3&amp;": "&amp;INDEX(Dati!$CA$1:$CA$1000,MATCH($A34,Dati!$A$1:$A$1000,0))&amp;" · ","")&amp;IF(INDEX(Dati!$FD$1:$FD$1000,MATCH($A34,Dati!$A$1:$A$1000,0))&gt;0,Dati!$CB$3&amp;": "&amp;INDEX(Dati!$CB$1:$CB$1000,MATCH($A34,Dati!$A$1:$A$1000,0))&amp;" · ","")&amp;IF(INDEX(Dati!$FE$1:$FE$1000,MATCH($A34,Dati!$A$1:$A$1000,0))&gt;0,Dati!$CC$3&amp;": "&amp;INDEX(Dati!$CC$1:$CC$1000,MATCH($A34,Dati!$A$1:$A$1000,0))&amp;" · ","")&amp;IF(INDEX(Dati!$FF$1:$FF$1000,MATCH($A34,Dati!$A$1:$A$1000,0))&gt;0,Dati!$CD$3&amp;": "&amp;INDEX(Dati!$CD$1:$CD$1000,MATCH($A34,Dati!$A$1:$A$1000,0))&amp;" · ",""))-3)),""))</f>
        <v/>
      </c>
    </row>
  </sheetData>
  <mergeCells count="3">
    <mergeCell ref="A1:V1"/>
    <mergeCell ref="C3:L3"/>
    <mergeCell ref="M3:V3"/>
  </mergeCells>
  <conditionalFormatting sqref="C5:V34">
    <cfRule type="expression" priority="2" aboveAverage="0" equalAverage="0" bottom="0" percent="0" rank="0" text="" dxfId="3">
      <formula>LEFT(C5,2)="AS"</formula>
    </cfRule>
  </conditionalFormatting>
  <printOptions headings="false" gridLines="false" gridLinesSet="true" horizontalCentered="false" verticalCentered="false"/>
  <pageMargins left="0.35" right="0.35" top="0.45" bottom="0.4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S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5" min="3" style="0" width="9"/>
    <col collapsed="false" customWidth="true" hidden="false" outlineLevel="0" max="6" min="6" style="0" width="10"/>
    <col collapsed="false" customWidth="true" hidden="false" outlineLevel="0" max="8" min="7" style="0" width="9"/>
    <col collapsed="false" customWidth="true" hidden="false" outlineLevel="0" max="13" min="9" style="0" width="10"/>
    <col collapsed="false" customWidth="true" hidden="false" outlineLevel="0" max="15" min="14" style="0" width="11"/>
    <col collapsed="false" customWidth="true" hidden="false" outlineLevel="0" max="17" min="17" style="0" width="16"/>
    <col collapsed="false" customWidth="true" hidden="false" outlineLevel="0" max="18" min="18" style="0" width="38"/>
    <col collapsed="false" customWidth="true" hidden="false" outlineLevel="0" max="19" min="19" style="0" width="6"/>
  </cols>
  <sheetData>
    <row r="1" customFormat="false" ht="24" hidden="false" customHeight="true" outlineLevel="0" collapsed="false">
      <c r="A1" s="56" t="s">
        <v>124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customFormat="false" ht="30" hidden="false" customHeight="true" outlineLevel="0" collapsed="false">
      <c r="A2" s="41" t="s">
        <v>125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4" customFormat="false" ht="18" hidden="false" customHeight="true" outlineLevel="0" collapsed="false">
      <c r="D4" s="57" t="s">
        <v>126</v>
      </c>
      <c r="E4" s="57"/>
      <c r="F4" s="57"/>
      <c r="G4" s="57" t="s">
        <v>127</v>
      </c>
      <c r="H4" s="57"/>
      <c r="I4" s="57"/>
      <c r="J4" s="58" t="s">
        <v>128</v>
      </c>
      <c r="K4" s="58"/>
      <c r="L4" s="58" t="s">
        <v>129</v>
      </c>
      <c r="M4" s="58"/>
      <c r="N4" s="59" t="s">
        <v>130</v>
      </c>
      <c r="O4" s="59"/>
      <c r="Q4" s="60" t="s">
        <v>131</v>
      </c>
      <c r="R4" s="60"/>
      <c r="S4" s="60"/>
    </row>
    <row r="5" customFormat="false" ht="19.4" hidden="false" customHeight="false" outlineLevel="0" collapsed="false">
      <c r="A5" s="30" t="s">
        <v>65</v>
      </c>
      <c r="B5" s="30" t="s">
        <v>83</v>
      </c>
      <c r="C5" s="30" t="s">
        <v>132</v>
      </c>
      <c r="D5" s="30" t="s">
        <v>133</v>
      </c>
      <c r="E5" s="30" t="s">
        <v>134</v>
      </c>
      <c r="F5" s="30" t="s">
        <v>135</v>
      </c>
      <c r="G5" s="30" t="s">
        <v>133</v>
      </c>
      <c r="H5" s="30" t="s">
        <v>134</v>
      </c>
      <c r="I5" s="30" t="s">
        <v>135</v>
      </c>
      <c r="J5" s="30" t="s">
        <v>133</v>
      </c>
      <c r="K5" s="30" t="s">
        <v>135</v>
      </c>
      <c r="L5" s="30" t="s">
        <v>133</v>
      </c>
      <c r="M5" s="30" t="s">
        <v>135</v>
      </c>
      <c r="N5" s="30" t="s">
        <v>136</v>
      </c>
      <c r="O5" s="30" t="s">
        <v>137</v>
      </c>
      <c r="Q5" s="61" t="s">
        <v>138</v>
      </c>
      <c r="R5" s="61" t="s">
        <v>139</v>
      </c>
      <c r="S5" s="62" t="s">
        <v>140</v>
      </c>
    </row>
    <row r="6" customFormat="false" ht="15" hidden="false" customHeight="false" outlineLevel="0" collapsed="false">
      <c r="A6" s="10" t="n">
        <v>1</v>
      </c>
      <c r="B6" s="16" t="str">
        <f aca="false">IFERROR(INDEX(Alunni!$C$1:$C$1000,MATCH($A6,Alunni!$A$1:$A$1000,0))&amp;"","")</f>
        <v>Rossi Mario (esempio)</v>
      </c>
      <c r="C6" s="63"/>
      <c r="D6" s="64" t="n">
        <v>52.4</v>
      </c>
      <c r="E6" s="64" t="n">
        <v>7</v>
      </c>
      <c r="F6" s="65" t="n">
        <f aca="false">IF(D6="","",ROUND((D6+N(E6))*(1-N($C6)),2))</f>
        <v>59.4</v>
      </c>
      <c r="G6" s="64" t="n">
        <v>48.1</v>
      </c>
      <c r="H6" s="64" t="n">
        <v>2</v>
      </c>
      <c r="I6" s="65" t="n">
        <f aca="false">IF(G6="","",ROUND((G6+N(H6))*(1-N($C6)),2))</f>
        <v>50.1</v>
      </c>
      <c r="J6" s="64" t="n">
        <v>9.85</v>
      </c>
      <c r="K6" s="65" t="n">
        <f aca="false">IF(J6="","",ROUND(J6*(1-N($C6)),2))</f>
        <v>9.85</v>
      </c>
      <c r="L6" s="64" t="n">
        <v>9.4</v>
      </c>
      <c r="M6" s="65" t="n">
        <f aca="false">IF(L6="","",ROUND(L6*(1-N($C6)),2))</f>
        <v>9.4</v>
      </c>
      <c r="N6" s="66" t="n">
        <f aca="false">IF(AND(ISNUMBER(F6),ISNUMBER(I6)),ROUND(F6-I6,2),"")</f>
        <v>9.3</v>
      </c>
      <c r="O6" s="66" t="n">
        <f aca="false">IF(AND(ISNUMBER(K6),ISNUMBER(M6)),ROUND(K6-M6,2),"")</f>
        <v>0.45</v>
      </c>
      <c r="Q6" s="61" t="s">
        <v>141</v>
      </c>
      <c r="R6" s="61" t="s">
        <v>142</v>
      </c>
      <c r="S6" s="62" t="s">
        <v>143</v>
      </c>
    </row>
    <row r="7" customFormat="false" ht="15" hidden="false" customHeight="false" outlineLevel="0" collapsed="false">
      <c r="A7" s="10" t="n">
        <v>2</v>
      </c>
      <c r="B7" s="16" t="str">
        <f aca="false">IFERROR(INDEX(Alunni!$C$1:$C$1000,MATCH($A7,Alunni!$A$1:$A$1000,0))&amp;"","")</f>
        <v>Bianchi Anna (esempio)</v>
      </c>
      <c r="C7" s="63"/>
      <c r="D7" s="64" t="n">
        <v>61.2</v>
      </c>
      <c r="E7" s="64" t="n">
        <v>12</v>
      </c>
      <c r="F7" s="65" t="n">
        <f aca="false">IF(D7="","",ROUND((D7+N(E7))*(1-N($C7)),2))</f>
        <v>73.2</v>
      </c>
      <c r="G7" s="64" t="n">
        <v>55</v>
      </c>
      <c r="H7" s="64" t="n">
        <v>5</v>
      </c>
      <c r="I7" s="65" t="n">
        <f aca="false">IF(G7="","",ROUND((G7+N(H7))*(1-N($C7)),2))</f>
        <v>60</v>
      </c>
      <c r="J7" s="64" t="n">
        <v>11.02</v>
      </c>
      <c r="K7" s="65" t="n">
        <f aca="false">IF(J7="","",ROUND(J7*(1-N($C7)),2))</f>
        <v>11.02</v>
      </c>
      <c r="L7" s="64" t="n">
        <v>10.61</v>
      </c>
      <c r="M7" s="65" t="n">
        <f aca="false">IF(L7="","",ROUND(L7*(1-N($C7)),2))</f>
        <v>10.61</v>
      </c>
      <c r="N7" s="66" t="n">
        <f aca="false">IF(AND(ISNUMBER(F7),ISNUMBER(I7)),ROUND(F7-I7,2),"")</f>
        <v>13.2</v>
      </c>
      <c r="O7" s="66" t="n">
        <f aca="false">IF(AND(ISNUMBER(K7),ISNUMBER(M7)),ROUND(K7-M7,2),"")</f>
        <v>0.41</v>
      </c>
      <c r="Q7" s="61" t="s">
        <v>141</v>
      </c>
      <c r="R7" s="61" t="s">
        <v>144</v>
      </c>
      <c r="S7" s="62" t="s">
        <v>143</v>
      </c>
    </row>
    <row r="8" customFormat="false" ht="15" hidden="false" customHeight="false" outlineLevel="0" collapsed="false">
      <c r="A8" s="10" t="n">
        <v>3</v>
      </c>
      <c r="B8" s="16" t="str">
        <f aca="false">IFERROR(INDEX(Alunni!$C$1:$C$1000,MATCH($A8,Alunni!$A$1:$A$1000,0))&amp;"","")</f>
        <v>Verdi Luca (esempio)</v>
      </c>
      <c r="C8" s="63"/>
      <c r="D8" s="64"/>
      <c r="E8" s="64"/>
      <c r="F8" s="65" t="str">
        <f aca="false">IF(D8="","",ROUND((D8+N(E8))*(1-N($C8)),2))</f>
        <v/>
      </c>
      <c r="G8" s="64"/>
      <c r="H8" s="64"/>
      <c r="I8" s="65" t="str">
        <f aca="false">IF(G8="","",ROUND((G8+N(H8))*(1-N($C8)),2))</f>
        <v/>
      </c>
      <c r="J8" s="64"/>
      <c r="K8" s="65" t="str">
        <f aca="false">IF(J8="","",ROUND(J8*(1-N($C8)),2))</f>
        <v/>
      </c>
      <c r="L8" s="64"/>
      <c r="M8" s="65" t="str">
        <f aca="false">IF(L8="","",ROUND(L8*(1-N($C8)),2))</f>
        <v/>
      </c>
      <c r="N8" s="66" t="str">
        <f aca="false">IF(AND(ISNUMBER(F8),ISNUMBER(I8)),ROUND(F8-I8,2),"")</f>
        <v/>
      </c>
      <c r="O8" s="66" t="str">
        <f aca="false">IF(AND(ISNUMBER(K8),ISNUMBER(M8)),ROUND(K8-M8,2),"")</f>
        <v/>
      </c>
      <c r="Q8" s="61" t="s">
        <v>145</v>
      </c>
      <c r="R8" s="61" t="s">
        <v>146</v>
      </c>
      <c r="S8" s="62" t="s">
        <v>147</v>
      </c>
    </row>
    <row r="9" customFormat="false" ht="15" hidden="false" customHeight="false" outlineLevel="0" collapsed="false">
      <c r="A9" s="10" t="n">
        <v>4</v>
      </c>
      <c r="B9" s="16" t="str">
        <f aca="false">IFERROR(INDEX(Alunni!$C$1:$C$1000,MATCH($A9,Alunni!$A$1:$A$1000,0))&amp;"","")</f>
        <v/>
      </c>
      <c r="C9" s="63"/>
      <c r="D9" s="64"/>
      <c r="E9" s="64"/>
      <c r="F9" s="65" t="str">
        <f aca="false">IF(D9="","",ROUND((D9+N(E9))*(1-N($C9)),2))</f>
        <v/>
      </c>
      <c r="G9" s="64"/>
      <c r="H9" s="64"/>
      <c r="I9" s="65" t="str">
        <f aca="false">IF(G9="","",ROUND((G9+N(H9))*(1-N($C9)),2))</f>
        <v/>
      </c>
      <c r="J9" s="64"/>
      <c r="K9" s="65" t="str">
        <f aca="false">IF(J9="","",ROUND(J9*(1-N($C9)),2))</f>
        <v/>
      </c>
      <c r="L9" s="64"/>
      <c r="M9" s="65" t="str">
        <f aca="false">IF(L9="","",ROUND(L9*(1-N($C9)),2))</f>
        <v/>
      </c>
      <c r="N9" s="66" t="str">
        <f aca="false">IF(AND(ISNUMBER(F9),ISNUMBER(I9)),ROUND(F9-I9,2),"")</f>
        <v/>
      </c>
      <c r="O9" s="66" t="str">
        <f aca="false">IF(AND(ISNUMBER(K9),ISNUMBER(M9)),ROUND(K9-M9,2),"")</f>
        <v/>
      </c>
      <c r="Q9" s="61" t="s">
        <v>145</v>
      </c>
      <c r="R9" s="61" t="s">
        <v>148</v>
      </c>
      <c r="S9" s="62" t="s">
        <v>143</v>
      </c>
    </row>
    <row r="10" customFormat="false" ht="15" hidden="false" customHeight="false" outlineLevel="0" collapsed="false">
      <c r="A10" s="10" t="n">
        <v>5</v>
      </c>
      <c r="B10" s="16" t="str">
        <f aca="false">IFERROR(INDEX(Alunni!$C$1:$C$1000,MATCH($A10,Alunni!$A$1:$A$1000,0))&amp;"","")</f>
        <v/>
      </c>
      <c r="C10" s="63"/>
      <c r="D10" s="64"/>
      <c r="E10" s="64"/>
      <c r="F10" s="65" t="str">
        <f aca="false">IF(D10="","",ROUND((D10+N(E10))*(1-N($C10)),2))</f>
        <v/>
      </c>
      <c r="G10" s="64"/>
      <c r="H10" s="64"/>
      <c r="I10" s="65" t="str">
        <f aca="false">IF(G10="","",ROUND((G10+N(H10))*(1-N($C10)),2))</f>
        <v/>
      </c>
      <c r="J10" s="64"/>
      <c r="K10" s="65" t="str">
        <f aca="false">IF(J10="","",ROUND(J10*(1-N($C10)),2))</f>
        <v/>
      </c>
      <c r="L10" s="64"/>
      <c r="M10" s="65" t="str">
        <f aca="false">IF(L10="","",ROUND(L10*(1-N($C10)),2))</f>
        <v/>
      </c>
      <c r="N10" s="66" t="str">
        <f aca="false">IF(AND(ISNUMBER(F10),ISNUMBER(I10)),ROUND(F10-I10,2),"")</f>
        <v/>
      </c>
      <c r="O10" s="66" t="str">
        <f aca="false">IF(AND(ISNUMBER(K10),ISNUMBER(M10)),ROUND(K10-M10,2),"")</f>
        <v/>
      </c>
      <c r="Q10" s="61" t="s">
        <v>145</v>
      </c>
      <c r="R10" s="61" t="s">
        <v>149</v>
      </c>
      <c r="S10" s="62" t="s">
        <v>140</v>
      </c>
    </row>
    <row r="11" customFormat="false" ht="15" hidden="false" customHeight="false" outlineLevel="0" collapsed="false">
      <c r="A11" s="10" t="n">
        <v>6</v>
      </c>
      <c r="B11" s="16" t="str">
        <f aca="false">IFERROR(INDEX(Alunni!$C$1:$C$1000,MATCH($A11,Alunni!$A$1:$A$1000,0))&amp;"","")</f>
        <v/>
      </c>
      <c r="C11" s="63"/>
      <c r="D11" s="64"/>
      <c r="E11" s="64"/>
      <c r="F11" s="65" t="str">
        <f aca="false">IF(D11="","",ROUND((D11+N(E11))*(1-N($C11)),2))</f>
        <v/>
      </c>
      <c r="G11" s="64"/>
      <c r="H11" s="64"/>
      <c r="I11" s="65" t="str">
        <f aca="false">IF(G11="","",ROUND((G11+N(H11))*(1-N($C11)),2))</f>
        <v/>
      </c>
      <c r="J11" s="64"/>
      <c r="K11" s="65" t="str">
        <f aca="false">IF(J11="","",ROUND(J11*(1-N($C11)),2))</f>
        <v/>
      </c>
      <c r="L11" s="64"/>
      <c r="M11" s="65" t="str">
        <f aca="false">IF(L11="","",ROUND(L11*(1-N($C11)),2))</f>
        <v/>
      </c>
      <c r="N11" s="66" t="str">
        <f aca="false">IF(AND(ISNUMBER(F11),ISNUMBER(I11)),ROUND(F11-I11,2),"")</f>
        <v/>
      </c>
      <c r="O11" s="66" t="str">
        <f aca="false">IF(AND(ISNUMBER(K11),ISNUMBER(M11)),ROUND(K11-M11,2),"")</f>
        <v/>
      </c>
      <c r="Q11" s="61" t="s">
        <v>150</v>
      </c>
      <c r="R11" s="61" t="s">
        <v>151</v>
      </c>
      <c r="S11" s="62" t="s">
        <v>143</v>
      </c>
    </row>
    <row r="12" customFormat="false" ht="15" hidden="false" customHeight="false" outlineLevel="0" collapsed="false">
      <c r="A12" s="10" t="n">
        <v>7</v>
      </c>
      <c r="B12" s="16" t="str">
        <f aca="false">IFERROR(INDEX(Alunni!$C$1:$C$1000,MATCH($A12,Alunni!$A$1:$A$1000,0))&amp;"","")</f>
        <v/>
      </c>
      <c r="C12" s="63"/>
      <c r="D12" s="64"/>
      <c r="E12" s="64"/>
      <c r="F12" s="65" t="str">
        <f aca="false">IF(D12="","",ROUND((D12+N(E12))*(1-N($C12)),2))</f>
        <v/>
      </c>
      <c r="G12" s="64"/>
      <c r="H12" s="64"/>
      <c r="I12" s="65" t="str">
        <f aca="false">IF(G12="","",ROUND((G12+N(H12))*(1-N($C12)),2))</f>
        <v/>
      </c>
      <c r="J12" s="64"/>
      <c r="K12" s="65" t="str">
        <f aca="false">IF(J12="","",ROUND(J12*(1-N($C12)),2))</f>
        <v/>
      </c>
      <c r="L12" s="64"/>
      <c r="M12" s="65" t="str">
        <f aca="false">IF(L12="","",ROUND(L12*(1-N($C12)),2))</f>
        <v/>
      </c>
      <c r="N12" s="66" t="str">
        <f aca="false">IF(AND(ISNUMBER(F12),ISNUMBER(I12)),ROUND(F12-I12,2),"")</f>
        <v/>
      </c>
      <c r="O12" s="66" t="str">
        <f aca="false">IF(AND(ISNUMBER(K12),ISNUMBER(M12)),ROUND(K12-M12,2),"")</f>
        <v/>
      </c>
      <c r="Q12" s="61" t="s">
        <v>150</v>
      </c>
      <c r="R12" s="61" t="s">
        <v>152</v>
      </c>
      <c r="S12" s="62" t="s">
        <v>147</v>
      </c>
    </row>
    <row r="13" customFormat="false" ht="15" hidden="false" customHeight="false" outlineLevel="0" collapsed="false">
      <c r="A13" s="10" t="n">
        <v>8</v>
      </c>
      <c r="B13" s="16" t="str">
        <f aca="false">IFERROR(INDEX(Alunni!$C$1:$C$1000,MATCH($A13,Alunni!$A$1:$A$1000,0))&amp;"","")</f>
        <v/>
      </c>
      <c r="C13" s="63"/>
      <c r="D13" s="64"/>
      <c r="E13" s="64"/>
      <c r="F13" s="65" t="str">
        <f aca="false">IF(D13="","",ROUND((D13+N(E13))*(1-N($C13)),2))</f>
        <v/>
      </c>
      <c r="G13" s="64"/>
      <c r="H13" s="64"/>
      <c r="I13" s="65" t="str">
        <f aca="false">IF(G13="","",ROUND((G13+N(H13))*(1-N($C13)),2))</f>
        <v/>
      </c>
      <c r="J13" s="64"/>
      <c r="K13" s="65" t="str">
        <f aca="false">IF(J13="","",ROUND(J13*(1-N($C13)),2))</f>
        <v/>
      </c>
      <c r="L13" s="64"/>
      <c r="M13" s="65" t="str">
        <f aca="false">IF(L13="","",ROUND(L13*(1-N($C13)),2))</f>
        <v/>
      </c>
      <c r="N13" s="66" t="str">
        <f aca="false">IF(AND(ISNUMBER(F13),ISNUMBER(I13)),ROUND(F13-I13,2),"")</f>
        <v/>
      </c>
      <c r="O13" s="66" t="str">
        <f aca="false">IF(AND(ISNUMBER(K13),ISNUMBER(M13)),ROUND(K13-M13,2),"")</f>
        <v/>
      </c>
      <c r="Q13" s="61" t="s">
        <v>153</v>
      </c>
      <c r="R13" s="61" t="s">
        <v>154</v>
      </c>
      <c r="S13" s="62" t="s">
        <v>143</v>
      </c>
    </row>
    <row r="14" customFormat="false" ht="15" hidden="false" customHeight="false" outlineLevel="0" collapsed="false">
      <c r="A14" s="10" t="n">
        <v>9</v>
      </c>
      <c r="B14" s="16" t="str">
        <f aca="false">IFERROR(INDEX(Alunni!$C$1:$C$1000,MATCH($A14,Alunni!$A$1:$A$1000,0))&amp;"","")</f>
        <v/>
      </c>
      <c r="C14" s="63"/>
      <c r="D14" s="64"/>
      <c r="E14" s="64"/>
      <c r="F14" s="65" t="str">
        <f aca="false">IF(D14="","",ROUND((D14+N(E14))*(1-N($C14)),2))</f>
        <v/>
      </c>
      <c r="G14" s="64"/>
      <c r="H14" s="64"/>
      <c r="I14" s="65" t="str">
        <f aca="false">IF(G14="","",ROUND((G14+N(H14))*(1-N($C14)),2))</f>
        <v/>
      </c>
      <c r="J14" s="64"/>
      <c r="K14" s="65" t="str">
        <f aca="false">IF(J14="","",ROUND(J14*(1-N($C14)),2))</f>
        <v/>
      </c>
      <c r="L14" s="64"/>
      <c r="M14" s="65" t="str">
        <f aca="false">IF(L14="","",ROUND(L14*(1-N($C14)),2))</f>
        <v/>
      </c>
      <c r="N14" s="66" t="str">
        <f aca="false">IF(AND(ISNUMBER(F14),ISNUMBER(I14)),ROUND(F14-I14,2),"")</f>
        <v/>
      </c>
      <c r="O14" s="66" t="str">
        <f aca="false">IF(AND(ISNUMBER(K14),ISNUMBER(M14)),ROUND(K14-M14,2),"")</f>
        <v/>
      </c>
      <c r="Q14" s="61" t="s">
        <v>153</v>
      </c>
      <c r="R14" s="61" t="s">
        <v>155</v>
      </c>
      <c r="S14" s="62" t="s">
        <v>143</v>
      </c>
    </row>
    <row r="15" customFormat="false" ht="15" hidden="false" customHeight="false" outlineLevel="0" collapsed="false">
      <c r="A15" s="10" t="n">
        <v>10</v>
      </c>
      <c r="B15" s="16" t="str">
        <f aca="false">IFERROR(INDEX(Alunni!$C$1:$C$1000,MATCH($A15,Alunni!$A$1:$A$1000,0))&amp;"","")</f>
        <v/>
      </c>
      <c r="C15" s="63"/>
      <c r="D15" s="64"/>
      <c r="E15" s="64"/>
      <c r="F15" s="65" t="str">
        <f aca="false">IF(D15="","",ROUND((D15+N(E15))*(1-N($C15)),2))</f>
        <v/>
      </c>
      <c r="G15" s="64"/>
      <c r="H15" s="64"/>
      <c r="I15" s="65" t="str">
        <f aca="false">IF(G15="","",ROUND((G15+N(H15))*(1-N($C15)),2))</f>
        <v/>
      </c>
      <c r="J15" s="64"/>
      <c r="K15" s="65" t="str">
        <f aca="false">IF(J15="","",ROUND(J15*(1-N($C15)),2))</f>
        <v/>
      </c>
      <c r="L15" s="64"/>
      <c r="M15" s="65" t="str">
        <f aca="false">IF(L15="","",ROUND(L15*(1-N($C15)),2))</f>
        <v/>
      </c>
      <c r="N15" s="66" t="str">
        <f aca="false">IF(AND(ISNUMBER(F15),ISNUMBER(I15)),ROUND(F15-I15,2),"")</f>
        <v/>
      </c>
      <c r="O15" s="66" t="str">
        <f aca="false">IF(AND(ISNUMBER(K15),ISNUMBER(M15)),ROUND(K15-M15,2),"")</f>
        <v/>
      </c>
      <c r="Q15" s="61" t="s">
        <v>153</v>
      </c>
      <c r="R15" s="61" t="s">
        <v>156</v>
      </c>
      <c r="S15" s="62" t="s">
        <v>147</v>
      </c>
    </row>
    <row r="16" customFormat="false" ht="15" hidden="false" customHeight="false" outlineLevel="0" collapsed="false">
      <c r="A16" s="10" t="n">
        <v>11</v>
      </c>
      <c r="B16" s="16" t="str">
        <f aca="false">IFERROR(INDEX(Alunni!$C$1:$C$1000,MATCH($A16,Alunni!$A$1:$A$1000,0))&amp;"","")</f>
        <v/>
      </c>
      <c r="C16" s="63"/>
      <c r="D16" s="64"/>
      <c r="E16" s="64"/>
      <c r="F16" s="65" t="str">
        <f aca="false">IF(D16="","",ROUND((D16+N(E16))*(1-N($C16)),2))</f>
        <v/>
      </c>
      <c r="G16" s="64"/>
      <c r="H16" s="64"/>
      <c r="I16" s="65" t="str">
        <f aca="false">IF(G16="","",ROUND((G16+N(H16))*(1-N($C16)),2))</f>
        <v/>
      </c>
      <c r="J16" s="64"/>
      <c r="K16" s="65" t="str">
        <f aca="false">IF(J16="","",ROUND(J16*(1-N($C16)),2))</f>
        <v/>
      </c>
      <c r="L16" s="64"/>
      <c r="M16" s="65" t="str">
        <f aca="false">IF(L16="","",ROUND(L16*(1-N($C16)),2))</f>
        <v/>
      </c>
      <c r="N16" s="66" t="str">
        <f aca="false">IF(AND(ISNUMBER(F16),ISNUMBER(I16)),ROUND(F16-I16,2),"")</f>
        <v/>
      </c>
      <c r="O16" s="66" t="str">
        <f aca="false">IF(AND(ISNUMBER(K16),ISNUMBER(M16)),ROUND(K16-M16,2),"")</f>
        <v/>
      </c>
      <c r="Q16" s="61" t="s">
        <v>157</v>
      </c>
      <c r="R16" s="61" t="s">
        <v>158</v>
      </c>
      <c r="S16" s="62" t="s">
        <v>159</v>
      </c>
    </row>
    <row r="17" customFormat="false" ht="15" hidden="false" customHeight="false" outlineLevel="0" collapsed="false">
      <c r="A17" s="10" t="n">
        <v>12</v>
      </c>
      <c r="B17" s="16" t="str">
        <f aca="false">IFERROR(INDEX(Alunni!$C$1:$C$1000,MATCH($A17,Alunni!$A$1:$A$1000,0))&amp;"","")</f>
        <v/>
      </c>
      <c r="C17" s="63"/>
      <c r="D17" s="64"/>
      <c r="E17" s="64"/>
      <c r="F17" s="65" t="str">
        <f aca="false">IF(D17="","",ROUND((D17+N(E17))*(1-N($C17)),2))</f>
        <v/>
      </c>
      <c r="G17" s="64"/>
      <c r="H17" s="64"/>
      <c r="I17" s="65" t="str">
        <f aca="false">IF(G17="","",ROUND((G17+N(H17))*(1-N($C17)),2))</f>
        <v/>
      </c>
      <c r="J17" s="64"/>
      <c r="K17" s="65" t="str">
        <f aca="false">IF(J17="","",ROUND(J17*(1-N($C17)),2))</f>
        <v/>
      </c>
      <c r="L17" s="64"/>
      <c r="M17" s="65" t="str">
        <f aca="false">IF(L17="","",ROUND(L17*(1-N($C17)),2))</f>
        <v/>
      </c>
      <c r="N17" s="66" t="str">
        <f aca="false">IF(AND(ISNUMBER(F17),ISNUMBER(I17)),ROUND(F17-I17,2),"")</f>
        <v/>
      </c>
      <c r="O17" s="66" t="str">
        <f aca="false">IF(AND(ISNUMBER(K17),ISNUMBER(M17)),ROUND(K17-M17,2),"")</f>
        <v/>
      </c>
      <c r="Q17" s="61" t="s">
        <v>157</v>
      </c>
      <c r="R17" s="61" t="s">
        <v>160</v>
      </c>
      <c r="S17" s="62" t="s">
        <v>140</v>
      </c>
    </row>
    <row r="18" customFormat="false" ht="15" hidden="false" customHeight="false" outlineLevel="0" collapsed="false">
      <c r="A18" s="10" t="n">
        <v>13</v>
      </c>
      <c r="B18" s="16" t="str">
        <f aca="false">IFERROR(INDEX(Alunni!$C$1:$C$1000,MATCH($A18,Alunni!$A$1:$A$1000,0))&amp;"","")</f>
        <v/>
      </c>
      <c r="C18" s="63"/>
      <c r="D18" s="64"/>
      <c r="E18" s="64"/>
      <c r="F18" s="65" t="str">
        <f aca="false">IF(D18="","",ROUND((D18+N(E18))*(1-N($C18)),2))</f>
        <v/>
      </c>
      <c r="G18" s="64"/>
      <c r="H18" s="64"/>
      <c r="I18" s="65" t="str">
        <f aca="false">IF(G18="","",ROUND((G18+N(H18))*(1-N($C18)),2))</f>
        <v/>
      </c>
      <c r="J18" s="64"/>
      <c r="K18" s="65" t="str">
        <f aca="false">IF(J18="","",ROUND(J18*(1-N($C18)),2))</f>
        <v/>
      </c>
      <c r="L18" s="64"/>
      <c r="M18" s="65" t="str">
        <f aca="false">IF(L18="","",ROUND(L18*(1-N($C18)),2))</f>
        <v/>
      </c>
      <c r="N18" s="66" t="str">
        <f aca="false">IF(AND(ISNUMBER(F18),ISNUMBER(I18)),ROUND(F18-I18,2),"")</f>
        <v/>
      </c>
      <c r="O18" s="66" t="str">
        <f aca="false">IF(AND(ISNUMBER(K18),ISNUMBER(M18)),ROUND(K18-M18,2),"")</f>
        <v/>
      </c>
      <c r="Q18" s="61" t="s">
        <v>157</v>
      </c>
      <c r="R18" s="61" t="s">
        <v>161</v>
      </c>
      <c r="S18" s="62" t="s">
        <v>140</v>
      </c>
    </row>
    <row r="19" customFormat="false" ht="15" hidden="false" customHeight="false" outlineLevel="0" collapsed="false">
      <c r="A19" s="10" t="n">
        <v>14</v>
      </c>
      <c r="B19" s="16" t="str">
        <f aca="false">IFERROR(INDEX(Alunni!$C$1:$C$1000,MATCH($A19,Alunni!$A$1:$A$1000,0))&amp;"","")</f>
        <v/>
      </c>
      <c r="C19" s="63"/>
      <c r="D19" s="64"/>
      <c r="E19" s="64"/>
      <c r="F19" s="65" t="str">
        <f aca="false">IF(D19="","",ROUND((D19+N(E19))*(1-N($C19)),2))</f>
        <v/>
      </c>
      <c r="G19" s="64"/>
      <c r="H19" s="64"/>
      <c r="I19" s="65" t="str">
        <f aca="false">IF(G19="","",ROUND((G19+N(H19))*(1-N($C19)),2))</f>
        <v/>
      </c>
      <c r="J19" s="64"/>
      <c r="K19" s="65" t="str">
        <f aca="false">IF(J19="","",ROUND(J19*(1-N($C19)),2))</f>
        <v/>
      </c>
      <c r="L19" s="64"/>
      <c r="M19" s="65" t="str">
        <f aca="false">IF(L19="","",ROUND(L19*(1-N($C19)),2))</f>
        <v/>
      </c>
      <c r="N19" s="66" t="str">
        <f aca="false">IF(AND(ISNUMBER(F19),ISNUMBER(I19)),ROUND(F19-I19,2),"")</f>
        <v/>
      </c>
      <c r="O19" s="66" t="str">
        <f aca="false">IF(AND(ISNUMBER(K19),ISNUMBER(M19)),ROUND(K19-M19,2),"")</f>
        <v/>
      </c>
      <c r="Q19" s="61" t="s">
        <v>162</v>
      </c>
      <c r="R19" s="61" t="s">
        <v>163</v>
      </c>
      <c r="S19" s="62" t="s">
        <v>147</v>
      </c>
    </row>
    <row r="20" customFormat="false" ht="15" hidden="false" customHeight="false" outlineLevel="0" collapsed="false">
      <c r="A20" s="10" t="n">
        <v>15</v>
      </c>
      <c r="B20" s="16" t="str">
        <f aca="false">IFERROR(INDEX(Alunni!$C$1:$C$1000,MATCH($A20,Alunni!$A$1:$A$1000,0))&amp;"","")</f>
        <v/>
      </c>
      <c r="C20" s="63"/>
      <c r="D20" s="64"/>
      <c r="E20" s="64"/>
      <c r="F20" s="65" t="str">
        <f aca="false">IF(D20="","",ROUND((D20+N(E20))*(1-N($C20)),2))</f>
        <v/>
      </c>
      <c r="G20" s="64"/>
      <c r="H20" s="64"/>
      <c r="I20" s="65" t="str">
        <f aca="false">IF(G20="","",ROUND((G20+N(H20))*(1-N($C20)),2))</f>
        <v/>
      </c>
      <c r="J20" s="64"/>
      <c r="K20" s="65" t="str">
        <f aca="false">IF(J20="","",ROUND(J20*(1-N($C20)),2))</f>
        <v/>
      </c>
      <c r="L20" s="64"/>
      <c r="M20" s="65" t="str">
        <f aca="false">IF(L20="","",ROUND(L20*(1-N($C20)),2))</f>
        <v/>
      </c>
      <c r="N20" s="66" t="str">
        <f aca="false">IF(AND(ISNUMBER(F20),ISNUMBER(I20)),ROUND(F20-I20,2),"")</f>
        <v/>
      </c>
      <c r="O20" s="66" t="str">
        <f aca="false">IF(AND(ISNUMBER(K20),ISNUMBER(M20)),ROUND(K20-M20,2),"")</f>
        <v/>
      </c>
      <c r="Q20" s="61" t="s">
        <v>162</v>
      </c>
      <c r="R20" s="61" t="s">
        <v>164</v>
      </c>
      <c r="S20" s="62" t="s">
        <v>147</v>
      </c>
    </row>
    <row r="21" customFormat="false" ht="15" hidden="false" customHeight="false" outlineLevel="0" collapsed="false">
      <c r="A21" s="10" t="n">
        <v>16</v>
      </c>
      <c r="B21" s="16" t="str">
        <f aca="false">IFERROR(INDEX(Alunni!$C$1:$C$1000,MATCH($A21,Alunni!$A$1:$A$1000,0))&amp;"","")</f>
        <v/>
      </c>
      <c r="C21" s="63"/>
      <c r="D21" s="64"/>
      <c r="E21" s="64"/>
      <c r="F21" s="65" t="str">
        <f aca="false">IF(D21="","",ROUND((D21+N(E21))*(1-N($C21)),2))</f>
        <v/>
      </c>
      <c r="G21" s="64"/>
      <c r="H21" s="64"/>
      <c r="I21" s="65" t="str">
        <f aca="false">IF(G21="","",ROUND((G21+N(H21))*(1-N($C21)),2))</f>
        <v/>
      </c>
      <c r="J21" s="64"/>
      <c r="K21" s="65" t="str">
        <f aca="false">IF(J21="","",ROUND(J21*(1-N($C21)),2))</f>
        <v/>
      </c>
      <c r="L21" s="64"/>
      <c r="M21" s="65" t="str">
        <f aca="false">IF(L21="","",ROUND(L21*(1-N($C21)),2))</f>
        <v/>
      </c>
      <c r="N21" s="66" t="str">
        <f aca="false">IF(AND(ISNUMBER(F21),ISNUMBER(I21)),ROUND(F21-I21,2),"")</f>
        <v/>
      </c>
      <c r="O21" s="66" t="str">
        <f aca="false">IF(AND(ISNUMBER(K21),ISNUMBER(M21)),ROUND(K21-M21,2),"")</f>
        <v/>
      </c>
      <c r="Q21" s="61" t="s">
        <v>162</v>
      </c>
      <c r="R21" s="61" t="s">
        <v>165</v>
      </c>
      <c r="S21" s="62" t="s">
        <v>140</v>
      </c>
    </row>
    <row r="22" customFormat="false" ht="15" hidden="false" customHeight="false" outlineLevel="0" collapsed="false">
      <c r="A22" s="10" t="n">
        <v>17</v>
      </c>
      <c r="B22" s="16" t="str">
        <f aca="false">IFERROR(INDEX(Alunni!$C$1:$C$1000,MATCH($A22,Alunni!$A$1:$A$1000,0))&amp;"","")</f>
        <v/>
      </c>
      <c r="C22" s="63"/>
      <c r="D22" s="64"/>
      <c r="E22" s="64"/>
      <c r="F22" s="65" t="str">
        <f aca="false">IF(D22="","",ROUND((D22+N(E22))*(1-N($C22)),2))</f>
        <v/>
      </c>
      <c r="G22" s="64"/>
      <c r="H22" s="64"/>
      <c r="I22" s="65" t="str">
        <f aca="false">IF(G22="","",ROUND((G22+N(H22))*(1-N($C22)),2))</f>
        <v/>
      </c>
      <c r="J22" s="64"/>
      <c r="K22" s="65" t="str">
        <f aca="false">IF(J22="","",ROUND(J22*(1-N($C22)),2))</f>
        <v/>
      </c>
      <c r="L22" s="64"/>
      <c r="M22" s="65" t="str">
        <f aca="false">IF(L22="","",ROUND(L22*(1-N($C22)),2))</f>
        <v/>
      </c>
      <c r="N22" s="66" t="str">
        <f aca="false">IF(AND(ISNUMBER(F22),ISNUMBER(I22)),ROUND(F22-I22,2),"")</f>
        <v/>
      </c>
      <c r="O22" s="66" t="str">
        <f aca="false">IF(AND(ISNUMBER(K22),ISNUMBER(M22)),ROUND(K22-M22,2),"")</f>
        <v/>
      </c>
      <c r="Q22" s="61" t="s">
        <v>166</v>
      </c>
      <c r="R22" s="61" t="s">
        <v>167</v>
      </c>
      <c r="S22" s="62" t="s">
        <v>159</v>
      </c>
    </row>
    <row r="23" customFormat="false" ht="15" hidden="false" customHeight="false" outlineLevel="0" collapsed="false">
      <c r="A23" s="10" t="n">
        <v>18</v>
      </c>
      <c r="B23" s="16" t="str">
        <f aca="false">IFERROR(INDEX(Alunni!$C$1:$C$1000,MATCH($A23,Alunni!$A$1:$A$1000,0))&amp;"","")</f>
        <v/>
      </c>
      <c r="C23" s="63"/>
      <c r="D23" s="64"/>
      <c r="E23" s="64"/>
      <c r="F23" s="65" t="str">
        <f aca="false">IF(D23="","",ROUND((D23+N(E23))*(1-N($C23)),2))</f>
        <v/>
      </c>
      <c r="G23" s="64"/>
      <c r="H23" s="64"/>
      <c r="I23" s="65" t="str">
        <f aca="false">IF(G23="","",ROUND((G23+N(H23))*(1-N($C23)),2))</f>
        <v/>
      </c>
      <c r="J23" s="64"/>
      <c r="K23" s="65" t="str">
        <f aca="false">IF(J23="","",ROUND(J23*(1-N($C23)),2))</f>
        <v/>
      </c>
      <c r="L23" s="64"/>
      <c r="M23" s="65" t="str">
        <f aca="false">IF(L23="","",ROUND(L23*(1-N($C23)),2))</f>
        <v/>
      </c>
      <c r="N23" s="66" t="str">
        <f aca="false">IF(AND(ISNUMBER(F23),ISNUMBER(I23)),ROUND(F23-I23,2),"")</f>
        <v/>
      </c>
      <c r="O23" s="66" t="str">
        <f aca="false">IF(AND(ISNUMBER(K23),ISNUMBER(M23)),ROUND(K23-M23,2),"")</f>
        <v/>
      </c>
      <c r="Q23" s="61" t="s">
        <v>168</v>
      </c>
      <c r="R23" s="61" t="s">
        <v>169</v>
      </c>
      <c r="S23" s="62" t="s">
        <v>140</v>
      </c>
    </row>
    <row r="24" customFormat="false" ht="15" hidden="false" customHeight="false" outlineLevel="0" collapsed="false">
      <c r="A24" s="10" t="n">
        <v>19</v>
      </c>
      <c r="B24" s="16" t="str">
        <f aca="false">IFERROR(INDEX(Alunni!$C$1:$C$1000,MATCH($A24,Alunni!$A$1:$A$1000,0))&amp;"","")</f>
        <v/>
      </c>
      <c r="C24" s="63"/>
      <c r="D24" s="64"/>
      <c r="E24" s="64"/>
      <c r="F24" s="65" t="str">
        <f aca="false">IF(D24="","",ROUND((D24+N(E24))*(1-N($C24)),2))</f>
        <v/>
      </c>
      <c r="G24" s="64"/>
      <c r="H24" s="64"/>
      <c r="I24" s="65" t="str">
        <f aca="false">IF(G24="","",ROUND((G24+N(H24))*(1-N($C24)),2))</f>
        <v/>
      </c>
      <c r="J24" s="64"/>
      <c r="K24" s="65" t="str">
        <f aca="false">IF(J24="","",ROUND(J24*(1-N($C24)),2))</f>
        <v/>
      </c>
      <c r="L24" s="64"/>
      <c r="M24" s="65" t="str">
        <f aca="false">IF(L24="","",ROUND(L24*(1-N($C24)),2))</f>
        <v/>
      </c>
      <c r="N24" s="66" t="str">
        <f aca="false">IF(AND(ISNUMBER(F24),ISNUMBER(I24)),ROUND(F24-I24,2),"")</f>
        <v/>
      </c>
      <c r="O24" s="66" t="str">
        <f aca="false">IF(AND(ISNUMBER(K24),ISNUMBER(M24)),ROUND(K24-M24,2),"")</f>
        <v/>
      </c>
      <c r="Q24" s="61" t="s">
        <v>168</v>
      </c>
      <c r="R24" s="61" t="s">
        <v>170</v>
      </c>
      <c r="S24" s="62" t="s">
        <v>140</v>
      </c>
    </row>
    <row r="25" customFormat="false" ht="15" hidden="false" customHeight="false" outlineLevel="0" collapsed="false">
      <c r="A25" s="10" t="n">
        <v>20</v>
      </c>
      <c r="B25" s="16" t="str">
        <f aca="false">IFERROR(INDEX(Alunni!$C$1:$C$1000,MATCH($A25,Alunni!$A$1:$A$1000,0))&amp;"","")</f>
        <v/>
      </c>
      <c r="C25" s="63"/>
      <c r="D25" s="64"/>
      <c r="E25" s="64"/>
      <c r="F25" s="65" t="str">
        <f aca="false">IF(D25="","",ROUND((D25+N(E25))*(1-N($C25)),2))</f>
        <v/>
      </c>
      <c r="G25" s="64"/>
      <c r="H25" s="64"/>
      <c r="I25" s="65" t="str">
        <f aca="false">IF(G25="","",ROUND((G25+N(H25))*(1-N($C25)),2))</f>
        <v/>
      </c>
      <c r="J25" s="64"/>
      <c r="K25" s="65" t="str">
        <f aca="false">IF(J25="","",ROUND(J25*(1-N($C25)),2))</f>
        <v/>
      </c>
      <c r="L25" s="64"/>
      <c r="M25" s="65" t="str">
        <f aca="false">IF(L25="","",ROUND(L25*(1-N($C25)),2))</f>
        <v/>
      </c>
      <c r="N25" s="66" t="str">
        <f aca="false">IF(AND(ISNUMBER(F25),ISNUMBER(I25)),ROUND(F25-I25,2),"")</f>
        <v/>
      </c>
      <c r="O25" s="66" t="str">
        <f aca="false">IF(AND(ISNUMBER(K25),ISNUMBER(M25)),ROUND(K25-M25,2),"")</f>
        <v/>
      </c>
      <c r="Q25" s="61" t="s">
        <v>168</v>
      </c>
      <c r="R25" s="61" t="s">
        <v>171</v>
      </c>
      <c r="S25" s="62" t="s">
        <v>143</v>
      </c>
    </row>
    <row r="26" customFormat="false" ht="15" hidden="false" customHeight="false" outlineLevel="0" collapsed="false">
      <c r="A26" s="10" t="n">
        <v>21</v>
      </c>
      <c r="B26" s="16" t="str">
        <f aca="false">IFERROR(INDEX(Alunni!$C$1:$C$1000,MATCH($A26,Alunni!$A$1:$A$1000,0))&amp;"","")</f>
        <v/>
      </c>
      <c r="C26" s="63"/>
      <c r="D26" s="64"/>
      <c r="E26" s="64"/>
      <c r="F26" s="65" t="str">
        <f aca="false">IF(D26="","",ROUND((D26+N(E26))*(1-N($C26)),2))</f>
        <v/>
      </c>
      <c r="G26" s="64"/>
      <c r="H26" s="64"/>
      <c r="I26" s="65" t="str">
        <f aca="false">IF(G26="","",ROUND((G26+N(H26))*(1-N($C26)),2))</f>
        <v/>
      </c>
      <c r="J26" s="64"/>
      <c r="K26" s="65" t="str">
        <f aca="false">IF(J26="","",ROUND(J26*(1-N($C26)),2))</f>
        <v/>
      </c>
      <c r="L26" s="64"/>
      <c r="M26" s="65" t="str">
        <f aca="false">IF(L26="","",ROUND(L26*(1-N($C26)),2))</f>
        <v/>
      </c>
      <c r="N26" s="66" t="str">
        <f aca="false">IF(AND(ISNUMBER(F26),ISNUMBER(I26)),ROUND(F26-I26,2),"")</f>
        <v/>
      </c>
      <c r="O26" s="66" t="str">
        <f aca="false">IF(AND(ISNUMBER(K26),ISNUMBER(M26)),ROUND(K26-M26,2),"")</f>
        <v/>
      </c>
      <c r="Q26" s="61" t="s">
        <v>172</v>
      </c>
      <c r="R26" s="61" t="s">
        <v>173</v>
      </c>
      <c r="S26" s="62" t="s">
        <v>147</v>
      </c>
    </row>
    <row r="27" customFormat="false" ht="15" hidden="false" customHeight="false" outlineLevel="0" collapsed="false">
      <c r="A27" s="10" t="n">
        <v>22</v>
      </c>
      <c r="B27" s="16" t="str">
        <f aca="false">IFERROR(INDEX(Alunni!$C$1:$C$1000,MATCH($A27,Alunni!$A$1:$A$1000,0))&amp;"","")</f>
        <v/>
      </c>
      <c r="C27" s="63"/>
      <c r="D27" s="64"/>
      <c r="E27" s="64"/>
      <c r="F27" s="65" t="str">
        <f aca="false">IF(D27="","",ROUND((D27+N(E27))*(1-N($C27)),2))</f>
        <v/>
      </c>
      <c r="G27" s="64"/>
      <c r="H27" s="64"/>
      <c r="I27" s="65" t="str">
        <f aca="false">IF(G27="","",ROUND((G27+N(H27))*(1-N($C27)),2))</f>
        <v/>
      </c>
      <c r="J27" s="64"/>
      <c r="K27" s="65" t="str">
        <f aca="false">IF(J27="","",ROUND(J27*(1-N($C27)),2))</f>
        <v/>
      </c>
      <c r="L27" s="64"/>
      <c r="M27" s="65" t="str">
        <f aca="false">IF(L27="","",ROUND(L27*(1-N($C27)),2))</f>
        <v/>
      </c>
      <c r="N27" s="66" t="str">
        <f aca="false">IF(AND(ISNUMBER(F27),ISNUMBER(I27)),ROUND(F27-I27,2),"")</f>
        <v/>
      </c>
      <c r="O27" s="66" t="str">
        <f aca="false">IF(AND(ISNUMBER(K27),ISNUMBER(M27)),ROUND(K27-M27,2),"")</f>
        <v/>
      </c>
      <c r="Q27" s="61" t="s">
        <v>172</v>
      </c>
      <c r="R27" s="61" t="s">
        <v>174</v>
      </c>
      <c r="S27" s="62" t="s">
        <v>140</v>
      </c>
    </row>
    <row r="28" customFormat="false" ht="15" hidden="false" customHeight="false" outlineLevel="0" collapsed="false">
      <c r="A28" s="10" t="n">
        <v>23</v>
      </c>
      <c r="B28" s="16" t="str">
        <f aca="false">IFERROR(INDEX(Alunni!$C$1:$C$1000,MATCH($A28,Alunni!$A$1:$A$1000,0))&amp;"","")</f>
        <v/>
      </c>
      <c r="C28" s="63"/>
      <c r="D28" s="64"/>
      <c r="E28" s="64"/>
      <c r="F28" s="65" t="str">
        <f aca="false">IF(D28="","",ROUND((D28+N(E28))*(1-N($C28)),2))</f>
        <v/>
      </c>
      <c r="G28" s="64"/>
      <c r="H28" s="64"/>
      <c r="I28" s="65" t="str">
        <f aca="false">IF(G28="","",ROUND((G28+N(H28))*(1-N($C28)),2))</f>
        <v/>
      </c>
      <c r="J28" s="64"/>
      <c r="K28" s="65" t="str">
        <f aca="false">IF(J28="","",ROUND(J28*(1-N($C28)),2))</f>
        <v/>
      </c>
      <c r="L28" s="64"/>
      <c r="M28" s="65" t="str">
        <f aca="false">IF(L28="","",ROUND(L28*(1-N($C28)),2))</f>
        <v/>
      </c>
      <c r="N28" s="66" t="str">
        <f aca="false">IF(AND(ISNUMBER(F28),ISNUMBER(I28)),ROUND(F28-I28,2),"")</f>
        <v/>
      </c>
      <c r="O28" s="66" t="str">
        <f aca="false">IF(AND(ISNUMBER(K28),ISNUMBER(M28)),ROUND(K28-M28,2),"")</f>
        <v/>
      </c>
      <c r="Q28" s="61" t="s">
        <v>175</v>
      </c>
      <c r="R28" s="61" t="s">
        <v>176</v>
      </c>
      <c r="S28" s="62" t="s">
        <v>140</v>
      </c>
    </row>
    <row r="29" customFormat="false" ht="15" hidden="false" customHeight="false" outlineLevel="0" collapsed="false">
      <c r="A29" s="10" t="n">
        <v>24</v>
      </c>
      <c r="B29" s="16" t="str">
        <f aca="false">IFERROR(INDEX(Alunni!$C$1:$C$1000,MATCH($A29,Alunni!$A$1:$A$1000,0))&amp;"","")</f>
        <v/>
      </c>
      <c r="C29" s="63"/>
      <c r="D29" s="64"/>
      <c r="E29" s="64"/>
      <c r="F29" s="65" t="str">
        <f aca="false">IF(D29="","",ROUND((D29+N(E29))*(1-N($C29)),2))</f>
        <v/>
      </c>
      <c r="G29" s="64"/>
      <c r="H29" s="64"/>
      <c r="I29" s="65" t="str">
        <f aca="false">IF(G29="","",ROUND((G29+N(H29))*(1-N($C29)),2))</f>
        <v/>
      </c>
      <c r="J29" s="64"/>
      <c r="K29" s="65" t="str">
        <f aca="false">IF(J29="","",ROUND(J29*(1-N($C29)),2))</f>
        <v/>
      </c>
      <c r="L29" s="64"/>
      <c r="M29" s="65" t="str">
        <f aca="false">IF(L29="","",ROUND(L29*(1-N($C29)),2))</f>
        <v/>
      </c>
      <c r="N29" s="66" t="str">
        <f aca="false">IF(AND(ISNUMBER(F29),ISNUMBER(I29)),ROUND(F29-I29,2),"")</f>
        <v/>
      </c>
      <c r="O29" s="66" t="str">
        <f aca="false">IF(AND(ISNUMBER(K29),ISNUMBER(M29)),ROUND(K29-M29,2),"")</f>
        <v/>
      </c>
      <c r="Q29" s="61" t="s">
        <v>175</v>
      </c>
      <c r="R29" s="61" t="s">
        <v>177</v>
      </c>
      <c r="S29" s="62" t="s">
        <v>147</v>
      </c>
    </row>
    <row r="30" customFormat="false" ht="15" hidden="false" customHeight="false" outlineLevel="0" collapsed="false">
      <c r="A30" s="10" t="n">
        <v>25</v>
      </c>
      <c r="B30" s="16" t="str">
        <f aca="false">IFERROR(INDEX(Alunni!$C$1:$C$1000,MATCH($A30,Alunni!$A$1:$A$1000,0))&amp;"","")</f>
        <v/>
      </c>
      <c r="C30" s="63"/>
      <c r="D30" s="64"/>
      <c r="E30" s="64"/>
      <c r="F30" s="65" t="str">
        <f aca="false">IF(D30="","",ROUND((D30+N(E30))*(1-N($C30)),2))</f>
        <v/>
      </c>
      <c r="G30" s="64"/>
      <c r="H30" s="64"/>
      <c r="I30" s="65" t="str">
        <f aca="false">IF(G30="","",ROUND((G30+N(H30))*(1-N($C30)),2))</f>
        <v/>
      </c>
      <c r="J30" s="64"/>
      <c r="K30" s="65" t="str">
        <f aca="false">IF(J30="","",ROUND(J30*(1-N($C30)),2))</f>
        <v/>
      </c>
      <c r="L30" s="64"/>
      <c r="M30" s="65" t="str">
        <f aca="false">IF(L30="","",ROUND(L30*(1-N($C30)),2))</f>
        <v/>
      </c>
      <c r="N30" s="66" t="str">
        <f aca="false">IF(AND(ISNUMBER(F30),ISNUMBER(I30)),ROUND(F30-I30,2),"")</f>
        <v/>
      </c>
      <c r="O30" s="66" t="str">
        <f aca="false">IF(AND(ISNUMBER(K30),ISNUMBER(M30)),ROUND(K30-M30,2),"")</f>
        <v/>
      </c>
      <c r="Q30" s="61" t="s">
        <v>178</v>
      </c>
      <c r="R30" s="61" t="s">
        <v>179</v>
      </c>
      <c r="S30" s="62" t="s">
        <v>143</v>
      </c>
    </row>
    <row r="31" customFormat="false" ht="15" hidden="false" customHeight="false" outlineLevel="0" collapsed="false">
      <c r="A31" s="10" t="n">
        <v>26</v>
      </c>
      <c r="B31" s="16" t="str">
        <f aca="false">IFERROR(INDEX(Alunni!$C$1:$C$1000,MATCH($A31,Alunni!$A$1:$A$1000,0))&amp;"","")</f>
        <v/>
      </c>
      <c r="C31" s="63"/>
      <c r="D31" s="64"/>
      <c r="E31" s="64"/>
      <c r="F31" s="65" t="str">
        <f aca="false">IF(D31="","",ROUND((D31+N(E31))*(1-N($C31)),2))</f>
        <v/>
      </c>
      <c r="G31" s="64"/>
      <c r="H31" s="64"/>
      <c r="I31" s="65" t="str">
        <f aca="false">IF(G31="","",ROUND((G31+N(H31))*(1-N($C31)),2))</f>
        <v/>
      </c>
      <c r="J31" s="64"/>
      <c r="K31" s="65" t="str">
        <f aca="false">IF(J31="","",ROUND(J31*(1-N($C31)),2))</f>
        <v/>
      </c>
      <c r="L31" s="64"/>
      <c r="M31" s="65" t="str">
        <f aca="false">IF(L31="","",ROUND(L31*(1-N($C31)),2))</f>
        <v/>
      </c>
      <c r="N31" s="66" t="str">
        <f aca="false">IF(AND(ISNUMBER(F31),ISNUMBER(I31)),ROUND(F31-I31,2),"")</f>
        <v/>
      </c>
      <c r="O31" s="66" t="str">
        <f aca="false">IF(AND(ISNUMBER(K31),ISNUMBER(M31)),ROUND(K31-M31,2),"")</f>
        <v/>
      </c>
      <c r="Q31" s="61" t="s">
        <v>178</v>
      </c>
      <c r="R31" s="61" t="s">
        <v>180</v>
      </c>
      <c r="S31" s="62" t="s">
        <v>143</v>
      </c>
    </row>
    <row r="32" customFormat="false" ht="15" hidden="false" customHeight="false" outlineLevel="0" collapsed="false">
      <c r="A32" s="10" t="n">
        <v>27</v>
      </c>
      <c r="B32" s="16" t="str">
        <f aca="false">IFERROR(INDEX(Alunni!$C$1:$C$1000,MATCH($A32,Alunni!$A$1:$A$1000,0))&amp;"","")</f>
        <v/>
      </c>
      <c r="C32" s="63"/>
      <c r="D32" s="64"/>
      <c r="E32" s="64"/>
      <c r="F32" s="65" t="str">
        <f aca="false">IF(D32="","",ROUND((D32+N(E32))*(1-N($C32)),2))</f>
        <v/>
      </c>
      <c r="G32" s="64"/>
      <c r="H32" s="64"/>
      <c r="I32" s="65" t="str">
        <f aca="false">IF(G32="","",ROUND((G32+N(H32))*(1-N($C32)),2))</f>
        <v/>
      </c>
      <c r="J32" s="64"/>
      <c r="K32" s="65" t="str">
        <f aca="false">IF(J32="","",ROUND(J32*(1-N($C32)),2))</f>
        <v/>
      </c>
      <c r="L32" s="64"/>
      <c r="M32" s="65" t="str">
        <f aca="false">IF(L32="","",ROUND(L32*(1-N($C32)),2))</f>
        <v/>
      </c>
      <c r="N32" s="66" t="str">
        <f aca="false">IF(AND(ISNUMBER(F32),ISNUMBER(I32)),ROUND(F32-I32,2),"")</f>
        <v/>
      </c>
      <c r="O32" s="66" t="str">
        <f aca="false">IF(AND(ISNUMBER(K32),ISNUMBER(M32)),ROUND(K32-M32,2),"")</f>
        <v/>
      </c>
      <c r="Q32" s="61" t="s">
        <v>181</v>
      </c>
      <c r="R32" s="61" t="s">
        <v>182</v>
      </c>
      <c r="S32" s="62" t="s">
        <v>140</v>
      </c>
    </row>
    <row r="33" customFormat="false" ht="15" hidden="false" customHeight="false" outlineLevel="0" collapsed="false">
      <c r="A33" s="10" t="n">
        <v>28</v>
      </c>
      <c r="B33" s="16" t="str">
        <f aca="false">IFERROR(INDEX(Alunni!$C$1:$C$1000,MATCH($A33,Alunni!$A$1:$A$1000,0))&amp;"","")</f>
        <v/>
      </c>
      <c r="C33" s="63"/>
      <c r="D33" s="64"/>
      <c r="E33" s="64"/>
      <c r="F33" s="65" t="str">
        <f aca="false">IF(D33="","",ROUND((D33+N(E33))*(1-N($C33)),2))</f>
        <v/>
      </c>
      <c r="G33" s="64"/>
      <c r="H33" s="64"/>
      <c r="I33" s="65" t="str">
        <f aca="false">IF(G33="","",ROUND((G33+N(H33))*(1-N($C33)),2))</f>
        <v/>
      </c>
      <c r="J33" s="64"/>
      <c r="K33" s="65" t="str">
        <f aca="false">IF(J33="","",ROUND(J33*(1-N($C33)),2))</f>
        <v/>
      </c>
      <c r="L33" s="64"/>
      <c r="M33" s="65" t="str">
        <f aca="false">IF(L33="","",ROUND(L33*(1-N($C33)),2))</f>
        <v/>
      </c>
      <c r="N33" s="66" t="str">
        <f aca="false">IF(AND(ISNUMBER(F33),ISNUMBER(I33)),ROUND(F33-I33,2),"")</f>
        <v/>
      </c>
      <c r="O33" s="66" t="str">
        <f aca="false">IF(AND(ISNUMBER(K33),ISNUMBER(M33)),ROUND(K33-M33,2),"")</f>
        <v/>
      </c>
      <c r="Q33" s="61" t="s">
        <v>181</v>
      </c>
      <c r="R33" s="61" t="s">
        <v>183</v>
      </c>
      <c r="S33" s="62" t="s">
        <v>147</v>
      </c>
    </row>
    <row r="34" customFormat="false" ht="15" hidden="false" customHeight="false" outlineLevel="0" collapsed="false">
      <c r="A34" s="10" t="n">
        <v>29</v>
      </c>
      <c r="B34" s="16" t="str">
        <f aca="false">IFERROR(INDEX(Alunni!$C$1:$C$1000,MATCH($A34,Alunni!$A$1:$A$1000,0))&amp;"","")</f>
        <v/>
      </c>
      <c r="C34" s="63"/>
      <c r="D34" s="64"/>
      <c r="E34" s="64"/>
      <c r="F34" s="65" t="str">
        <f aca="false">IF(D34="","",ROUND((D34+N(E34))*(1-N($C34)),2))</f>
        <v/>
      </c>
      <c r="G34" s="64"/>
      <c r="H34" s="64"/>
      <c r="I34" s="65" t="str">
        <f aca="false">IF(G34="","",ROUND((G34+N(H34))*(1-N($C34)),2))</f>
        <v/>
      </c>
      <c r="J34" s="64"/>
      <c r="K34" s="65" t="str">
        <f aca="false">IF(J34="","",ROUND(J34*(1-N($C34)),2))</f>
        <v/>
      </c>
      <c r="L34" s="64"/>
      <c r="M34" s="65" t="str">
        <f aca="false">IF(L34="","",ROUND(L34*(1-N($C34)),2))</f>
        <v/>
      </c>
      <c r="N34" s="66" t="str">
        <f aca="false">IF(AND(ISNUMBER(F34),ISNUMBER(I34)),ROUND(F34-I34,2),"")</f>
        <v/>
      </c>
      <c r="O34" s="66" t="str">
        <f aca="false">IF(AND(ISNUMBER(K34),ISNUMBER(M34)),ROUND(K34-M34,2),"")</f>
        <v/>
      </c>
      <c r="Q34" s="61" t="s">
        <v>181</v>
      </c>
      <c r="R34" s="61" t="s">
        <v>184</v>
      </c>
      <c r="S34" s="62" t="s">
        <v>147</v>
      </c>
    </row>
    <row r="35" customFormat="false" ht="15" hidden="false" customHeight="false" outlineLevel="0" collapsed="false">
      <c r="A35" s="10" t="n">
        <v>30</v>
      </c>
      <c r="B35" s="16" t="str">
        <f aca="false">IFERROR(INDEX(Alunni!$C$1:$C$1000,MATCH($A35,Alunni!$A$1:$A$1000,0))&amp;"","")</f>
        <v/>
      </c>
      <c r="C35" s="63"/>
      <c r="D35" s="64"/>
      <c r="E35" s="64"/>
      <c r="F35" s="65" t="str">
        <f aca="false">IF(D35="","",ROUND((D35+N(E35))*(1-N($C35)),2))</f>
        <v/>
      </c>
      <c r="G35" s="64"/>
      <c r="H35" s="64"/>
      <c r="I35" s="65" t="str">
        <f aca="false">IF(G35="","",ROUND((G35+N(H35))*(1-N($C35)),2))</f>
        <v/>
      </c>
      <c r="J35" s="64"/>
      <c r="K35" s="65" t="str">
        <f aca="false">IF(J35="","",ROUND(J35*(1-N($C35)),2))</f>
        <v/>
      </c>
      <c r="L35" s="64"/>
      <c r="M35" s="65" t="str">
        <f aca="false">IF(L35="","",ROUND(L35*(1-N($C35)),2))</f>
        <v/>
      </c>
      <c r="N35" s="66" t="str">
        <f aca="false">IF(AND(ISNUMBER(F35),ISNUMBER(I35)),ROUND(F35-I35,2),"")</f>
        <v/>
      </c>
      <c r="O35" s="66" t="str">
        <f aca="false">IF(AND(ISNUMBER(K35),ISNUMBER(M35)),ROUND(K35-M35,2),"")</f>
        <v/>
      </c>
    </row>
    <row r="37" customFormat="false" ht="15" hidden="false" customHeight="true" outlineLevel="0" collapsed="false">
      <c r="A37" s="25" t="s">
        <v>185</v>
      </c>
      <c r="B37" s="25"/>
      <c r="C37" s="25"/>
      <c r="D37" s="25"/>
      <c r="E37" s="25"/>
      <c r="F37" s="66" t="n">
        <f aca="false">COUNT(F6:F35)</f>
        <v>2</v>
      </c>
      <c r="I37" s="66" t="n">
        <f aca="false">COUNT(I6:I35)</f>
        <v>2</v>
      </c>
      <c r="K37" s="66" t="n">
        <f aca="false">COUNT(K6:K35)</f>
        <v>2</v>
      </c>
      <c r="M37" s="66" t="n">
        <f aca="false">COUNT(M6:M35)</f>
        <v>2</v>
      </c>
    </row>
    <row r="38" customFormat="false" ht="15" hidden="false" customHeight="true" outlineLevel="0" collapsed="false">
      <c r="A38" s="25" t="s">
        <v>186</v>
      </c>
      <c r="B38" s="25"/>
      <c r="C38" s="25"/>
      <c r="D38" s="25"/>
      <c r="E38" s="25"/>
      <c r="F38" s="67" t="n">
        <f aca="false">IFERROR(ROUND(AVERAGE(F6:F35),2),"")</f>
        <v>66.3</v>
      </c>
      <c r="I38" s="67" t="n">
        <f aca="false">IFERROR(ROUND(AVERAGE(I6:I35),2),"")</f>
        <v>55.05</v>
      </c>
      <c r="K38" s="67" t="n">
        <f aca="false">IFERROR(ROUND(AVERAGE(K6:K35),2),"")</f>
        <v>10.44</v>
      </c>
      <c r="M38" s="67" t="n">
        <f aca="false">IFERROR(ROUND(AVERAGE(M6:M35),2),"")</f>
        <v>10.01</v>
      </c>
    </row>
    <row r="39" customFormat="false" ht="15" hidden="false" customHeight="true" outlineLevel="0" collapsed="false">
      <c r="A39" s="25" t="s">
        <v>187</v>
      </c>
      <c r="B39" s="25"/>
      <c r="C39" s="25"/>
      <c r="D39" s="25"/>
      <c r="E39" s="25"/>
      <c r="F39" s="66" t="str">
        <f aca="false">IF(COUNT(F6:F35)&gt;2,ROUND((SUM(F6:F35)-MAX(F6:F35)-MIN(F6:F35))/(COUNT(F6:F35)-2),2),"")</f>
        <v/>
      </c>
      <c r="I39" s="66" t="str">
        <f aca="false">IF(COUNT(I6:I35)&gt;2,ROUND((SUM(I6:I35)-MAX(I6:I35)-MIN(I6:I35))/(COUNT(I6:I35)-2),2),"")</f>
        <v/>
      </c>
      <c r="K39" s="66" t="str">
        <f aca="false">IF(COUNT(K6:K35)&gt;2,ROUND((SUM(K6:K35)-MAX(K6:K35)-MIN(K6:K35))/(COUNT(K6:K35)-2),2),"")</f>
        <v/>
      </c>
      <c r="M39" s="66" t="str">
        <f aca="false">IF(COUNT(M6:M35)&gt;2,ROUND((SUM(M6:M35)-MAX(M6:M35)-MIN(M6:M35))/(COUNT(M6:M35)-2),2),"")</f>
        <v/>
      </c>
    </row>
    <row r="40" customFormat="false" ht="15" hidden="false" customHeight="true" outlineLevel="0" collapsed="false">
      <c r="A40" s="25" t="s">
        <v>188</v>
      </c>
      <c r="B40" s="25"/>
      <c r="C40" s="25"/>
      <c r="D40" s="25"/>
      <c r="E40" s="25"/>
      <c r="F40" s="66" t="n">
        <f aca="false">IFERROR(ROUND(MEDIAN(F6:F35),2),"")</f>
        <v>66.3</v>
      </c>
      <c r="I40" s="66" t="n">
        <f aca="false">IFERROR(ROUND(MEDIAN(I6:I35),2),"")</f>
        <v>55.05</v>
      </c>
      <c r="K40" s="66" t="n">
        <f aca="false">IFERROR(ROUND(MEDIAN(K6:K35),2),"")</f>
        <v>10.44</v>
      </c>
      <c r="M40" s="66" t="n">
        <f aca="false">IFERROR(ROUND(MEDIAN(M6:M35),2),"")</f>
        <v>10.01</v>
      </c>
    </row>
    <row r="41" customFormat="false" ht="15" hidden="false" customHeight="true" outlineLevel="0" collapsed="false">
      <c r="A41" s="25" t="s">
        <v>189</v>
      </c>
      <c r="B41" s="25"/>
      <c r="C41" s="25"/>
      <c r="D41" s="25"/>
      <c r="E41" s="25"/>
      <c r="F41" s="66" t="n">
        <f aca="false">IF(COUNT(F6:F35)&gt;1,ROUND(STDEV(F6:F35),2),"")</f>
        <v>9.76</v>
      </c>
      <c r="I41" s="66" t="n">
        <f aca="false">IF(COUNT(I6:I35)&gt;1,ROUND(STDEV(I6:I35),2),"")</f>
        <v>7</v>
      </c>
      <c r="K41" s="66" t="n">
        <f aca="false">IF(COUNT(K6:K35)&gt;1,ROUND(STDEV(K6:K35),2),"")</f>
        <v>0.83</v>
      </c>
      <c r="M41" s="66" t="n">
        <f aca="false">IF(COUNT(M6:M35)&gt;1,ROUND(STDEV(M6:M35),2),"")</f>
        <v>0.86</v>
      </c>
    </row>
    <row r="42" customFormat="false" ht="15" hidden="false" customHeight="true" outlineLevel="0" collapsed="false">
      <c r="A42" s="25" t="s">
        <v>190</v>
      </c>
      <c r="B42" s="25"/>
      <c r="C42" s="25"/>
      <c r="D42" s="25"/>
      <c r="E42" s="25"/>
      <c r="F42" s="66" t="n">
        <f aca="false">IFERROR(MIN(F6:F35),"")</f>
        <v>59.4</v>
      </c>
      <c r="I42" s="66" t="n">
        <f aca="false">IFERROR(MIN(I6:I35),"")</f>
        <v>50.1</v>
      </c>
      <c r="K42" s="66" t="n">
        <f aca="false">IFERROR(MIN(K6:K35),"")</f>
        <v>9.85</v>
      </c>
      <c r="M42" s="66" t="n">
        <f aca="false">IFERROR(MIN(M6:M35),"")</f>
        <v>9.4</v>
      </c>
    </row>
    <row r="43" customFormat="false" ht="15" hidden="false" customHeight="true" outlineLevel="0" collapsed="false">
      <c r="A43" s="25" t="s">
        <v>191</v>
      </c>
      <c r="B43" s="25"/>
      <c r="C43" s="25"/>
      <c r="D43" s="25"/>
      <c r="E43" s="25"/>
      <c r="F43" s="66" t="n">
        <f aca="false">IFERROR(MAX(F6:F35),"")</f>
        <v>73.2</v>
      </c>
      <c r="I43" s="66" t="n">
        <f aca="false">IFERROR(MAX(I6:I35),"")</f>
        <v>60</v>
      </c>
      <c r="K43" s="66" t="n">
        <f aca="false">IFERROR(MAX(K6:K35),"")</f>
        <v>11.02</v>
      </c>
      <c r="M43" s="66" t="n">
        <f aca="false">IFERROR(MAX(M6:M35),"")</f>
        <v>10.61</v>
      </c>
    </row>
    <row r="46" customFormat="false" ht="19.5" hidden="false" customHeight="true" outlineLevel="0" collapsed="false">
      <c r="A46" s="68" t="s">
        <v>192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</row>
    <row r="47" customFormat="false" ht="19.4" hidden="false" customHeight="true" outlineLevel="0" collapsed="false">
      <c r="A47" s="30" t="s">
        <v>193</v>
      </c>
      <c r="B47" s="30"/>
      <c r="C47" s="30" t="s">
        <v>194</v>
      </c>
      <c r="D47" s="30" t="s">
        <v>195</v>
      </c>
      <c r="E47" s="30" t="s">
        <v>196</v>
      </c>
      <c r="F47" s="30" t="s">
        <v>197</v>
      </c>
      <c r="G47" s="30" t="s">
        <v>198</v>
      </c>
      <c r="H47" s="30" t="s">
        <v>199</v>
      </c>
      <c r="I47" s="30" t="s">
        <v>200</v>
      </c>
    </row>
    <row r="48" customFormat="false" ht="22.35" hidden="false" customHeight="true" outlineLevel="0" collapsed="false">
      <c r="A48" s="69" t="s">
        <v>201</v>
      </c>
      <c r="B48" s="69"/>
      <c r="C48" s="13" t="s">
        <v>202</v>
      </c>
      <c r="D48" s="64"/>
      <c r="E48" s="64"/>
      <c r="F48" s="70"/>
      <c r="G48" s="70"/>
      <c r="H48" s="70"/>
      <c r="I48" s="71" t="str">
        <f aca="false">IF(COUNT(D48:H48)=0,"",SUM(D48:H48))</f>
        <v/>
      </c>
    </row>
    <row r="49" customFormat="false" ht="15" hidden="false" customHeight="false" outlineLevel="0" collapsed="false">
      <c r="A49" s="69"/>
      <c r="B49" s="69"/>
      <c r="C49" s="13" t="s">
        <v>203</v>
      </c>
      <c r="D49" s="64"/>
      <c r="E49" s="64"/>
      <c r="F49" s="70"/>
      <c r="G49" s="70"/>
      <c r="H49" s="70"/>
      <c r="I49" s="71" t="str">
        <f aca="false">IF(COUNT(D49:H49)=0,"",SUM(D49:H49))</f>
        <v/>
      </c>
    </row>
    <row r="50" customFormat="false" ht="22.35" hidden="false" customHeight="true" outlineLevel="0" collapsed="false">
      <c r="A50" s="69" t="s">
        <v>204</v>
      </c>
      <c r="B50" s="69"/>
      <c r="C50" s="13" t="s">
        <v>202</v>
      </c>
      <c r="D50" s="64"/>
      <c r="E50" s="64"/>
      <c r="F50" s="70"/>
      <c r="G50" s="70"/>
      <c r="H50" s="70"/>
      <c r="I50" s="71" t="str">
        <f aca="false">IF(COUNT(D50:H50)=0,"",SUM(D50:H50))</f>
        <v/>
      </c>
    </row>
    <row r="51" customFormat="false" ht="15" hidden="false" customHeight="false" outlineLevel="0" collapsed="false">
      <c r="A51" s="69"/>
      <c r="B51" s="69"/>
      <c r="C51" s="13" t="s">
        <v>203</v>
      </c>
      <c r="D51" s="64"/>
      <c r="E51" s="64"/>
      <c r="F51" s="70"/>
      <c r="G51" s="70"/>
      <c r="H51" s="70"/>
      <c r="I51" s="71" t="str">
        <f aca="false">IF(COUNT(D51:H51)=0,"",SUM(D51:H51))</f>
        <v/>
      </c>
    </row>
    <row r="52" customFormat="false" ht="22.35" hidden="false" customHeight="true" outlineLevel="0" collapsed="false">
      <c r="A52" s="69" t="s">
        <v>205</v>
      </c>
      <c r="B52" s="69"/>
      <c r="C52" s="13" t="s">
        <v>202</v>
      </c>
      <c r="D52" s="64"/>
      <c r="E52" s="64"/>
      <c r="F52" s="64"/>
      <c r="G52" s="64"/>
      <c r="H52" s="64"/>
      <c r="I52" s="71" t="str">
        <f aca="false">IF(COUNT(D52:H52)=0,"",SUM(D52:H52))</f>
        <v/>
      </c>
    </row>
    <row r="53" customFormat="false" ht="15" hidden="false" customHeight="false" outlineLevel="0" collapsed="false">
      <c r="A53" s="69"/>
      <c r="B53" s="69"/>
      <c r="C53" s="13" t="s">
        <v>203</v>
      </c>
      <c r="D53" s="64"/>
      <c r="E53" s="64"/>
      <c r="F53" s="64"/>
      <c r="G53" s="64"/>
      <c r="H53" s="64"/>
      <c r="I53" s="71" t="str">
        <f aca="false">IF(COUNT(D53:H53)=0,"",SUM(D53:H53))</f>
        <v/>
      </c>
    </row>
    <row r="55" customFormat="false" ht="18" hidden="false" customHeight="true" outlineLevel="0" collapsed="false">
      <c r="A55" s="72" t="s">
        <v>206</v>
      </c>
      <c r="B55" s="72"/>
      <c r="C55" s="72"/>
      <c r="D55" s="72"/>
      <c r="E55" s="72"/>
      <c r="F55" s="72"/>
      <c r="G55" s="72"/>
      <c r="H55" s="72"/>
      <c r="I55" s="72"/>
    </row>
    <row r="56" customFormat="false" ht="15" hidden="false" customHeight="true" outlineLevel="0" collapsed="false">
      <c r="A56" s="73" t="s">
        <v>207</v>
      </c>
      <c r="B56" s="73"/>
      <c r="C56" s="73"/>
      <c r="D56" s="21"/>
    </row>
  </sheetData>
  <mergeCells count="25">
    <mergeCell ref="A1:O1"/>
    <mergeCell ref="A2:O2"/>
    <mergeCell ref="D4:F4"/>
    <mergeCell ref="G4:I4"/>
    <mergeCell ref="J4:K4"/>
    <mergeCell ref="L4:M4"/>
    <mergeCell ref="N4:O4"/>
    <mergeCell ref="Q4:S4"/>
    <mergeCell ref="A37:E37"/>
    <mergeCell ref="A38:E38"/>
    <mergeCell ref="A39:E39"/>
    <mergeCell ref="A40:E40"/>
    <mergeCell ref="A41:E41"/>
    <mergeCell ref="A42:E42"/>
    <mergeCell ref="A43:E43"/>
    <mergeCell ref="A46:O46"/>
    <mergeCell ref="A47:B47"/>
    <mergeCell ref="A48:B48"/>
    <mergeCell ref="A49:B49"/>
    <mergeCell ref="A50:B50"/>
    <mergeCell ref="A51:B51"/>
    <mergeCell ref="A52:B52"/>
    <mergeCell ref="A53:B53"/>
    <mergeCell ref="A55:I55"/>
    <mergeCell ref="A56:C56"/>
  </mergeCells>
  <dataValidations count="1">
    <dataValidation allowBlank="true" errorStyle="stop" operator="between" showDropDown="false" showErrorMessage="false" showInputMessage="false" sqref="D56" type="list">
      <formula1>"Ottimo,Distinto,Buono,Discreto,Sufficiente,Non sufficiente"</formula1>
      <formula2>0</formula2>
    </dataValidation>
  </dataValidations>
  <printOptions headings="false" gridLines="false" gridLinesSet="true" horizontalCentered="false" verticalCentered="false"/>
  <pageMargins left="0.35" right="0.35" top="0.45" bottom="0.4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10" min="5" style="0" width="30"/>
  </cols>
  <sheetData>
    <row r="1" customFormat="false" ht="24" hidden="false" customHeight="true" outlineLevel="0" collapsed="false">
      <c r="A1" s="4" t="s">
        <v>208</v>
      </c>
      <c r="B1" s="4"/>
      <c r="C1" s="4"/>
      <c r="D1" s="4"/>
      <c r="E1" s="4"/>
      <c r="F1" s="4"/>
      <c r="G1" s="4"/>
      <c r="H1" s="4"/>
      <c r="I1" s="4"/>
      <c r="J1" s="4"/>
    </row>
    <row r="2" customFormat="false" ht="25.5" hidden="false" customHeight="true" outlineLevel="0" collapsed="false">
      <c r="A2" s="41" t="s">
        <v>209</v>
      </c>
      <c r="B2" s="41"/>
      <c r="C2" s="41"/>
      <c r="D2" s="41"/>
      <c r="E2" s="41"/>
      <c r="F2" s="41"/>
      <c r="G2" s="41"/>
      <c r="H2" s="41"/>
      <c r="I2" s="41"/>
      <c r="J2" s="41"/>
    </row>
    <row r="4" customFormat="false" ht="15" hidden="false" customHeight="false" outlineLevel="0" collapsed="false">
      <c r="A4" s="8" t="s">
        <v>66</v>
      </c>
      <c r="B4" s="8" t="s">
        <v>210</v>
      </c>
      <c r="C4" s="8" t="s">
        <v>211</v>
      </c>
      <c r="D4" s="8" t="s">
        <v>212</v>
      </c>
      <c r="E4" s="74" t="s">
        <v>213</v>
      </c>
      <c r="F4" s="75" t="s">
        <v>214</v>
      </c>
      <c r="G4" s="76" t="s">
        <v>215</v>
      </c>
      <c r="H4" s="77" t="s">
        <v>216</v>
      </c>
      <c r="I4" s="78" t="s">
        <v>217</v>
      </c>
      <c r="J4" s="79" t="s">
        <v>218</v>
      </c>
    </row>
    <row r="5" customFormat="false" ht="61.5" hidden="false" customHeight="true" outlineLevel="0" collapsed="false">
      <c r="A5" s="80" t="s">
        <v>37</v>
      </c>
      <c r="B5" s="81" t="n">
        <v>1</v>
      </c>
      <c r="C5" s="73" t="s">
        <v>219</v>
      </c>
      <c r="D5" s="82" t="s">
        <v>220</v>
      </c>
      <c r="E5" s="82" t="s">
        <v>221</v>
      </c>
      <c r="F5" s="82" t="s">
        <v>222</v>
      </c>
      <c r="G5" s="82" t="s">
        <v>223</v>
      </c>
      <c r="H5" s="82" t="s">
        <v>224</v>
      </c>
      <c r="I5" s="82" t="s">
        <v>225</v>
      </c>
      <c r="J5" s="82" t="s">
        <v>226</v>
      </c>
    </row>
    <row r="6" customFormat="false" ht="61.5" hidden="false" customHeight="true" outlineLevel="0" collapsed="false">
      <c r="A6" s="80" t="s">
        <v>37</v>
      </c>
      <c r="B6" s="81" t="n">
        <v>2</v>
      </c>
      <c r="C6" s="73" t="s">
        <v>227</v>
      </c>
      <c r="D6" s="82" t="s">
        <v>228</v>
      </c>
      <c r="E6" s="82" t="s">
        <v>229</v>
      </c>
      <c r="F6" s="82" t="s">
        <v>230</v>
      </c>
      <c r="G6" s="82" t="s">
        <v>231</v>
      </c>
      <c r="H6" s="82" t="s">
        <v>232</v>
      </c>
      <c r="I6" s="82" t="s">
        <v>233</v>
      </c>
      <c r="J6" s="82" t="s">
        <v>234</v>
      </c>
    </row>
    <row r="7" customFormat="false" ht="61.5" hidden="false" customHeight="true" outlineLevel="0" collapsed="false">
      <c r="A7" s="80" t="s">
        <v>37</v>
      </c>
      <c r="B7" s="81" t="n">
        <v>3</v>
      </c>
      <c r="C7" s="73" t="s">
        <v>235</v>
      </c>
      <c r="D7" s="82" t="s">
        <v>236</v>
      </c>
      <c r="E7" s="82" t="s">
        <v>237</v>
      </c>
      <c r="F7" s="82" t="s">
        <v>238</v>
      </c>
      <c r="G7" s="82" t="s">
        <v>239</v>
      </c>
      <c r="H7" s="82" t="s">
        <v>240</v>
      </c>
      <c r="I7" s="82" t="s">
        <v>241</v>
      </c>
      <c r="J7" s="82" t="s">
        <v>242</v>
      </c>
    </row>
    <row r="8" customFormat="false" ht="61.5" hidden="false" customHeight="true" outlineLevel="0" collapsed="false">
      <c r="A8" s="80" t="s">
        <v>37</v>
      </c>
      <c r="B8" s="81" t="n">
        <v>4</v>
      </c>
      <c r="C8" s="73" t="s">
        <v>243</v>
      </c>
      <c r="D8" s="82" t="s">
        <v>244</v>
      </c>
      <c r="E8" s="82" t="s">
        <v>245</v>
      </c>
      <c r="F8" s="82" t="s">
        <v>246</v>
      </c>
      <c r="G8" s="82" t="s">
        <v>247</v>
      </c>
      <c r="H8" s="82" t="s">
        <v>248</v>
      </c>
      <c r="I8" s="82" t="s">
        <v>249</v>
      </c>
      <c r="J8" s="82" t="s">
        <v>250</v>
      </c>
    </row>
    <row r="9" customFormat="false" ht="61.5" hidden="false" customHeight="true" outlineLevel="0" collapsed="false">
      <c r="A9" s="83" t="s">
        <v>251</v>
      </c>
      <c r="B9" s="84" t="n">
        <v>1</v>
      </c>
      <c r="C9" s="73" t="s">
        <v>252</v>
      </c>
      <c r="D9" s="82" t="s">
        <v>253</v>
      </c>
      <c r="E9" s="82" t="s">
        <v>254</v>
      </c>
      <c r="F9" s="82" t="s">
        <v>255</v>
      </c>
      <c r="G9" s="82" t="s">
        <v>256</v>
      </c>
      <c r="H9" s="82" t="s">
        <v>257</v>
      </c>
      <c r="I9" s="82" t="s">
        <v>258</v>
      </c>
      <c r="J9" s="82" t="s">
        <v>259</v>
      </c>
    </row>
    <row r="10" customFormat="false" ht="61.5" hidden="false" customHeight="true" outlineLevel="0" collapsed="false">
      <c r="A10" s="83" t="s">
        <v>251</v>
      </c>
      <c r="B10" s="84" t="n">
        <v>2</v>
      </c>
      <c r="C10" s="73" t="s">
        <v>260</v>
      </c>
      <c r="D10" s="82" t="s">
        <v>261</v>
      </c>
      <c r="E10" s="82" t="s">
        <v>262</v>
      </c>
      <c r="F10" s="82" t="s">
        <v>263</v>
      </c>
      <c r="G10" s="82" t="s">
        <v>264</v>
      </c>
      <c r="H10" s="82" t="s">
        <v>265</v>
      </c>
      <c r="I10" s="82" t="s">
        <v>266</v>
      </c>
      <c r="J10" s="82" t="s">
        <v>267</v>
      </c>
    </row>
    <row r="11" customFormat="false" ht="61.5" hidden="false" customHeight="true" outlineLevel="0" collapsed="false">
      <c r="A11" s="83" t="s">
        <v>251</v>
      </c>
      <c r="B11" s="84" t="n">
        <v>3</v>
      </c>
      <c r="C11" s="73" t="s">
        <v>268</v>
      </c>
      <c r="D11" s="82" t="s">
        <v>269</v>
      </c>
      <c r="E11" s="82" t="s">
        <v>270</v>
      </c>
      <c r="F11" s="82" t="s">
        <v>271</v>
      </c>
      <c r="G11" s="82" t="s">
        <v>272</v>
      </c>
      <c r="H11" s="82" t="s">
        <v>273</v>
      </c>
      <c r="I11" s="82" t="s">
        <v>274</v>
      </c>
      <c r="J11" s="82" t="s">
        <v>275</v>
      </c>
    </row>
    <row r="12" customFormat="false" ht="61.5" hidden="false" customHeight="true" outlineLevel="0" collapsed="false">
      <c r="A12" s="83" t="s">
        <v>251</v>
      </c>
      <c r="B12" s="84" t="n">
        <v>4</v>
      </c>
      <c r="C12" s="73" t="s">
        <v>276</v>
      </c>
      <c r="D12" s="82" t="s">
        <v>277</v>
      </c>
      <c r="E12" s="82" t="s">
        <v>278</v>
      </c>
      <c r="F12" s="82" t="s">
        <v>279</v>
      </c>
      <c r="G12" s="82" t="s">
        <v>280</v>
      </c>
      <c r="H12" s="82" t="s">
        <v>281</v>
      </c>
      <c r="I12" s="82" t="s">
        <v>282</v>
      </c>
      <c r="J12" s="82" t="s">
        <v>283</v>
      </c>
    </row>
    <row r="13" customFormat="false" ht="61.5" hidden="false" customHeight="true" outlineLevel="0" collapsed="false">
      <c r="A13" s="85" t="s">
        <v>40</v>
      </c>
      <c r="B13" s="86" t="n">
        <v>1</v>
      </c>
      <c r="C13" s="73" t="s">
        <v>284</v>
      </c>
      <c r="D13" s="82" t="s">
        <v>285</v>
      </c>
      <c r="E13" s="82" t="s">
        <v>286</v>
      </c>
      <c r="F13" s="82" t="s">
        <v>287</v>
      </c>
      <c r="G13" s="82" t="s">
        <v>288</v>
      </c>
      <c r="H13" s="82" t="s">
        <v>289</v>
      </c>
      <c r="I13" s="82" t="s">
        <v>290</v>
      </c>
      <c r="J13" s="82" t="s">
        <v>291</v>
      </c>
    </row>
    <row r="14" customFormat="false" ht="61.5" hidden="false" customHeight="true" outlineLevel="0" collapsed="false">
      <c r="A14" s="85" t="s">
        <v>40</v>
      </c>
      <c r="B14" s="86" t="n">
        <v>2</v>
      </c>
      <c r="C14" s="73" t="s">
        <v>292</v>
      </c>
      <c r="D14" s="82" t="s">
        <v>293</v>
      </c>
      <c r="E14" s="82" t="s">
        <v>294</v>
      </c>
      <c r="F14" s="82" t="s">
        <v>295</v>
      </c>
      <c r="G14" s="82" t="s">
        <v>296</v>
      </c>
      <c r="H14" s="82" t="s">
        <v>297</v>
      </c>
      <c r="I14" s="82" t="s">
        <v>298</v>
      </c>
      <c r="J14" s="82" t="s">
        <v>299</v>
      </c>
    </row>
    <row r="15" customFormat="false" ht="61.5" hidden="false" customHeight="true" outlineLevel="0" collapsed="false">
      <c r="A15" s="85" t="s">
        <v>40</v>
      </c>
      <c r="B15" s="86" t="n">
        <v>3</v>
      </c>
      <c r="C15" s="73" t="s">
        <v>300</v>
      </c>
      <c r="D15" s="82" t="s">
        <v>301</v>
      </c>
      <c r="E15" s="82" t="s">
        <v>302</v>
      </c>
      <c r="F15" s="82" t="s">
        <v>303</v>
      </c>
      <c r="G15" s="82" t="s">
        <v>304</v>
      </c>
      <c r="H15" s="82" t="s">
        <v>305</v>
      </c>
      <c r="I15" s="82" t="s">
        <v>306</v>
      </c>
      <c r="J15" s="82" t="s">
        <v>307</v>
      </c>
    </row>
    <row r="16" customFormat="false" ht="61.5" hidden="false" customHeight="true" outlineLevel="0" collapsed="false">
      <c r="A16" s="85" t="s">
        <v>40</v>
      </c>
      <c r="B16" s="86" t="n">
        <v>4</v>
      </c>
      <c r="C16" s="73" t="s">
        <v>308</v>
      </c>
      <c r="D16" s="82" t="s">
        <v>309</v>
      </c>
      <c r="E16" s="82" t="s">
        <v>310</v>
      </c>
      <c r="F16" s="82" t="s">
        <v>311</v>
      </c>
      <c r="G16" s="82" t="s">
        <v>312</v>
      </c>
      <c r="H16" s="82" t="s">
        <v>313</v>
      </c>
      <c r="I16" s="82" t="s">
        <v>314</v>
      </c>
      <c r="J16" s="82" t="s">
        <v>315</v>
      </c>
    </row>
    <row r="17" customFormat="false" ht="61.5" hidden="false" customHeight="true" outlineLevel="0" collapsed="false">
      <c r="A17" s="85" t="s">
        <v>316</v>
      </c>
      <c r="B17" s="86" t="n">
        <v>1</v>
      </c>
      <c r="C17" s="73" t="s">
        <v>317</v>
      </c>
      <c r="D17" s="82" t="s">
        <v>318</v>
      </c>
      <c r="E17" s="82" t="s">
        <v>319</v>
      </c>
      <c r="F17" s="82" t="s">
        <v>320</v>
      </c>
      <c r="G17" s="82" t="s">
        <v>321</v>
      </c>
      <c r="H17" s="82" t="s">
        <v>322</v>
      </c>
      <c r="I17" s="82" t="s">
        <v>323</v>
      </c>
      <c r="J17" s="82" t="s">
        <v>324</v>
      </c>
    </row>
    <row r="18" customFormat="false" ht="61.5" hidden="false" customHeight="true" outlineLevel="0" collapsed="false">
      <c r="A18" s="85" t="s">
        <v>316</v>
      </c>
      <c r="B18" s="86" t="n">
        <v>2</v>
      </c>
      <c r="C18" s="73" t="s">
        <v>325</v>
      </c>
      <c r="D18" s="82" t="s">
        <v>326</v>
      </c>
      <c r="E18" s="82" t="s">
        <v>327</v>
      </c>
      <c r="F18" s="82" t="s">
        <v>328</v>
      </c>
      <c r="G18" s="82" t="s">
        <v>329</v>
      </c>
      <c r="H18" s="82" t="s">
        <v>330</v>
      </c>
      <c r="I18" s="82" t="s">
        <v>331</v>
      </c>
      <c r="J18" s="82" t="s">
        <v>332</v>
      </c>
    </row>
    <row r="19" customFormat="false" ht="61.5" hidden="false" customHeight="true" outlineLevel="0" collapsed="false">
      <c r="A19" s="85" t="s">
        <v>316</v>
      </c>
      <c r="B19" s="86" t="n">
        <v>3</v>
      </c>
      <c r="C19" s="73" t="s">
        <v>333</v>
      </c>
      <c r="D19" s="82" t="s">
        <v>334</v>
      </c>
      <c r="E19" s="82" t="s">
        <v>335</v>
      </c>
      <c r="F19" s="82" t="s">
        <v>336</v>
      </c>
      <c r="G19" s="82" t="s">
        <v>337</v>
      </c>
      <c r="H19" s="82" t="s">
        <v>338</v>
      </c>
      <c r="I19" s="82" t="s">
        <v>339</v>
      </c>
      <c r="J19" s="82" t="s">
        <v>340</v>
      </c>
    </row>
    <row r="20" customFormat="false" ht="61.5" hidden="false" customHeight="true" outlineLevel="0" collapsed="false">
      <c r="A20" s="85" t="s">
        <v>316</v>
      </c>
      <c r="B20" s="86" t="n">
        <v>4</v>
      </c>
      <c r="C20" s="73" t="s">
        <v>341</v>
      </c>
      <c r="D20" s="82" t="s">
        <v>342</v>
      </c>
      <c r="E20" s="82" t="s">
        <v>343</v>
      </c>
      <c r="F20" s="82" t="s">
        <v>344</v>
      </c>
      <c r="G20" s="82" t="s">
        <v>345</v>
      </c>
      <c r="H20" s="82" t="s">
        <v>346</v>
      </c>
      <c r="I20" s="82" t="s">
        <v>347</v>
      </c>
      <c r="J20" s="82" t="s">
        <v>348</v>
      </c>
    </row>
    <row r="21" customFormat="false" ht="61.5" hidden="false" customHeight="true" outlineLevel="0" collapsed="false">
      <c r="A21" s="85" t="s">
        <v>41</v>
      </c>
      <c r="B21" s="86" t="n">
        <v>1</v>
      </c>
      <c r="C21" s="73" t="s">
        <v>349</v>
      </c>
      <c r="D21" s="82" t="s">
        <v>350</v>
      </c>
      <c r="E21" s="82" t="s">
        <v>351</v>
      </c>
      <c r="F21" s="82" t="s">
        <v>352</v>
      </c>
      <c r="G21" s="82" t="s">
        <v>353</v>
      </c>
      <c r="H21" s="82" t="s">
        <v>354</v>
      </c>
      <c r="I21" s="82" t="s">
        <v>355</v>
      </c>
      <c r="J21" s="82" t="s">
        <v>356</v>
      </c>
    </row>
    <row r="22" customFormat="false" ht="61.5" hidden="false" customHeight="true" outlineLevel="0" collapsed="false">
      <c r="A22" s="85" t="s">
        <v>41</v>
      </c>
      <c r="B22" s="86" t="n">
        <v>2</v>
      </c>
      <c r="C22" s="73" t="s">
        <v>357</v>
      </c>
      <c r="D22" s="82" t="s">
        <v>358</v>
      </c>
      <c r="E22" s="82" t="s">
        <v>359</v>
      </c>
      <c r="F22" s="82" t="s">
        <v>360</v>
      </c>
      <c r="G22" s="82" t="s">
        <v>361</v>
      </c>
      <c r="H22" s="82" t="s">
        <v>362</v>
      </c>
      <c r="I22" s="82" t="s">
        <v>363</v>
      </c>
      <c r="J22" s="82" t="s">
        <v>364</v>
      </c>
    </row>
    <row r="23" customFormat="false" ht="61.5" hidden="false" customHeight="true" outlineLevel="0" collapsed="false">
      <c r="A23" s="85" t="s">
        <v>41</v>
      </c>
      <c r="B23" s="86" t="n">
        <v>3</v>
      </c>
      <c r="C23" s="73" t="s">
        <v>365</v>
      </c>
      <c r="D23" s="82" t="s">
        <v>366</v>
      </c>
      <c r="E23" s="82" t="s">
        <v>367</v>
      </c>
      <c r="F23" s="82" t="s">
        <v>368</v>
      </c>
      <c r="G23" s="82" t="s">
        <v>369</v>
      </c>
      <c r="H23" s="82" t="s">
        <v>370</v>
      </c>
      <c r="I23" s="82" t="s">
        <v>371</v>
      </c>
      <c r="J23" s="82" t="s">
        <v>372</v>
      </c>
    </row>
    <row r="24" customFormat="false" ht="61.5" hidden="false" customHeight="true" outlineLevel="0" collapsed="false">
      <c r="A24" s="85" t="s">
        <v>41</v>
      </c>
      <c r="B24" s="86" t="n">
        <v>4</v>
      </c>
      <c r="C24" s="73" t="s">
        <v>373</v>
      </c>
      <c r="D24" s="82" t="s">
        <v>374</v>
      </c>
      <c r="E24" s="82" t="s">
        <v>375</v>
      </c>
      <c r="F24" s="82" t="s">
        <v>376</v>
      </c>
      <c r="G24" s="82" t="s">
        <v>377</v>
      </c>
      <c r="H24" s="82" t="s">
        <v>378</v>
      </c>
      <c r="I24" s="82" t="s">
        <v>379</v>
      </c>
      <c r="J24" s="82" t="s">
        <v>380</v>
      </c>
    </row>
    <row r="25" customFormat="false" ht="61.5" hidden="false" customHeight="true" outlineLevel="0" collapsed="false">
      <c r="A25" s="87" t="s">
        <v>381</v>
      </c>
      <c r="B25" s="88" t="n">
        <v>1</v>
      </c>
      <c r="C25" s="73" t="s">
        <v>382</v>
      </c>
      <c r="D25" s="82" t="s">
        <v>383</v>
      </c>
      <c r="E25" s="82" t="s">
        <v>384</v>
      </c>
      <c r="F25" s="82" t="s">
        <v>385</v>
      </c>
      <c r="G25" s="82" t="s">
        <v>386</v>
      </c>
      <c r="H25" s="82" t="s">
        <v>387</v>
      </c>
      <c r="I25" s="82" t="s">
        <v>388</v>
      </c>
      <c r="J25" s="82" t="s">
        <v>389</v>
      </c>
    </row>
    <row r="26" customFormat="false" ht="61.5" hidden="false" customHeight="true" outlineLevel="0" collapsed="false">
      <c r="A26" s="87" t="s">
        <v>381</v>
      </c>
      <c r="B26" s="88" t="n">
        <v>2</v>
      </c>
      <c r="C26" s="73" t="s">
        <v>390</v>
      </c>
      <c r="D26" s="82" t="s">
        <v>391</v>
      </c>
      <c r="E26" s="82" t="s">
        <v>392</v>
      </c>
      <c r="F26" s="82" t="s">
        <v>393</v>
      </c>
      <c r="G26" s="82" t="s">
        <v>394</v>
      </c>
      <c r="H26" s="82" t="s">
        <v>395</v>
      </c>
      <c r="I26" s="82" t="s">
        <v>396</v>
      </c>
      <c r="J26" s="82" t="s">
        <v>397</v>
      </c>
    </row>
    <row r="27" customFormat="false" ht="61.5" hidden="false" customHeight="true" outlineLevel="0" collapsed="false">
      <c r="A27" s="87" t="s">
        <v>381</v>
      </c>
      <c r="B27" s="88" t="n">
        <v>3</v>
      </c>
      <c r="C27" s="73" t="s">
        <v>398</v>
      </c>
      <c r="D27" s="82" t="s">
        <v>399</v>
      </c>
      <c r="E27" s="82" t="s">
        <v>400</v>
      </c>
      <c r="F27" s="82" t="s">
        <v>401</v>
      </c>
      <c r="G27" s="82" t="s">
        <v>402</v>
      </c>
      <c r="H27" s="82" t="s">
        <v>403</v>
      </c>
      <c r="I27" s="82" t="s">
        <v>404</v>
      </c>
      <c r="J27" s="82" t="s">
        <v>405</v>
      </c>
    </row>
    <row r="28" customFormat="false" ht="61.5" hidden="false" customHeight="true" outlineLevel="0" collapsed="false">
      <c r="A28" s="87" t="s">
        <v>381</v>
      </c>
      <c r="B28" s="88" t="n">
        <v>4</v>
      </c>
      <c r="C28" s="73" t="s">
        <v>406</v>
      </c>
      <c r="D28" s="82" t="s">
        <v>407</v>
      </c>
      <c r="E28" s="82" t="s">
        <v>408</v>
      </c>
      <c r="F28" s="82" t="s">
        <v>409</v>
      </c>
      <c r="G28" s="82" t="s">
        <v>410</v>
      </c>
      <c r="H28" s="82" t="s">
        <v>411</v>
      </c>
      <c r="I28" s="82" t="s">
        <v>412</v>
      </c>
      <c r="J28" s="82" t="s">
        <v>413</v>
      </c>
    </row>
    <row r="29" customFormat="false" ht="61.5" hidden="false" customHeight="true" outlineLevel="0" collapsed="false">
      <c r="A29" s="87" t="s">
        <v>414</v>
      </c>
      <c r="B29" s="88" t="n">
        <v>1</v>
      </c>
      <c r="C29" s="73" t="s">
        <v>415</v>
      </c>
      <c r="D29" s="82" t="s">
        <v>416</v>
      </c>
      <c r="E29" s="82" t="s">
        <v>417</v>
      </c>
      <c r="F29" s="82" t="s">
        <v>418</v>
      </c>
      <c r="G29" s="82" t="s">
        <v>419</v>
      </c>
      <c r="H29" s="82" t="s">
        <v>420</v>
      </c>
      <c r="I29" s="82" t="s">
        <v>421</v>
      </c>
      <c r="J29" s="82" t="s">
        <v>422</v>
      </c>
    </row>
    <row r="30" customFormat="false" ht="61.5" hidden="false" customHeight="true" outlineLevel="0" collapsed="false">
      <c r="A30" s="87" t="s">
        <v>414</v>
      </c>
      <c r="B30" s="88" t="n">
        <v>2</v>
      </c>
      <c r="C30" s="73" t="s">
        <v>423</v>
      </c>
      <c r="D30" s="82" t="s">
        <v>424</v>
      </c>
      <c r="E30" s="82" t="s">
        <v>425</v>
      </c>
      <c r="F30" s="82" t="s">
        <v>426</v>
      </c>
      <c r="G30" s="82" t="s">
        <v>427</v>
      </c>
      <c r="H30" s="82" t="s">
        <v>428</v>
      </c>
      <c r="I30" s="82" t="s">
        <v>429</v>
      </c>
      <c r="J30" s="82" t="s">
        <v>430</v>
      </c>
    </row>
    <row r="31" customFormat="false" ht="61.5" hidden="false" customHeight="true" outlineLevel="0" collapsed="false">
      <c r="A31" s="87" t="s">
        <v>414</v>
      </c>
      <c r="B31" s="88" t="n">
        <v>3</v>
      </c>
      <c r="C31" s="73" t="s">
        <v>431</v>
      </c>
      <c r="D31" s="82" t="s">
        <v>432</v>
      </c>
      <c r="E31" s="82" t="s">
        <v>433</v>
      </c>
      <c r="F31" s="82" t="s">
        <v>434</v>
      </c>
      <c r="G31" s="82" t="s">
        <v>435</v>
      </c>
      <c r="H31" s="82" t="s">
        <v>436</v>
      </c>
      <c r="I31" s="82" t="s">
        <v>437</v>
      </c>
      <c r="J31" s="82" t="s">
        <v>438</v>
      </c>
    </row>
    <row r="32" customFormat="false" ht="61.5" hidden="false" customHeight="true" outlineLevel="0" collapsed="false">
      <c r="A32" s="87" t="s">
        <v>414</v>
      </c>
      <c r="B32" s="88" t="n">
        <v>4</v>
      </c>
      <c r="C32" s="73" t="s">
        <v>439</v>
      </c>
      <c r="D32" s="82" t="s">
        <v>440</v>
      </c>
      <c r="E32" s="82" t="s">
        <v>441</v>
      </c>
      <c r="F32" s="82" t="s">
        <v>442</v>
      </c>
      <c r="G32" s="82" t="s">
        <v>443</v>
      </c>
      <c r="H32" s="82" t="s">
        <v>444</v>
      </c>
      <c r="I32" s="82" t="s">
        <v>445</v>
      </c>
      <c r="J32" s="82" t="s">
        <v>446</v>
      </c>
    </row>
    <row r="33" customFormat="false" ht="61.5" hidden="false" customHeight="true" outlineLevel="0" collapsed="false">
      <c r="A33" s="87" t="s">
        <v>447</v>
      </c>
      <c r="B33" s="88" t="n">
        <v>1</v>
      </c>
      <c r="C33" s="73" t="s">
        <v>448</v>
      </c>
      <c r="D33" s="82" t="s">
        <v>449</v>
      </c>
      <c r="E33" s="82" t="s">
        <v>450</v>
      </c>
      <c r="F33" s="82" t="s">
        <v>451</v>
      </c>
      <c r="G33" s="82" t="s">
        <v>452</v>
      </c>
      <c r="H33" s="82" t="s">
        <v>453</v>
      </c>
      <c r="I33" s="82" t="s">
        <v>454</v>
      </c>
      <c r="J33" s="82" t="s">
        <v>455</v>
      </c>
    </row>
    <row r="34" customFormat="false" ht="61.5" hidden="false" customHeight="true" outlineLevel="0" collapsed="false">
      <c r="A34" s="87" t="s">
        <v>447</v>
      </c>
      <c r="B34" s="88" t="n">
        <v>2</v>
      </c>
      <c r="C34" s="73" t="s">
        <v>456</v>
      </c>
      <c r="D34" s="82" t="s">
        <v>457</v>
      </c>
      <c r="E34" s="82" t="s">
        <v>458</v>
      </c>
      <c r="F34" s="82" t="s">
        <v>459</v>
      </c>
      <c r="G34" s="82" t="s">
        <v>460</v>
      </c>
      <c r="H34" s="82" t="s">
        <v>461</v>
      </c>
      <c r="I34" s="82" t="s">
        <v>462</v>
      </c>
      <c r="J34" s="82" t="s">
        <v>463</v>
      </c>
    </row>
    <row r="35" customFormat="false" ht="61.5" hidden="false" customHeight="true" outlineLevel="0" collapsed="false">
      <c r="A35" s="87" t="s">
        <v>447</v>
      </c>
      <c r="B35" s="88" t="n">
        <v>3</v>
      </c>
      <c r="C35" s="73" t="s">
        <v>464</v>
      </c>
      <c r="D35" s="82" t="s">
        <v>465</v>
      </c>
      <c r="E35" s="82" t="s">
        <v>466</v>
      </c>
      <c r="F35" s="82" t="s">
        <v>467</v>
      </c>
      <c r="G35" s="82" t="s">
        <v>468</v>
      </c>
      <c r="H35" s="82" t="s">
        <v>469</v>
      </c>
      <c r="I35" s="82" t="s">
        <v>470</v>
      </c>
      <c r="J35" s="82" t="s">
        <v>471</v>
      </c>
    </row>
    <row r="36" customFormat="false" ht="61.5" hidden="false" customHeight="true" outlineLevel="0" collapsed="false">
      <c r="A36" s="87" t="s">
        <v>447</v>
      </c>
      <c r="B36" s="88" t="n">
        <v>4</v>
      </c>
      <c r="C36" s="73" t="s">
        <v>472</v>
      </c>
      <c r="D36" s="82" t="s">
        <v>473</v>
      </c>
      <c r="E36" s="82" t="s">
        <v>474</v>
      </c>
      <c r="F36" s="82" t="s">
        <v>475</v>
      </c>
      <c r="G36" s="82" t="s">
        <v>476</v>
      </c>
      <c r="H36" s="82" t="s">
        <v>477</v>
      </c>
      <c r="I36" s="82" t="s">
        <v>478</v>
      </c>
      <c r="J36" s="82" t="s">
        <v>479</v>
      </c>
    </row>
    <row r="37" customFormat="false" ht="61.5" hidden="false" customHeight="true" outlineLevel="0" collapsed="false">
      <c r="A37" s="89" t="s">
        <v>44</v>
      </c>
      <c r="B37" s="90" t="n">
        <v>1</v>
      </c>
      <c r="C37" s="73" t="s">
        <v>480</v>
      </c>
      <c r="D37" s="82" t="s">
        <v>481</v>
      </c>
      <c r="E37" s="82" t="s">
        <v>482</v>
      </c>
      <c r="F37" s="82" t="s">
        <v>483</v>
      </c>
      <c r="G37" s="82" t="s">
        <v>484</v>
      </c>
      <c r="H37" s="82" t="s">
        <v>485</v>
      </c>
      <c r="I37" s="82" t="s">
        <v>486</v>
      </c>
      <c r="J37" s="82" t="s">
        <v>487</v>
      </c>
    </row>
    <row r="38" customFormat="false" ht="61.5" hidden="false" customHeight="true" outlineLevel="0" collapsed="false">
      <c r="A38" s="89" t="s">
        <v>44</v>
      </c>
      <c r="B38" s="90" t="n">
        <v>2</v>
      </c>
      <c r="C38" s="73" t="s">
        <v>488</v>
      </c>
      <c r="D38" s="82" t="s">
        <v>489</v>
      </c>
      <c r="E38" s="82" t="s">
        <v>490</v>
      </c>
      <c r="F38" s="82" t="s">
        <v>491</v>
      </c>
      <c r="G38" s="82" t="s">
        <v>492</v>
      </c>
      <c r="H38" s="82" t="s">
        <v>493</v>
      </c>
      <c r="I38" s="82" t="s">
        <v>494</v>
      </c>
      <c r="J38" s="82" t="s">
        <v>495</v>
      </c>
    </row>
    <row r="39" customFormat="false" ht="61.5" hidden="false" customHeight="true" outlineLevel="0" collapsed="false">
      <c r="A39" s="89" t="s">
        <v>44</v>
      </c>
      <c r="B39" s="90" t="n">
        <v>3</v>
      </c>
      <c r="C39" s="73" t="s">
        <v>496</v>
      </c>
      <c r="D39" s="82" t="s">
        <v>497</v>
      </c>
      <c r="E39" s="82" t="s">
        <v>498</v>
      </c>
      <c r="F39" s="82" t="s">
        <v>499</v>
      </c>
      <c r="G39" s="82" t="s">
        <v>500</v>
      </c>
      <c r="H39" s="82" t="s">
        <v>501</v>
      </c>
      <c r="I39" s="82" t="s">
        <v>502</v>
      </c>
      <c r="J39" s="82" t="s">
        <v>503</v>
      </c>
    </row>
    <row r="40" customFormat="false" ht="61.5" hidden="false" customHeight="true" outlineLevel="0" collapsed="false">
      <c r="A40" s="89" t="s">
        <v>44</v>
      </c>
      <c r="B40" s="90" t="n">
        <v>4</v>
      </c>
      <c r="C40" s="73" t="s">
        <v>504</v>
      </c>
      <c r="D40" s="82" t="s">
        <v>505</v>
      </c>
      <c r="E40" s="82" t="s">
        <v>506</v>
      </c>
      <c r="F40" s="82" t="s">
        <v>507</v>
      </c>
      <c r="G40" s="82" t="s">
        <v>508</v>
      </c>
      <c r="H40" s="82" t="s">
        <v>509</v>
      </c>
      <c r="I40" s="82" t="s">
        <v>510</v>
      </c>
      <c r="J40" s="82" t="s">
        <v>511</v>
      </c>
    </row>
    <row r="41" customFormat="false" ht="61.5" hidden="false" customHeight="true" outlineLevel="0" collapsed="false">
      <c r="A41" s="89" t="s">
        <v>512</v>
      </c>
      <c r="B41" s="90" t="n">
        <v>1</v>
      </c>
      <c r="C41" s="73" t="s">
        <v>513</v>
      </c>
      <c r="D41" s="82" t="s">
        <v>514</v>
      </c>
      <c r="E41" s="82" t="s">
        <v>515</v>
      </c>
      <c r="F41" s="82" t="s">
        <v>516</v>
      </c>
      <c r="G41" s="82" t="s">
        <v>517</v>
      </c>
      <c r="H41" s="82" t="s">
        <v>518</v>
      </c>
      <c r="I41" s="82" t="s">
        <v>519</v>
      </c>
      <c r="J41" s="82" t="s">
        <v>520</v>
      </c>
    </row>
    <row r="42" customFormat="false" ht="61.5" hidden="false" customHeight="true" outlineLevel="0" collapsed="false">
      <c r="A42" s="89" t="s">
        <v>512</v>
      </c>
      <c r="B42" s="90" t="n">
        <v>2</v>
      </c>
      <c r="C42" s="73" t="s">
        <v>521</v>
      </c>
      <c r="D42" s="82" t="s">
        <v>522</v>
      </c>
      <c r="E42" s="82" t="s">
        <v>523</v>
      </c>
      <c r="F42" s="82" t="s">
        <v>524</v>
      </c>
      <c r="G42" s="82" t="s">
        <v>525</v>
      </c>
      <c r="H42" s="82" t="s">
        <v>526</v>
      </c>
      <c r="I42" s="82" t="s">
        <v>527</v>
      </c>
      <c r="J42" s="82" t="s">
        <v>528</v>
      </c>
    </row>
    <row r="43" customFormat="false" ht="61.5" hidden="false" customHeight="true" outlineLevel="0" collapsed="false">
      <c r="A43" s="89" t="s">
        <v>512</v>
      </c>
      <c r="B43" s="90" t="n">
        <v>3</v>
      </c>
      <c r="C43" s="73" t="s">
        <v>529</v>
      </c>
      <c r="D43" s="82" t="s">
        <v>530</v>
      </c>
      <c r="E43" s="82" t="s">
        <v>531</v>
      </c>
      <c r="F43" s="82" t="s">
        <v>532</v>
      </c>
      <c r="G43" s="82" t="s">
        <v>533</v>
      </c>
      <c r="H43" s="82" t="s">
        <v>534</v>
      </c>
      <c r="I43" s="82" t="s">
        <v>535</v>
      </c>
      <c r="J43" s="82" t="s">
        <v>536</v>
      </c>
    </row>
    <row r="44" customFormat="false" ht="61.5" hidden="false" customHeight="true" outlineLevel="0" collapsed="false">
      <c r="A44" s="89" t="s">
        <v>512</v>
      </c>
      <c r="B44" s="90" t="n">
        <v>4</v>
      </c>
      <c r="C44" s="73" t="s">
        <v>537</v>
      </c>
      <c r="D44" s="82" t="s">
        <v>538</v>
      </c>
      <c r="E44" s="82" t="s">
        <v>539</v>
      </c>
      <c r="F44" s="82" t="s">
        <v>540</v>
      </c>
      <c r="G44" s="82" t="s">
        <v>541</v>
      </c>
      <c r="H44" s="82" t="s">
        <v>542</v>
      </c>
      <c r="I44" s="82" t="s">
        <v>543</v>
      </c>
      <c r="J44" s="82" t="s">
        <v>544</v>
      </c>
    </row>
    <row r="45" customFormat="false" ht="61.5" hidden="false" customHeight="true" outlineLevel="0" collapsed="false">
      <c r="A45" s="89" t="s">
        <v>545</v>
      </c>
      <c r="B45" s="90" t="n">
        <v>1</v>
      </c>
      <c r="C45" s="73" t="s">
        <v>546</v>
      </c>
      <c r="D45" s="82" t="s">
        <v>547</v>
      </c>
      <c r="E45" s="82" t="s">
        <v>548</v>
      </c>
      <c r="F45" s="82" t="s">
        <v>549</v>
      </c>
      <c r="G45" s="82" t="s">
        <v>550</v>
      </c>
      <c r="H45" s="82" t="s">
        <v>551</v>
      </c>
      <c r="I45" s="82" t="s">
        <v>552</v>
      </c>
      <c r="J45" s="82" t="s">
        <v>553</v>
      </c>
    </row>
    <row r="46" customFormat="false" ht="61.5" hidden="false" customHeight="true" outlineLevel="0" collapsed="false">
      <c r="A46" s="89" t="s">
        <v>545</v>
      </c>
      <c r="B46" s="90" t="n">
        <v>2</v>
      </c>
      <c r="C46" s="73" t="s">
        <v>554</v>
      </c>
      <c r="D46" s="82" t="s">
        <v>555</v>
      </c>
      <c r="E46" s="82" t="s">
        <v>556</v>
      </c>
      <c r="F46" s="82" t="s">
        <v>557</v>
      </c>
      <c r="G46" s="82" t="s">
        <v>558</v>
      </c>
      <c r="H46" s="82" t="s">
        <v>559</v>
      </c>
      <c r="I46" s="82" t="s">
        <v>560</v>
      </c>
      <c r="J46" s="82" t="s">
        <v>561</v>
      </c>
    </row>
    <row r="47" customFormat="false" ht="61.5" hidden="false" customHeight="true" outlineLevel="0" collapsed="false">
      <c r="A47" s="89" t="s">
        <v>545</v>
      </c>
      <c r="B47" s="90" t="n">
        <v>3</v>
      </c>
      <c r="C47" s="73" t="s">
        <v>562</v>
      </c>
      <c r="D47" s="82" t="s">
        <v>563</v>
      </c>
      <c r="E47" s="82" t="s">
        <v>564</v>
      </c>
      <c r="F47" s="82" t="s">
        <v>565</v>
      </c>
      <c r="G47" s="82" t="s">
        <v>566</v>
      </c>
      <c r="H47" s="82" t="s">
        <v>567</v>
      </c>
      <c r="I47" s="82" t="s">
        <v>568</v>
      </c>
      <c r="J47" s="82" t="s">
        <v>569</v>
      </c>
    </row>
    <row r="48" customFormat="false" ht="61.5" hidden="false" customHeight="true" outlineLevel="0" collapsed="false">
      <c r="A48" s="89" t="s">
        <v>545</v>
      </c>
      <c r="B48" s="90" t="n">
        <v>4</v>
      </c>
      <c r="C48" s="73" t="s">
        <v>570</v>
      </c>
      <c r="D48" s="82" t="s">
        <v>571</v>
      </c>
      <c r="E48" s="82" t="s">
        <v>572</v>
      </c>
      <c r="F48" s="82" t="s">
        <v>573</v>
      </c>
      <c r="G48" s="82" t="s">
        <v>574</v>
      </c>
      <c r="H48" s="82" t="s">
        <v>575</v>
      </c>
      <c r="I48" s="82" t="s">
        <v>576</v>
      </c>
      <c r="J48" s="82" t="s">
        <v>577</v>
      </c>
    </row>
    <row r="49" customFormat="false" ht="61.5" hidden="false" customHeight="true" outlineLevel="0" collapsed="false">
      <c r="A49" s="89" t="s">
        <v>578</v>
      </c>
      <c r="B49" s="90" t="n">
        <v>1</v>
      </c>
      <c r="C49" s="73" t="s">
        <v>579</v>
      </c>
      <c r="D49" s="82" t="s">
        <v>580</v>
      </c>
      <c r="E49" s="82" t="s">
        <v>581</v>
      </c>
      <c r="F49" s="82" t="s">
        <v>582</v>
      </c>
      <c r="G49" s="82" t="s">
        <v>583</v>
      </c>
      <c r="H49" s="82" t="s">
        <v>584</v>
      </c>
      <c r="I49" s="82" t="s">
        <v>585</v>
      </c>
      <c r="J49" s="82" t="s">
        <v>586</v>
      </c>
    </row>
    <row r="50" customFormat="false" ht="61.5" hidden="false" customHeight="true" outlineLevel="0" collapsed="false">
      <c r="A50" s="89" t="s">
        <v>578</v>
      </c>
      <c r="B50" s="90" t="n">
        <v>2</v>
      </c>
      <c r="C50" s="73" t="s">
        <v>587</v>
      </c>
      <c r="D50" s="82" t="s">
        <v>588</v>
      </c>
      <c r="E50" s="82" t="s">
        <v>589</v>
      </c>
      <c r="F50" s="82" t="s">
        <v>590</v>
      </c>
      <c r="G50" s="82" t="s">
        <v>591</v>
      </c>
      <c r="H50" s="82" t="s">
        <v>592</v>
      </c>
      <c r="I50" s="82" t="s">
        <v>593</v>
      </c>
      <c r="J50" s="82" t="s">
        <v>594</v>
      </c>
    </row>
    <row r="51" customFormat="false" ht="61.5" hidden="false" customHeight="true" outlineLevel="0" collapsed="false">
      <c r="A51" s="89" t="s">
        <v>578</v>
      </c>
      <c r="B51" s="90" t="n">
        <v>3</v>
      </c>
      <c r="C51" s="73" t="s">
        <v>595</v>
      </c>
      <c r="D51" s="82" t="s">
        <v>596</v>
      </c>
      <c r="E51" s="82" t="s">
        <v>597</v>
      </c>
      <c r="F51" s="82" t="s">
        <v>598</v>
      </c>
      <c r="G51" s="82" t="s">
        <v>599</v>
      </c>
      <c r="H51" s="82" t="s">
        <v>600</v>
      </c>
      <c r="I51" s="82" t="s">
        <v>601</v>
      </c>
      <c r="J51" s="82" t="s">
        <v>602</v>
      </c>
    </row>
    <row r="52" customFormat="false" ht="61.5" hidden="false" customHeight="true" outlineLevel="0" collapsed="false">
      <c r="A52" s="89" t="s">
        <v>578</v>
      </c>
      <c r="B52" s="90" t="n">
        <v>4</v>
      </c>
      <c r="C52" s="73" t="s">
        <v>603</v>
      </c>
      <c r="D52" s="82" t="s">
        <v>604</v>
      </c>
      <c r="E52" s="82" t="s">
        <v>605</v>
      </c>
      <c r="F52" s="82" t="s">
        <v>606</v>
      </c>
      <c r="G52" s="82" t="s">
        <v>607</v>
      </c>
      <c r="H52" s="82" t="s">
        <v>608</v>
      </c>
      <c r="I52" s="82" t="s">
        <v>609</v>
      </c>
      <c r="J52" s="82" t="s">
        <v>610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35" right="0.35" top="0.45" bottom="0.4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10" min="7" style="0" width="22"/>
  </cols>
  <sheetData>
    <row r="1" customFormat="false" ht="24" hidden="false" customHeight="true" outlineLevel="0" collapsed="false">
      <c r="A1" s="4" t="s">
        <v>611</v>
      </c>
      <c r="B1" s="4"/>
      <c r="C1" s="4"/>
      <c r="D1" s="4"/>
      <c r="E1" s="4"/>
      <c r="F1" s="4"/>
      <c r="G1" s="4"/>
      <c r="H1" s="4"/>
      <c r="I1" s="4"/>
      <c r="J1" s="4"/>
    </row>
    <row r="3" customFormat="false" ht="15" hidden="false" customHeight="false" outlineLevel="0" collapsed="false">
      <c r="A3" s="2" t="s">
        <v>612</v>
      </c>
      <c r="B3" s="21" t="s">
        <v>613</v>
      </c>
      <c r="E3" s="18" t="s">
        <v>614</v>
      </c>
      <c r="F3" s="18" t="s">
        <v>615</v>
      </c>
      <c r="H3" s="91" t="s">
        <v>616</v>
      </c>
    </row>
    <row r="4" customFormat="false" ht="15" hidden="false" customHeight="false" outlineLevel="0" collapsed="false">
      <c r="A4" s="2" t="s">
        <v>617</v>
      </c>
      <c r="B4" s="21" t="n">
        <v>5</v>
      </c>
      <c r="E4" s="21" t="n">
        <v>0</v>
      </c>
      <c r="F4" s="34" t="s">
        <v>618</v>
      </c>
      <c r="H4" s="91" t="s">
        <v>619</v>
      </c>
    </row>
    <row r="5" customFormat="false" ht="15" hidden="false" customHeight="false" outlineLevel="0" collapsed="false">
      <c r="A5" s="2" t="s">
        <v>620</v>
      </c>
      <c r="B5" s="21" t="s">
        <v>24</v>
      </c>
      <c r="E5" s="21" t="n">
        <v>5.5</v>
      </c>
      <c r="F5" s="34" t="s">
        <v>621</v>
      </c>
      <c r="H5" s="91" t="s">
        <v>622</v>
      </c>
    </row>
    <row r="6" customFormat="false" ht="15" hidden="false" customHeight="false" outlineLevel="0" collapsed="false">
      <c r="A6" s="2" t="s">
        <v>623</v>
      </c>
      <c r="B6" s="21" t="s">
        <v>616</v>
      </c>
      <c r="E6" s="21" t="n">
        <v>6.5</v>
      </c>
      <c r="F6" s="34" t="s">
        <v>624</v>
      </c>
      <c r="H6" s="91" t="s">
        <v>625</v>
      </c>
    </row>
    <row r="7" customFormat="false" ht="15" hidden="false" customHeight="false" outlineLevel="0" collapsed="false">
      <c r="A7" s="2" t="s">
        <v>626</v>
      </c>
      <c r="B7" s="92" t="n">
        <f aca="false">MATCH(B6,$H$3:$H$7,0)-1</f>
        <v>0</v>
      </c>
      <c r="E7" s="21" t="n">
        <v>7.5</v>
      </c>
      <c r="F7" s="34" t="s">
        <v>627</v>
      </c>
      <c r="H7" s="91" t="s">
        <v>628</v>
      </c>
    </row>
    <row r="8" customFormat="false" ht="23.85" hidden="false" customHeight="false" outlineLevel="0" collapsed="false">
      <c r="A8" s="2" t="s">
        <v>629</v>
      </c>
      <c r="B8" s="93" t="n">
        <v>46357</v>
      </c>
      <c r="E8" s="21" t="n">
        <v>8.5</v>
      </c>
      <c r="F8" s="34" t="s">
        <v>630</v>
      </c>
    </row>
    <row r="9" customFormat="false" ht="15" hidden="false" customHeight="false" outlineLevel="0" collapsed="false">
      <c r="A9" s="2" t="s">
        <v>631</v>
      </c>
      <c r="B9" s="93" t="n">
        <v>46475</v>
      </c>
      <c r="E9" s="21" t="n">
        <v>9.5</v>
      </c>
      <c r="F9" s="34" t="s">
        <v>632</v>
      </c>
    </row>
    <row r="10" customFormat="false" ht="15" hidden="false" customHeight="false" outlineLevel="0" collapsed="false">
      <c r="A10" s="2" t="s">
        <v>633</v>
      </c>
      <c r="B10" s="21" t="n">
        <v>1</v>
      </c>
    </row>
    <row r="11" customFormat="false" ht="15" hidden="false" customHeight="false" outlineLevel="0" collapsed="false">
      <c r="A11" s="2" t="s">
        <v>634</v>
      </c>
      <c r="B11" s="21" t="n">
        <v>1.5</v>
      </c>
    </row>
    <row r="12" customFormat="false" ht="15" hidden="false" customHeight="false" outlineLevel="0" collapsed="false">
      <c r="A12" s="2" t="s">
        <v>635</v>
      </c>
      <c r="B12" s="94" t="n">
        <v>0.8</v>
      </c>
    </row>
    <row r="13" customFormat="false" ht="15" hidden="false" customHeight="false" outlineLevel="0" collapsed="false">
      <c r="A13" s="2" t="s">
        <v>636</v>
      </c>
      <c r="B13" s="94" t="n">
        <v>0.2</v>
      </c>
    </row>
    <row r="14" customFormat="false" ht="15" hidden="false" customHeight="false" outlineLevel="0" collapsed="false">
      <c r="A14" s="2" t="s">
        <v>637</v>
      </c>
      <c r="B14" s="21" t="n">
        <v>2</v>
      </c>
    </row>
    <row r="16" customFormat="false" ht="23.85" hidden="false" customHeight="false" outlineLevel="0" collapsed="false">
      <c r="A16" s="2" t="s">
        <v>638</v>
      </c>
    </row>
    <row r="17" customFormat="false" ht="21.75" hidden="false" customHeight="true" outlineLevel="0" collapsed="false">
      <c r="A17" s="10" t="s">
        <v>639</v>
      </c>
      <c r="B17" s="95" t="s">
        <v>640</v>
      </c>
      <c r="C17" s="95"/>
      <c r="D17" s="95"/>
      <c r="E17" s="95"/>
      <c r="F17" s="95"/>
      <c r="G17" s="95"/>
      <c r="H17" s="95"/>
      <c r="I17" s="95"/>
      <c r="J17" s="95"/>
    </row>
    <row r="18" customFormat="false" ht="21.75" hidden="false" customHeight="true" outlineLevel="0" collapsed="false">
      <c r="A18" s="10" t="s">
        <v>641</v>
      </c>
      <c r="B18" s="95" t="s">
        <v>642</v>
      </c>
      <c r="C18" s="95"/>
      <c r="D18" s="95"/>
      <c r="E18" s="95"/>
      <c r="F18" s="95"/>
      <c r="G18" s="95"/>
      <c r="H18" s="95"/>
      <c r="I18" s="95"/>
      <c r="J18" s="95"/>
    </row>
    <row r="19" customFormat="false" ht="21.75" hidden="false" customHeight="true" outlineLevel="0" collapsed="false">
      <c r="A19" s="10" t="s">
        <v>643</v>
      </c>
      <c r="B19" s="95" t="s">
        <v>644</v>
      </c>
      <c r="C19" s="95"/>
      <c r="D19" s="95"/>
      <c r="E19" s="95"/>
      <c r="F19" s="95"/>
      <c r="G19" s="95"/>
      <c r="H19" s="95"/>
      <c r="I19" s="95"/>
      <c r="J19" s="95"/>
    </row>
    <row r="20" customFormat="false" ht="21.75" hidden="false" customHeight="true" outlineLevel="0" collapsed="false">
      <c r="A20" s="10" t="s">
        <v>645</v>
      </c>
      <c r="B20" s="95" t="s">
        <v>646</v>
      </c>
      <c r="C20" s="95"/>
      <c r="D20" s="95"/>
      <c r="E20" s="95"/>
      <c r="F20" s="95"/>
      <c r="G20" s="95"/>
      <c r="H20" s="95"/>
      <c r="I20" s="95"/>
      <c r="J20" s="95"/>
    </row>
    <row r="23" customFormat="false" ht="35.05" hidden="false" customHeight="false" outlineLevel="0" collapsed="false">
      <c r="A23" s="2" t="s">
        <v>647</v>
      </c>
    </row>
    <row r="24" customFormat="false" ht="15" hidden="false" customHeight="false" outlineLevel="0" collapsed="false">
      <c r="A24" s="8" t="s">
        <v>66</v>
      </c>
      <c r="B24" s="8" t="s">
        <v>648</v>
      </c>
      <c r="C24" s="8" t="s">
        <v>649</v>
      </c>
      <c r="D24" s="8" t="s">
        <v>80</v>
      </c>
      <c r="E24" s="8" t="s">
        <v>650</v>
      </c>
      <c r="F24" s="8" t="s">
        <v>651</v>
      </c>
      <c r="G24" s="8" t="s">
        <v>652</v>
      </c>
      <c r="H24" s="8" t="s">
        <v>653</v>
      </c>
      <c r="I24" s="8" t="s">
        <v>654</v>
      </c>
      <c r="J24" s="8" t="s">
        <v>655</v>
      </c>
    </row>
    <row r="25" customFormat="false" ht="39.75" hidden="false" customHeight="true" outlineLevel="0" collapsed="false">
      <c r="A25" s="80" t="s">
        <v>37</v>
      </c>
      <c r="B25" s="81" t="s">
        <v>656</v>
      </c>
      <c r="C25" s="73" t="s">
        <v>657</v>
      </c>
      <c r="D25" s="82" t="s">
        <v>658</v>
      </c>
      <c r="E25" s="21" t="s">
        <v>659</v>
      </c>
      <c r="F25" s="21" t="s">
        <v>660</v>
      </c>
      <c r="G25" s="61" t="s">
        <v>219</v>
      </c>
      <c r="H25" s="61" t="s">
        <v>227</v>
      </c>
      <c r="I25" s="61" t="s">
        <v>235</v>
      </c>
      <c r="J25" s="61" t="s">
        <v>243</v>
      </c>
    </row>
    <row r="26" customFormat="false" ht="39.75" hidden="false" customHeight="true" outlineLevel="0" collapsed="false">
      <c r="A26" s="83" t="s">
        <v>251</v>
      </c>
      <c r="B26" s="84" t="s">
        <v>661</v>
      </c>
      <c r="C26" s="73" t="s">
        <v>662</v>
      </c>
      <c r="D26" s="82" t="s">
        <v>663</v>
      </c>
      <c r="E26" s="21" t="s">
        <v>664</v>
      </c>
      <c r="F26" s="21" t="s">
        <v>659</v>
      </c>
      <c r="G26" s="61" t="s">
        <v>252</v>
      </c>
      <c r="H26" s="61" t="s">
        <v>260</v>
      </c>
      <c r="I26" s="61" t="s">
        <v>268</v>
      </c>
      <c r="J26" s="61" t="s">
        <v>276</v>
      </c>
    </row>
    <row r="27" customFormat="false" ht="39.75" hidden="false" customHeight="true" outlineLevel="0" collapsed="false">
      <c r="A27" s="85" t="s">
        <v>40</v>
      </c>
      <c r="B27" s="86" t="s">
        <v>665</v>
      </c>
      <c r="C27" s="73" t="s">
        <v>666</v>
      </c>
      <c r="D27" s="82" t="s">
        <v>667</v>
      </c>
      <c r="E27" s="21" t="s">
        <v>660</v>
      </c>
      <c r="F27" s="21" t="s">
        <v>660</v>
      </c>
      <c r="G27" s="61" t="s">
        <v>284</v>
      </c>
      <c r="H27" s="61" t="s">
        <v>292</v>
      </c>
      <c r="I27" s="61" t="s">
        <v>300</v>
      </c>
      <c r="J27" s="61" t="s">
        <v>308</v>
      </c>
    </row>
    <row r="28" customFormat="false" ht="39.75" hidden="false" customHeight="true" outlineLevel="0" collapsed="false">
      <c r="A28" s="85" t="s">
        <v>316</v>
      </c>
      <c r="B28" s="86" t="s">
        <v>665</v>
      </c>
      <c r="C28" s="73" t="s">
        <v>668</v>
      </c>
      <c r="D28" s="82" t="s">
        <v>669</v>
      </c>
      <c r="E28" s="21" t="s">
        <v>660</v>
      </c>
      <c r="F28" s="21" t="s">
        <v>660</v>
      </c>
      <c r="G28" s="61" t="s">
        <v>317</v>
      </c>
      <c r="H28" s="61" t="s">
        <v>325</v>
      </c>
      <c r="I28" s="61" t="s">
        <v>333</v>
      </c>
      <c r="J28" s="61" t="s">
        <v>341</v>
      </c>
    </row>
    <row r="29" customFormat="false" ht="39.75" hidden="false" customHeight="true" outlineLevel="0" collapsed="false">
      <c r="A29" s="85" t="s">
        <v>41</v>
      </c>
      <c r="B29" s="86" t="s">
        <v>665</v>
      </c>
      <c r="C29" s="73" t="s">
        <v>670</v>
      </c>
      <c r="D29" s="82" t="s">
        <v>671</v>
      </c>
      <c r="E29" s="21" t="s">
        <v>660</v>
      </c>
      <c r="F29" s="21" t="s">
        <v>660</v>
      </c>
      <c r="G29" s="61" t="s">
        <v>349</v>
      </c>
      <c r="H29" s="61" t="s">
        <v>357</v>
      </c>
      <c r="I29" s="61" t="s">
        <v>365</v>
      </c>
      <c r="J29" s="61" t="s">
        <v>373</v>
      </c>
    </row>
    <row r="30" customFormat="false" ht="39.75" hidden="false" customHeight="true" outlineLevel="0" collapsed="false">
      <c r="A30" s="87" t="s">
        <v>381</v>
      </c>
      <c r="B30" s="88" t="s">
        <v>672</v>
      </c>
      <c r="C30" s="73" t="s">
        <v>673</v>
      </c>
      <c r="D30" s="82" t="s">
        <v>674</v>
      </c>
      <c r="E30" s="21" t="s">
        <v>659</v>
      </c>
      <c r="F30" s="21" t="s">
        <v>660</v>
      </c>
      <c r="G30" s="61" t="s">
        <v>382</v>
      </c>
      <c r="H30" s="61" t="s">
        <v>390</v>
      </c>
      <c r="I30" s="61" t="s">
        <v>398</v>
      </c>
      <c r="J30" s="61" t="s">
        <v>406</v>
      </c>
    </row>
    <row r="31" customFormat="false" ht="39.75" hidden="false" customHeight="true" outlineLevel="0" collapsed="false">
      <c r="A31" s="87" t="s">
        <v>414</v>
      </c>
      <c r="B31" s="88" t="s">
        <v>672</v>
      </c>
      <c r="C31" s="73" t="s">
        <v>675</v>
      </c>
      <c r="D31" s="82" t="s">
        <v>676</v>
      </c>
      <c r="E31" s="21" t="s">
        <v>660</v>
      </c>
      <c r="F31" s="21" t="s">
        <v>660</v>
      </c>
      <c r="G31" s="61" t="s">
        <v>415</v>
      </c>
      <c r="H31" s="61" t="s">
        <v>423</v>
      </c>
      <c r="I31" s="61" t="s">
        <v>431</v>
      </c>
      <c r="J31" s="61" t="s">
        <v>439</v>
      </c>
    </row>
    <row r="32" customFormat="false" ht="39.75" hidden="false" customHeight="true" outlineLevel="0" collapsed="false">
      <c r="A32" s="87" t="s">
        <v>447</v>
      </c>
      <c r="B32" s="88" t="s">
        <v>672</v>
      </c>
      <c r="C32" s="73" t="s">
        <v>677</v>
      </c>
      <c r="D32" s="82" t="s">
        <v>678</v>
      </c>
      <c r="E32" s="21" t="s">
        <v>660</v>
      </c>
      <c r="F32" s="21" t="s">
        <v>660</v>
      </c>
      <c r="G32" s="61" t="s">
        <v>448</v>
      </c>
      <c r="H32" s="61" t="s">
        <v>456</v>
      </c>
      <c r="I32" s="61" t="s">
        <v>464</v>
      </c>
      <c r="J32" s="61" t="s">
        <v>472</v>
      </c>
    </row>
    <row r="33" customFormat="false" ht="39.75" hidden="false" customHeight="true" outlineLevel="0" collapsed="false">
      <c r="A33" s="89" t="s">
        <v>44</v>
      </c>
      <c r="B33" s="90" t="s">
        <v>679</v>
      </c>
      <c r="C33" s="73" t="s">
        <v>680</v>
      </c>
      <c r="D33" s="82" t="s">
        <v>681</v>
      </c>
      <c r="E33" s="21" t="s">
        <v>679</v>
      </c>
      <c r="F33" s="21" t="s">
        <v>679</v>
      </c>
      <c r="G33" s="61" t="s">
        <v>480</v>
      </c>
      <c r="H33" s="61" t="s">
        <v>488</v>
      </c>
      <c r="I33" s="61" t="s">
        <v>496</v>
      </c>
      <c r="J33" s="61" t="s">
        <v>504</v>
      </c>
    </row>
    <row r="34" customFormat="false" ht="39.75" hidden="false" customHeight="true" outlineLevel="0" collapsed="false">
      <c r="A34" s="89" t="s">
        <v>512</v>
      </c>
      <c r="B34" s="90" t="s">
        <v>679</v>
      </c>
      <c r="C34" s="73" t="s">
        <v>682</v>
      </c>
      <c r="D34" s="82" t="s">
        <v>683</v>
      </c>
      <c r="E34" s="21" t="s">
        <v>679</v>
      </c>
      <c r="F34" s="21" t="s">
        <v>679</v>
      </c>
      <c r="G34" s="61" t="s">
        <v>513</v>
      </c>
      <c r="H34" s="61" t="s">
        <v>521</v>
      </c>
      <c r="I34" s="61" t="s">
        <v>529</v>
      </c>
      <c r="J34" s="61" t="s">
        <v>537</v>
      </c>
    </row>
    <row r="35" customFormat="false" ht="39.75" hidden="false" customHeight="true" outlineLevel="0" collapsed="false">
      <c r="A35" s="89" t="s">
        <v>545</v>
      </c>
      <c r="B35" s="90" t="s">
        <v>684</v>
      </c>
      <c r="C35" s="73" t="s">
        <v>685</v>
      </c>
      <c r="D35" s="82" t="s">
        <v>686</v>
      </c>
      <c r="E35" s="21" t="s">
        <v>684</v>
      </c>
      <c r="F35" s="21" t="s">
        <v>684</v>
      </c>
      <c r="G35" s="61" t="s">
        <v>546</v>
      </c>
      <c r="H35" s="61" t="s">
        <v>554</v>
      </c>
      <c r="I35" s="61" t="s">
        <v>562</v>
      </c>
      <c r="J35" s="61" t="s">
        <v>570</v>
      </c>
    </row>
    <row r="36" customFormat="false" ht="39.75" hidden="false" customHeight="true" outlineLevel="0" collapsed="false">
      <c r="A36" s="89" t="s">
        <v>578</v>
      </c>
      <c r="B36" s="90" t="s">
        <v>684</v>
      </c>
      <c r="C36" s="73" t="s">
        <v>687</v>
      </c>
      <c r="D36" s="82" t="s">
        <v>688</v>
      </c>
      <c r="E36" s="21" t="s">
        <v>684</v>
      </c>
      <c r="F36" s="21" t="s">
        <v>684</v>
      </c>
      <c r="G36" s="61" t="s">
        <v>579</v>
      </c>
      <c r="H36" s="61" t="s">
        <v>587</v>
      </c>
      <c r="I36" s="61" t="s">
        <v>595</v>
      </c>
      <c r="J36" s="61" t="s">
        <v>603</v>
      </c>
    </row>
    <row r="39" customFormat="false" ht="35.05" hidden="false" customHeight="false" outlineLevel="0" collapsed="false">
      <c r="A39" s="2" t="s">
        <v>689</v>
      </c>
    </row>
    <row r="40" customFormat="false" ht="32.8" hidden="false" customHeight="false" outlineLevel="0" collapsed="false">
      <c r="A40" s="8" t="s">
        <v>690</v>
      </c>
      <c r="B40" s="8" t="s">
        <v>83</v>
      </c>
      <c r="E40" s="8" t="s">
        <v>691</v>
      </c>
      <c r="G40" s="8" t="s">
        <v>692</v>
      </c>
      <c r="I40" s="8" t="s">
        <v>693</v>
      </c>
    </row>
    <row r="41" customFormat="false" ht="39.75" hidden="false" customHeight="true" outlineLevel="0" collapsed="false">
      <c r="A41" s="21"/>
      <c r="B41" s="16" t="str">
        <f aca="false">IF(A41="","",IFERROR(INDEX(Alunni!$C$1:$C$1000,MATCH(A41,Alunni!$A$1:$A$1000,0))&amp;"",""))</f>
        <v/>
      </c>
      <c r="E41" s="96"/>
      <c r="F41" s="96"/>
      <c r="G41" s="96"/>
      <c r="H41" s="96"/>
      <c r="I41" s="96"/>
      <c r="J41" s="96"/>
    </row>
    <row r="42" customFormat="false" ht="39.75" hidden="false" customHeight="true" outlineLevel="0" collapsed="false">
      <c r="A42" s="21"/>
      <c r="B42" s="16" t="str">
        <f aca="false">IF(A42="","",IFERROR(INDEX(Alunni!$C$1:$C$1000,MATCH(A42,Alunni!$A$1:$A$1000,0))&amp;"",""))</f>
        <v/>
      </c>
      <c r="E42" s="96"/>
      <c r="F42" s="96"/>
      <c r="G42" s="96"/>
      <c r="H42" s="96"/>
      <c r="I42" s="96"/>
      <c r="J42" s="96"/>
    </row>
    <row r="43" customFormat="false" ht="39.75" hidden="false" customHeight="true" outlineLevel="0" collapsed="false">
      <c r="A43" s="21"/>
      <c r="B43" s="16" t="str">
        <f aca="false">IF(A43="","",IFERROR(INDEX(Alunni!$C$1:$C$1000,MATCH(A43,Alunni!$A$1:$A$1000,0))&amp;"",""))</f>
        <v/>
      </c>
      <c r="E43" s="96"/>
      <c r="F43" s="96"/>
      <c r="G43" s="96"/>
      <c r="H43" s="96"/>
      <c r="I43" s="96"/>
      <c r="J43" s="96"/>
    </row>
    <row r="44" customFormat="false" ht="39.75" hidden="false" customHeight="true" outlineLevel="0" collapsed="false">
      <c r="A44" s="21"/>
      <c r="B44" s="16" t="str">
        <f aca="false">IF(A44="","",IFERROR(INDEX(Alunni!$C$1:$C$1000,MATCH(A44,Alunni!$A$1:$A$1000,0))&amp;"",""))</f>
        <v/>
      </c>
      <c r="E44" s="96"/>
      <c r="F44" s="96"/>
      <c r="G44" s="96"/>
      <c r="H44" s="96"/>
      <c r="I44" s="96"/>
      <c r="J44" s="96"/>
    </row>
    <row r="45" customFormat="false" ht="39.75" hidden="false" customHeight="true" outlineLevel="0" collapsed="false">
      <c r="A45" s="21"/>
      <c r="B45" s="16" t="str">
        <f aca="false">IF(A45="","",IFERROR(INDEX(Alunni!$C$1:$C$1000,MATCH(A45,Alunni!$A$1:$A$1000,0))&amp;"",""))</f>
        <v/>
      </c>
      <c r="E45" s="96"/>
      <c r="F45" s="96"/>
      <c r="G45" s="96"/>
      <c r="H45" s="96"/>
      <c r="I45" s="96"/>
      <c r="J45" s="96"/>
    </row>
    <row r="46" customFormat="false" ht="39.75" hidden="false" customHeight="true" outlineLevel="0" collapsed="false">
      <c r="A46" s="21"/>
      <c r="B46" s="16" t="str">
        <f aca="false">IF(A46="","",IFERROR(INDEX(Alunni!$C$1:$C$1000,MATCH(A46,Alunni!$A$1:$A$1000,0))&amp;"",""))</f>
        <v/>
      </c>
      <c r="E46" s="96"/>
      <c r="F46" s="96"/>
      <c r="G46" s="96"/>
      <c r="H46" s="96"/>
      <c r="I46" s="96"/>
      <c r="J46" s="96"/>
    </row>
  </sheetData>
  <mergeCells count="23">
    <mergeCell ref="A1:J1"/>
    <mergeCell ref="B17:J17"/>
    <mergeCell ref="B18:J18"/>
    <mergeCell ref="B19:J19"/>
    <mergeCell ref="B20:J20"/>
    <mergeCell ref="E41:F41"/>
    <mergeCell ref="G41:H41"/>
    <mergeCell ref="I41:J41"/>
    <mergeCell ref="E42:F42"/>
    <mergeCell ref="G42:H42"/>
    <mergeCell ref="I42:J42"/>
    <mergeCell ref="E43:F43"/>
    <mergeCell ref="G43:H43"/>
    <mergeCell ref="I43:J43"/>
    <mergeCell ref="E44:F44"/>
    <mergeCell ref="G44:H44"/>
    <mergeCell ref="I44:J44"/>
    <mergeCell ref="E45:F45"/>
    <mergeCell ref="G45:H45"/>
    <mergeCell ref="I45:J45"/>
    <mergeCell ref="E46:F46"/>
    <mergeCell ref="G46:H46"/>
    <mergeCell ref="I46:J46"/>
  </mergeCells>
  <dataValidations count="4">
    <dataValidation allowBlank="true" errorStyle="stop" operator="between" showDropDown="false" showErrorMessage="false" showInputMessage="false" sqref="B6" type="list">
      <formula1>"Lunedì,Martedì,Mercoledì,Giovedì,Venerdì"</formula1>
      <formula2>0</formula2>
    </dataValidation>
    <dataValidation allowBlank="true" errorStyle="stop" operator="between" showDropDown="false" showErrorMessage="false" showInputMessage="false" sqref="B5" type="list">
      <formula1>"Manzoni,Boncompagni"</formula1>
      <formula2>0</formula2>
    </dataValidation>
    <dataValidation allowBlank="true" errorStyle="stop" operator="between" showDropDown="false" showErrorMessage="false" showInputMessage="false" sqref="B4" type="list">
      <formula1>"4,5"</formula1>
      <formula2>0</formula2>
    </dataValidation>
    <dataValidation allowBlank="true" errorStyle="stop" operator="between" showDropDown="false" showErrorMessage="false" showInputMessage="false" sqref="E25:F36" type="list">
      <formula1>"A,B,TEC,CIV,—"</formula1>
      <formula2>0</formula2>
    </dataValidation>
  </dataValidations>
  <printOptions headings="false" gridLines="false" gridLinesSet="true" horizontalCentered="false" verticalCentered="false"/>
  <pageMargins left="0.35" right="0.35" top="0.45" bottom="0.4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Z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694</v>
      </c>
    </row>
    <row r="3" customFormat="false" ht="15" hidden="false" customHeight="false" outlineLevel="0" collapsed="false">
      <c r="C3" s="0" t="str">
        <f aca="false">Calendario!$H$7&amp;""</f>
        <v>1.1</v>
      </c>
      <c r="D3" s="0" t="str">
        <f aca="false">Calendario!$I$7&amp;""</f>
        <v/>
      </c>
      <c r="E3" s="0" t="str">
        <f aca="false">Calendario!$J$7&amp;""</f>
        <v/>
      </c>
      <c r="F3" s="0" t="str">
        <f aca="false">Calendario!$K$7&amp;""</f>
        <v/>
      </c>
      <c r="G3" s="0" t="str">
        <f aca="false">Calendario!$H$8&amp;""</f>
        <v>3.1</v>
      </c>
      <c r="H3" s="0" t="str">
        <f aca="false">Calendario!$I$8&amp;""</f>
        <v>3.3</v>
      </c>
      <c r="I3" s="0" t="str">
        <f aca="false">Calendario!$J$8&amp;""</f>
        <v/>
      </c>
      <c r="J3" s="0" t="str">
        <f aca="false">Calendario!$K$8&amp;""</f>
        <v/>
      </c>
      <c r="K3" s="0" t="str">
        <f aca="false">Calendario!$H$9&amp;""</f>
        <v>1.1</v>
      </c>
      <c r="L3" s="0" t="str">
        <f aca="false">Calendario!$I$9&amp;""</f>
        <v>TEC.1</v>
      </c>
      <c r="M3" s="0" t="str">
        <f aca="false">Calendario!$J$9&amp;""</f>
        <v/>
      </c>
      <c r="N3" s="0" t="str">
        <f aca="false">Calendario!$K$9&amp;""</f>
        <v/>
      </c>
      <c r="O3" s="0" t="str">
        <f aca="false">Calendario!$H$10&amp;""</f>
        <v/>
      </c>
      <c r="P3" s="0" t="str">
        <f aca="false">Calendario!$I$10&amp;""</f>
        <v/>
      </c>
      <c r="Q3" s="0" t="str">
        <f aca="false">Calendario!$J$10&amp;""</f>
        <v/>
      </c>
      <c r="R3" s="0" t="str">
        <f aca="false">Calendario!$K$10&amp;""</f>
        <v/>
      </c>
      <c r="S3" s="0" t="str">
        <f aca="false">Calendario!$H$11&amp;""</f>
        <v/>
      </c>
      <c r="T3" s="0" t="str">
        <f aca="false">Calendario!$I$11&amp;""</f>
        <v/>
      </c>
      <c r="U3" s="0" t="str">
        <f aca="false">Calendario!$J$11&amp;""</f>
        <v/>
      </c>
      <c r="V3" s="0" t="str">
        <f aca="false">Calendario!$K$11&amp;""</f>
        <v/>
      </c>
      <c r="W3" s="0" t="str">
        <f aca="false">Calendario!$H$12&amp;""</f>
        <v/>
      </c>
      <c r="X3" s="0" t="str">
        <f aca="false">Calendario!$I$12&amp;""</f>
        <v/>
      </c>
      <c r="Y3" s="0" t="str">
        <f aca="false">Calendario!$J$12&amp;""</f>
        <v/>
      </c>
      <c r="Z3" s="0" t="str">
        <f aca="false">Calendario!$K$12&amp;""</f>
        <v/>
      </c>
      <c r="AA3" s="0" t="str">
        <f aca="false">Calendario!$H$13&amp;""</f>
        <v/>
      </c>
      <c r="AB3" s="0" t="str">
        <f aca="false">Calendario!$I$13&amp;""</f>
        <v/>
      </c>
      <c r="AC3" s="0" t="str">
        <f aca="false">Calendario!$J$13&amp;""</f>
        <v/>
      </c>
      <c r="AD3" s="0" t="str">
        <f aca="false">Calendario!$K$13&amp;""</f>
        <v/>
      </c>
      <c r="AE3" s="0" t="str">
        <f aca="false">Calendario!$H$14&amp;""</f>
        <v/>
      </c>
      <c r="AF3" s="0" t="str">
        <f aca="false">Calendario!$I$14&amp;""</f>
        <v/>
      </c>
      <c r="AG3" s="0" t="str">
        <f aca="false">Calendario!$J$14&amp;""</f>
        <v/>
      </c>
      <c r="AH3" s="0" t="str">
        <f aca="false">Calendario!$K$14&amp;""</f>
        <v/>
      </c>
      <c r="AI3" s="0" t="str">
        <f aca="false">Calendario!$H$15&amp;""</f>
        <v/>
      </c>
      <c r="AJ3" s="0" t="str">
        <f aca="false">Calendario!$I$15&amp;""</f>
        <v/>
      </c>
      <c r="AK3" s="0" t="str">
        <f aca="false">Calendario!$J$15&amp;""</f>
        <v/>
      </c>
      <c r="AL3" s="0" t="str">
        <f aca="false">Calendario!$K$15&amp;""</f>
        <v/>
      </c>
      <c r="AM3" s="0" t="str">
        <f aca="false">Calendario!$H$16&amp;""</f>
        <v/>
      </c>
      <c r="AN3" s="0" t="str">
        <f aca="false">Calendario!$I$16&amp;""</f>
        <v/>
      </c>
      <c r="AO3" s="0" t="str">
        <f aca="false">Calendario!$J$16&amp;""</f>
        <v/>
      </c>
      <c r="AP3" s="0" t="str">
        <f aca="false">Calendario!$K$16&amp;""</f>
        <v/>
      </c>
      <c r="AQ3" s="0" t="str">
        <f aca="false">Calendario!$H$17&amp;""</f>
        <v/>
      </c>
      <c r="AR3" s="0" t="str">
        <f aca="false">Calendario!$I$17&amp;""</f>
        <v/>
      </c>
      <c r="AS3" s="0" t="str">
        <f aca="false">Calendario!$J$17&amp;""</f>
        <v/>
      </c>
      <c r="AT3" s="0" t="str">
        <f aca="false">Calendario!$K$17&amp;""</f>
        <v/>
      </c>
      <c r="AU3" s="0" t="str">
        <f aca="false">Calendario!$H$18&amp;""</f>
        <v/>
      </c>
      <c r="AV3" s="0" t="str">
        <f aca="false">Calendario!$I$18&amp;""</f>
        <v/>
      </c>
      <c r="AW3" s="0" t="str">
        <f aca="false">Calendario!$J$18&amp;""</f>
        <v/>
      </c>
      <c r="AX3" s="0" t="str">
        <f aca="false">Calendario!$K$18&amp;""</f>
        <v/>
      </c>
      <c r="AY3" s="0" t="str">
        <f aca="false">Calendario!$H$19&amp;""</f>
        <v/>
      </c>
      <c r="AZ3" s="0" t="str">
        <f aca="false">Calendario!$I$19&amp;""</f>
        <v/>
      </c>
      <c r="BA3" s="0" t="str">
        <f aca="false">Calendario!$J$19&amp;""</f>
        <v/>
      </c>
      <c r="BB3" s="0" t="str">
        <f aca="false">Calendario!$K$19&amp;""</f>
        <v/>
      </c>
      <c r="BC3" s="0" t="str">
        <f aca="false">Calendario!$H$20&amp;""</f>
        <v/>
      </c>
      <c r="BD3" s="0" t="str">
        <f aca="false">Calendario!$I$20&amp;""</f>
        <v/>
      </c>
      <c r="BE3" s="0" t="str">
        <f aca="false">Calendario!$J$20&amp;""</f>
        <v/>
      </c>
      <c r="BF3" s="0" t="str">
        <f aca="false">Calendario!$K$20&amp;""</f>
        <v/>
      </c>
      <c r="BG3" s="0" t="str">
        <f aca="false">Calendario!$H$21&amp;""</f>
        <v/>
      </c>
      <c r="BH3" s="0" t="str">
        <f aca="false">Calendario!$I$21&amp;""</f>
        <v/>
      </c>
      <c r="BI3" s="0" t="str">
        <f aca="false">Calendario!$J$21&amp;""</f>
        <v/>
      </c>
      <c r="BJ3" s="0" t="str">
        <f aca="false">Calendario!$K$21&amp;""</f>
        <v/>
      </c>
      <c r="BK3" s="0" t="str">
        <f aca="false">Calendario!$H$22&amp;""</f>
        <v/>
      </c>
      <c r="BL3" s="0" t="str">
        <f aca="false">Calendario!$I$22&amp;""</f>
        <v/>
      </c>
      <c r="BM3" s="0" t="str">
        <f aca="false">Calendario!$J$22&amp;""</f>
        <v/>
      </c>
      <c r="BN3" s="0" t="str">
        <f aca="false">Calendario!$K$22&amp;""</f>
        <v/>
      </c>
      <c r="BO3" s="0" t="str">
        <f aca="false">Calendario!$H$23&amp;""</f>
        <v/>
      </c>
      <c r="BP3" s="0" t="str">
        <f aca="false">Calendario!$I$23&amp;""</f>
        <v/>
      </c>
      <c r="BQ3" s="0" t="str">
        <f aca="false">Calendario!$J$23&amp;""</f>
        <v/>
      </c>
      <c r="BR3" s="0" t="str">
        <f aca="false">Calendario!$K$23&amp;""</f>
        <v/>
      </c>
      <c r="BS3" s="0" t="str">
        <f aca="false">Calendario!$H$24&amp;""</f>
        <v/>
      </c>
      <c r="BT3" s="0" t="str">
        <f aca="false">Calendario!$I$24&amp;""</f>
        <v/>
      </c>
      <c r="BU3" s="0" t="str">
        <f aca="false">Calendario!$J$24&amp;""</f>
        <v/>
      </c>
      <c r="BV3" s="0" t="str">
        <f aca="false">Calendario!$K$24&amp;""</f>
        <v/>
      </c>
      <c r="BW3" s="0" t="str">
        <f aca="false">Calendario!$H$25&amp;""</f>
        <v/>
      </c>
      <c r="BX3" s="0" t="str">
        <f aca="false">Calendario!$I$25&amp;""</f>
        <v/>
      </c>
      <c r="BY3" s="0" t="str">
        <f aca="false">Calendario!$J$25&amp;""</f>
        <v/>
      </c>
      <c r="BZ3" s="0" t="str">
        <f aca="false">Calendario!$K$25&amp;""</f>
        <v/>
      </c>
      <c r="CA3" s="0" t="str">
        <f aca="false">Calendario!$H$26&amp;""</f>
        <v/>
      </c>
      <c r="CB3" s="0" t="str">
        <f aca="false">Calendario!$I$26&amp;""</f>
        <v/>
      </c>
      <c r="CC3" s="0" t="str">
        <f aca="false">Calendario!$J$26&amp;""</f>
        <v/>
      </c>
      <c r="CD3" s="0" t="str">
        <f aca="false">Calendario!$K$26&amp;""</f>
        <v/>
      </c>
      <c r="CE3" s="0" t="str">
        <f aca="false">Calendario!$H$7&amp;""</f>
        <v>1.1</v>
      </c>
      <c r="CF3" s="0" t="str">
        <f aca="false">Calendario!$I$7&amp;""</f>
        <v/>
      </c>
      <c r="CG3" s="0" t="str">
        <f aca="false">Calendario!$J$7&amp;""</f>
        <v/>
      </c>
      <c r="CH3" s="0" t="str">
        <f aca="false">Calendario!$K$7&amp;""</f>
        <v/>
      </c>
      <c r="CI3" s="0" t="str">
        <f aca="false">Calendario!$H$8&amp;""</f>
        <v>3.1</v>
      </c>
      <c r="CJ3" s="0" t="str">
        <f aca="false">Calendario!$I$8&amp;""</f>
        <v>3.3</v>
      </c>
      <c r="CK3" s="0" t="str">
        <f aca="false">Calendario!$J$8&amp;""</f>
        <v/>
      </c>
      <c r="CL3" s="0" t="str">
        <f aca="false">Calendario!$K$8&amp;""</f>
        <v/>
      </c>
      <c r="CM3" s="0" t="str">
        <f aca="false">Calendario!$H$9&amp;""</f>
        <v>1.1</v>
      </c>
      <c r="CN3" s="0" t="str">
        <f aca="false">Calendario!$I$9&amp;""</f>
        <v>TEC.1</v>
      </c>
      <c r="CO3" s="0" t="str">
        <f aca="false">Calendario!$J$9&amp;""</f>
        <v/>
      </c>
      <c r="CP3" s="0" t="str">
        <f aca="false">Calendario!$K$9&amp;""</f>
        <v/>
      </c>
      <c r="CQ3" s="0" t="str">
        <f aca="false">Calendario!$H$10&amp;""</f>
        <v/>
      </c>
      <c r="CR3" s="0" t="str">
        <f aca="false">Calendario!$I$10&amp;""</f>
        <v/>
      </c>
      <c r="CS3" s="0" t="str">
        <f aca="false">Calendario!$J$10&amp;""</f>
        <v/>
      </c>
      <c r="CT3" s="0" t="str">
        <f aca="false">Calendario!$K$10&amp;""</f>
        <v/>
      </c>
      <c r="CU3" s="0" t="str">
        <f aca="false">Calendario!$H$11&amp;""</f>
        <v/>
      </c>
      <c r="CV3" s="0" t="str">
        <f aca="false">Calendario!$I$11&amp;""</f>
        <v/>
      </c>
      <c r="CW3" s="0" t="str">
        <f aca="false">Calendario!$J$11&amp;""</f>
        <v/>
      </c>
      <c r="CX3" s="0" t="str">
        <f aca="false">Calendario!$K$11&amp;""</f>
        <v/>
      </c>
      <c r="CY3" s="0" t="str">
        <f aca="false">Calendario!$H$12&amp;""</f>
        <v/>
      </c>
      <c r="CZ3" s="0" t="str">
        <f aca="false">Calendario!$I$12&amp;""</f>
        <v/>
      </c>
      <c r="DA3" s="0" t="str">
        <f aca="false">Calendario!$J$12&amp;""</f>
        <v/>
      </c>
      <c r="DB3" s="0" t="str">
        <f aca="false">Calendario!$K$12&amp;""</f>
        <v/>
      </c>
      <c r="DC3" s="0" t="str">
        <f aca="false">Calendario!$H$13&amp;""</f>
        <v/>
      </c>
      <c r="DD3" s="0" t="str">
        <f aca="false">Calendario!$I$13&amp;""</f>
        <v/>
      </c>
      <c r="DE3" s="0" t="str">
        <f aca="false">Calendario!$J$13&amp;""</f>
        <v/>
      </c>
      <c r="DF3" s="0" t="str">
        <f aca="false">Calendario!$K$13&amp;""</f>
        <v/>
      </c>
      <c r="DG3" s="0" t="str">
        <f aca="false">Calendario!$H$14&amp;""</f>
        <v/>
      </c>
      <c r="DH3" s="0" t="str">
        <f aca="false">Calendario!$I$14&amp;""</f>
        <v/>
      </c>
      <c r="DI3" s="0" t="str">
        <f aca="false">Calendario!$J$14&amp;""</f>
        <v/>
      </c>
      <c r="DJ3" s="0" t="str">
        <f aca="false">Calendario!$K$14&amp;""</f>
        <v/>
      </c>
      <c r="DK3" s="0" t="str">
        <f aca="false">Calendario!$H$15&amp;""</f>
        <v/>
      </c>
      <c r="DL3" s="0" t="str">
        <f aca="false">Calendario!$I$15&amp;""</f>
        <v/>
      </c>
      <c r="DM3" s="0" t="str">
        <f aca="false">Calendario!$J$15&amp;""</f>
        <v/>
      </c>
      <c r="DN3" s="0" t="str">
        <f aca="false">Calendario!$K$15&amp;""</f>
        <v/>
      </c>
      <c r="DO3" s="0" t="str">
        <f aca="false">Calendario!$H$16&amp;""</f>
        <v/>
      </c>
      <c r="DP3" s="0" t="str">
        <f aca="false">Calendario!$I$16&amp;""</f>
        <v/>
      </c>
      <c r="DQ3" s="0" t="str">
        <f aca="false">Calendario!$J$16&amp;""</f>
        <v/>
      </c>
      <c r="DR3" s="0" t="str">
        <f aca="false">Calendario!$K$16&amp;""</f>
        <v/>
      </c>
      <c r="DS3" s="0" t="str">
        <f aca="false">Calendario!$H$17&amp;""</f>
        <v/>
      </c>
      <c r="DT3" s="0" t="str">
        <f aca="false">Calendario!$I$17&amp;""</f>
        <v/>
      </c>
      <c r="DU3" s="0" t="str">
        <f aca="false">Calendario!$J$17&amp;""</f>
        <v/>
      </c>
      <c r="DV3" s="0" t="str">
        <f aca="false">Calendario!$K$17&amp;""</f>
        <v/>
      </c>
      <c r="DW3" s="0" t="str">
        <f aca="false">Calendario!$H$18&amp;""</f>
        <v/>
      </c>
      <c r="DX3" s="0" t="str">
        <f aca="false">Calendario!$I$18&amp;""</f>
        <v/>
      </c>
      <c r="DY3" s="0" t="str">
        <f aca="false">Calendario!$J$18&amp;""</f>
        <v/>
      </c>
      <c r="DZ3" s="0" t="str">
        <f aca="false">Calendario!$K$18&amp;""</f>
        <v/>
      </c>
      <c r="EA3" s="0" t="str">
        <f aca="false">Calendario!$H$19&amp;""</f>
        <v/>
      </c>
      <c r="EB3" s="0" t="str">
        <f aca="false">Calendario!$I$19&amp;""</f>
        <v/>
      </c>
      <c r="EC3" s="0" t="str">
        <f aca="false">Calendario!$J$19&amp;""</f>
        <v/>
      </c>
      <c r="ED3" s="0" t="str">
        <f aca="false">Calendario!$K$19&amp;""</f>
        <v/>
      </c>
      <c r="EE3" s="0" t="str">
        <f aca="false">Calendario!$H$20&amp;""</f>
        <v/>
      </c>
      <c r="EF3" s="0" t="str">
        <f aca="false">Calendario!$I$20&amp;""</f>
        <v/>
      </c>
      <c r="EG3" s="0" t="str">
        <f aca="false">Calendario!$J$20&amp;""</f>
        <v/>
      </c>
      <c r="EH3" s="0" t="str">
        <f aca="false">Calendario!$K$20&amp;""</f>
        <v/>
      </c>
      <c r="EI3" s="0" t="str">
        <f aca="false">Calendario!$H$21&amp;""</f>
        <v/>
      </c>
      <c r="EJ3" s="0" t="str">
        <f aca="false">Calendario!$I$21&amp;""</f>
        <v/>
      </c>
      <c r="EK3" s="0" t="str">
        <f aca="false">Calendario!$J$21&amp;""</f>
        <v/>
      </c>
      <c r="EL3" s="0" t="str">
        <f aca="false">Calendario!$K$21&amp;""</f>
        <v/>
      </c>
      <c r="EM3" s="0" t="str">
        <f aca="false">Calendario!$H$22&amp;""</f>
        <v/>
      </c>
      <c r="EN3" s="0" t="str">
        <f aca="false">Calendario!$I$22&amp;""</f>
        <v/>
      </c>
      <c r="EO3" s="0" t="str">
        <f aca="false">Calendario!$J$22&amp;""</f>
        <v/>
      </c>
      <c r="EP3" s="0" t="str">
        <f aca="false">Calendario!$K$22&amp;""</f>
        <v/>
      </c>
      <c r="EQ3" s="0" t="str">
        <f aca="false">Calendario!$H$23&amp;""</f>
        <v/>
      </c>
      <c r="ER3" s="0" t="str">
        <f aca="false">Calendario!$I$23&amp;""</f>
        <v/>
      </c>
      <c r="ES3" s="0" t="str">
        <f aca="false">Calendario!$J$23&amp;""</f>
        <v/>
      </c>
      <c r="ET3" s="0" t="str">
        <f aca="false">Calendario!$K$23&amp;""</f>
        <v/>
      </c>
      <c r="EU3" s="0" t="str">
        <f aca="false">Calendario!$H$24&amp;""</f>
        <v/>
      </c>
      <c r="EV3" s="0" t="str">
        <f aca="false">Calendario!$I$24&amp;""</f>
        <v/>
      </c>
      <c r="EW3" s="0" t="str">
        <f aca="false">Calendario!$J$24&amp;""</f>
        <v/>
      </c>
      <c r="EX3" s="0" t="str">
        <f aca="false">Calendario!$K$24&amp;""</f>
        <v/>
      </c>
      <c r="EY3" s="0" t="str">
        <f aca="false">Calendario!$H$25&amp;""</f>
        <v/>
      </c>
      <c r="EZ3" s="0" t="str">
        <f aca="false">Calendario!$I$25&amp;""</f>
        <v/>
      </c>
      <c r="FA3" s="0" t="str">
        <f aca="false">Calendario!$J$25&amp;""</f>
        <v/>
      </c>
      <c r="FB3" s="0" t="str">
        <f aca="false">Calendario!$K$25&amp;""</f>
        <v/>
      </c>
      <c r="FC3" s="0" t="str">
        <f aca="false">Calendario!$H$26&amp;""</f>
        <v/>
      </c>
      <c r="FD3" s="0" t="str">
        <f aca="false">Calendario!$I$26&amp;""</f>
        <v/>
      </c>
      <c r="FE3" s="0" t="str">
        <f aca="false">Calendario!$J$26&amp;""</f>
        <v/>
      </c>
      <c r="FF3" s="0" t="str">
        <f aca="false">Calendario!$K$26&amp;""</f>
        <v/>
      </c>
    </row>
    <row r="4" customFormat="false" ht="15" hidden="false" customHeight="false" outlineLevel="0" collapsed="false">
      <c r="C4" s="0" t="str">
        <f aca="false">IF(Calendario!$H$7="","",IFERROR(VLOOKUP(Calendario!$H$7,Impostazioni!$A$25:$J$36,5,FALSE()),""))</f>
        <v>A</v>
      </c>
      <c r="D4" s="0" t="str">
        <f aca="false">IF(Calendario!$I$7="","",IFERROR(VLOOKUP(Calendario!$I$7,Impostazioni!$A$25:$J$36,5,FALSE()),""))</f>
        <v/>
      </c>
      <c r="E4" s="0" t="str">
        <f aca="false">IF(Calendario!$J$7="","",IFERROR(VLOOKUP(Calendario!$J$7,Impostazioni!$A$25:$J$36,5,FALSE()),""))</f>
        <v/>
      </c>
      <c r="F4" s="0" t="str">
        <f aca="false">IF(Calendario!$K$7="","",IFERROR(VLOOKUP(Calendario!$K$7,Impostazioni!$A$25:$J$36,5,FALSE()),""))</f>
        <v/>
      </c>
      <c r="G4" s="0" t="str">
        <f aca="false">IF(Calendario!$H$8="","",IFERROR(VLOOKUP(Calendario!$H$8,Impostazioni!$A$25:$J$36,5,FALSE()),""))</f>
        <v>B</v>
      </c>
      <c r="H4" s="0" t="str">
        <f aca="false">IF(Calendario!$I$8="","",IFERROR(VLOOKUP(Calendario!$I$8,Impostazioni!$A$25:$J$36,5,FALSE()),""))</f>
        <v>B</v>
      </c>
      <c r="I4" s="0" t="str">
        <f aca="false">IF(Calendario!$J$8="","",IFERROR(VLOOKUP(Calendario!$J$8,Impostazioni!$A$25:$J$36,5,FALSE()),""))</f>
        <v/>
      </c>
      <c r="J4" s="0" t="str">
        <f aca="false">IF(Calendario!$K$8="","",IFERROR(VLOOKUP(Calendario!$K$8,Impostazioni!$A$25:$J$36,5,FALSE()),""))</f>
        <v/>
      </c>
      <c r="K4" s="0" t="str">
        <f aca="false">IF(Calendario!$H$9="","",IFERROR(VLOOKUP(Calendario!$H$9,Impostazioni!$A$25:$J$36,5,FALSE()),""))</f>
        <v>A</v>
      </c>
      <c r="L4" s="0" t="str">
        <f aca="false">IF(Calendario!$I$9="","",IFERROR(VLOOKUP(Calendario!$I$9,Impostazioni!$A$25:$J$36,5,FALSE()),""))</f>
        <v>TEC</v>
      </c>
      <c r="M4" s="0" t="str">
        <f aca="false">IF(Calendario!$J$9="","",IFERROR(VLOOKUP(Calendario!$J$9,Impostazioni!$A$25:$J$36,5,FALSE()),""))</f>
        <v/>
      </c>
      <c r="N4" s="0" t="str">
        <f aca="false">IF(Calendario!$K$9="","",IFERROR(VLOOKUP(Calendario!$K$9,Impostazioni!$A$25:$J$36,5,FALSE()),""))</f>
        <v/>
      </c>
      <c r="O4" s="0" t="str">
        <f aca="false">IF(Calendario!$H$10="","",IFERROR(VLOOKUP(Calendario!$H$10,Impostazioni!$A$25:$J$36,5,FALSE()),""))</f>
        <v/>
      </c>
      <c r="P4" s="0" t="str">
        <f aca="false">IF(Calendario!$I$10="","",IFERROR(VLOOKUP(Calendario!$I$10,Impostazioni!$A$25:$J$36,5,FALSE()),""))</f>
        <v/>
      </c>
      <c r="Q4" s="0" t="str">
        <f aca="false">IF(Calendario!$J$10="","",IFERROR(VLOOKUP(Calendario!$J$10,Impostazioni!$A$25:$J$36,5,FALSE()),""))</f>
        <v/>
      </c>
      <c r="R4" s="0" t="str">
        <f aca="false">IF(Calendario!$K$10="","",IFERROR(VLOOKUP(Calendario!$K$10,Impostazioni!$A$25:$J$36,5,FALSE()),""))</f>
        <v/>
      </c>
      <c r="S4" s="0" t="str">
        <f aca="false">IF(Calendario!$H$11="","",IFERROR(VLOOKUP(Calendario!$H$11,Impostazioni!$A$25:$J$36,5,FALSE()),""))</f>
        <v/>
      </c>
      <c r="T4" s="0" t="str">
        <f aca="false">IF(Calendario!$I$11="","",IFERROR(VLOOKUP(Calendario!$I$11,Impostazioni!$A$25:$J$36,5,FALSE()),""))</f>
        <v/>
      </c>
      <c r="U4" s="0" t="str">
        <f aca="false">IF(Calendario!$J$11="","",IFERROR(VLOOKUP(Calendario!$J$11,Impostazioni!$A$25:$J$36,5,FALSE()),""))</f>
        <v/>
      </c>
      <c r="V4" s="0" t="str">
        <f aca="false">IF(Calendario!$K$11="","",IFERROR(VLOOKUP(Calendario!$K$11,Impostazioni!$A$25:$J$36,5,FALSE()),""))</f>
        <v/>
      </c>
      <c r="W4" s="0" t="str">
        <f aca="false">IF(Calendario!$H$12="","",IFERROR(VLOOKUP(Calendario!$H$12,Impostazioni!$A$25:$J$36,5,FALSE()),""))</f>
        <v/>
      </c>
      <c r="X4" s="0" t="str">
        <f aca="false">IF(Calendario!$I$12="","",IFERROR(VLOOKUP(Calendario!$I$12,Impostazioni!$A$25:$J$36,5,FALSE()),""))</f>
        <v/>
      </c>
      <c r="Y4" s="0" t="str">
        <f aca="false">IF(Calendario!$J$12="","",IFERROR(VLOOKUP(Calendario!$J$12,Impostazioni!$A$25:$J$36,5,FALSE()),""))</f>
        <v/>
      </c>
      <c r="Z4" s="0" t="str">
        <f aca="false">IF(Calendario!$K$12="","",IFERROR(VLOOKUP(Calendario!$K$12,Impostazioni!$A$25:$J$36,5,FALSE()),""))</f>
        <v/>
      </c>
      <c r="AA4" s="0" t="str">
        <f aca="false">IF(Calendario!$H$13="","",IFERROR(VLOOKUP(Calendario!$H$13,Impostazioni!$A$25:$J$36,5,FALSE()),""))</f>
        <v/>
      </c>
      <c r="AB4" s="0" t="str">
        <f aca="false">IF(Calendario!$I$13="","",IFERROR(VLOOKUP(Calendario!$I$13,Impostazioni!$A$25:$J$36,5,FALSE()),""))</f>
        <v/>
      </c>
      <c r="AC4" s="0" t="str">
        <f aca="false">IF(Calendario!$J$13="","",IFERROR(VLOOKUP(Calendario!$J$13,Impostazioni!$A$25:$J$36,5,FALSE()),""))</f>
        <v/>
      </c>
      <c r="AD4" s="0" t="str">
        <f aca="false">IF(Calendario!$K$13="","",IFERROR(VLOOKUP(Calendario!$K$13,Impostazioni!$A$25:$J$36,5,FALSE()),""))</f>
        <v/>
      </c>
      <c r="AE4" s="0" t="str">
        <f aca="false">IF(Calendario!$H$14="","",IFERROR(VLOOKUP(Calendario!$H$14,Impostazioni!$A$25:$J$36,5,FALSE()),""))</f>
        <v/>
      </c>
      <c r="AF4" s="0" t="str">
        <f aca="false">IF(Calendario!$I$14="","",IFERROR(VLOOKUP(Calendario!$I$14,Impostazioni!$A$25:$J$36,5,FALSE()),""))</f>
        <v/>
      </c>
      <c r="AG4" s="0" t="str">
        <f aca="false">IF(Calendario!$J$14="","",IFERROR(VLOOKUP(Calendario!$J$14,Impostazioni!$A$25:$J$36,5,FALSE()),""))</f>
        <v/>
      </c>
      <c r="AH4" s="0" t="str">
        <f aca="false">IF(Calendario!$K$14="","",IFERROR(VLOOKUP(Calendario!$K$14,Impostazioni!$A$25:$J$36,5,FALSE()),""))</f>
        <v/>
      </c>
      <c r="AI4" s="0" t="str">
        <f aca="false">IF(Calendario!$H$15="","",IFERROR(VLOOKUP(Calendario!$H$15,Impostazioni!$A$25:$J$36,5,FALSE()),""))</f>
        <v/>
      </c>
      <c r="AJ4" s="0" t="str">
        <f aca="false">IF(Calendario!$I$15="","",IFERROR(VLOOKUP(Calendario!$I$15,Impostazioni!$A$25:$J$36,5,FALSE()),""))</f>
        <v/>
      </c>
      <c r="AK4" s="0" t="str">
        <f aca="false">IF(Calendario!$J$15="","",IFERROR(VLOOKUP(Calendario!$J$15,Impostazioni!$A$25:$J$36,5,FALSE()),""))</f>
        <v/>
      </c>
      <c r="AL4" s="0" t="str">
        <f aca="false">IF(Calendario!$K$15="","",IFERROR(VLOOKUP(Calendario!$K$15,Impostazioni!$A$25:$J$36,5,FALSE()),""))</f>
        <v/>
      </c>
      <c r="AM4" s="0" t="str">
        <f aca="false">IF(Calendario!$H$16="","",IFERROR(VLOOKUP(Calendario!$H$16,Impostazioni!$A$25:$J$36,5,FALSE()),""))</f>
        <v/>
      </c>
      <c r="AN4" s="0" t="str">
        <f aca="false">IF(Calendario!$I$16="","",IFERROR(VLOOKUP(Calendario!$I$16,Impostazioni!$A$25:$J$36,5,FALSE()),""))</f>
        <v/>
      </c>
      <c r="AO4" s="0" t="str">
        <f aca="false">IF(Calendario!$J$16="","",IFERROR(VLOOKUP(Calendario!$J$16,Impostazioni!$A$25:$J$36,5,FALSE()),""))</f>
        <v/>
      </c>
      <c r="AP4" s="0" t="str">
        <f aca="false">IF(Calendario!$K$16="","",IFERROR(VLOOKUP(Calendario!$K$16,Impostazioni!$A$25:$J$36,5,FALSE()),""))</f>
        <v/>
      </c>
      <c r="AQ4" s="0" t="str">
        <f aca="false">IF(Calendario!$H$17="","",IFERROR(VLOOKUP(Calendario!$H$17,Impostazioni!$A$25:$J$36,6,FALSE()),""))</f>
        <v/>
      </c>
      <c r="AR4" s="0" t="str">
        <f aca="false">IF(Calendario!$I$17="","",IFERROR(VLOOKUP(Calendario!$I$17,Impostazioni!$A$25:$J$36,6,FALSE()),""))</f>
        <v/>
      </c>
      <c r="AS4" s="0" t="str">
        <f aca="false">IF(Calendario!$J$17="","",IFERROR(VLOOKUP(Calendario!$J$17,Impostazioni!$A$25:$J$36,6,FALSE()),""))</f>
        <v/>
      </c>
      <c r="AT4" s="0" t="str">
        <f aca="false">IF(Calendario!$K$17="","",IFERROR(VLOOKUP(Calendario!$K$17,Impostazioni!$A$25:$J$36,6,FALSE()),""))</f>
        <v/>
      </c>
      <c r="AU4" s="0" t="str">
        <f aca="false">IF(Calendario!$H$18="","",IFERROR(VLOOKUP(Calendario!$H$18,Impostazioni!$A$25:$J$36,6,FALSE()),""))</f>
        <v/>
      </c>
      <c r="AV4" s="0" t="str">
        <f aca="false">IF(Calendario!$I$18="","",IFERROR(VLOOKUP(Calendario!$I$18,Impostazioni!$A$25:$J$36,6,FALSE()),""))</f>
        <v/>
      </c>
      <c r="AW4" s="0" t="str">
        <f aca="false">IF(Calendario!$J$18="","",IFERROR(VLOOKUP(Calendario!$J$18,Impostazioni!$A$25:$J$36,6,FALSE()),""))</f>
        <v/>
      </c>
      <c r="AX4" s="0" t="str">
        <f aca="false">IF(Calendario!$K$18="","",IFERROR(VLOOKUP(Calendario!$K$18,Impostazioni!$A$25:$J$36,6,FALSE()),""))</f>
        <v/>
      </c>
      <c r="AY4" s="0" t="str">
        <f aca="false">IF(Calendario!$H$19="","",IFERROR(VLOOKUP(Calendario!$H$19,Impostazioni!$A$25:$J$36,6,FALSE()),""))</f>
        <v/>
      </c>
      <c r="AZ4" s="0" t="str">
        <f aca="false">IF(Calendario!$I$19="","",IFERROR(VLOOKUP(Calendario!$I$19,Impostazioni!$A$25:$J$36,6,FALSE()),""))</f>
        <v/>
      </c>
      <c r="BA4" s="0" t="str">
        <f aca="false">IF(Calendario!$J$19="","",IFERROR(VLOOKUP(Calendario!$J$19,Impostazioni!$A$25:$J$36,6,FALSE()),""))</f>
        <v/>
      </c>
      <c r="BB4" s="0" t="str">
        <f aca="false">IF(Calendario!$K$19="","",IFERROR(VLOOKUP(Calendario!$K$19,Impostazioni!$A$25:$J$36,6,FALSE()),""))</f>
        <v/>
      </c>
      <c r="BC4" s="0" t="str">
        <f aca="false">IF(Calendario!$H$20="","",IFERROR(VLOOKUP(Calendario!$H$20,Impostazioni!$A$25:$J$36,6,FALSE()),""))</f>
        <v/>
      </c>
      <c r="BD4" s="0" t="str">
        <f aca="false">IF(Calendario!$I$20="","",IFERROR(VLOOKUP(Calendario!$I$20,Impostazioni!$A$25:$J$36,6,FALSE()),""))</f>
        <v/>
      </c>
      <c r="BE4" s="0" t="str">
        <f aca="false">IF(Calendario!$J$20="","",IFERROR(VLOOKUP(Calendario!$J$20,Impostazioni!$A$25:$J$36,6,FALSE()),""))</f>
        <v/>
      </c>
      <c r="BF4" s="0" t="str">
        <f aca="false">IF(Calendario!$K$20="","",IFERROR(VLOOKUP(Calendario!$K$20,Impostazioni!$A$25:$J$36,6,FALSE()),""))</f>
        <v/>
      </c>
      <c r="BG4" s="0" t="str">
        <f aca="false">IF(Calendario!$H$21="","",IFERROR(VLOOKUP(Calendario!$H$21,Impostazioni!$A$25:$J$36,6,FALSE()),""))</f>
        <v/>
      </c>
      <c r="BH4" s="0" t="str">
        <f aca="false">IF(Calendario!$I$21="","",IFERROR(VLOOKUP(Calendario!$I$21,Impostazioni!$A$25:$J$36,6,FALSE()),""))</f>
        <v/>
      </c>
      <c r="BI4" s="0" t="str">
        <f aca="false">IF(Calendario!$J$21="","",IFERROR(VLOOKUP(Calendario!$J$21,Impostazioni!$A$25:$J$36,6,FALSE()),""))</f>
        <v/>
      </c>
      <c r="BJ4" s="0" t="str">
        <f aca="false">IF(Calendario!$K$21="","",IFERROR(VLOOKUP(Calendario!$K$21,Impostazioni!$A$25:$J$36,6,FALSE()),""))</f>
        <v/>
      </c>
      <c r="BK4" s="0" t="str">
        <f aca="false">IF(Calendario!$H$22="","",IFERROR(VLOOKUP(Calendario!$H$22,Impostazioni!$A$25:$J$36,6,FALSE()),""))</f>
        <v/>
      </c>
      <c r="BL4" s="0" t="str">
        <f aca="false">IF(Calendario!$I$22="","",IFERROR(VLOOKUP(Calendario!$I$22,Impostazioni!$A$25:$J$36,6,FALSE()),""))</f>
        <v/>
      </c>
      <c r="BM4" s="0" t="str">
        <f aca="false">IF(Calendario!$J$22="","",IFERROR(VLOOKUP(Calendario!$J$22,Impostazioni!$A$25:$J$36,6,FALSE()),""))</f>
        <v/>
      </c>
      <c r="BN4" s="0" t="str">
        <f aca="false">IF(Calendario!$K$22="","",IFERROR(VLOOKUP(Calendario!$K$22,Impostazioni!$A$25:$J$36,6,FALSE()),""))</f>
        <v/>
      </c>
      <c r="BO4" s="0" t="str">
        <f aca="false">IF(Calendario!$H$23="","",IFERROR(VLOOKUP(Calendario!$H$23,Impostazioni!$A$25:$J$36,6,FALSE()),""))</f>
        <v/>
      </c>
      <c r="BP4" s="0" t="str">
        <f aca="false">IF(Calendario!$I$23="","",IFERROR(VLOOKUP(Calendario!$I$23,Impostazioni!$A$25:$J$36,6,FALSE()),""))</f>
        <v/>
      </c>
      <c r="BQ4" s="0" t="str">
        <f aca="false">IF(Calendario!$J$23="","",IFERROR(VLOOKUP(Calendario!$J$23,Impostazioni!$A$25:$J$36,6,FALSE()),""))</f>
        <v/>
      </c>
      <c r="BR4" s="0" t="str">
        <f aca="false">IF(Calendario!$K$23="","",IFERROR(VLOOKUP(Calendario!$K$23,Impostazioni!$A$25:$J$36,6,FALSE()),""))</f>
        <v/>
      </c>
      <c r="BS4" s="0" t="str">
        <f aca="false">IF(Calendario!$H$24="","",IFERROR(VLOOKUP(Calendario!$H$24,Impostazioni!$A$25:$J$36,6,FALSE()),""))</f>
        <v/>
      </c>
      <c r="BT4" s="0" t="str">
        <f aca="false">IF(Calendario!$I$24="","",IFERROR(VLOOKUP(Calendario!$I$24,Impostazioni!$A$25:$J$36,6,FALSE()),""))</f>
        <v/>
      </c>
      <c r="BU4" s="0" t="str">
        <f aca="false">IF(Calendario!$J$24="","",IFERROR(VLOOKUP(Calendario!$J$24,Impostazioni!$A$25:$J$36,6,FALSE()),""))</f>
        <v/>
      </c>
      <c r="BV4" s="0" t="str">
        <f aca="false">IF(Calendario!$K$24="","",IFERROR(VLOOKUP(Calendario!$K$24,Impostazioni!$A$25:$J$36,6,FALSE()),""))</f>
        <v/>
      </c>
      <c r="BW4" s="0" t="str">
        <f aca="false">IF(Calendario!$H$25="","",IFERROR(VLOOKUP(Calendario!$H$25,Impostazioni!$A$25:$J$36,6,FALSE()),""))</f>
        <v/>
      </c>
      <c r="BX4" s="0" t="str">
        <f aca="false">IF(Calendario!$I$25="","",IFERROR(VLOOKUP(Calendario!$I$25,Impostazioni!$A$25:$J$36,6,FALSE()),""))</f>
        <v/>
      </c>
      <c r="BY4" s="0" t="str">
        <f aca="false">IF(Calendario!$J$25="","",IFERROR(VLOOKUP(Calendario!$J$25,Impostazioni!$A$25:$J$36,6,FALSE()),""))</f>
        <v/>
      </c>
      <c r="BZ4" s="0" t="str">
        <f aca="false">IF(Calendario!$K$25="","",IFERROR(VLOOKUP(Calendario!$K$25,Impostazioni!$A$25:$J$36,6,FALSE()),""))</f>
        <v/>
      </c>
      <c r="CA4" s="0" t="str">
        <f aca="false">IF(Calendario!$H$26="","",IFERROR(VLOOKUP(Calendario!$H$26,Impostazioni!$A$25:$J$36,6,FALSE()),""))</f>
        <v/>
      </c>
      <c r="CB4" s="0" t="str">
        <f aca="false">IF(Calendario!$I$26="","",IFERROR(VLOOKUP(Calendario!$I$26,Impostazioni!$A$25:$J$36,6,FALSE()),""))</f>
        <v/>
      </c>
      <c r="CC4" s="0" t="str">
        <f aca="false">IF(Calendario!$J$26="","",IFERROR(VLOOKUP(Calendario!$J$26,Impostazioni!$A$25:$J$36,6,FALSE()),""))</f>
        <v/>
      </c>
      <c r="CD4" s="0" t="str">
        <f aca="false">IF(Calendario!$K$26="","",IFERROR(VLOOKUP(Calendario!$K$26,Impostazioni!$A$25:$J$36,6,FALSE()),""))</f>
        <v/>
      </c>
      <c r="CE4" s="0" t="str">
        <f aca="false">IF(Calendario!$H$7="","",IFERROR(VLOOKUP(Calendario!$H$7,Impostazioni!$A$25:$J$36,5,FALSE()),""))</f>
        <v>A</v>
      </c>
      <c r="CF4" s="0" t="str">
        <f aca="false">IF(Calendario!$I$7="","",IFERROR(VLOOKUP(Calendario!$I$7,Impostazioni!$A$25:$J$36,5,FALSE()),""))</f>
        <v/>
      </c>
      <c r="CG4" s="0" t="str">
        <f aca="false">IF(Calendario!$J$7="","",IFERROR(VLOOKUP(Calendario!$J$7,Impostazioni!$A$25:$J$36,5,FALSE()),""))</f>
        <v/>
      </c>
      <c r="CH4" s="0" t="str">
        <f aca="false">IF(Calendario!$K$7="","",IFERROR(VLOOKUP(Calendario!$K$7,Impostazioni!$A$25:$J$36,5,FALSE()),""))</f>
        <v/>
      </c>
      <c r="CI4" s="0" t="str">
        <f aca="false">IF(Calendario!$H$8="","",IFERROR(VLOOKUP(Calendario!$H$8,Impostazioni!$A$25:$J$36,5,FALSE()),""))</f>
        <v>B</v>
      </c>
      <c r="CJ4" s="0" t="str">
        <f aca="false">IF(Calendario!$I$8="","",IFERROR(VLOOKUP(Calendario!$I$8,Impostazioni!$A$25:$J$36,5,FALSE()),""))</f>
        <v>B</v>
      </c>
      <c r="CK4" s="0" t="str">
        <f aca="false">IF(Calendario!$J$8="","",IFERROR(VLOOKUP(Calendario!$J$8,Impostazioni!$A$25:$J$36,5,FALSE()),""))</f>
        <v/>
      </c>
      <c r="CL4" s="0" t="str">
        <f aca="false">IF(Calendario!$K$8="","",IFERROR(VLOOKUP(Calendario!$K$8,Impostazioni!$A$25:$J$36,5,FALSE()),""))</f>
        <v/>
      </c>
      <c r="CM4" s="0" t="str">
        <f aca="false">IF(Calendario!$H$9="","",IFERROR(VLOOKUP(Calendario!$H$9,Impostazioni!$A$25:$J$36,5,FALSE()),""))</f>
        <v>A</v>
      </c>
      <c r="CN4" s="0" t="str">
        <f aca="false">IF(Calendario!$I$9="","",IFERROR(VLOOKUP(Calendario!$I$9,Impostazioni!$A$25:$J$36,5,FALSE()),""))</f>
        <v>TEC</v>
      </c>
      <c r="CO4" s="0" t="str">
        <f aca="false">IF(Calendario!$J$9="","",IFERROR(VLOOKUP(Calendario!$J$9,Impostazioni!$A$25:$J$36,5,FALSE()),""))</f>
        <v/>
      </c>
      <c r="CP4" s="0" t="str">
        <f aca="false">IF(Calendario!$K$9="","",IFERROR(VLOOKUP(Calendario!$K$9,Impostazioni!$A$25:$J$36,5,FALSE()),""))</f>
        <v/>
      </c>
      <c r="CQ4" s="0" t="str">
        <f aca="false">IF(Calendario!$H$10="","",IFERROR(VLOOKUP(Calendario!$H$10,Impostazioni!$A$25:$J$36,5,FALSE()),""))</f>
        <v/>
      </c>
      <c r="CR4" s="0" t="str">
        <f aca="false">IF(Calendario!$I$10="","",IFERROR(VLOOKUP(Calendario!$I$10,Impostazioni!$A$25:$J$36,5,FALSE()),""))</f>
        <v/>
      </c>
      <c r="CS4" s="0" t="str">
        <f aca="false">IF(Calendario!$J$10="","",IFERROR(VLOOKUP(Calendario!$J$10,Impostazioni!$A$25:$J$36,5,FALSE()),""))</f>
        <v/>
      </c>
      <c r="CT4" s="0" t="str">
        <f aca="false">IF(Calendario!$K$10="","",IFERROR(VLOOKUP(Calendario!$K$10,Impostazioni!$A$25:$J$36,5,FALSE()),""))</f>
        <v/>
      </c>
      <c r="CU4" s="0" t="str">
        <f aca="false">IF(Calendario!$H$11="","",IFERROR(VLOOKUP(Calendario!$H$11,Impostazioni!$A$25:$J$36,5,FALSE()),""))</f>
        <v/>
      </c>
      <c r="CV4" s="0" t="str">
        <f aca="false">IF(Calendario!$I$11="","",IFERROR(VLOOKUP(Calendario!$I$11,Impostazioni!$A$25:$J$36,5,FALSE()),""))</f>
        <v/>
      </c>
      <c r="CW4" s="0" t="str">
        <f aca="false">IF(Calendario!$J$11="","",IFERROR(VLOOKUP(Calendario!$J$11,Impostazioni!$A$25:$J$36,5,FALSE()),""))</f>
        <v/>
      </c>
      <c r="CX4" s="0" t="str">
        <f aca="false">IF(Calendario!$K$11="","",IFERROR(VLOOKUP(Calendario!$K$11,Impostazioni!$A$25:$J$36,5,FALSE()),""))</f>
        <v/>
      </c>
      <c r="CY4" s="0" t="str">
        <f aca="false">IF(Calendario!$H$12="","",IFERROR(VLOOKUP(Calendario!$H$12,Impostazioni!$A$25:$J$36,5,FALSE()),""))</f>
        <v/>
      </c>
      <c r="CZ4" s="0" t="str">
        <f aca="false">IF(Calendario!$I$12="","",IFERROR(VLOOKUP(Calendario!$I$12,Impostazioni!$A$25:$J$36,5,FALSE()),""))</f>
        <v/>
      </c>
      <c r="DA4" s="0" t="str">
        <f aca="false">IF(Calendario!$J$12="","",IFERROR(VLOOKUP(Calendario!$J$12,Impostazioni!$A$25:$J$36,5,FALSE()),""))</f>
        <v/>
      </c>
      <c r="DB4" s="0" t="str">
        <f aca="false">IF(Calendario!$K$12="","",IFERROR(VLOOKUP(Calendario!$K$12,Impostazioni!$A$25:$J$36,5,FALSE()),""))</f>
        <v/>
      </c>
      <c r="DC4" s="0" t="str">
        <f aca="false">IF(Calendario!$H$13="","",IFERROR(VLOOKUP(Calendario!$H$13,Impostazioni!$A$25:$J$36,5,FALSE()),""))</f>
        <v/>
      </c>
      <c r="DD4" s="0" t="str">
        <f aca="false">IF(Calendario!$I$13="","",IFERROR(VLOOKUP(Calendario!$I$13,Impostazioni!$A$25:$J$36,5,FALSE()),""))</f>
        <v/>
      </c>
      <c r="DE4" s="0" t="str">
        <f aca="false">IF(Calendario!$J$13="","",IFERROR(VLOOKUP(Calendario!$J$13,Impostazioni!$A$25:$J$36,5,FALSE()),""))</f>
        <v/>
      </c>
      <c r="DF4" s="0" t="str">
        <f aca="false">IF(Calendario!$K$13="","",IFERROR(VLOOKUP(Calendario!$K$13,Impostazioni!$A$25:$J$36,5,FALSE()),""))</f>
        <v/>
      </c>
      <c r="DG4" s="0" t="str">
        <f aca="false">IF(Calendario!$H$14="","",IFERROR(VLOOKUP(Calendario!$H$14,Impostazioni!$A$25:$J$36,5,FALSE()),""))</f>
        <v/>
      </c>
      <c r="DH4" s="0" t="str">
        <f aca="false">IF(Calendario!$I$14="","",IFERROR(VLOOKUP(Calendario!$I$14,Impostazioni!$A$25:$J$36,5,FALSE()),""))</f>
        <v/>
      </c>
      <c r="DI4" s="0" t="str">
        <f aca="false">IF(Calendario!$J$14="","",IFERROR(VLOOKUP(Calendario!$J$14,Impostazioni!$A$25:$J$36,5,FALSE()),""))</f>
        <v/>
      </c>
      <c r="DJ4" s="0" t="str">
        <f aca="false">IF(Calendario!$K$14="","",IFERROR(VLOOKUP(Calendario!$K$14,Impostazioni!$A$25:$J$36,5,FALSE()),""))</f>
        <v/>
      </c>
      <c r="DK4" s="0" t="str">
        <f aca="false">IF(Calendario!$H$15="","",IFERROR(VLOOKUP(Calendario!$H$15,Impostazioni!$A$25:$J$36,5,FALSE()),""))</f>
        <v/>
      </c>
      <c r="DL4" s="0" t="str">
        <f aca="false">IF(Calendario!$I$15="","",IFERROR(VLOOKUP(Calendario!$I$15,Impostazioni!$A$25:$J$36,5,FALSE()),""))</f>
        <v/>
      </c>
      <c r="DM4" s="0" t="str">
        <f aca="false">IF(Calendario!$J$15="","",IFERROR(VLOOKUP(Calendario!$J$15,Impostazioni!$A$25:$J$36,5,FALSE()),""))</f>
        <v/>
      </c>
      <c r="DN4" s="0" t="str">
        <f aca="false">IF(Calendario!$K$15="","",IFERROR(VLOOKUP(Calendario!$K$15,Impostazioni!$A$25:$J$36,5,FALSE()),""))</f>
        <v/>
      </c>
      <c r="DO4" s="0" t="str">
        <f aca="false">IF(Calendario!$H$16="","",IFERROR(VLOOKUP(Calendario!$H$16,Impostazioni!$A$25:$J$36,5,FALSE()),""))</f>
        <v/>
      </c>
      <c r="DP4" s="0" t="str">
        <f aca="false">IF(Calendario!$I$16="","",IFERROR(VLOOKUP(Calendario!$I$16,Impostazioni!$A$25:$J$36,5,FALSE()),""))</f>
        <v/>
      </c>
      <c r="DQ4" s="0" t="str">
        <f aca="false">IF(Calendario!$J$16="","",IFERROR(VLOOKUP(Calendario!$J$16,Impostazioni!$A$25:$J$36,5,FALSE()),""))</f>
        <v/>
      </c>
      <c r="DR4" s="0" t="str">
        <f aca="false">IF(Calendario!$K$16="","",IFERROR(VLOOKUP(Calendario!$K$16,Impostazioni!$A$25:$J$36,5,FALSE()),""))</f>
        <v/>
      </c>
      <c r="DS4" s="0" t="str">
        <f aca="false">IF(Calendario!$H$17="","",IFERROR(VLOOKUP(Calendario!$H$17,Impostazioni!$A$25:$J$36,6,FALSE()),""))</f>
        <v/>
      </c>
      <c r="DT4" s="0" t="str">
        <f aca="false">IF(Calendario!$I$17="","",IFERROR(VLOOKUP(Calendario!$I$17,Impostazioni!$A$25:$J$36,6,FALSE()),""))</f>
        <v/>
      </c>
      <c r="DU4" s="0" t="str">
        <f aca="false">IF(Calendario!$J$17="","",IFERROR(VLOOKUP(Calendario!$J$17,Impostazioni!$A$25:$J$36,6,FALSE()),""))</f>
        <v/>
      </c>
      <c r="DV4" s="0" t="str">
        <f aca="false">IF(Calendario!$K$17="","",IFERROR(VLOOKUP(Calendario!$K$17,Impostazioni!$A$25:$J$36,6,FALSE()),""))</f>
        <v/>
      </c>
      <c r="DW4" s="0" t="str">
        <f aca="false">IF(Calendario!$H$18="","",IFERROR(VLOOKUP(Calendario!$H$18,Impostazioni!$A$25:$J$36,6,FALSE()),""))</f>
        <v/>
      </c>
      <c r="DX4" s="0" t="str">
        <f aca="false">IF(Calendario!$I$18="","",IFERROR(VLOOKUP(Calendario!$I$18,Impostazioni!$A$25:$J$36,6,FALSE()),""))</f>
        <v/>
      </c>
      <c r="DY4" s="0" t="str">
        <f aca="false">IF(Calendario!$J$18="","",IFERROR(VLOOKUP(Calendario!$J$18,Impostazioni!$A$25:$J$36,6,FALSE()),""))</f>
        <v/>
      </c>
      <c r="DZ4" s="0" t="str">
        <f aca="false">IF(Calendario!$K$18="","",IFERROR(VLOOKUP(Calendario!$K$18,Impostazioni!$A$25:$J$36,6,FALSE()),""))</f>
        <v/>
      </c>
      <c r="EA4" s="0" t="str">
        <f aca="false">IF(Calendario!$H$19="","",IFERROR(VLOOKUP(Calendario!$H$19,Impostazioni!$A$25:$J$36,6,FALSE()),""))</f>
        <v/>
      </c>
      <c r="EB4" s="0" t="str">
        <f aca="false">IF(Calendario!$I$19="","",IFERROR(VLOOKUP(Calendario!$I$19,Impostazioni!$A$25:$J$36,6,FALSE()),""))</f>
        <v/>
      </c>
      <c r="EC4" s="0" t="str">
        <f aca="false">IF(Calendario!$J$19="","",IFERROR(VLOOKUP(Calendario!$J$19,Impostazioni!$A$25:$J$36,6,FALSE()),""))</f>
        <v/>
      </c>
      <c r="ED4" s="0" t="str">
        <f aca="false">IF(Calendario!$K$19="","",IFERROR(VLOOKUP(Calendario!$K$19,Impostazioni!$A$25:$J$36,6,FALSE()),""))</f>
        <v/>
      </c>
      <c r="EE4" s="0" t="str">
        <f aca="false">IF(Calendario!$H$20="","",IFERROR(VLOOKUP(Calendario!$H$20,Impostazioni!$A$25:$J$36,6,FALSE()),""))</f>
        <v/>
      </c>
      <c r="EF4" s="0" t="str">
        <f aca="false">IF(Calendario!$I$20="","",IFERROR(VLOOKUP(Calendario!$I$20,Impostazioni!$A$25:$J$36,6,FALSE()),""))</f>
        <v/>
      </c>
      <c r="EG4" s="0" t="str">
        <f aca="false">IF(Calendario!$J$20="","",IFERROR(VLOOKUP(Calendario!$J$20,Impostazioni!$A$25:$J$36,6,FALSE()),""))</f>
        <v/>
      </c>
      <c r="EH4" s="0" t="str">
        <f aca="false">IF(Calendario!$K$20="","",IFERROR(VLOOKUP(Calendario!$K$20,Impostazioni!$A$25:$J$36,6,FALSE()),""))</f>
        <v/>
      </c>
      <c r="EI4" s="0" t="str">
        <f aca="false">IF(Calendario!$H$21="","",IFERROR(VLOOKUP(Calendario!$H$21,Impostazioni!$A$25:$J$36,6,FALSE()),""))</f>
        <v/>
      </c>
      <c r="EJ4" s="0" t="str">
        <f aca="false">IF(Calendario!$I$21="","",IFERROR(VLOOKUP(Calendario!$I$21,Impostazioni!$A$25:$J$36,6,FALSE()),""))</f>
        <v/>
      </c>
      <c r="EK4" s="0" t="str">
        <f aca="false">IF(Calendario!$J$21="","",IFERROR(VLOOKUP(Calendario!$J$21,Impostazioni!$A$25:$J$36,6,FALSE()),""))</f>
        <v/>
      </c>
      <c r="EL4" s="0" t="str">
        <f aca="false">IF(Calendario!$K$21="","",IFERROR(VLOOKUP(Calendario!$K$21,Impostazioni!$A$25:$J$36,6,FALSE()),""))</f>
        <v/>
      </c>
      <c r="EM4" s="0" t="str">
        <f aca="false">IF(Calendario!$H$22="","",IFERROR(VLOOKUP(Calendario!$H$22,Impostazioni!$A$25:$J$36,6,FALSE()),""))</f>
        <v/>
      </c>
      <c r="EN4" s="0" t="str">
        <f aca="false">IF(Calendario!$I$22="","",IFERROR(VLOOKUP(Calendario!$I$22,Impostazioni!$A$25:$J$36,6,FALSE()),""))</f>
        <v/>
      </c>
      <c r="EO4" s="0" t="str">
        <f aca="false">IF(Calendario!$J$22="","",IFERROR(VLOOKUP(Calendario!$J$22,Impostazioni!$A$25:$J$36,6,FALSE()),""))</f>
        <v/>
      </c>
      <c r="EP4" s="0" t="str">
        <f aca="false">IF(Calendario!$K$22="","",IFERROR(VLOOKUP(Calendario!$K$22,Impostazioni!$A$25:$J$36,6,FALSE()),""))</f>
        <v/>
      </c>
      <c r="EQ4" s="0" t="str">
        <f aca="false">IF(Calendario!$H$23="","",IFERROR(VLOOKUP(Calendario!$H$23,Impostazioni!$A$25:$J$36,6,FALSE()),""))</f>
        <v/>
      </c>
      <c r="ER4" s="0" t="str">
        <f aca="false">IF(Calendario!$I$23="","",IFERROR(VLOOKUP(Calendario!$I$23,Impostazioni!$A$25:$J$36,6,FALSE()),""))</f>
        <v/>
      </c>
      <c r="ES4" s="0" t="str">
        <f aca="false">IF(Calendario!$J$23="","",IFERROR(VLOOKUP(Calendario!$J$23,Impostazioni!$A$25:$J$36,6,FALSE()),""))</f>
        <v/>
      </c>
      <c r="ET4" s="0" t="str">
        <f aca="false">IF(Calendario!$K$23="","",IFERROR(VLOOKUP(Calendario!$K$23,Impostazioni!$A$25:$J$36,6,FALSE()),""))</f>
        <v/>
      </c>
      <c r="EU4" s="0" t="str">
        <f aca="false">IF(Calendario!$H$24="","",IFERROR(VLOOKUP(Calendario!$H$24,Impostazioni!$A$25:$J$36,6,FALSE()),""))</f>
        <v/>
      </c>
      <c r="EV4" s="0" t="str">
        <f aca="false">IF(Calendario!$I$24="","",IFERROR(VLOOKUP(Calendario!$I$24,Impostazioni!$A$25:$J$36,6,FALSE()),""))</f>
        <v/>
      </c>
      <c r="EW4" s="0" t="str">
        <f aca="false">IF(Calendario!$J$24="","",IFERROR(VLOOKUP(Calendario!$J$24,Impostazioni!$A$25:$J$36,6,FALSE()),""))</f>
        <v/>
      </c>
      <c r="EX4" s="0" t="str">
        <f aca="false">IF(Calendario!$K$24="","",IFERROR(VLOOKUP(Calendario!$K$24,Impostazioni!$A$25:$J$36,6,FALSE()),""))</f>
        <v/>
      </c>
      <c r="EY4" s="0" t="str">
        <f aca="false">IF(Calendario!$H$25="","",IFERROR(VLOOKUP(Calendario!$H$25,Impostazioni!$A$25:$J$36,6,FALSE()),""))</f>
        <v/>
      </c>
      <c r="EZ4" s="0" t="str">
        <f aca="false">IF(Calendario!$I$25="","",IFERROR(VLOOKUP(Calendario!$I$25,Impostazioni!$A$25:$J$36,6,FALSE()),""))</f>
        <v/>
      </c>
      <c r="FA4" s="0" t="str">
        <f aca="false">IF(Calendario!$J$25="","",IFERROR(VLOOKUP(Calendario!$J$25,Impostazioni!$A$25:$J$36,6,FALSE()),""))</f>
        <v/>
      </c>
      <c r="FB4" s="0" t="str">
        <f aca="false">IF(Calendario!$K$25="","",IFERROR(VLOOKUP(Calendario!$K$25,Impostazioni!$A$25:$J$36,6,FALSE()),""))</f>
        <v/>
      </c>
      <c r="FC4" s="0" t="str">
        <f aca="false">IF(Calendario!$H$26="","",IFERROR(VLOOKUP(Calendario!$H$26,Impostazioni!$A$25:$J$36,6,FALSE()),""))</f>
        <v/>
      </c>
      <c r="FD4" s="0" t="str">
        <f aca="false">IF(Calendario!$I$26="","",IFERROR(VLOOKUP(Calendario!$I$26,Impostazioni!$A$25:$J$36,6,FALSE()),""))</f>
        <v/>
      </c>
      <c r="FE4" s="0" t="str">
        <f aca="false">IF(Calendario!$J$26="","",IFERROR(VLOOKUP(Calendario!$J$26,Impostazioni!$A$25:$J$36,6,FALSE()),""))</f>
        <v/>
      </c>
      <c r="FF4" s="0" t="str">
        <f aca="false">IF(Calendario!$K$26="","",IFERROR(VLOOKUP(Calendario!$K$26,Impostazioni!$A$25:$J$36,6,FALSE()),""))</f>
        <v/>
      </c>
    </row>
    <row r="5" customFormat="false" ht="15" hidden="false" customHeight="false" outlineLevel="0" collapsed="false">
      <c r="C5" s="0" t="n">
        <f aca="false">IF(Calendario!$F$7=2,Impostazioni!$B$11,Impostazioni!$B$10)</f>
        <v>1</v>
      </c>
      <c r="D5" s="0" t="n">
        <f aca="false">IF(Calendario!$F$7=2,Impostazioni!$B$11,Impostazioni!$B$10)</f>
        <v>1</v>
      </c>
      <c r="E5" s="0" t="n">
        <f aca="false">IF(Calendario!$F$7=2,Impostazioni!$B$11,Impostazioni!$B$10)</f>
        <v>1</v>
      </c>
      <c r="F5" s="0" t="n">
        <f aca="false">IF(Calendario!$F$7=2,Impostazioni!$B$11,Impostazioni!$B$10)</f>
        <v>1</v>
      </c>
      <c r="G5" s="0" t="n">
        <f aca="false">IF(Calendario!$F$8=2,Impostazioni!$B$11,Impostazioni!$B$10)</f>
        <v>1</v>
      </c>
      <c r="H5" s="0" t="n">
        <f aca="false">IF(Calendario!$F$8=2,Impostazioni!$B$11,Impostazioni!$B$10)</f>
        <v>1</v>
      </c>
      <c r="I5" s="0" t="n">
        <f aca="false">IF(Calendario!$F$8=2,Impostazioni!$B$11,Impostazioni!$B$10)</f>
        <v>1</v>
      </c>
      <c r="J5" s="0" t="n">
        <f aca="false">IF(Calendario!$F$8=2,Impostazioni!$B$11,Impostazioni!$B$10)</f>
        <v>1</v>
      </c>
      <c r="K5" s="0" t="n">
        <f aca="false">IF(Calendario!$F$9=2,Impostazioni!$B$11,Impostazioni!$B$10)</f>
        <v>1</v>
      </c>
      <c r="L5" s="0" t="n">
        <f aca="false">IF(Calendario!$F$9=2,Impostazioni!$B$11,Impostazioni!$B$10)</f>
        <v>1</v>
      </c>
      <c r="M5" s="0" t="n">
        <f aca="false">IF(Calendario!$F$9=2,Impostazioni!$B$11,Impostazioni!$B$10)</f>
        <v>1</v>
      </c>
      <c r="N5" s="0" t="n">
        <f aca="false">IF(Calendario!$F$9=2,Impostazioni!$B$11,Impostazioni!$B$10)</f>
        <v>1</v>
      </c>
      <c r="O5" s="0" t="n">
        <f aca="false">IF(Calendario!$F$10=2,Impostazioni!$B$11,Impostazioni!$B$10)</f>
        <v>1</v>
      </c>
      <c r="P5" s="0" t="n">
        <f aca="false">IF(Calendario!$F$10=2,Impostazioni!$B$11,Impostazioni!$B$10)</f>
        <v>1</v>
      </c>
      <c r="Q5" s="0" t="n">
        <f aca="false">IF(Calendario!$F$10=2,Impostazioni!$B$11,Impostazioni!$B$10)</f>
        <v>1</v>
      </c>
      <c r="R5" s="0" t="n">
        <f aca="false">IF(Calendario!$F$10=2,Impostazioni!$B$11,Impostazioni!$B$10)</f>
        <v>1</v>
      </c>
      <c r="S5" s="0" t="n">
        <f aca="false">IF(Calendario!$F$11=2,Impostazioni!$B$11,Impostazioni!$B$10)</f>
        <v>1</v>
      </c>
      <c r="T5" s="0" t="n">
        <f aca="false">IF(Calendario!$F$11=2,Impostazioni!$B$11,Impostazioni!$B$10)</f>
        <v>1</v>
      </c>
      <c r="U5" s="0" t="n">
        <f aca="false">IF(Calendario!$F$11=2,Impostazioni!$B$11,Impostazioni!$B$10)</f>
        <v>1</v>
      </c>
      <c r="V5" s="0" t="n">
        <f aca="false">IF(Calendario!$F$11=2,Impostazioni!$B$11,Impostazioni!$B$10)</f>
        <v>1</v>
      </c>
      <c r="W5" s="0" t="n">
        <f aca="false">IF(Calendario!$F$12=2,Impostazioni!$B$11,Impostazioni!$B$10)</f>
        <v>1</v>
      </c>
      <c r="X5" s="0" t="n">
        <f aca="false">IF(Calendario!$F$12=2,Impostazioni!$B$11,Impostazioni!$B$10)</f>
        <v>1</v>
      </c>
      <c r="Y5" s="0" t="n">
        <f aca="false">IF(Calendario!$F$12=2,Impostazioni!$B$11,Impostazioni!$B$10)</f>
        <v>1</v>
      </c>
      <c r="Z5" s="0" t="n">
        <f aca="false">IF(Calendario!$F$12=2,Impostazioni!$B$11,Impostazioni!$B$10)</f>
        <v>1</v>
      </c>
      <c r="AA5" s="0" t="n">
        <f aca="false">IF(Calendario!$F$13=2,Impostazioni!$B$11,Impostazioni!$B$10)</f>
        <v>1</v>
      </c>
      <c r="AB5" s="0" t="n">
        <f aca="false">IF(Calendario!$F$13=2,Impostazioni!$B$11,Impostazioni!$B$10)</f>
        <v>1</v>
      </c>
      <c r="AC5" s="0" t="n">
        <f aca="false">IF(Calendario!$F$13=2,Impostazioni!$B$11,Impostazioni!$B$10)</f>
        <v>1</v>
      </c>
      <c r="AD5" s="0" t="n">
        <f aca="false">IF(Calendario!$F$13=2,Impostazioni!$B$11,Impostazioni!$B$10)</f>
        <v>1</v>
      </c>
      <c r="AE5" s="0" t="n">
        <f aca="false">IF(Calendario!$F$14=2,Impostazioni!$B$11,Impostazioni!$B$10)</f>
        <v>1</v>
      </c>
      <c r="AF5" s="0" t="n">
        <f aca="false">IF(Calendario!$F$14=2,Impostazioni!$B$11,Impostazioni!$B$10)</f>
        <v>1</v>
      </c>
      <c r="AG5" s="0" t="n">
        <f aca="false">IF(Calendario!$F$14=2,Impostazioni!$B$11,Impostazioni!$B$10)</f>
        <v>1</v>
      </c>
      <c r="AH5" s="0" t="n">
        <f aca="false">IF(Calendario!$F$14=2,Impostazioni!$B$11,Impostazioni!$B$10)</f>
        <v>1</v>
      </c>
      <c r="AI5" s="0" t="n">
        <f aca="false">IF(Calendario!$F$15=2,Impostazioni!$B$11,Impostazioni!$B$10)</f>
        <v>1</v>
      </c>
      <c r="AJ5" s="0" t="n">
        <f aca="false">IF(Calendario!$F$15=2,Impostazioni!$B$11,Impostazioni!$B$10)</f>
        <v>1</v>
      </c>
      <c r="AK5" s="0" t="n">
        <f aca="false">IF(Calendario!$F$15=2,Impostazioni!$B$11,Impostazioni!$B$10)</f>
        <v>1</v>
      </c>
      <c r="AL5" s="0" t="n">
        <f aca="false">IF(Calendario!$F$15=2,Impostazioni!$B$11,Impostazioni!$B$10)</f>
        <v>1</v>
      </c>
      <c r="AM5" s="0" t="n">
        <f aca="false">IF(Calendario!$F$16=2,Impostazioni!$B$11,Impostazioni!$B$10)</f>
        <v>1</v>
      </c>
      <c r="AN5" s="0" t="n">
        <f aca="false">IF(Calendario!$F$16=2,Impostazioni!$B$11,Impostazioni!$B$10)</f>
        <v>1</v>
      </c>
      <c r="AO5" s="0" t="n">
        <f aca="false">IF(Calendario!$F$16=2,Impostazioni!$B$11,Impostazioni!$B$10)</f>
        <v>1</v>
      </c>
      <c r="AP5" s="0" t="n">
        <f aca="false">IF(Calendario!$F$16=2,Impostazioni!$B$11,Impostazioni!$B$10)</f>
        <v>1</v>
      </c>
      <c r="AQ5" s="0" t="n">
        <f aca="false">IF(Calendario!$F$17=2,Impostazioni!$B$11,Impostazioni!$B$10)</f>
        <v>1</v>
      </c>
      <c r="AR5" s="0" t="n">
        <f aca="false">IF(Calendario!$F$17=2,Impostazioni!$B$11,Impostazioni!$B$10)</f>
        <v>1</v>
      </c>
      <c r="AS5" s="0" t="n">
        <f aca="false">IF(Calendario!$F$17=2,Impostazioni!$B$11,Impostazioni!$B$10)</f>
        <v>1</v>
      </c>
      <c r="AT5" s="0" t="n">
        <f aca="false">IF(Calendario!$F$17=2,Impostazioni!$B$11,Impostazioni!$B$10)</f>
        <v>1</v>
      </c>
      <c r="AU5" s="0" t="n">
        <f aca="false">IF(Calendario!$F$18=2,Impostazioni!$B$11,Impostazioni!$B$10)</f>
        <v>1</v>
      </c>
      <c r="AV5" s="0" t="n">
        <f aca="false">IF(Calendario!$F$18=2,Impostazioni!$B$11,Impostazioni!$B$10)</f>
        <v>1</v>
      </c>
      <c r="AW5" s="0" t="n">
        <f aca="false">IF(Calendario!$F$18=2,Impostazioni!$B$11,Impostazioni!$B$10)</f>
        <v>1</v>
      </c>
      <c r="AX5" s="0" t="n">
        <f aca="false">IF(Calendario!$F$18=2,Impostazioni!$B$11,Impostazioni!$B$10)</f>
        <v>1</v>
      </c>
      <c r="AY5" s="0" t="n">
        <f aca="false">IF(Calendario!$F$19=2,Impostazioni!$B$11,Impostazioni!$B$10)</f>
        <v>1</v>
      </c>
      <c r="AZ5" s="0" t="n">
        <f aca="false">IF(Calendario!$F$19=2,Impostazioni!$B$11,Impostazioni!$B$10)</f>
        <v>1</v>
      </c>
      <c r="BA5" s="0" t="n">
        <f aca="false">IF(Calendario!$F$19=2,Impostazioni!$B$11,Impostazioni!$B$10)</f>
        <v>1</v>
      </c>
      <c r="BB5" s="0" t="n">
        <f aca="false">IF(Calendario!$F$19=2,Impostazioni!$B$11,Impostazioni!$B$10)</f>
        <v>1</v>
      </c>
      <c r="BC5" s="0" t="n">
        <f aca="false">IF(Calendario!$F$20=2,Impostazioni!$B$11,Impostazioni!$B$10)</f>
        <v>1</v>
      </c>
      <c r="BD5" s="0" t="n">
        <f aca="false">IF(Calendario!$F$20=2,Impostazioni!$B$11,Impostazioni!$B$10)</f>
        <v>1</v>
      </c>
      <c r="BE5" s="0" t="n">
        <f aca="false">IF(Calendario!$F$20=2,Impostazioni!$B$11,Impostazioni!$B$10)</f>
        <v>1</v>
      </c>
      <c r="BF5" s="0" t="n">
        <f aca="false">IF(Calendario!$F$20=2,Impostazioni!$B$11,Impostazioni!$B$10)</f>
        <v>1</v>
      </c>
      <c r="BG5" s="0" t="n">
        <f aca="false">IF(Calendario!$F$21=2,Impostazioni!$B$11,Impostazioni!$B$10)</f>
        <v>1</v>
      </c>
      <c r="BH5" s="0" t="n">
        <f aca="false">IF(Calendario!$F$21=2,Impostazioni!$B$11,Impostazioni!$B$10)</f>
        <v>1</v>
      </c>
      <c r="BI5" s="0" t="n">
        <f aca="false">IF(Calendario!$F$21=2,Impostazioni!$B$11,Impostazioni!$B$10)</f>
        <v>1</v>
      </c>
      <c r="BJ5" s="0" t="n">
        <f aca="false">IF(Calendario!$F$21=2,Impostazioni!$B$11,Impostazioni!$B$10)</f>
        <v>1</v>
      </c>
      <c r="BK5" s="0" t="n">
        <f aca="false">IF(Calendario!$F$22=2,Impostazioni!$B$11,Impostazioni!$B$10)</f>
        <v>1</v>
      </c>
      <c r="BL5" s="0" t="n">
        <f aca="false">IF(Calendario!$F$22=2,Impostazioni!$B$11,Impostazioni!$B$10)</f>
        <v>1</v>
      </c>
      <c r="BM5" s="0" t="n">
        <f aca="false">IF(Calendario!$F$22=2,Impostazioni!$B$11,Impostazioni!$B$10)</f>
        <v>1</v>
      </c>
      <c r="BN5" s="0" t="n">
        <f aca="false">IF(Calendario!$F$22=2,Impostazioni!$B$11,Impostazioni!$B$10)</f>
        <v>1</v>
      </c>
      <c r="BO5" s="0" t="n">
        <f aca="false">IF(Calendario!$F$23=2,Impostazioni!$B$11,Impostazioni!$B$10)</f>
        <v>1</v>
      </c>
      <c r="BP5" s="0" t="n">
        <f aca="false">IF(Calendario!$F$23=2,Impostazioni!$B$11,Impostazioni!$B$10)</f>
        <v>1</v>
      </c>
      <c r="BQ5" s="0" t="n">
        <f aca="false">IF(Calendario!$F$23=2,Impostazioni!$B$11,Impostazioni!$B$10)</f>
        <v>1</v>
      </c>
      <c r="BR5" s="0" t="n">
        <f aca="false">IF(Calendario!$F$23=2,Impostazioni!$B$11,Impostazioni!$B$10)</f>
        <v>1</v>
      </c>
      <c r="BS5" s="0" t="n">
        <f aca="false">IF(Calendario!$F$24=2,Impostazioni!$B$11,Impostazioni!$B$10)</f>
        <v>1</v>
      </c>
      <c r="BT5" s="0" t="n">
        <f aca="false">IF(Calendario!$F$24=2,Impostazioni!$B$11,Impostazioni!$B$10)</f>
        <v>1</v>
      </c>
      <c r="BU5" s="0" t="n">
        <f aca="false">IF(Calendario!$F$24=2,Impostazioni!$B$11,Impostazioni!$B$10)</f>
        <v>1</v>
      </c>
      <c r="BV5" s="0" t="n">
        <f aca="false">IF(Calendario!$F$24=2,Impostazioni!$B$11,Impostazioni!$B$10)</f>
        <v>1</v>
      </c>
      <c r="BW5" s="0" t="n">
        <f aca="false">IF(Calendario!$F$25=2,Impostazioni!$B$11,Impostazioni!$B$10)</f>
        <v>1</v>
      </c>
      <c r="BX5" s="0" t="n">
        <f aca="false">IF(Calendario!$F$25=2,Impostazioni!$B$11,Impostazioni!$B$10)</f>
        <v>1</v>
      </c>
      <c r="BY5" s="0" t="n">
        <f aca="false">IF(Calendario!$F$25=2,Impostazioni!$B$11,Impostazioni!$B$10)</f>
        <v>1</v>
      </c>
      <c r="BZ5" s="0" t="n">
        <f aca="false">IF(Calendario!$F$25=2,Impostazioni!$B$11,Impostazioni!$B$10)</f>
        <v>1</v>
      </c>
      <c r="CA5" s="0" t="n">
        <f aca="false">IF(Calendario!$F$26=2,Impostazioni!$B$11,Impostazioni!$B$10)</f>
        <v>1</v>
      </c>
      <c r="CB5" s="0" t="n">
        <f aca="false">IF(Calendario!$F$26=2,Impostazioni!$B$11,Impostazioni!$B$10)</f>
        <v>1</v>
      </c>
      <c r="CC5" s="0" t="n">
        <f aca="false">IF(Calendario!$F$26=2,Impostazioni!$B$11,Impostazioni!$B$10)</f>
        <v>1</v>
      </c>
      <c r="CD5" s="0" t="n">
        <f aca="false">IF(Calendario!$F$26=2,Impostazioni!$B$11,Impostazioni!$B$10)</f>
        <v>1</v>
      </c>
      <c r="CE5" s="0" t="n">
        <f aca="false">IF(Calendario!$F$7=2,Impostazioni!$B$11,Impostazioni!$B$10)</f>
        <v>1</v>
      </c>
      <c r="CF5" s="0" t="n">
        <f aca="false">IF(Calendario!$F$7=2,Impostazioni!$B$11,Impostazioni!$B$10)</f>
        <v>1</v>
      </c>
      <c r="CG5" s="0" t="n">
        <f aca="false">IF(Calendario!$F$7=2,Impostazioni!$B$11,Impostazioni!$B$10)</f>
        <v>1</v>
      </c>
      <c r="CH5" s="0" t="n">
        <f aca="false">IF(Calendario!$F$7=2,Impostazioni!$B$11,Impostazioni!$B$10)</f>
        <v>1</v>
      </c>
      <c r="CI5" s="0" t="n">
        <f aca="false">IF(Calendario!$F$8=2,Impostazioni!$B$11,Impostazioni!$B$10)</f>
        <v>1</v>
      </c>
      <c r="CJ5" s="0" t="n">
        <f aca="false">IF(Calendario!$F$8=2,Impostazioni!$B$11,Impostazioni!$B$10)</f>
        <v>1</v>
      </c>
      <c r="CK5" s="0" t="n">
        <f aca="false">IF(Calendario!$F$8=2,Impostazioni!$B$11,Impostazioni!$B$10)</f>
        <v>1</v>
      </c>
      <c r="CL5" s="0" t="n">
        <f aca="false">IF(Calendario!$F$8=2,Impostazioni!$B$11,Impostazioni!$B$10)</f>
        <v>1</v>
      </c>
      <c r="CM5" s="0" t="n">
        <f aca="false">IF(Calendario!$F$9=2,Impostazioni!$B$11,Impostazioni!$B$10)</f>
        <v>1</v>
      </c>
      <c r="CN5" s="0" t="n">
        <f aca="false">IF(Calendario!$F$9=2,Impostazioni!$B$11,Impostazioni!$B$10)</f>
        <v>1</v>
      </c>
      <c r="CO5" s="0" t="n">
        <f aca="false">IF(Calendario!$F$9=2,Impostazioni!$B$11,Impostazioni!$B$10)</f>
        <v>1</v>
      </c>
      <c r="CP5" s="0" t="n">
        <f aca="false">IF(Calendario!$F$9=2,Impostazioni!$B$11,Impostazioni!$B$10)</f>
        <v>1</v>
      </c>
      <c r="CQ5" s="0" t="n">
        <f aca="false">IF(Calendario!$F$10=2,Impostazioni!$B$11,Impostazioni!$B$10)</f>
        <v>1</v>
      </c>
      <c r="CR5" s="0" t="n">
        <f aca="false">IF(Calendario!$F$10=2,Impostazioni!$B$11,Impostazioni!$B$10)</f>
        <v>1</v>
      </c>
      <c r="CS5" s="0" t="n">
        <f aca="false">IF(Calendario!$F$10=2,Impostazioni!$B$11,Impostazioni!$B$10)</f>
        <v>1</v>
      </c>
      <c r="CT5" s="0" t="n">
        <f aca="false">IF(Calendario!$F$10=2,Impostazioni!$B$11,Impostazioni!$B$10)</f>
        <v>1</v>
      </c>
      <c r="CU5" s="0" t="n">
        <f aca="false">IF(Calendario!$F$11=2,Impostazioni!$B$11,Impostazioni!$B$10)</f>
        <v>1</v>
      </c>
      <c r="CV5" s="0" t="n">
        <f aca="false">IF(Calendario!$F$11=2,Impostazioni!$B$11,Impostazioni!$B$10)</f>
        <v>1</v>
      </c>
      <c r="CW5" s="0" t="n">
        <f aca="false">IF(Calendario!$F$11=2,Impostazioni!$B$11,Impostazioni!$B$10)</f>
        <v>1</v>
      </c>
      <c r="CX5" s="0" t="n">
        <f aca="false">IF(Calendario!$F$11=2,Impostazioni!$B$11,Impostazioni!$B$10)</f>
        <v>1</v>
      </c>
      <c r="CY5" s="0" t="n">
        <f aca="false">IF(Calendario!$F$12=2,Impostazioni!$B$11,Impostazioni!$B$10)</f>
        <v>1</v>
      </c>
      <c r="CZ5" s="0" t="n">
        <f aca="false">IF(Calendario!$F$12=2,Impostazioni!$B$11,Impostazioni!$B$10)</f>
        <v>1</v>
      </c>
      <c r="DA5" s="0" t="n">
        <f aca="false">IF(Calendario!$F$12=2,Impostazioni!$B$11,Impostazioni!$B$10)</f>
        <v>1</v>
      </c>
      <c r="DB5" s="0" t="n">
        <f aca="false">IF(Calendario!$F$12=2,Impostazioni!$B$11,Impostazioni!$B$10)</f>
        <v>1</v>
      </c>
      <c r="DC5" s="0" t="n">
        <f aca="false">IF(Calendario!$F$13=2,Impostazioni!$B$11,Impostazioni!$B$10)</f>
        <v>1</v>
      </c>
      <c r="DD5" s="0" t="n">
        <f aca="false">IF(Calendario!$F$13=2,Impostazioni!$B$11,Impostazioni!$B$10)</f>
        <v>1</v>
      </c>
      <c r="DE5" s="0" t="n">
        <f aca="false">IF(Calendario!$F$13=2,Impostazioni!$B$11,Impostazioni!$B$10)</f>
        <v>1</v>
      </c>
      <c r="DF5" s="0" t="n">
        <f aca="false">IF(Calendario!$F$13=2,Impostazioni!$B$11,Impostazioni!$B$10)</f>
        <v>1</v>
      </c>
      <c r="DG5" s="0" t="n">
        <f aca="false">IF(Calendario!$F$14=2,Impostazioni!$B$11,Impostazioni!$B$10)</f>
        <v>1</v>
      </c>
      <c r="DH5" s="0" t="n">
        <f aca="false">IF(Calendario!$F$14=2,Impostazioni!$B$11,Impostazioni!$B$10)</f>
        <v>1</v>
      </c>
      <c r="DI5" s="0" t="n">
        <f aca="false">IF(Calendario!$F$14=2,Impostazioni!$B$11,Impostazioni!$B$10)</f>
        <v>1</v>
      </c>
      <c r="DJ5" s="0" t="n">
        <f aca="false">IF(Calendario!$F$14=2,Impostazioni!$B$11,Impostazioni!$B$10)</f>
        <v>1</v>
      </c>
      <c r="DK5" s="0" t="n">
        <f aca="false">IF(Calendario!$F$15=2,Impostazioni!$B$11,Impostazioni!$B$10)</f>
        <v>1</v>
      </c>
      <c r="DL5" s="0" t="n">
        <f aca="false">IF(Calendario!$F$15=2,Impostazioni!$B$11,Impostazioni!$B$10)</f>
        <v>1</v>
      </c>
      <c r="DM5" s="0" t="n">
        <f aca="false">IF(Calendario!$F$15=2,Impostazioni!$B$11,Impostazioni!$B$10)</f>
        <v>1</v>
      </c>
      <c r="DN5" s="0" t="n">
        <f aca="false">IF(Calendario!$F$15=2,Impostazioni!$B$11,Impostazioni!$B$10)</f>
        <v>1</v>
      </c>
      <c r="DO5" s="0" t="n">
        <f aca="false">IF(Calendario!$F$16=2,Impostazioni!$B$11,Impostazioni!$B$10)</f>
        <v>1</v>
      </c>
      <c r="DP5" s="0" t="n">
        <f aca="false">IF(Calendario!$F$16=2,Impostazioni!$B$11,Impostazioni!$B$10)</f>
        <v>1</v>
      </c>
      <c r="DQ5" s="0" t="n">
        <f aca="false">IF(Calendario!$F$16=2,Impostazioni!$B$11,Impostazioni!$B$10)</f>
        <v>1</v>
      </c>
      <c r="DR5" s="0" t="n">
        <f aca="false">IF(Calendario!$F$16=2,Impostazioni!$B$11,Impostazioni!$B$10)</f>
        <v>1</v>
      </c>
      <c r="DS5" s="0" t="n">
        <f aca="false">IF(Calendario!$F$17=2,Impostazioni!$B$11,Impostazioni!$B$10)</f>
        <v>1</v>
      </c>
      <c r="DT5" s="0" t="n">
        <f aca="false">IF(Calendario!$F$17=2,Impostazioni!$B$11,Impostazioni!$B$10)</f>
        <v>1</v>
      </c>
      <c r="DU5" s="0" t="n">
        <f aca="false">IF(Calendario!$F$17=2,Impostazioni!$B$11,Impostazioni!$B$10)</f>
        <v>1</v>
      </c>
      <c r="DV5" s="0" t="n">
        <f aca="false">IF(Calendario!$F$17=2,Impostazioni!$B$11,Impostazioni!$B$10)</f>
        <v>1</v>
      </c>
      <c r="DW5" s="0" t="n">
        <f aca="false">IF(Calendario!$F$18=2,Impostazioni!$B$11,Impostazioni!$B$10)</f>
        <v>1</v>
      </c>
      <c r="DX5" s="0" t="n">
        <f aca="false">IF(Calendario!$F$18=2,Impostazioni!$B$11,Impostazioni!$B$10)</f>
        <v>1</v>
      </c>
      <c r="DY5" s="0" t="n">
        <f aca="false">IF(Calendario!$F$18=2,Impostazioni!$B$11,Impostazioni!$B$10)</f>
        <v>1</v>
      </c>
      <c r="DZ5" s="0" t="n">
        <f aca="false">IF(Calendario!$F$18=2,Impostazioni!$B$11,Impostazioni!$B$10)</f>
        <v>1</v>
      </c>
      <c r="EA5" s="0" t="n">
        <f aca="false">IF(Calendario!$F$19=2,Impostazioni!$B$11,Impostazioni!$B$10)</f>
        <v>1</v>
      </c>
      <c r="EB5" s="0" t="n">
        <f aca="false">IF(Calendario!$F$19=2,Impostazioni!$B$11,Impostazioni!$B$10)</f>
        <v>1</v>
      </c>
      <c r="EC5" s="0" t="n">
        <f aca="false">IF(Calendario!$F$19=2,Impostazioni!$B$11,Impostazioni!$B$10)</f>
        <v>1</v>
      </c>
      <c r="ED5" s="0" t="n">
        <f aca="false">IF(Calendario!$F$19=2,Impostazioni!$B$11,Impostazioni!$B$10)</f>
        <v>1</v>
      </c>
      <c r="EE5" s="0" t="n">
        <f aca="false">IF(Calendario!$F$20=2,Impostazioni!$B$11,Impostazioni!$B$10)</f>
        <v>1</v>
      </c>
      <c r="EF5" s="0" t="n">
        <f aca="false">IF(Calendario!$F$20=2,Impostazioni!$B$11,Impostazioni!$B$10)</f>
        <v>1</v>
      </c>
      <c r="EG5" s="0" t="n">
        <f aca="false">IF(Calendario!$F$20=2,Impostazioni!$B$11,Impostazioni!$B$10)</f>
        <v>1</v>
      </c>
      <c r="EH5" s="0" t="n">
        <f aca="false">IF(Calendario!$F$20=2,Impostazioni!$B$11,Impostazioni!$B$10)</f>
        <v>1</v>
      </c>
      <c r="EI5" s="0" t="n">
        <f aca="false">IF(Calendario!$F$21=2,Impostazioni!$B$11,Impostazioni!$B$10)</f>
        <v>1</v>
      </c>
      <c r="EJ5" s="0" t="n">
        <f aca="false">IF(Calendario!$F$21=2,Impostazioni!$B$11,Impostazioni!$B$10)</f>
        <v>1</v>
      </c>
      <c r="EK5" s="0" t="n">
        <f aca="false">IF(Calendario!$F$21=2,Impostazioni!$B$11,Impostazioni!$B$10)</f>
        <v>1</v>
      </c>
      <c r="EL5" s="0" t="n">
        <f aca="false">IF(Calendario!$F$21=2,Impostazioni!$B$11,Impostazioni!$B$10)</f>
        <v>1</v>
      </c>
      <c r="EM5" s="0" t="n">
        <f aca="false">IF(Calendario!$F$22=2,Impostazioni!$B$11,Impostazioni!$B$10)</f>
        <v>1</v>
      </c>
      <c r="EN5" s="0" t="n">
        <f aca="false">IF(Calendario!$F$22=2,Impostazioni!$B$11,Impostazioni!$B$10)</f>
        <v>1</v>
      </c>
      <c r="EO5" s="0" t="n">
        <f aca="false">IF(Calendario!$F$22=2,Impostazioni!$B$11,Impostazioni!$B$10)</f>
        <v>1</v>
      </c>
      <c r="EP5" s="0" t="n">
        <f aca="false">IF(Calendario!$F$22=2,Impostazioni!$B$11,Impostazioni!$B$10)</f>
        <v>1</v>
      </c>
      <c r="EQ5" s="0" t="n">
        <f aca="false">IF(Calendario!$F$23=2,Impostazioni!$B$11,Impostazioni!$B$10)</f>
        <v>1</v>
      </c>
      <c r="ER5" s="0" t="n">
        <f aca="false">IF(Calendario!$F$23=2,Impostazioni!$B$11,Impostazioni!$B$10)</f>
        <v>1</v>
      </c>
      <c r="ES5" s="0" t="n">
        <f aca="false">IF(Calendario!$F$23=2,Impostazioni!$B$11,Impostazioni!$B$10)</f>
        <v>1</v>
      </c>
      <c r="ET5" s="0" t="n">
        <f aca="false">IF(Calendario!$F$23=2,Impostazioni!$B$11,Impostazioni!$B$10)</f>
        <v>1</v>
      </c>
      <c r="EU5" s="0" t="n">
        <f aca="false">IF(Calendario!$F$24=2,Impostazioni!$B$11,Impostazioni!$B$10)</f>
        <v>1</v>
      </c>
      <c r="EV5" s="0" t="n">
        <f aca="false">IF(Calendario!$F$24=2,Impostazioni!$B$11,Impostazioni!$B$10)</f>
        <v>1</v>
      </c>
      <c r="EW5" s="0" t="n">
        <f aca="false">IF(Calendario!$F$24=2,Impostazioni!$B$11,Impostazioni!$B$10)</f>
        <v>1</v>
      </c>
      <c r="EX5" s="0" t="n">
        <f aca="false">IF(Calendario!$F$24=2,Impostazioni!$B$11,Impostazioni!$B$10)</f>
        <v>1</v>
      </c>
      <c r="EY5" s="0" t="n">
        <f aca="false">IF(Calendario!$F$25=2,Impostazioni!$B$11,Impostazioni!$B$10)</f>
        <v>1</v>
      </c>
      <c r="EZ5" s="0" t="n">
        <f aca="false">IF(Calendario!$F$25=2,Impostazioni!$B$11,Impostazioni!$B$10)</f>
        <v>1</v>
      </c>
      <c r="FA5" s="0" t="n">
        <f aca="false">IF(Calendario!$F$25=2,Impostazioni!$B$11,Impostazioni!$B$10)</f>
        <v>1</v>
      </c>
      <c r="FB5" s="0" t="n">
        <f aca="false">IF(Calendario!$F$25=2,Impostazioni!$B$11,Impostazioni!$B$10)</f>
        <v>1</v>
      </c>
      <c r="FC5" s="0" t="n">
        <f aca="false">IF(Calendario!$F$26=2,Impostazioni!$B$11,Impostazioni!$B$10)</f>
        <v>1</v>
      </c>
      <c r="FD5" s="0" t="n">
        <f aca="false">IF(Calendario!$F$26=2,Impostazioni!$B$11,Impostazioni!$B$10)</f>
        <v>1</v>
      </c>
      <c r="FE5" s="0" t="n">
        <f aca="false">IF(Calendario!$F$26=2,Impostazioni!$B$11,Impostazioni!$B$10)</f>
        <v>1</v>
      </c>
      <c r="FF5" s="0" t="n">
        <f aca="false">IF(Calendario!$F$26=2,Impostazioni!$B$11,Impostazioni!$B$10)</f>
        <v>1</v>
      </c>
    </row>
    <row r="6" customFormat="false" ht="15" hidden="false" customHeight="false" outlineLevel="0" collapsed="false">
      <c r="C6" s="0" t="s">
        <v>34</v>
      </c>
      <c r="D6" s="0" t="s">
        <v>34</v>
      </c>
      <c r="E6" s="0" t="s">
        <v>34</v>
      </c>
      <c r="F6" s="0" t="s">
        <v>34</v>
      </c>
      <c r="G6" s="0" t="s">
        <v>34</v>
      </c>
      <c r="H6" s="0" t="s">
        <v>34</v>
      </c>
      <c r="I6" s="0" t="s">
        <v>34</v>
      </c>
      <c r="J6" s="0" t="s">
        <v>34</v>
      </c>
      <c r="K6" s="0" t="s">
        <v>34</v>
      </c>
      <c r="L6" s="0" t="s">
        <v>34</v>
      </c>
      <c r="M6" s="0" t="s">
        <v>34</v>
      </c>
      <c r="N6" s="0" t="s">
        <v>34</v>
      </c>
      <c r="O6" s="0" t="s">
        <v>34</v>
      </c>
      <c r="P6" s="0" t="s">
        <v>34</v>
      </c>
      <c r="Q6" s="0" t="s">
        <v>34</v>
      </c>
      <c r="R6" s="0" t="s">
        <v>34</v>
      </c>
      <c r="S6" s="0" t="s">
        <v>34</v>
      </c>
      <c r="T6" s="0" t="s">
        <v>34</v>
      </c>
      <c r="U6" s="0" t="s">
        <v>34</v>
      </c>
      <c r="V6" s="0" t="s">
        <v>34</v>
      </c>
      <c r="W6" s="0" t="s">
        <v>34</v>
      </c>
      <c r="X6" s="0" t="s">
        <v>34</v>
      </c>
      <c r="Y6" s="0" t="s">
        <v>34</v>
      </c>
      <c r="Z6" s="0" t="s">
        <v>34</v>
      </c>
      <c r="AA6" s="0" t="s">
        <v>34</v>
      </c>
      <c r="AB6" s="0" t="s">
        <v>34</v>
      </c>
      <c r="AC6" s="0" t="s">
        <v>34</v>
      </c>
      <c r="AD6" s="0" t="s">
        <v>34</v>
      </c>
      <c r="AE6" s="0" t="s">
        <v>34</v>
      </c>
      <c r="AF6" s="0" t="s">
        <v>34</v>
      </c>
      <c r="AG6" s="0" t="s">
        <v>34</v>
      </c>
      <c r="AH6" s="0" t="s">
        <v>34</v>
      </c>
      <c r="AI6" s="0" t="s">
        <v>34</v>
      </c>
      <c r="AJ6" s="0" t="s">
        <v>34</v>
      </c>
      <c r="AK6" s="0" t="s">
        <v>34</v>
      </c>
      <c r="AL6" s="0" t="s">
        <v>34</v>
      </c>
      <c r="AM6" s="0" t="s">
        <v>34</v>
      </c>
      <c r="AN6" s="0" t="s">
        <v>34</v>
      </c>
      <c r="AO6" s="0" t="s">
        <v>34</v>
      </c>
      <c r="AP6" s="0" t="s">
        <v>34</v>
      </c>
      <c r="AQ6" s="0" t="s">
        <v>52</v>
      </c>
      <c r="AR6" s="0" t="s">
        <v>52</v>
      </c>
      <c r="AS6" s="0" t="s">
        <v>52</v>
      </c>
      <c r="AT6" s="0" t="s">
        <v>52</v>
      </c>
      <c r="AU6" s="0" t="s">
        <v>52</v>
      </c>
      <c r="AV6" s="0" t="s">
        <v>52</v>
      </c>
      <c r="AW6" s="0" t="s">
        <v>52</v>
      </c>
      <c r="AX6" s="0" t="s">
        <v>52</v>
      </c>
      <c r="AY6" s="0" t="s">
        <v>52</v>
      </c>
      <c r="AZ6" s="0" t="s">
        <v>52</v>
      </c>
      <c r="BA6" s="0" t="s">
        <v>52</v>
      </c>
      <c r="BB6" s="0" t="s">
        <v>52</v>
      </c>
      <c r="BC6" s="0" t="s">
        <v>52</v>
      </c>
      <c r="BD6" s="0" t="s">
        <v>52</v>
      </c>
      <c r="BE6" s="0" t="s">
        <v>52</v>
      </c>
      <c r="BF6" s="0" t="s">
        <v>52</v>
      </c>
      <c r="BG6" s="0" t="s">
        <v>52</v>
      </c>
      <c r="BH6" s="0" t="s">
        <v>52</v>
      </c>
      <c r="BI6" s="0" t="s">
        <v>52</v>
      </c>
      <c r="BJ6" s="0" t="s">
        <v>52</v>
      </c>
      <c r="BK6" s="0" t="s">
        <v>52</v>
      </c>
      <c r="BL6" s="0" t="s">
        <v>52</v>
      </c>
      <c r="BM6" s="0" t="s">
        <v>52</v>
      </c>
      <c r="BN6" s="0" t="s">
        <v>52</v>
      </c>
      <c r="BO6" s="0" t="s">
        <v>52</v>
      </c>
      <c r="BP6" s="0" t="s">
        <v>52</v>
      </c>
      <c r="BQ6" s="0" t="s">
        <v>52</v>
      </c>
      <c r="BR6" s="0" t="s">
        <v>52</v>
      </c>
      <c r="BS6" s="0" t="s">
        <v>52</v>
      </c>
      <c r="BT6" s="0" t="s">
        <v>52</v>
      </c>
      <c r="BU6" s="0" t="s">
        <v>52</v>
      </c>
      <c r="BV6" s="0" t="s">
        <v>52</v>
      </c>
      <c r="BW6" s="0" t="s">
        <v>52</v>
      </c>
      <c r="BX6" s="0" t="s">
        <v>52</v>
      </c>
      <c r="BY6" s="0" t="s">
        <v>52</v>
      </c>
      <c r="BZ6" s="0" t="s">
        <v>52</v>
      </c>
      <c r="CA6" s="0" t="s">
        <v>52</v>
      </c>
      <c r="CB6" s="0" t="s">
        <v>52</v>
      </c>
      <c r="CC6" s="0" t="s">
        <v>52</v>
      </c>
      <c r="CD6" s="0" t="s">
        <v>52</v>
      </c>
      <c r="CE6" s="0" t="s">
        <v>34</v>
      </c>
      <c r="CF6" s="0" t="s">
        <v>34</v>
      </c>
      <c r="CG6" s="0" t="s">
        <v>34</v>
      </c>
      <c r="CH6" s="0" t="s">
        <v>34</v>
      </c>
      <c r="CI6" s="0" t="s">
        <v>34</v>
      </c>
      <c r="CJ6" s="0" t="s">
        <v>34</v>
      </c>
      <c r="CK6" s="0" t="s">
        <v>34</v>
      </c>
      <c r="CL6" s="0" t="s">
        <v>34</v>
      </c>
      <c r="CM6" s="0" t="s">
        <v>34</v>
      </c>
      <c r="CN6" s="0" t="s">
        <v>34</v>
      </c>
      <c r="CO6" s="0" t="s">
        <v>34</v>
      </c>
      <c r="CP6" s="0" t="s">
        <v>34</v>
      </c>
      <c r="CQ6" s="0" t="s">
        <v>34</v>
      </c>
      <c r="CR6" s="0" t="s">
        <v>34</v>
      </c>
      <c r="CS6" s="0" t="s">
        <v>34</v>
      </c>
      <c r="CT6" s="0" t="s">
        <v>34</v>
      </c>
      <c r="CU6" s="0" t="s">
        <v>34</v>
      </c>
      <c r="CV6" s="0" t="s">
        <v>34</v>
      </c>
      <c r="CW6" s="0" t="s">
        <v>34</v>
      </c>
      <c r="CX6" s="0" t="s">
        <v>34</v>
      </c>
      <c r="CY6" s="0" t="s">
        <v>34</v>
      </c>
      <c r="CZ6" s="0" t="s">
        <v>34</v>
      </c>
      <c r="DA6" s="0" t="s">
        <v>34</v>
      </c>
      <c r="DB6" s="0" t="s">
        <v>34</v>
      </c>
      <c r="DC6" s="0" t="s">
        <v>34</v>
      </c>
      <c r="DD6" s="0" t="s">
        <v>34</v>
      </c>
      <c r="DE6" s="0" t="s">
        <v>34</v>
      </c>
      <c r="DF6" s="0" t="s">
        <v>34</v>
      </c>
      <c r="DG6" s="0" t="s">
        <v>34</v>
      </c>
      <c r="DH6" s="0" t="s">
        <v>34</v>
      </c>
      <c r="DI6" s="0" t="s">
        <v>34</v>
      </c>
      <c r="DJ6" s="0" t="s">
        <v>34</v>
      </c>
      <c r="DK6" s="0" t="s">
        <v>34</v>
      </c>
      <c r="DL6" s="0" t="s">
        <v>34</v>
      </c>
      <c r="DM6" s="0" t="s">
        <v>34</v>
      </c>
      <c r="DN6" s="0" t="s">
        <v>34</v>
      </c>
      <c r="DO6" s="0" t="s">
        <v>34</v>
      </c>
      <c r="DP6" s="0" t="s">
        <v>34</v>
      </c>
      <c r="DQ6" s="0" t="s">
        <v>34</v>
      </c>
      <c r="DR6" s="0" t="s">
        <v>34</v>
      </c>
      <c r="DS6" s="0" t="s">
        <v>52</v>
      </c>
      <c r="DT6" s="0" t="s">
        <v>52</v>
      </c>
      <c r="DU6" s="0" t="s">
        <v>52</v>
      </c>
      <c r="DV6" s="0" t="s">
        <v>52</v>
      </c>
      <c r="DW6" s="0" t="s">
        <v>52</v>
      </c>
      <c r="DX6" s="0" t="s">
        <v>52</v>
      </c>
      <c r="DY6" s="0" t="s">
        <v>52</v>
      </c>
      <c r="DZ6" s="0" t="s">
        <v>52</v>
      </c>
      <c r="EA6" s="0" t="s">
        <v>52</v>
      </c>
      <c r="EB6" s="0" t="s">
        <v>52</v>
      </c>
      <c r="EC6" s="0" t="s">
        <v>52</v>
      </c>
      <c r="ED6" s="0" t="s">
        <v>52</v>
      </c>
      <c r="EE6" s="0" t="s">
        <v>52</v>
      </c>
      <c r="EF6" s="0" t="s">
        <v>52</v>
      </c>
      <c r="EG6" s="0" t="s">
        <v>52</v>
      </c>
      <c r="EH6" s="0" t="s">
        <v>52</v>
      </c>
      <c r="EI6" s="0" t="s">
        <v>52</v>
      </c>
      <c r="EJ6" s="0" t="s">
        <v>52</v>
      </c>
      <c r="EK6" s="0" t="s">
        <v>52</v>
      </c>
      <c r="EL6" s="0" t="s">
        <v>52</v>
      </c>
      <c r="EM6" s="0" t="s">
        <v>52</v>
      </c>
      <c r="EN6" s="0" t="s">
        <v>52</v>
      </c>
      <c r="EO6" s="0" t="s">
        <v>52</v>
      </c>
      <c r="EP6" s="0" t="s">
        <v>52</v>
      </c>
      <c r="EQ6" s="0" t="s">
        <v>52</v>
      </c>
      <c r="ER6" s="0" t="s">
        <v>52</v>
      </c>
      <c r="ES6" s="0" t="s">
        <v>52</v>
      </c>
      <c r="ET6" s="0" t="s">
        <v>52</v>
      </c>
      <c r="EU6" s="0" t="s">
        <v>52</v>
      </c>
      <c r="EV6" s="0" t="s">
        <v>52</v>
      </c>
      <c r="EW6" s="0" t="s">
        <v>52</v>
      </c>
      <c r="EX6" s="0" t="s">
        <v>52</v>
      </c>
      <c r="EY6" s="0" t="s">
        <v>52</v>
      </c>
      <c r="EZ6" s="0" t="s">
        <v>52</v>
      </c>
      <c r="FA6" s="0" t="s">
        <v>52</v>
      </c>
      <c r="FB6" s="0" t="s">
        <v>52</v>
      </c>
      <c r="FC6" s="0" t="s">
        <v>52</v>
      </c>
      <c r="FD6" s="0" t="s">
        <v>52</v>
      </c>
      <c r="FE6" s="0" t="s">
        <v>52</v>
      </c>
      <c r="FF6" s="0" t="s">
        <v>52</v>
      </c>
      <c r="FG6" s="0" t="s">
        <v>695</v>
      </c>
      <c r="FH6" s="0" t="s">
        <v>696</v>
      </c>
      <c r="FI6" s="0" t="s">
        <v>697</v>
      </c>
      <c r="FJ6" s="0" t="s">
        <v>698</v>
      </c>
      <c r="FK6" s="0" t="s">
        <v>699</v>
      </c>
      <c r="FL6" s="0" t="s">
        <v>700</v>
      </c>
      <c r="FM6" s="0" t="s">
        <v>701</v>
      </c>
      <c r="FN6" s="0" t="s">
        <v>702</v>
      </c>
      <c r="FO6" s="0" t="s">
        <v>703</v>
      </c>
      <c r="FP6" s="0" t="s">
        <v>704</v>
      </c>
      <c r="FQ6" s="0" t="s">
        <v>705</v>
      </c>
      <c r="FR6" s="0" t="s">
        <v>706</v>
      </c>
      <c r="FS6" s="0" t="s">
        <v>707</v>
      </c>
      <c r="FT6" s="0" t="s">
        <v>708</v>
      </c>
      <c r="FU6" s="0" t="s">
        <v>709</v>
      </c>
      <c r="FV6" s="0" t="s">
        <v>710</v>
      </c>
      <c r="FW6" s="0" t="s">
        <v>711</v>
      </c>
      <c r="FX6" s="0" t="s">
        <v>712</v>
      </c>
      <c r="FY6" s="0" t="s">
        <v>713</v>
      </c>
      <c r="FZ6" s="0" t="s">
        <v>714</v>
      </c>
    </row>
    <row r="7" customFormat="false" ht="15" hidden="false" customHeight="false" outlineLevel="0" collapsed="false">
      <c r="A7" s="0" t="n">
        <v>1</v>
      </c>
      <c r="C7" s="0" t="n">
        <f aca="false">IFERROR(N(INDEX(Registro!$I$11:$I$40,MATCH($A7,Registro!$A$11:$A$40,0))),0)</f>
        <v>8</v>
      </c>
      <c r="D7" s="0" t="n">
        <f aca="false">IFERROR(N(INDEX(Registro!$O$11:$O$40,MATCH($A7,Registro!$A$11:$A$40,0))),0)</f>
        <v>0</v>
      </c>
      <c r="E7" s="0" t="n">
        <f aca="false">IFERROR(N(INDEX(Registro!$U$11:$U$40,MATCH($A7,Registro!$A$11:$A$40,0))),0)</f>
        <v>0</v>
      </c>
      <c r="F7" s="0" t="n">
        <f aca="false">IFERROR(N(INDEX(Registro!$AA$11:$AA$40,MATCH($A7,Registro!$A$11:$A$40,0))),0)</f>
        <v>0</v>
      </c>
      <c r="G7" s="0" t="n">
        <f aca="false">IFERROR(N(INDEX(Registro!$I$47:$I$76,MATCH($A7,Registro!$A$47:$A$76,0))),0)</f>
        <v>8</v>
      </c>
      <c r="H7" s="0" t="n">
        <f aca="false">IFERROR(N(INDEX(Registro!$O$47:$O$76,MATCH($A7,Registro!$A$47:$A$76,0))),0)</f>
        <v>8</v>
      </c>
      <c r="I7" s="0" t="n">
        <f aca="false">IFERROR(N(INDEX(Registro!$U$47:$U$76,MATCH($A7,Registro!$A$47:$A$76,0))),0)</f>
        <v>0</v>
      </c>
      <c r="J7" s="0" t="n">
        <f aca="false">IFERROR(N(INDEX(Registro!$AA$47:$AA$76,MATCH($A7,Registro!$A$47:$A$76,0))),0)</f>
        <v>0</v>
      </c>
      <c r="K7" s="0" t="n">
        <f aca="false">IFERROR(N(INDEX(Registro!$I$83:$I$112,MATCH($A7,Registro!$A$83:$A$112,0))),0)</f>
        <v>8</v>
      </c>
      <c r="L7" s="0" t="n">
        <f aca="false">IFERROR(N(INDEX(Registro!$O$83:$O$112,MATCH($A7,Registro!$A$83:$A$112,0))),0)</f>
        <v>7</v>
      </c>
      <c r="M7" s="0" t="n">
        <f aca="false">IFERROR(N(INDEX(Registro!$U$83:$U$112,MATCH($A7,Registro!$A$83:$A$112,0))),0)</f>
        <v>9</v>
      </c>
      <c r="N7" s="0" t="n">
        <f aca="false">IFERROR(N(INDEX(Registro!$AA$83:$AA$112,MATCH($A7,Registro!$A$83:$A$112,0))),0)</f>
        <v>0</v>
      </c>
      <c r="O7" s="0" t="n">
        <f aca="false">IFERROR(N(INDEX(Registro!$I$119:$I$148,MATCH($A7,Registro!$A$119:$A$148,0))),0)</f>
        <v>0</v>
      </c>
      <c r="P7" s="0" t="n">
        <f aca="false">IFERROR(N(INDEX(Registro!$O$119:$O$148,MATCH($A7,Registro!$A$119:$A$148,0))),0)</f>
        <v>0</v>
      </c>
      <c r="Q7" s="0" t="n">
        <f aca="false">IFERROR(N(INDEX(Registro!$U$119:$U$148,MATCH($A7,Registro!$A$119:$A$148,0))),0)</f>
        <v>0</v>
      </c>
      <c r="R7" s="0" t="n">
        <f aca="false">IFERROR(N(INDEX(Registro!$AA$119:$AA$148,MATCH($A7,Registro!$A$119:$A$148,0))),0)</f>
        <v>0</v>
      </c>
      <c r="S7" s="0" t="n">
        <f aca="false">IFERROR(N(INDEX(Registro!$I$155:$I$184,MATCH($A7,Registro!$A$155:$A$184,0))),0)</f>
        <v>0</v>
      </c>
      <c r="T7" s="0" t="n">
        <f aca="false">IFERROR(N(INDEX(Registro!$O$155:$O$184,MATCH($A7,Registro!$A$155:$A$184,0))),0)</f>
        <v>0</v>
      </c>
      <c r="U7" s="0" t="n">
        <f aca="false">IFERROR(N(INDEX(Registro!$U$155:$U$184,MATCH($A7,Registro!$A$155:$A$184,0))),0)</f>
        <v>0</v>
      </c>
      <c r="V7" s="0" t="n">
        <f aca="false">IFERROR(N(INDEX(Registro!$AA$155:$AA$184,MATCH($A7,Registro!$A$155:$A$184,0))),0)</f>
        <v>0</v>
      </c>
      <c r="W7" s="0" t="n">
        <f aca="false">IFERROR(N(INDEX(Registro!$I$191:$I$220,MATCH($A7,Registro!$A$191:$A$220,0))),0)</f>
        <v>0</v>
      </c>
      <c r="X7" s="0" t="n">
        <f aca="false">IFERROR(N(INDEX(Registro!$O$191:$O$220,MATCH($A7,Registro!$A$191:$A$220,0))),0)</f>
        <v>0</v>
      </c>
      <c r="Y7" s="0" t="n">
        <f aca="false">IFERROR(N(INDEX(Registro!$U$191:$U$220,MATCH($A7,Registro!$A$191:$A$220,0))),0)</f>
        <v>0</v>
      </c>
      <c r="Z7" s="0" t="n">
        <f aca="false">IFERROR(N(INDEX(Registro!$AA$191:$AA$220,MATCH($A7,Registro!$A$191:$A$220,0))),0)</f>
        <v>0</v>
      </c>
      <c r="AA7" s="0" t="n">
        <f aca="false">IFERROR(N(INDEX(Registro!$I$227:$I$256,MATCH($A7,Registro!$A$227:$A$256,0))),0)</f>
        <v>0</v>
      </c>
      <c r="AB7" s="0" t="n">
        <f aca="false">IFERROR(N(INDEX(Registro!$O$227:$O$256,MATCH($A7,Registro!$A$227:$A$256,0))),0)</f>
        <v>0</v>
      </c>
      <c r="AC7" s="0" t="n">
        <f aca="false">IFERROR(N(INDEX(Registro!$U$227:$U$256,MATCH($A7,Registro!$A$227:$A$256,0))),0)</f>
        <v>0</v>
      </c>
      <c r="AD7" s="0" t="n">
        <f aca="false">IFERROR(N(INDEX(Registro!$AA$227:$AA$256,MATCH($A7,Registro!$A$227:$A$256,0))),0)</f>
        <v>0</v>
      </c>
      <c r="AE7" s="0" t="n">
        <f aca="false">IFERROR(N(INDEX(Registro!$I$263:$I$292,MATCH($A7,Registro!$A$263:$A$292,0))),0)</f>
        <v>0</v>
      </c>
      <c r="AF7" s="0" t="n">
        <f aca="false">IFERROR(N(INDEX(Registro!$O$263:$O$292,MATCH($A7,Registro!$A$263:$A$292,0))),0)</f>
        <v>0</v>
      </c>
      <c r="AG7" s="0" t="n">
        <f aca="false">IFERROR(N(INDEX(Registro!$U$263:$U$292,MATCH($A7,Registro!$A$263:$A$292,0))),0)</f>
        <v>0</v>
      </c>
      <c r="AH7" s="0" t="n">
        <f aca="false">IFERROR(N(INDEX(Registro!$AA$263:$AA$292,MATCH($A7,Registro!$A$263:$A$292,0))),0)</f>
        <v>0</v>
      </c>
      <c r="AI7" s="0" t="n">
        <f aca="false">IFERROR(N(INDEX(Registro!$I$299:$I$328,MATCH($A7,Registro!$A$299:$A$328,0))),0)</f>
        <v>0</v>
      </c>
      <c r="AJ7" s="0" t="n">
        <f aca="false">IFERROR(N(INDEX(Registro!$O$299:$O$328,MATCH($A7,Registro!$A$299:$A$328,0))),0)</f>
        <v>0</v>
      </c>
      <c r="AK7" s="0" t="n">
        <f aca="false">IFERROR(N(INDEX(Registro!$U$299:$U$328,MATCH($A7,Registro!$A$299:$A$328,0))),0)</f>
        <v>0</v>
      </c>
      <c r="AL7" s="0" t="n">
        <f aca="false">IFERROR(N(INDEX(Registro!$AA$299:$AA$328,MATCH($A7,Registro!$A$299:$A$328,0))),0)</f>
        <v>0</v>
      </c>
      <c r="AM7" s="0" t="n">
        <f aca="false">IFERROR(N(INDEX(Registro!$I$335:$I$364,MATCH($A7,Registro!$A$335:$A$364,0))),0)</f>
        <v>0</v>
      </c>
      <c r="AN7" s="0" t="n">
        <f aca="false">IFERROR(N(INDEX(Registro!$O$335:$O$364,MATCH($A7,Registro!$A$335:$A$364,0))),0)</f>
        <v>0</v>
      </c>
      <c r="AO7" s="0" t="n">
        <f aca="false">IFERROR(N(INDEX(Registro!$U$335:$U$364,MATCH($A7,Registro!$A$335:$A$364,0))),0)</f>
        <v>0</v>
      </c>
      <c r="AP7" s="0" t="n">
        <f aca="false">IFERROR(N(INDEX(Registro!$AA$335:$AA$364,MATCH($A7,Registro!$A$335:$A$364,0))),0)</f>
        <v>0</v>
      </c>
      <c r="AQ7" s="0" t="n">
        <f aca="false">IFERROR(N(INDEX(Registro!$I$371:$I$400,MATCH($A7,Registro!$A$371:$A$400,0))),0)</f>
        <v>0</v>
      </c>
      <c r="AR7" s="0" t="n">
        <f aca="false">IFERROR(N(INDEX(Registro!$O$371:$O$400,MATCH($A7,Registro!$A$371:$A$400,0))),0)</f>
        <v>0</v>
      </c>
      <c r="AS7" s="0" t="n">
        <f aca="false">IFERROR(N(INDEX(Registro!$U$371:$U$400,MATCH($A7,Registro!$A$371:$A$400,0))),0)</f>
        <v>0</v>
      </c>
      <c r="AT7" s="0" t="n">
        <f aca="false">IFERROR(N(INDEX(Registro!$AA$371:$AA$400,MATCH($A7,Registro!$A$371:$A$400,0))),0)</f>
        <v>0</v>
      </c>
      <c r="AU7" s="0" t="n">
        <f aca="false">IFERROR(N(INDEX(Registro!$I$407:$I$436,MATCH($A7,Registro!$A$407:$A$436,0))),0)</f>
        <v>0</v>
      </c>
      <c r="AV7" s="0" t="n">
        <f aca="false">IFERROR(N(INDEX(Registro!$O$407:$O$436,MATCH($A7,Registro!$A$407:$A$436,0))),0)</f>
        <v>0</v>
      </c>
      <c r="AW7" s="0" t="n">
        <f aca="false">IFERROR(N(INDEX(Registro!$U$407:$U$436,MATCH($A7,Registro!$A$407:$A$436,0))),0)</f>
        <v>0</v>
      </c>
      <c r="AX7" s="0" t="n">
        <f aca="false">IFERROR(N(INDEX(Registro!$AA$407:$AA$436,MATCH($A7,Registro!$A$407:$A$436,0))),0)</f>
        <v>0</v>
      </c>
      <c r="AY7" s="0" t="n">
        <f aca="false">IFERROR(N(INDEX(Registro!$I$443:$I$472,MATCH($A7,Registro!$A$443:$A$472,0))),0)</f>
        <v>0</v>
      </c>
      <c r="AZ7" s="0" t="n">
        <f aca="false">IFERROR(N(INDEX(Registro!$O$443:$O$472,MATCH($A7,Registro!$A$443:$A$472,0))),0)</f>
        <v>0</v>
      </c>
      <c r="BA7" s="0" t="n">
        <f aca="false">IFERROR(N(INDEX(Registro!$U$443:$U$472,MATCH($A7,Registro!$A$443:$A$472,0))),0)</f>
        <v>0</v>
      </c>
      <c r="BB7" s="0" t="n">
        <f aca="false">IFERROR(N(INDEX(Registro!$AA$443:$AA$472,MATCH($A7,Registro!$A$443:$A$472,0))),0)</f>
        <v>0</v>
      </c>
      <c r="BC7" s="0" t="n">
        <f aca="false">IFERROR(N(INDEX(Registro!$I$479:$I$508,MATCH($A7,Registro!$A$479:$A$508,0))),0)</f>
        <v>0</v>
      </c>
      <c r="BD7" s="0" t="n">
        <f aca="false">IFERROR(N(INDEX(Registro!$O$479:$O$508,MATCH($A7,Registro!$A$479:$A$508,0))),0)</f>
        <v>0</v>
      </c>
      <c r="BE7" s="0" t="n">
        <f aca="false">IFERROR(N(INDEX(Registro!$U$479:$U$508,MATCH($A7,Registro!$A$479:$A$508,0))),0)</f>
        <v>0</v>
      </c>
      <c r="BF7" s="0" t="n">
        <f aca="false">IFERROR(N(INDEX(Registro!$AA$479:$AA$508,MATCH($A7,Registro!$A$479:$A$508,0))),0)</f>
        <v>0</v>
      </c>
      <c r="BG7" s="0" t="n">
        <f aca="false">IFERROR(N(INDEX(Registro!$I$515:$I$544,MATCH($A7,Registro!$A$515:$A$544,0))),0)</f>
        <v>0</v>
      </c>
      <c r="BH7" s="0" t="n">
        <f aca="false">IFERROR(N(INDEX(Registro!$O$515:$O$544,MATCH($A7,Registro!$A$515:$A$544,0))),0)</f>
        <v>0</v>
      </c>
      <c r="BI7" s="0" t="n">
        <f aca="false">IFERROR(N(INDEX(Registro!$U$515:$U$544,MATCH($A7,Registro!$A$515:$A$544,0))),0)</f>
        <v>0</v>
      </c>
      <c r="BJ7" s="0" t="n">
        <f aca="false">IFERROR(N(INDEX(Registro!$AA$515:$AA$544,MATCH($A7,Registro!$A$515:$A$544,0))),0)</f>
        <v>0</v>
      </c>
      <c r="BK7" s="0" t="n">
        <f aca="false">IFERROR(N(INDEX(Registro!$I$551:$I$580,MATCH($A7,Registro!$A$551:$A$580,0))),0)</f>
        <v>0</v>
      </c>
      <c r="BL7" s="0" t="n">
        <f aca="false">IFERROR(N(INDEX(Registro!$O$551:$O$580,MATCH($A7,Registro!$A$551:$A$580,0))),0)</f>
        <v>0</v>
      </c>
      <c r="BM7" s="0" t="n">
        <f aca="false">IFERROR(N(INDEX(Registro!$U$551:$U$580,MATCH($A7,Registro!$A$551:$A$580,0))),0)</f>
        <v>0</v>
      </c>
      <c r="BN7" s="0" t="n">
        <f aca="false">IFERROR(N(INDEX(Registro!$AA$551:$AA$580,MATCH($A7,Registro!$A$551:$A$580,0))),0)</f>
        <v>0</v>
      </c>
      <c r="BO7" s="0" t="n">
        <f aca="false">IFERROR(N(INDEX(Registro!$I$587:$I$616,MATCH($A7,Registro!$A$587:$A$616,0))),0)</f>
        <v>0</v>
      </c>
      <c r="BP7" s="0" t="n">
        <f aca="false">IFERROR(N(INDEX(Registro!$O$587:$O$616,MATCH($A7,Registro!$A$587:$A$616,0))),0)</f>
        <v>0</v>
      </c>
      <c r="BQ7" s="0" t="n">
        <f aca="false">IFERROR(N(INDEX(Registro!$U$587:$U$616,MATCH($A7,Registro!$A$587:$A$616,0))),0)</f>
        <v>0</v>
      </c>
      <c r="BR7" s="0" t="n">
        <f aca="false">IFERROR(N(INDEX(Registro!$AA$587:$AA$616,MATCH($A7,Registro!$A$587:$A$616,0))),0)</f>
        <v>0</v>
      </c>
      <c r="BS7" s="0" t="n">
        <f aca="false">IFERROR(N(INDEX(Registro!$I$623:$I$652,MATCH($A7,Registro!$A$623:$A$652,0))),0)</f>
        <v>0</v>
      </c>
      <c r="BT7" s="0" t="n">
        <f aca="false">IFERROR(N(INDEX(Registro!$O$623:$O$652,MATCH($A7,Registro!$A$623:$A$652,0))),0)</f>
        <v>0</v>
      </c>
      <c r="BU7" s="0" t="n">
        <f aca="false">IFERROR(N(INDEX(Registro!$U$623:$U$652,MATCH($A7,Registro!$A$623:$A$652,0))),0)</f>
        <v>0</v>
      </c>
      <c r="BV7" s="0" t="n">
        <f aca="false">IFERROR(N(INDEX(Registro!$AA$623:$AA$652,MATCH($A7,Registro!$A$623:$A$652,0))),0)</f>
        <v>0</v>
      </c>
      <c r="BW7" s="0" t="n">
        <f aca="false">IFERROR(N(INDEX(Registro!$I$659:$I$688,MATCH($A7,Registro!$A$659:$A$688,0))),0)</f>
        <v>0</v>
      </c>
      <c r="BX7" s="0" t="n">
        <f aca="false">IFERROR(N(INDEX(Registro!$O$659:$O$688,MATCH($A7,Registro!$A$659:$A$688,0))),0)</f>
        <v>0</v>
      </c>
      <c r="BY7" s="0" t="n">
        <f aca="false">IFERROR(N(INDEX(Registro!$U$659:$U$688,MATCH($A7,Registro!$A$659:$A$688,0))),0)</f>
        <v>0</v>
      </c>
      <c r="BZ7" s="0" t="n">
        <f aca="false">IFERROR(N(INDEX(Registro!$AA$659:$AA$688,MATCH($A7,Registro!$A$659:$A$688,0))),0)</f>
        <v>0</v>
      </c>
      <c r="CA7" s="0" t="n">
        <f aca="false">IFERROR(N(INDEX(Registro!$I$695:$I$724,MATCH($A7,Registro!$A$695:$A$724,0))),0)</f>
        <v>0</v>
      </c>
      <c r="CB7" s="0" t="n">
        <f aca="false">IFERROR(N(INDEX(Registro!$O$695:$O$724,MATCH($A7,Registro!$A$695:$A$724,0))),0)</f>
        <v>0</v>
      </c>
      <c r="CC7" s="0" t="n">
        <f aca="false">IFERROR(N(INDEX(Registro!$U$695:$U$724,MATCH($A7,Registro!$A$695:$A$724,0))),0)</f>
        <v>0</v>
      </c>
      <c r="CD7" s="0" t="n">
        <f aca="false">IFERROR(N(INDEX(Registro!$AA$695:$AA$724,MATCH($A7,Registro!$A$695:$A$724,0))),0)</f>
        <v>0</v>
      </c>
      <c r="CE7" s="0" t="n">
        <f aca="false">IFERROR(IF(ISNUMBER(INDEX(Registro!$I$11:$I$40,MATCH($A7,Registro!$A$11:$A$40,0))),CE$5,0),0)</f>
        <v>1</v>
      </c>
      <c r="CF7" s="0" t="n">
        <f aca="false">IFERROR(IF(ISNUMBER(INDEX(Registro!$O$11:$O$40,MATCH($A7,Registro!$A$11:$A$40,0))),CF$5,0),0)</f>
        <v>0</v>
      </c>
      <c r="CG7" s="0" t="n">
        <f aca="false">IFERROR(IF(ISNUMBER(INDEX(Registro!$U$11:$U$40,MATCH($A7,Registro!$A$11:$A$40,0))),CG$5,0),0)</f>
        <v>0</v>
      </c>
      <c r="CH7" s="0" t="n">
        <f aca="false">IFERROR(IF(ISNUMBER(INDEX(Registro!$AA$11:$AA$40,MATCH($A7,Registro!$A$11:$A$40,0))),CH$5,0),0)</f>
        <v>0</v>
      </c>
      <c r="CI7" s="0" t="n">
        <f aca="false">IFERROR(IF(ISNUMBER(INDEX(Registro!$I$47:$I$76,MATCH($A7,Registro!$A$47:$A$76,0))),CI$5,0),0)</f>
        <v>1</v>
      </c>
      <c r="CJ7" s="0" t="n">
        <f aca="false">IFERROR(IF(ISNUMBER(INDEX(Registro!$O$47:$O$76,MATCH($A7,Registro!$A$47:$A$76,0))),CJ$5,0),0)</f>
        <v>1</v>
      </c>
      <c r="CK7" s="0" t="n">
        <f aca="false">IFERROR(IF(ISNUMBER(INDEX(Registro!$U$47:$U$76,MATCH($A7,Registro!$A$47:$A$76,0))),CK$5,0),0)</f>
        <v>0</v>
      </c>
      <c r="CL7" s="0" t="n">
        <f aca="false">IFERROR(IF(ISNUMBER(INDEX(Registro!$AA$47:$AA$76,MATCH($A7,Registro!$A$47:$A$76,0))),CL$5,0),0)</f>
        <v>0</v>
      </c>
      <c r="CM7" s="0" t="n">
        <f aca="false">IFERROR(IF(ISNUMBER(INDEX(Registro!$I$83:$I$112,MATCH($A7,Registro!$A$83:$A$112,0))),CM$5,0),0)</f>
        <v>1</v>
      </c>
      <c r="CN7" s="0" t="n">
        <f aca="false">IFERROR(IF(ISNUMBER(INDEX(Registro!$O$83:$O$112,MATCH($A7,Registro!$A$83:$A$112,0))),CN$5,0),0)</f>
        <v>1</v>
      </c>
      <c r="CO7" s="0" t="n">
        <f aca="false">IFERROR(IF(ISNUMBER(INDEX(Registro!$U$83:$U$112,MATCH($A7,Registro!$A$83:$A$112,0))),CO$5,0),0)</f>
        <v>1</v>
      </c>
      <c r="CP7" s="0" t="n">
        <f aca="false">IFERROR(IF(ISNUMBER(INDEX(Registro!$AA$83:$AA$112,MATCH($A7,Registro!$A$83:$A$112,0))),CP$5,0),0)</f>
        <v>0</v>
      </c>
      <c r="CQ7" s="0" t="n">
        <f aca="false">IFERROR(IF(ISNUMBER(INDEX(Registro!$I$119:$I$148,MATCH($A7,Registro!$A$119:$A$148,0))),CQ$5,0),0)</f>
        <v>0</v>
      </c>
      <c r="CR7" s="0" t="n">
        <f aca="false">IFERROR(IF(ISNUMBER(INDEX(Registro!$O$119:$O$148,MATCH($A7,Registro!$A$119:$A$148,0))),CR$5,0),0)</f>
        <v>0</v>
      </c>
      <c r="CS7" s="0" t="n">
        <f aca="false">IFERROR(IF(ISNUMBER(INDEX(Registro!$U$119:$U$148,MATCH($A7,Registro!$A$119:$A$148,0))),CS$5,0),0)</f>
        <v>0</v>
      </c>
      <c r="CT7" s="0" t="n">
        <f aca="false">IFERROR(IF(ISNUMBER(INDEX(Registro!$AA$119:$AA$148,MATCH($A7,Registro!$A$119:$A$148,0))),CT$5,0),0)</f>
        <v>0</v>
      </c>
      <c r="CU7" s="0" t="n">
        <f aca="false">IFERROR(IF(ISNUMBER(INDEX(Registro!$I$155:$I$184,MATCH($A7,Registro!$A$155:$A$184,0))),CU$5,0),0)</f>
        <v>0</v>
      </c>
      <c r="CV7" s="0" t="n">
        <f aca="false">IFERROR(IF(ISNUMBER(INDEX(Registro!$O$155:$O$184,MATCH($A7,Registro!$A$155:$A$184,0))),CV$5,0),0)</f>
        <v>0</v>
      </c>
      <c r="CW7" s="0" t="n">
        <f aca="false">IFERROR(IF(ISNUMBER(INDEX(Registro!$U$155:$U$184,MATCH($A7,Registro!$A$155:$A$184,0))),CW$5,0),0)</f>
        <v>0</v>
      </c>
      <c r="CX7" s="0" t="n">
        <f aca="false">IFERROR(IF(ISNUMBER(INDEX(Registro!$AA$155:$AA$184,MATCH($A7,Registro!$A$155:$A$184,0))),CX$5,0),0)</f>
        <v>0</v>
      </c>
      <c r="CY7" s="0" t="n">
        <f aca="false">IFERROR(IF(ISNUMBER(INDEX(Registro!$I$191:$I$220,MATCH($A7,Registro!$A$191:$A$220,0))),CY$5,0),0)</f>
        <v>0</v>
      </c>
      <c r="CZ7" s="0" t="n">
        <f aca="false">IFERROR(IF(ISNUMBER(INDEX(Registro!$O$191:$O$220,MATCH($A7,Registro!$A$191:$A$220,0))),CZ$5,0),0)</f>
        <v>0</v>
      </c>
      <c r="DA7" s="0" t="n">
        <f aca="false">IFERROR(IF(ISNUMBER(INDEX(Registro!$U$191:$U$220,MATCH($A7,Registro!$A$191:$A$220,0))),DA$5,0),0)</f>
        <v>0</v>
      </c>
      <c r="DB7" s="0" t="n">
        <f aca="false">IFERROR(IF(ISNUMBER(INDEX(Registro!$AA$191:$AA$220,MATCH($A7,Registro!$A$191:$A$220,0))),DB$5,0),0)</f>
        <v>0</v>
      </c>
      <c r="DC7" s="0" t="n">
        <f aca="false">IFERROR(IF(ISNUMBER(INDEX(Registro!$I$227:$I$256,MATCH($A7,Registro!$A$227:$A$256,0))),DC$5,0),0)</f>
        <v>0</v>
      </c>
      <c r="DD7" s="0" t="n">
        <f aca="false">IFERROR(IF(ISNUMBER(INDEX(Registro!$O$227:$O$256,MATCH($A7,Registro!$A$227:$A$256,0))),DD$5,0),0)</f>
        <v>0</v>
      </c>
      <c r="DE7" s="0" t="n">
        <f aca="false">IFERROR(IF(ISNUMBER(INDEX(Registro!$U$227:$U$256,MATCH($A7,Registro!$A$227:$A$256,0))),DE$5,0),0)</f>
        <v>0</v>
      </c>
      <c r="DF7" s="0" t="n">
        <f aca="false">IFERROR(IF(ISNUMBER(INDEX(Registro!$AA$227:$AA$256,MATCH($A7,Registro!$A$227:$A$256,0))),DF$5,0),0)</f>
        <v>0</v>
      </c>
      <c r="DG7" s="0" t="n">
        <f aca="false">IFERROR(IF(ISNUMBER(INDEX(Registro!$I$263:$I$292,MATCH($A7,Registro!$A$263:$A$292,0))),DG$5,0),0)</f>
        <v>0</v>
      </c>
      <c r="DH7" s="0" t="n">
        <f aca="false">IFERROR(IF(ISNUMBER(INDEX(Registro!$O$263:$O$292,MATCH($A7,Registro!$A$263:$A$292,0))),DH$5,0),0)</f>
        <v>0</v>
      </c>
      <c r="DI7" s="0" t="n">
        <f aca="false">IFERROR(IF(ISNUMBER(INDEX(Registro!$U$263:$U$292,MATCH($A7,Registro!$A$263:$A$292,0))),DI$5,0),0)</f>
        <v>0</v>
      </c>
      <c r="DJ7" s="0" t="n">
        <f aca="false">IFERROR(IF(ISNUMBER(INDEX(Registro!$AA$263:$AA$292,MATCH($A7,Registro!$A$263:$A$292,0))),DJ$5,0),0)</f>
        <v>0</v>
      </c>
      <c r="DK7" s="0" t="n">
        <f aca="false">IFERROR(IF(ISNUMBER(INDEX(Registro!$I$299:$I$328,MATCH($A7,Registro!$A$299:$A$328,0))),DK$5,0),0)</f>
        <v>0</v>
      </c>
      <c r="DL7" s="0" t="n">
        <f aca="false">IFERROR(IF(ISNUMBER(INDEX(Registro!$O$299:$O$328,MATCH($A7,Registro!$A$299:$A$328,0))),DL$5,0),0)</f>
        <v>0</v>
      </c>
      <c r="DM7" s="0" t="n">
        <f aca="false">IFERROR(IF(ISNUMBER(INDEX(Registro!$U$299:$U$328,MATCH($A7,Registro!$A$299:$A$328,0))),DM$5,0),0)</f>
        <v>0</v>
      </c>
      <c r="DN7" s="0" t="n">
        <f aca="false">IFERROR(IF(ISNUMBER(INDEX(Registro!$AA$299:$AA$328,MATCH($A7,Registro!$A$299:$A$328,0))),DN$5,0),0)</f>
        <v>0</v>
      </c>
      <c r="DO7" s="0" t="n">
        <f aca="false">IFERROR(IF(ISNUMBER(INDEX(Registro!$I$335:$I$364,MATCH($A7,Registro!$A$335:$A$364,0))),DO$5,0),0)</f>
        <v>0</v>
      </c>
      <c r="DP7" s="0" t="n">
        <f aca="false">IFERROR(IF(ISNUMBER(INDEX(Registro!$O$335:$O$364,MATCH($A7,Registro!$A$335:$A$364,0))),DP$5,0),0)</f>
        <v>0</v>
      </c>
      <c r="DQ7" s="0" t="n">
        <f aca="false">IFERROR(IF(ISNUMBER(INDEX(Registro!$U$335:$U$364,MATCH($A7,Registro!$A$335:$A$364,0))),DQ$5,0),0)</f>
        <v>0</v>
      </c>
      <c r="DR7" s="0" t="n">
        <f aca="false">IFERROR(IF(ISNUMBER(INDEX(Registro!$AA$335:$AA$364,MATCH($A7,Registro!$A$335:$A$364,0))),DR$5,0),0)</f>
        <v>0</v>
      </c>
      <c r="DS7" s="0" t="n">
        <f aca="false">IFERROR(IF(ISNUMBER(INDEX(Registro!$I$371:$I$400,MATCH($A7,Registro!$A$371:$A$400,0))),DS$5,0),0)</f>
        <v>0</v>
      </c>
      <c r="DT7" s="0" t="n">
        <f aca="false">IFERROR(IF(ISNUMBER(INDEX(Registro!$O$371:$O$400,MATCH($A7,Registro!$A$371:$A$400,0))),DT$5,0),0)</f>
        <v>0</v>
      </c>
      <c r="DU7" s="0" t="n">
        <f aca="false">IFERROR(IF(ISNUMBER(INDEX(Registro!$U$371:$U$400,MATCH($A7,Registro!$A$371:$A$400,0))),DU$5,0),0)</f>
        <v>0</v>
      </c>
      <c r="DV7" s="0" t="n">
        <f aca="false">IFERROR(IF(ISNUMBER(INDEX(Registro!$AA$371:$AA$400,MATCH($A7,Registro!$A$371:$A$400,0))),DV$5,0),0)</f>
        <v>0</v>
      </c>
      <c r="DW7" s="0" t="n">
        <f aca="false">IFERROR(IF(ISNUMBER(INDEX(Registro!$I$407:$I$436,MATCH($A7,Registro!$A$407:$A$436,0))),DW$5,0),0)</f>
        <v>0</v>
      </c>
      <c r="DX7" s="0" t="n">
        <f aca="false">IFERROR(IF(ISNUMBER(INDEX(Registro!$O$407:$O$436,MATCH($A7,Registro!$A$407:$A$436,0))),DX$5,0),0)</f>
        <v>0</v>
      </c>
      <c r="DY7" s="0" t="n">
        <f aca="false">IFERROR(IF(ISNUMBER(INDEX(Registro!$U$407:$U$436,MATCH($A7,Registro!$A$407:$A$436,0))),DY$5,0),0)</f>
        <v>0</v>
      </c>
      <c r="DZ7" s="0" t="n">
        <f aca="false">IFERROR(IF(ISNUMBER(INDEX(Registro!$AA$407:$AA$436,MATCH($A7,Registro!$A$407:$A$436,0))),DZ$5,0),0)</f>
        <v>0</v>
      </c>
      <c r="EA7" s="0" t="n">
        <f aca="false">IFERROR(IF(ISNUMBER(INDEX(Registro!$I$443:$I$472,MATCH($A7,Registro!$A$443:$A$472,0))),EA$5,0),0)</f>
        <v>0</v>
      </c>
      <c r="EB7" s="0" t="n">
        <f aca="false">IFERROR(IF(ISNUMBER(INDEX(Registro!$O$443:$O$472,MATCH($A7,Registro!$A$443:$A$472,0))),EB$5,0),0)</f>
        <v>0</v>
      </c>
      <c r="EC7" s="0" t="n">
        <f aca="false">IFERROR(IF(ISNUMBER(INDEX(Registro!$U$443:$U$472,MATCH($A7,Registro!$A$443:$A$472,0))),EC$5,0),0)</f>
        <v>0</v>
      </c>
      <c r="ED7" s="0" t="n">
        <f aca="false">IFERROR(IF(ISNUMBER(INDEX(Registro!$AA$443:$AA$472,MATCH($A7,Registro!$A$443:$A$472,0))),ED$5,0),0)</f>
        <v>0</v>
      </c>
      <c r="EE7" s="0" t="n">
        <f aca="false">IFERROR(IF(ISNUMBER(INDEX(Registro!$I$479:$I$508,MATCH($A7,Registro!$A$479:$A$508,0))),EE$5,0),0)</f>
        <v>0</v>
      </c>
      <c r="EF7" s="0" t="n">
        <f aca="false">IFERROR(IF(ISNUMBER(INDEX(Registro!$O$479:$O$508,MATCH($A7,Registro!$A$479:$A$508,0))),EF$5,0),0)</f>
        <v>0</v>
      </c>
      <c r="EG7" s="0" t="n">
        <f aca="false">IFERROR(IF(ISNUMBER(INDEX(Registro!$U$479:$U$508,MATCH($A7,Registro!$A$479:$A$508,0))),EG$5,0),0)</f>
        <v>0</v>
      </c>
      <c r="EH7" s="0" t="n">
        <f aca="false">IFERROR(IF(ISNUMBER(INDEX(Registro!$AA$479:$AA$508,MATCH($A7,Registro!$A$479:$A$508,0))),EH$5,0),0)</f>
        <v>0</v>
      </c>
      <c r="EI7" s="0" t="n">
        <f aca="false">IFERROR(IF(ISNUMBER(INDEX(Registro!$I$515:$I$544,MATCH($A7,Registro!$A$515:$A$544,0))),EI$5,0),0)</f>
        <v>0</v>
      </c>
      <c r="EJ7" s="0" t="n">
        <f aca="false">IFERROR(IF(ISNUMBER(INDEX(Registro!$O$515:$O$544,MATCH($A7,Registro!$A$515:$A$544,0))),EJ$5,0),0)</f>
        <v>0</v>
      </c>
      <c r="EK7" s="0" t="n">
        <f aca="false">IFERROR(IF(ISNUMBER(INDEX(Registro!$U$515:$U$544,MATCH($A7,Registro!$A$515:$A$544,0))),EK$5,0),0)</f>
        <v>0</v>
      </c>
      <c r="EL7" s="0" t="n">
        <f aca="false">IFERROR(IF(ISNUMBER(INDEX(Registro!$AA$515:$AA$544,MATCH($A7,Registro!$A$515:$A$544,0))),EL$5,0),0)</f>
        <v>0</v>
      </c>
      <c r="EM7" s="0" t="n">
        <f aca="false">IFERROR(IF(ISNUMBER(INDEX(Registro!$I$551:$I$580,MATCH($A7,Registro!$A$551:$A$580,0))),EM$5,0),0)</f>
        <v>0</v>
      </c>
      <c r="EN7" s="0" t="n">
        <f aca="false">IFERROR(IF(ISNUMBER(INDEX(Registro!$O$551:$O$580,MATCH($A7,Registro!$A$551:$A$580,0))),EN$5,0),0)</f>
        <v>0</v>
      </c>
      <c r="EO7" s="0" t="n">
        <f aca="false">IFERROR(IF(ISNUMBER(INDEX(Registro!$U$551:$U$580,MATCH($A7,Registro!$A$551:$A$580,0))),EO$5,0),0)</f>
        <v>0</v>
      </c>
      <c r="EP7" s="0" t="n">
        <f aca="false">IFERROR(IF(ISNUMBER(INDEX(Registro!$AA$551:$AA$580,MATCH($A7,Registro!$A$551:$A$580,0))),EP$5,0),0)</f>
        <v>0</v>
      </c>
      <c r="EQ7" s="0" t="n">
        <f aca="false">IFERROR(IF(ISNUMBER(INDEX(Registro!$I$587:$I$616,MATCH($A7,Registro!$A$587:$A$616,0))),EQ$5,0),0)</f>
        <v>0</v>
      </c>
      <c r="ER7" s="0" t="n">
        <f aca="false">IFERROR(IF(ISNUMBER(INDEX(Registro!$O$587:$O$616,MATCH($A7,Registro!$A$587:$A$616,0))),ER$5,0),0)</f>
        <v>0</v>
      </c>
      <c r="ES7" s="0" t="n">
        <f aca="false">IFERROR(IF(ISNUMBER(INDEX(Registro!$U$587:$U$616,MATCH($A7,Registro!$A$587:$A$616,0))),ES$5,0),0)</f>
        <v>0</v>
      </c>
      <c r="ET7" s="0" t="n">
        <f aca="false">IFERROR(IF(ISNUMBER(INDEX(Registro!$AA$587:$AA$616,MATCH($A7,Registro!$A$587:$A$616,0))),ET$5,0),0)</f>
        <v>0</v>
      </c>
      <c r="EU7" s="0" t="n">
        <f aca="false">IFERROR(IF(ISNUMBER(INDEX(Registro!$I$623:$I$652,MATCH($A7,Registro!$A$623:$A$652,0))),EU$5,0),0)</f>
        <v>0</v>
      </c>
      <c r="EV7" s="0" t="n">
        <f aca="false">IFERROR(IF(ISNUMBER(INDEX(Registro!$O$623:$O$652,MATCH($A7,Registro!$A$623:$A$652,0))),EV$5,0),0)</f>
        <v>0</v>
      </c>
      <c r="EW7" s="0" t="n">
        <f aca="false">IFERROR(IF(ISNUMBER(INDEX(Registro!$U$623:$U$652,MATCH($A7,Registro!$A$623:$A$652,0))),EW$5,0),0)</f>
        <v>0</v>
      </c>
      <c r="EX7" s="0" t="n">
        <f aca="false">IFERROR(IF(ISNUMBER(INDEX(Registro!$AA$623:$AA$652,MATCH($A7,Registro!$A$623:$A$652,0))),EX$5,0),0)</f>
        <v>0</v>
      </c>
      <c r="EY7" s="0" t="n">
        <f aca="false">IFERROR(IF(ISNUMBER(INDEX(Registro!$I$659:$I$688,MATCH($A7,Registro!$A$659:$A$688,0))),EY$5,0),0)</f>
        <v>0</v>
      </c>
      <c r="EZ7" s="0" t="n">
        <f aca="false">IFERROR(IF(ISNUMBER(INDEX(Registro!$O$659:$O$688,MATCH($A7,Registro!$A$659:$A$688,0))),EZ$5,0),0)</f>
        <v>0</v>
      </c>
      <c r="FA7" s="0" t="n">
        <f aca="false">IFERROR(IF(ISNUMBER(INDEX(Registro!$U$659:$U$688,MATCH($A7,Registro!$A$659:$A$688,0))),FA$5,0),0)</f>
        <v>0</v>
      </c>
      <c r="FB7" s="0" t="n">
        <f aca="false">IFERROR(IF(ISNUMBER(INDEX(Registro!$AA$659:$AA$688,MATCH($A7,Registro!$A$659:$A$688,0))),FB$5,0),0)</f>
        <v>0</v>
      </c>
      <c r="FC7" s="0" t="n">
        <f aca="false">IFERROR(IF(ISNUMBER(INDEX(Registro!$I$695:$I$724,MATCH($A7,Registro!$A$695:$A$724,0))),FC$5,0),0)</f>
        <v>0</v>
      </c>
      <c r="FD7" s="0" t="n">
        <f aca="false">IFERROR(IF(ISNUMBER(INDEX(Registro!$O$695:$O$724,MATCH($A7,Registro!$A$695:$A$724,0))),FD$5,0),0)</f>
        <v>0</v>
      </c>
      <c r="FE7" s="0" t="n">
        <f aca="false">IFERROR(IF(ISNUMBER(INDEX(Registro!$U$695:$U$724,MATCH($A7,Registro!$A$695:$A$724,0))),FE$5,0),0)</f>
        <v>0</v>
      </c>
      <c r="FF7" s="0" t="n">
        <f aca="false">IFERROR(IF(ISNUMBER(INDEX(Registro!$AA$695:$AA$724,MATCH($A7,Registro!$A$695:$A$724,0))),FF$5,0),0)</f>
        <v>0</v>
      </c>
      <c r="FG7" s="0" t="n">
        <f aca="false">IFERROR(IF(AND(INDEX(Registro!$C$11:$C$40,MATCH($A7,Registro!$A$11:$A$40,0))="AS",INDEX(Registro!$D$11:$D$40,MATCH($A7,Registro!$A$11:$A$40,0))&amp;""=""),1,0),0)</f>
        <v>0</v>
      </c>
      <c r="FH7" s="0" t="n">
        <f aca="false">IFERROR(IF(AND(INDEX(Registro!$C$47:$C$76,MATCH($A7,Registro!$A$47:$A$76,0))="AS",INDEX(Registro!$D$47:$D$76,MATCH($A7,Registro!$A$47:$A$76,0))&amp;""=""),1,0),0)</f>
        <v>0</v>
      </c>
      <c r="FI7" s="0" t="n">
        <f aca="false">IFERROR(IF(AND(INDEX(Registro!$C$83:$C$112,MATCH($A7,Registro!$A$83:$A$112,0))="AS",INDEX(Registro!$D$83:$D$112,MATCH($A7,Registro!$A$83:$A$112,0))&amp;""=""),1,0),0)</f>
        <v>0</v>
      </c>
      <c r="FJ7" s="0" t="n">
        <f aca="false">IFERROR(IF(AND(INDEX(Registro!$C$119:$C$148,MATCH($A7,Registro!$A$119:$A$148,0))="AS",INDEX(Registro!$D$119:$D$148,MATCH($A7,Registro!$A$119:$A$148,0))&amp;""=""),1,0),0)</f>
        <v>0</v>
      </c>
      <c r="FK7" s="0" t="n">
        <f aca="false">IFERROR(IF(AND(INDEX(Registro!$C$155:$C$184,MATCH($A7,Registro!$A$155:$A$184,0))="AS",INDEX(Registro!$D$155:$D$184,MATCH($A7,Registro!$A$155:$A$184,0))&amp;""=""),1,0),0)</f>
        <v>0</v>
      </c>
      <c r="FL7" s="0" t="n">
        <f aca="false">IFERROR(IF(AND(INDEX(Registro!$C$191:$C$220,MATCH($A7,Registro!$A$191:$A$220,0))="AS",INDEX(Registro!$D$191:$D$220,MATCH($A7,Registro!$A$191:$A$220,0))&amp;""=""),1,0),0)</f>
        <v>0</v>
      </c>
      <c r="FM7" s="0" t="n">
        <f aca="false">IFERROR(IF(AND(INDEX(Registro!$C$227:$C$256,MATCH($A7,Registro!$A$227:$A$256,0))="AS",INDEX(Registro!$D$227:$D$256,MATCH($A7,Registro!$A$227:$A$256,0))&amp;""=""),1,0),0)</f>
        <v>0</v>
      </c>
      <c r="FN7" s="0" t="n">
        <f aca="false">IFERROR(IF(AND(INDEX(Registro!$C$263:$C$292,MATCH($A7,Registro!$A$263:$A$292,0))="AS",INDEX(Registro!$D$263:$D$292,MATCH($A7,Registro!$A$263:$A$292,0))&amp;""=""),1,0),0)</f>
        <v>0</v>
      </c>
      <c r="FO7" s="0" t="n">
        <f aca="false">IFERROR(IF(AND(INDEX(Registro!$C$299:$C$328,MATCH($A7,Registro!$A$299:$A$328,0))="AS",INDEX(Registro!$D$299:$D$328,MATCH($A7,Registro!$A$299:$A$328,0))&amp;""=""),1,0),0)</f>
        <v>0</v>
      </c>
      <c r="FP7" s="0" t="n">
        <f aca="false">IFERROR(IF(AND(INDEX(Registro!$C$335:$C$364,MATCH($A7,Registro!$A$335:$A$364,0))="AS",INDEX(Registro!$D$335:$D$364,MATCH($A7,Registro!$A$335:$A$364,0))&amp;""=""),1,0),0)</f>
        <v>0</v>
      </c>
      <c r="FQ7" s="0" t="n">
        <f aca="false">IFERROR(IF(AND(INDEX(Registro!$C$371:$C$400,MATCH($A7,Registro!$A$371:$A$400,0))="AS",INDEX(Registro!$D$371:$D$400,MATCH($A7,Registro!$A$371:$A$400,0))&amp;""=""),1,0),0)</f>
        <v>0</v>
      </c>
      <c r="FR7" s="0" t="n">
        <f aca="false">IFERROR(IF(AND(INDEX(Registro!$C$407:$C$436,MATCH($A7,Registro!$A$407:$A$436,0))="AS",INDEX(Registro!$D$407:$D$436,MATCH($A7,Registro!$A$407:$A$436,0))&amp;""=""),1,0),0)</f>
        <v>0</v>
      </c>
      <c r="FS7" s="0" t="n">
        <f aca="false">IFERROR(IF(AND(INDEX(Registro!$C$443:$C$472,MATCH($A7,Registro!$A$443:$A$472,0))="AS",INDEX(Registro!$D$443:$D$472,MATCH($A7,Registro!$A$443:$A$472,0))&amp;""=""),1,0),0)</f>
        <v>0</v>
      </c>
      <c r="FT7" s="0" t="n">
        <f aca="false">IFERROR(IF(AND(INDEX(Registro!$C$479:$C$508,MATCH($A7,Registro!$A$479:$A$508,0))="AS",INDEX(Registro!$D$479:$D$508,MATCH($A7,Registro!$A$479:$A$508,0))&amp;""=""),1,0),0)</f>
        <v>0</v>
      </c>
      <c r="FU7" s="0" t="n">
        <f aca="false">IFERROR(IF(AND(INDEX(Registro!$C$515:$C$544,MATCH($A7,Registro!$A$515:$A$544,0))="AS",INDEX(Registro!$D$515:$D$544,MATCH($A7,Registro!$A$515:$A$544,0))&amp;""=""),1,0),0)</f>
        <v>0</v>
      </c>
      <c r="FV7" s="0" t="n">
        <f aca="false">IFERROR(IF(AND(INDEX(Registro!$C$551:$C$580,MATCH($A7,Registro!$A$551:$A$580,0))="AS",INDEX(Registro!$D$551:$D$580,MATCH($A7,Registro!$A$551:$A$580,0))&amp;""=""),1,0),0)</f>
        <v>0</v>
      </c>
      <c r="FW7" s="0" t="n">
        <f aca="false">IFERROR(IF(AND(INDEX(Registro!$C$587:$C$616,MATCH($A7,Registro!$A$587:$A$616,0))="AS",INDEX(Registro!$D$587:$D$616,MATCH($A7,Registro!$A$587:$A$616,0))&amp;""=""),1,0),0)</f>
        <v>0</v>
      </c>
      <c r="FX7" s="0" t="n">
        <f aca="false">IFERROR(IF(AND(INDEX(Registro!$C$623:$C$652,MATCH($A7,Registro!$A$623:$A$652,0))="AS",INDEX(Registro!$D$623:$D$652,MATCH($A7,Registro!$A$623:$A$652,0))&amp;""=""),1,0),0)</f>
        <v>0</v>
      </c>
      <c r="FY7" s="0" t="n">
        <f aca="false">IFERROR(IF(AND(INDEX(Registro!$C$659:$C$688,MATCH($A7,Registro!$A$659:$A$688,0))="AS",INDEX(Registro!$D$659:$D$688,MATCH($A7,Registro!$A$659:$A$688,0))&amp;""=""),1,0),0)</f>
        <v>0</v>
      </c>
      <c r="FZ7" s="0" t="n">
        <f aca="false">IFERROR(IF(AND(INDEX(Registro!$C$695:$C$724,MATCH($A7,Registro!$A$695:$A$724,0))="AS",INDEX(Registro!$D$695:$D$724,MATCH($A7,Registro!$A$695:$A$724,0))&amp;""=""),1,0),0)</f>
        <v>0</v>
      </c>
    </row>
    <row r="8" customFormat="false" ht="15" hidden="false" customHeight="false" outlineLevel="0" collapsed="false">
      <c r="A8" s="0" t="n">
        <v>2</v>
      </c>
      <c r="C8" s="0" t="n">
        <f aca="false">IFERROR(N(INDEX(Registro!$I$11:$I$40,MATCH($A8,Registro!$A$11:$A$40,0))),0)</f>
        <v>7</v>
      </c>
      <c r="D8" s="0" t="n">
        <f aca="false">IFERROR(N(INDEX(Registro!$O$11:$O$40,MATCH($A8,Registro!$A$11:$A$40,0))),0)</f>
        <v>0</v>
      </c>
      <c r="E8" s="0" t="n">
        <f aca="false">IFERROR(N(INDEX(Registro!$U$11:$U$40,MATCH($A8,Registro!$A$11:$A$40,0))),0)</f>
        <v>0</v>
      </c>
      <c r="F8" s="0" t="n">
        <f aca="false">IFERROR(N(INDEX(Registro!$AA$11:$AA$40,MATCH($A8,Registro!$A$11:$A$40,0))),0)</f>
        <v>0</v>
      </c>
      <c r="G8" s="0" t="n">
        <f aca="false">IFERROR(N(INDEX(Registro!$I$47:$I$76,MATCH($A8,Registro!$A$47:$A$76,0))),0)</f>
        <v>9</v>
      </c>
      <c r="H8" s="0" t="n">
        <f aca="false">IFERROR(N(INDEX(Registro!$O$47:$O$76,MATCH($A8,Registro!$A$47:$A$76,0))),0)</f>
        <v>8</v>
      </c>
      <c r="I8" s="0" t="n">
        <f aca="false">IFERROR(N(INDEX(Registro!$U$47:$U$76,MATCH($A8,Registro!$A$47:$A$76,0))),0)</f>
        <v>0</v>
      </c>
      <c r="J8" s="0" t="n">
        <f aca="false">IFERROR(N(INDEX(Registro!$AA$47:$AA$76,MATCH($A8,Registro!$A$47:$A$76,0))),0)</f>
        <v>0</v>
      </c>
      <c r="K8" s="0" t="n">
        <f aca="false">IFERROR(N(INDEX(Registro!$I$83:$I$112,MATCH($A8,Registro!$A$83:$A$112,0))),0)</f>
        <v>0</v>
      </c>
      <c r="L8" s="0" t="n">
        <f aca="false">IFERROR(N(INDEX(Registro!$O$83:$O$112,MATCH($A8,Registro!$A$83:$A$112,0))),0)</f>
        <v>0</v>
      </c>
      <c r="M8" s="0" t="n">
        <f aca="false">IFERROR(N(INDEX(Registro!$U$83:$U$112,MATCH($A8,Registro!$A$83:$A$112,0))),0)</f>
        <v>0</v>
      </c>
      <c r="N8" s="0" t="n">
        <f aca="false">IFERROR(N(INDEX(Registro!$AA$83:$AA$112,MATCH($A8,Registro!$A$83:$A$112,0))),0)</f>
        <v>0</v>
      </c>
      <c r="O8" s="0" t="n">
        <f aca="false">IFERROR(N(INDEX(Registro!$I$119:$I$148,MATCH($A8,Registro!$A$119:$A$148,0))),0)</f>
        <v>0</v>
      </c>
      <c r="P8" s="0" t="n">
        <f aca="false">IFERROR(N(INDEX(Registro!$O$119:$O$148,MATCH($A8,Registro!$A$119:$A$148,0))),0)</f>
        <v>0</v>
      </c>
      <c r="Q8" s="0" t="n">
        <f aca="false">IFERROR(N(INDEX(Registro!$U$119:$U$148,MATCH($A8,Registro!$A$119:$A$148,0))),0)</f>
        <v>0</v>
      </c>
      <c r="R8" s="0" t="n">
        <f aca="false">IFERROR(N(INDEX(Registro!$AA$119:$AA$148,MATCH($A8,Registro!$A$119:$A$148,0))),0)</f>
        <v>0</v>
      </c>
      <c r="S8" s="0" t="n">
        <f aca="false">IFERROR(N(INDEX(Registro!$I$155:$I$184,MATCH($A8,Registro!$A$155:$A$184,0))),0)</f>
        <v>0</v>
      </c>
      <c r="T8" s="0" t="n">
        <f aca="false">IFERROR(N(INDEX(Registro!$O$155:$O$184,MATCH($A8,Registro!$A$155:$A$184,0))),0)</f>
        <v>0</v>
      </c>
      <c r="U8" s="0" t="n">
        <f aca="false">IFERROR(N(INDEX(Registro!$U$155:$U$184,MATCH($A8,Registro!$A$155:$A$184,0))),0)</f>
        <v>0</v>
      </c>
      <c r="V8" s="0" t="n">
        <f aca="false">IFERROR(N(INDEX(Registro!$AA$155:$AA$184,MATCH($A8,Registro!$A$155:$A$184,0))),0)</f>
        <v>0</v>
      </c>
      <c r="W8" s="0" t="n">
        <f aca="false">IFERROR(N(INDEX(Registro!$I$191:$I$220,MATCH($A8,Registro!$A$191:$A$220,0))),0)</f>
        <v>0</v>
      </c>
      <c r="X8" s="0" t="n">
        <f aca="false">IFERROR(N(INDEX(Registro!$O$191:$O$220,MATCH($A8,Registro!$A$191:$A$220,0))),0)</f>
        <v>0</v>
      </c>
      <c r="Y8" s="0" t="n">
        <f aca="false">IFERROR(N(INDEX(Registro!$U$191:$U$220,MATCH($A8,Registro!$A$191:$A$220,0))),0)</f>
        <v>0</v>
      </c>
      <c r="Z8" s="0" t="n">
        <f aca="false">IFERROR(N(INDEX(Registro!$AA$191:$AA$220,MATCH($A8,Registro!$A$191:$A$220,0))),0)</f>
        <v>0</v>
      </c>
      <c r="AA8" s="0" t="n">
        <f aca="false">IFERROR(N(INDEX(Registro!$I$227:$I$256,MATCH($A8,Registro!$A$227:$A$256,0))),0)</f>
        <v>0</v>
      </c>
      <c r="AB8" s="0" t="n">
        <f aca="false">IFERROR(N(INDEX(Registro!$O$227:$O$256,MATCH($A8,Registro!$A$227:$A$256,0))),0)</f>
        <v>0</v>
      </c>
      <c r="AC8" s="0" t="n">
        <f aca="false">IFERROR(N(INDEX(Registro!$U$227:$U$256,MATCH($A8,Registro!$A$227:$A$256,0))),0)</f>
        <v>0</v>
      </c>
      <c r="AD8" s="0" t="n">
        <f aca="false">IFERROR(N(INDEX(Registro!$AA$227:$AA$256,MATCH($A8,Registro!$A$227:$A$256,0))),0)</f>
        <v>0</v>
      </c>
      <c r="AE8" s="0" t="n">
        <f aca="false">IFERROR(N(INDEX(Registro!$I$263:$I$292,MATCH($A8,Registro!$A$263:$A$292,0))),0)</f>
        <v>0</v>
      </c>
      <c r="AF8" s="0" t="n">
        <f aca="false">IFERROR(N(INDEX(Registro!$O$263:$O$292,MATCH($A8,Registro!$A$263:$A$292,0))),0)</f>
        <v>0</v>
      </c>
      <c r="AG8" s="0" t="n">
        <f aca="false">IFERROR(N(INDEX(Registro!$U$263:$U$292,MATCH($A8,Registro!$A$263:$A$292,0))),0)</f>
        <v>0</v>
      </c>
      <c r="AH8" s="0" t="n">
        <f aca="false">IFERROR(N(INDEX(Registro!$AA$263:$AA$292,MATCH($A8,Registro!$A$263:$A$292,0))),0)</f>
        <v>0</v>
      </c>
      <c r="AI8" s="0" t="n">
        <f aca="false">IFERROR(N(INDEX(Registro!$I$299:$I$328,MATCH($A8,Registro!$A$299:$A$328,0))),0)</f>
        <v>0</v>
      </c>
      <c r="AJ8" s="0" t="n">
        <f aca="false">IFERROR(N(INDEX(Registro!$O$299:$O$328,MATCH($A8,Registro!$A$299:$A$328,0))),0)</f>
        <v>0</v>
      </c>
      <c r="AK8" s="0" t="n">
        <f aca="false">IFERROR(N(INDEX(Registro!$U$299:$U$328,MATCH($A8,Registro!$A$299:$A$328,0))),0)</f>
        <v>0</v>
      </c>
      <c r="AL8" s="0" t="n">
        <f aca="false">IFERROR(N(INDEX(Registro!$AA$299:$AA$328,MATCH($A8,Registro!$A$299:$A$328,0))),0)</f>
        <v>0</v>
      </c>
      <c r="AM8" s="0" t="n">
        <f aca="false">IFERROR(N(INDEX(Registro!$I$335:$I$364,MATCH($A8,Registro!$A$335:$A$364,0))),0)</f>
        <v>0</v>
      </c>
      <c r="AN8" s="0" t="n">
        <f aca="false">IFERROR(N(INDEX(Registro!$O$335:$O$364,MATCH($A8,Registro!$A$335:$A$364,0))),0)</f>
        <v>0</v>
      </c>
      <c r="AO8" s="0" t="n">
        <f aca="false">IFERROR(N(INDEX(Registro!$U$335:$U$364,MATCH($A8,Registro!$A$335:$A$364,0))),0)</f>
        <v>0</v>
      </c>
      <c r="AP8" s="0" t="n">
        <f aca="false">IFERROR(N(INDEX(Registro!$AA$335:$AA$364,MATCH($A8,Registro!$A$335:$A$364,0))),0)</f>
        <v>0</v>
      </c>
      <c r="AQ8" s="0" t="n">
        <f aca="false">IFERROR(N(INDEX(Registro!$I$371:$I$400,MATCH($A8,Registro!$A$371:$A$400,0))),0)</f>
        <v>0</v>
      </c>
      <c r="AR8" s="0" t="n">
        <f aca="false">IFERROR(N(INDEX(Registro!$O$371:$O$400,MATCH($A8,Registro!$A$371:$A$400,0))),0)</f>
        <v>0</v>
      </c>
      <c r="AS8" s="0" t="n">
        <f aca="false">IFERROR(N(INDEX(Registro!$U$371:$U$400,MATCH($A8,Registro!$A$371:$A$400,0))),0)</f>
        <v>0</v>
      </c>
      <c r="AT8" s="0" t="n">
        <f aca="false">IFERROR(N(INDEX(Registro!$AA$371:$AA$400,MATCH($A8,Registro!$A$371:$A$400,0))),0)</f>
        <v>0</v>
      </c>
      <c r="AU8" s="0" t="n">
        <f aca="false">IFERROR(N(INDEX(Registro!$I$407:$I$436,MATCH($A8,Registro!$A$407:$A$436,0))),0)</f>
        <v>0</v>
      </c>
      <c r="AV8" s="0" t="n">
        <f aca="false">IFERROR(N(INDEX(Registro!$O$407:$O$436,MATCH($A8,Registro!$A$407:$A$436,0))),0)</f>
        <v>0</v>
      </c>
      <c r="AW8" s="0" t="n">
        <f aca="false">IFERROR(N(INDEX(Registro!$U$407:$U$436,MATCH($A8,Registro!$A$407:$A$436,0))),0)</f>
        <v>0</v>
      </c>
      <c r="AX8" s="0" t="n">
        <f aca="false">IFERROR(N(INDEX(Registro!$AA$407:$AA$436,MATCH($A8,Registro!$A$407:$A$436,0))),0)</f>
        <v>0</v>
      </c>
      <c r="AY8" s="0" t="n">
        <f aca="false">IFERROR(N(INDEX(Registro!$I$443:$I$472,MATCH($A8,Registro!$A$443:$A$472,0))),0)</f>
        <v>0</v>
      </c>
      <c r="AZ8" s="0" t="n">
        <f aca="false">IFERROR(N(INDEX(Registro!$O$443:$O$472,MATCH($A8,Registro!$A$443:$A$472,0))),0)</f>
        <v>0</v>
      </c>
      <c r="BA8" s="0" t="n">
        <f aca="false">IFERROR(N(INDEX(Registro!$U$443:$U$472,MATCH($A8,Registro!$A$443:$A$472,0))),0)</f>
        <v>0</v>
      </c>
      <c r="BB8" s="0" t="n">
        <f aca="false">IFERROR(N(INDEX(Registro!$AA$443:$AA$472,MATCH($A8,Registro!$A$443:$A$472,0))),0)</f>
        <v>0</v>
      </c>
      <c r="BC8" s="0" t="n">
        <f aca="false">IFERROR(N(INDEX(Registro!$I$479:$I$508,MATCH($A8,Registro!$A$479:$A$508,0))),0)</f>
        <v>0</v>
      </c>
      <c r="BD8" s="0" t="n">
        <f aca="false">IFERROR(N(INDEX(Registro!$O$479:$O$508,MATCH($A8,Registro!$A$479:$A$508,0))),0)</f>
        <v>0</v>
      </c>
      <c r="BE8" s="0" t="n">
        <f aca="false">IFERROR(N(INDEX(Registro!$U$479:$U$508,MATCH($A8,Registro!$A$479:$A$508,0))),0)</f>
        <v>0</v>
      </c>
      <c r="BF8" s="0" t="n">
        <f aca="false">IFERROR(N(INDEX(Registro!$AA$479:$AA$508,MATCH($A8,Registro!$A$479:$A$508,0))),0)</f>
        <v>0</v>
      </c>
      <c r="BG8" s="0" t="n">
        <f aca="false">IFERROR(N(INDEX(Registro!$I$515:$I$544,MATCH($A8,Registro!$A$515:$A$544,0))),0)</f>
        <v>0</v>
      </c>
      <c r="BH8" s="0" t="n">
        <f aca="false">IFERROR(N(INDEX(Registro!$O$515:$O$544,MATCH($A8,Registro!$A$515:$A$544,0))),0)</f>
        <v>0</v>
      </c>
      <c r="BI8" s="0" t="n">
        <f aca="false">IFERROR(N(INDEX(Registro!$U$515:$U$544,MATCH($A8,Registro!$A$515:$A$544,0))),0)</f>
        <v>0</v>
      </c>
      <c r="BJ8" s="0" t="n">
        <f aca="false">IFERROR(N(INDEX(Registro!$AA$515:$AA$544,MATCH($A8,Registro!$A$515:$A$544,0))),0)</f>
        <v>0</v>
      </c>
      <c r="BK8" s="0" t="n">
        <f aca="false">IFERROR(N(INDEX(Registro!$I$551:$I$580,MATCH($A8,Registro!$A$551:$A$580,0))),0)</f>
        <v>0</v>
      </c>
      <c r="BL8" s="0" t="n">
        <f aca="false">IFERROR(N(INDEX(Registro!$O$551:$O$580,MATCH($A8,Registro!$A$551:$A$580,0))),0)</f>
        <v>0</v>
      </c>
      <c r="BM8" s="0" t="n">
        <f aca="false">IFERROR(N(INDEX(Registro!$U$551:$U$580,MATCH($A8,Registro!$A$551:$A$580,0))),0)</f>
        <v>0</v>
      </c>
      <c r="BN8" s="0" t="n">
        <f aca="false">IFERROR(N(INDEX(Registro!$AA$551:$AA$580,MATCH($A8,Registro!$A$551:$A$580,0))),0)</f>
        <v>0</v>
      </c>
      <c r="BO8" s="0" t="n">
        <f aca="false">IFERROR(N(INDEX(Registro!$I$587:$I$616,MATCH($A8,Registro!$A$587:$A$616,0))),0)</f>
        <v>0</v>
      </c>
      <c r="BP8" s="0" t="n">
        <f aca="false">IFERROR(N(INDEX(Registro!$O$587:$O$616,MATCH($A8,Registro!$A$587:$A$616,0))),0)</f>
        <v>0</v>
      </c>
      <c r="BQ8" s="0" t="n">
        <f aca="false">IFERROR(N(INDEX(Registro!$U$587:$U$616,MATCH($A8,Registro!$A$587:$A$616,0))),0)</f>
        <v>0</v>
      </c>
      <c r="BR8" s="0" t="n">
        <f aca="false">IFERROR(N(INDEX(Registro!$AA$587:$AA$616,MATCH($A8,Registro!$A$587:$A$616,0))),0)</f>
        <v>0</v>
      </c>
      <c r="BS8" s="0" t="n">
        <f aca="false">IFERROR(N(INDEX(Registro!$I$623:$I$652,MATCH($A8,Registro!$A$623:$A$652,0))),0)</f>
        <v>0</v>
      </c>
      <c r="BT8" s="0" t="n">
        <f aca="false">IFERROR(N(INDEX(Registro!$O$623:$O$652,MATCH($A8,Registro!$A$623:$A$652,0))),0)</f>
        <v>0</v>
      </c>
      <c r="BU8" s="0" t="n">
        <f aca="false">IFERROR(N(INDEX(Registro!$U$623:$U$652,MATCH($A8,Registro!$A$623:$A$652,0))),0)</f>
        <v>0</v>
      </c>
      <c r="BV8" s="0" t="n">
        <f aca="false">IFERROR(N(INDEX(Registro!$AA$623:$AA$652,MATCH($A8,Registro!$A$623:$A$652,0))),0)</f>
        <v>0</v>
      </c>
      <c r="BW8" s="0" t="n">
        <f aca="false">IFERROR(N(INDEX(Registro!$I$659:$I$688,MATCH($A8,Registro!$A$659:$A$688,0))),0)</f>
        <v>0</v>
      </c>
      <c r="BX8" s="0" t="n">
        <f aca="false">IFERROR(N(INDEX(Registro!$O$659:$O$688,MATCH($A8,Registro!$A$659:$A$688,0))),0)</f>
        <v>0</v>
      </c>
      <c r="BY8" s="0" t="n">
        <f aca="false">IFERROR(N(INDEX(Registro!$U$659:$U$688,MATCH($A8,Registro!$A$659:$A$688,0))),0)</f>
        <v>0</v>
      </c>
      <c r="BZ8" s="0" t="n">
        <f aca="false">IFERROR(N(INDEX(Registro!$AA$659:$AA$688,MATCH($A8,Registro!$A$659:$A$688,0))),0)</f>
        <v>0</v>
      </c>
      <c r="CA8" s="0" t="n">
        <f aca="false">IFERROR(N(INDEX(Registro!$I$695:$I$724,MATCH($A8,Registro!$A$695:$A$724,0))),0)</f>
        <v>0</v>
      </c>
      <c r="CB8" s="0" t="n">
        <f aca="false">IFERROR(N(INDEX(Registro!$O$695:$O$724,MATCH($A8,Registro!$A$695:$A$724,0))),0)</f>
        <v>0</v>
      </c>
      <c r="CC8" s="0" t="n">
        <f aca="false">IFERROR(N(INDEX(Registro!$U$695:$U$724,MATCH($A8,Registro!$A$695:$A$724,0))),0)</f>
        <v>0</v>
      </c>
      <c r="CD8" s="0" t="n">
        <f aca="false">IFERROR(N(INDEX(Registro!$AA$695:$AA$724,MATCH($A8,Registro!$A$695:$A$724,0))),0)</f>
        <v>0</v>
      </c>
      <c r="CE8" s="0" t="n">
        <f aca="false">IFERROR(IF(ISNUMBER(INDEX(Registro!$I$11:$I$40,MATCH($A8,Registro!$A$11:$A$40,0))),CE$5,0),0)</f>
        <v>1</v>
      </c>
      <c r="CF8" s="0" t="n">
        <f aca="false">IFERROR(IF(ISNUMBER(INDEX(Registro!$O$11:$O$40,MATCH($A8,Registro!$A$11:$A$40,0))),CF$5,0),0)</f>
        <v>0</v>
      </c>
      <c r="CG8" s="0" t="n">
        <f aca="false">IFERROR(IF(ISNUMBER(INDEX(Registro!$U$11:$U$40,MATCH($A8,Registro!$A$11:$A$40,0))),CG$5,0),0)</f>
        <v>0</v>
      </c>
      <c r="CH8" s="0" t="n">
        <f aca="false">IFERROR(IF(ISNUMBER(INDEX(Registro!$AA$11:$AA$40,MATCH($A8,Registro!$A$11:$A$40,0))),CH$5,0),0)</f>
        <v>0</v>
      </c>
      <c r="CI8" s="0" t="n">
        <f aca="false">IFERROR(IF(ISNUMBER(INDEX(Registro!$I$47:$I$76,MATCH($A8,Registro!$A$47:$A$76,0))),CI$5,0),0)</f>
        <v>1</v>
      </c>
      <c r="CJ8" s="0" t="n">
        <f aca="false">IFERROR(IF(ISNUMBER(INDEX(Registro!$O$47:$O$76,MATCH($A8,Registro!$A$47:$A$76,0))),CJ$5,0),0)</f>
        <v>1</v>
      </c>
      <c r="CK8" s="0" t="n">
        <f aca="false">IFERROR(IF(ISNUMBER(INDEX(Registro!$U$47:$U$76,MATCH($A8,Registro!$A$47:$A$76,0))),CK$5,0),0)</f>
        <v>0</v>
      </c>
      <c r="CL8" s="0" t="n">
        <f aca="false">IFERROR(IF(ISNUMBER(INDEX(Registro!$AA$47:$AA$76,MATCH($A8,Registro!$A$47:$A$76,0))),CL$5,0),0)</f>
        <v>0</v>
      </c>
      <c r="CM8" s="0" t="n">
        <f aca="false">IFERROR(IF(ISNUMBER(INDEX(Registro!$I$83:$I$112,MATCH($A8,Registro!$A$83:$A$112,0))),CM$5,0),0)</f>
        <v>0</v>
      </c>
      <c r="CN8" s="0" t="n">
        <f aca="false">IFERROR(IF(ISNUMBER(INDEX(Registro!$O$83:$O$112,MATCH($A8,Registro!$A$83:$A$112,0))),CN$5,0),0)</f>
        <v>0</v>
      </c>
      <c r="CO8" s="0" t="n">
        <f aca="false">IFERROR(IF(ISNUMBER(INDEX(Registro!$U$83:$U$112,MATCH($A8,Registro!$A$83:$A$112,0))),CO$5,0),0)</f>
        <v>0</v>
      </c>
      <c r="CP8" s="0" t="n">
        <f aca="false">IFERROR(IF(ISNUMBER(INDEX(Registro!$AA$83:$AA$112,MATCH($A8,Registro!$A$83:$A$112,0))),CP$5,0),0)</f>
        <v>0</v>
      </c>
      <c r="CQ8" s="0" t="n">
        <f aca="false">IFERROR(IF(ISNUMBER(INDEX(Registro!$I$119:$I$148,MATCH($A8,Registro!$A$119:$A$148,0))),CQ$5,0),0)</f>
        <v>0</v>
      </c>
      <c r="CR8" s="0" t="n">
        <f aca="false">IFERROR(IF(ISNUMBER(INDEX(Registro!$O$119:$O$148,MATCH($A8,Registro!$A$119:$A$148,0))),CR$5,0),0)</f>
        <v>0</v>
      </c>
      <c r="CS8" s="0" t="n">
        <f aca="false">IFERROR(IF(ISNUMBER(INDEX(Registro!$U$119:$U$148,MATCH($A8,Registro!$A$119:$A$148,0))),CS$5,0),0)</f>
        <v>0</v>
      </c>
      <c r="CT8" s="0" t="n">
        <f aca="false">IFERROR(IF(ISNUMBER(INDEX(Registro!$AA$119:$AA$148,MATCH($A8,Registro!$A$119:$A$148,0))),CT$5,0),0)</f>
        <v>0</v>
      </c>
      <c r="CU8" s="0" t="n">
        <f aca="false">IFERROR(IF(ISNUMBER(INDEX(Registro!$I$155:$I$184,MATCH($A8,Registro!$A$155:$A$184,0))),CU$5,0),0)</f>
        <v>0</v>
      </c>
      <c r="CV8" s="0" t="n">
        <f aca="false">IFERROR(IF(ISNUMBER(INDEX(Registro!$O$155:$O$184,MATCH($A8,Registro!$A$155:$A$184,0))),CV$5,0),0)</f>
        <v>0</v>
      </c>
      <c r="CW8" s="0" t="n">
        <f aca="false">IFERROR(IF(ISNUMBER(INDEX(Registro!$U$155:$U$184,MATCH($A8,Registro!$A$155:$A$184,0))),CW$5,0),0)</f>
        <v>0</v>
      </c>
      <c r="CX8" s="0" t="n">
        <f aca="false">IFERROR(IF(ISNUMBER(INDEX(Registro!$AA$155:$AA$184,MATCH($A8,Registro!$A$155:$A$184,0))),CX$5,0),0)</f>
        <v>0</v>
      </c>
      <c r="CY8" s="0" t="n">
        <f aca="false">IFERROR(IF(ISNUMBER(INDEX(Registro!$I$191:$I$220,MATCH($A8,Registro!$A$191:$A$220,0))),CY$5,0),0)</f>
        <v>0</v>
      </c>
      <c r="CZ8" s="0" t="n">
        <f aca="false">IFERROR(IF(ISNUMBER(INDEX(Registro!$O$191:$O$220,MATCH($A8,Registro!$A$191:$A$220,0))),CZ$5,0),0)</f>
        <v>0</v>
      </c>
      <c r="DA8" s="0" t="n">
        <f aca="false">IFERROR(IF(ISNUMBER(INDEX(Registro!$U$191:$U$220,MATCH($A8,Registro!$A$191:$A$220,0))),DA$5,0),0)</f>
        <v>0</v>
      </c>
      <c r="DB8" s="0" t="n">
        <f aca="false">IFERROR(IF(ISNUMBER(INDEX(Registro!$AA$191:$AA$220,MATCH($A8,Registro!$A$191:$A$220,0))),DB$5,0),0)</f>
        <v>0</v>
      </c>
      <c r="DC8" s="0" t="n">
        <f aca="false">IFERROR(IF(ISNUMBER(INDEX(Registro!$I$227:$I$256,MATCH($A8,Registro!$A$227:$A$256,0))),DC$5,0),0)</f>
        <v>0</v>
      </c>
      <c r="DD8" s="0" t="n">
        <f aca="false">IFERROR(IF(ISNUMBER(INDEX(Registro!$O$227:$O$256,MATCH($A8,Registro!$A$227:$A$256,0))),DD$5,0),0)</f>
        <v>0</v>
      </c>
      <c r="DE8" s="0" t="n">
        <f aca="false">IFERROR(IF(ISNUMBER(INDEX(Registro!$U$227:$U$256,MATCH($A8,Registro!$A$227:$A$256,0))),DE$5,0),0)</f>
        <v>0</v>
      </c>
      <c r="DF8" s="0" t="n">
        <f aca="false">IFERROR(IF(ISNUMBER(INDEX(Registro!$AA$227:$AA$256,MATCH($A8,Registro!$A$227:$A$256,0))),DF$5,0),0)</f>
        <v>0</v>
      </c>
      <c r="DG8" s="0" t="n">
        <f aca="false">IFERROR(IF(ISNUMBER(INDEX(Registro!$I$263:$I$292,MATCH($A8,Registro!$A$263:$A$292,0))),DG$5,0),0)</f>
        <v>0</v>
      </c>
      <c r="DH8" s="0" t="n">
        <f aca="false">IFERROR(IF(ISNUMBER(INDEX(Registro!$O$263:$O$292,MATCH($A8,Registro!$A$263:$A$292,0))),DH$5,0),0)</f>
        <v>0</v>
      </c>
      <c r="DI8" s="0" t="n">
        <f aca="false">IFERROR(IF(ISNUMBER(INDEX(Registro!$U$263:$U$292,MATCH($A8,Registro!$A$263:$A$292,0))),DI$5,0),0)</f>
        <v>0</v>
      </c>
      <c r="DJ8" s="0" t="n">
        <f aca="false">IFERROR(IF(ISNUMBER(INDEX(Registro!$AA$263:$AA$292,MATCH($A8,Registro!$A$263:$A$292,0))),DJ$5,0),0)</f>
        <v>0</v>
      </c>
      <c r="DK8" s="0" t="n">
        <f aca="false">IFERROR(IF(ISNUMBER(INDEX(Registro!$I$299:$I$328,MATCH($A8,Registro!$A$299:$A$328,0))),DK$5,0),0)</f>
        <v>0</v>
      </c>
      <c r="DL8" s="0" t="n">
        <f aca="false">IFERROR(IF(ISNUMBER(INDEX(Registro!$O$299:$O$328,MATCH($A8,Registro!$A$299:$A$328,0))),DL$5,0),0)</f>
        <v>0</v>
      </c>
      <c r="DM8" s="0" t="n">
        <f aca="false">IFERROR(IF(ISNUMBER(INDEX(Registro!$U$299:$U$328,MATCH($A8,Registro!$A$299:$A$328,0))),DM$5,0),0)</f>
        <v>0</v>
      </c>
      <c r="DN8" s="0" t="n">
        <f aca="false">IFERROR(IF(ISNUMBER(INDEX(Registro!$AA$299:$AA$328,MATCH($A8,Registro!$A$299:$A$328,0))),DN$5,0),0)</f>
        <v>0</v>
      </c>
      <c r="DO8" s="0" t="n">
        <f aca="false">IFERROR(IF(ISNUMBER(INDEX(Registro!$I$335:$I$364,MATCH($A8,Registro!$A$335:$A$364,0))),DO$5,0),0)</f>
        <v>0</v>
      </c>
      <c r="DP8" s="0" t="n">
        <f aca="false">IFERROR(IF(ISNUMBER(INDEX(Registro!$O$335:$O$364,MATCH($A8,Registro!$A$335:$A$364,0))),DP$5,0),0)</f>
        <v>0</v>
      </c>
      <c r="DQ8" s="0" t="n">
        <f aca="false">IFERROR(IF(ISNUMBER(INDEX(Registro!$U$335:$U$364,MATCH($A8,Registro!$A$335:$A$364,0))),DQ$5,0),0)</f>
        <v>0</v>
      </c>
      <c r="DR8" s="0" t="n">
        <f aca="false">IFERROR(IF(ISNUMBER(INDEX(Registro!$AA$335:$AA$364,MATCH($A8,Registro!$A$335:$A$364,0))),DR$5,0),0)</f>
        <v>0</v>
      </c>
      <c r="DS8" s="0" t="n">
        <f aca="false">IFERROR(IF(ISNUMBER(INDEX(Registro!$I$371:$I$400,MATCH($A8,Registro!$A$371:$A$400,0))),DS$5,0),0)</f>
        <v>0</v>
      </c>
      <c r="DT8" s="0" t="n">
        <f aca="false">IFERROR(IF(ISNUMBER(INDEX(Registro!$O$371:$O$400,MATCH($A8,Registro!$A$371:$A$400,0))),DT$5,0),0)</f>
        <v>0</v>
      </c>
      <c r="DU8" s="0" t="n">
        <f aca="false">IFERROR(IF(ISNUMBER(INDEX(Registro!$U$371:$U$400,MATCH($A8,Registro!$A$371:$A$400,0))),DU$5,0),0)</f>
        <v>0</v>
      </c>
      <c r="DV8" s="0" t="n">
        <f aca="false">IFERROR(IF(ISNUMBER(INDEX(Registro!$AA$371:$AA$400,MATCH($A8,Registro!$A$371:$A$400,0))),DV$5,0),0)</f>
        <v>0</v>
      </c>
      <c r="DW8" s="0" t="n">
        <f aca="false">IFERROR(IF(ISNUMBER(INDEX(Registro!$I$407:$I$436,MATCH($A8,Registro!$A$407:$A$436,0))),DW$5,0),0)</f>
        <v>0</v>
      </c>
      <c r="DX8" s="0" t="n">
        <f aca="false">IFERROR(IF(ISNUMBER(INDEX(Registro!$O$407:$O$436,MATCH($A8,Registro!$A$407:$A$436,0))),DX$5,0),0)</f>
        <v>0</v>
      </c>
      <c r="DY8" s="0" t="n">
        <f aca="false">IFERROR(IF(ISNUMBER(INDEX(Registro!$U$407:$U$436,MATCH($A8,Registro!$A$407:$A$436,0))),DY$5,0),0)</f>
        <v>0</v>
      </c>
      <c r="DZ8" s="0" t="n">
        <f aca="false">IFERROR(IF(ISNUMBER(INDEX(Registro!$AA$407:$AA$436,MATCH($A8,Registro!$A$407:$A$436,0))),DZ$5,0),0)</f>
        <v>0</v>
      </c>
      <c r="EA8" s="0" t="n">
        <f aca="false">IFERROR(IF(ISNUMBER(INDEX(Registro!$I$443:$I$472,MATCH($A8,Registro!$A$443:$A$472,0))),EA$5,0),0)</f>
        <v>0</v>
      </c>
      <c r="EB8" s="0" t="n">
        <f aca="false">IFERROR(IF(ISNUMBER(INDEX(Registro!$O$443:$O$472,MATCH($A8,Registro!$A$443:$A$472,0))),EB$5,0),0)</f>
        <v>0</v>
      </c>
      <c r="EC8" s="0" t="n">
        <f aca="false">IFERROR(IF(ISNUMBER(INDEX(Registro!$U$443:$U$472,MATCH($A8,Registro!$A$443:$A$472,0))),EC$5,0),0)</f>
        <v>0</v>
      </c>
      <c r="ED8" s="0" t="n">
        <f aca="false">IFERROR(IF(ISNUMBER(INDEX(Registro!$AA$443:$AA$472,MATCH($A8,Registro!$A$443:$A$472,0))),ED$5,0),0)</f>
        <v>0</v>
      </c>
      <c r="EE8" s="0" t="n">
        <f aca="false">IFERROR(IF(ISNUMBER(INDEX(Registro!$I$479:$I$508,MATCH($A8,Registro!$A$479:$A$508,0))),EE$5,0),0)</f>
        <v>0</v>
      </c>
      <c r="EF8" s="0" t="n">
        <f aca="false">IFERROR(IF(ISNUMBER(INDEX(Registro!$O$479:$O$508,MATCH($A8,Registro!$A$479:$A$508,0))),EF$5,0),0)</f>
        <v>0</v>
      </c>
      <c r="EG8" s="0" t="n">
        <f aca="false">IFERROR(IF(ISNUMBER(INDEX(Registro!$U$479:$U$508,MATCH($A8,Registro!$A$479:$A$508,0))),EG$5,0),0)</f>
        <v>0</v>
      </c>
      <c r="EH8" s="0" t="n">
        <f aca="false">IFERROR(IF(ISNUMBER(INDEX(Registro!$AA$479:$AA$508,MATCH($A8,Registro!$A$479:$A$508,0))),EH$5,0),0)</f>
        <v>0</v>
      </c>
      <c r="EI8" s="0" t="n">
        <f aca="false">IFERROR(IF(ISNUMBER(INDEX(Registro!$I$515:$I$544,MATCH($A8,Registro!$A$515:$A$544,0))),EI$5,0),0)</f>
        <v>0</v>
      </c>
      <c r="EJ8" s="0" t="n">
        <f aca="false">IFERROR(IF(ISNUMBER(INDEX(Registro!$O$515:$O$544,MATCH($A8,Registro!$A$515:$A$544,0))),EJ$5,0),0)</f>
        <v>0</v>
      </c>
      <c r="EK8" s="0" t="n">
        <f aca="false">IFERROR(IF(ISNUMBER(INDEX(Registro!$U$515:$U$544,MATCH($A8,Registro!$A$515:$A$544,0))),EK$5,0),0)</f>
        <v>0</v>
      </c>
      <c r="EL8" s="0" t="n">
        <f aca="false">IFERROR(IF(ISNUMBER(INDEX(Registro!$AA$515:$AA$544,MATCH($A8,Registro!$A$515:$A$544,0))),EL$5,0),0)</f>
        <v>0</v>
      </c>
      <c r="EM8" s="0" t="n">
        <f aca="false">IFERROR(IF(ISNUMBER(INDEX(Registro!$I$551:$I$580,MATCH($A8,Registro!$A$551:$A$580,0))),EM$5,0),0)</f>
        <v>0</v>
      </c>
      <c r="EN8" s="0" t="n">
        <f aca="false">IFERROR(IF(ISNUMBER(INDEX(Registro!$O$551:$O$580,MATCH($A8,Registro!$A$551:$A$580,0))),EN$5,0),0)</f>
        <v>0</v>
      </c>
      <c r="EO8" s="0" t="n">
        <f aca="false">IFERROR(IF(ISNUMBER(INDEX(Registro!$U$551:$U$580,MATCH($A8,Registro!$A$551:$A$580,0))),EO$5,0),0)</f>
        <v>0</v>
      </c>
      <c r="EP8" s="0" t="n">
        <f aca="false">IFERROR(IF(ISNUMBER(INDEX(Registro!$AA$551:$AA$580,MATCH($A8,Registro!$A$551:$A$580,0))),EP$5,0),0)</f>
        <v>0</v>
      </c>
      <c r="EQ8" s="0" t="n">
        <f aca="false">IFERROR(IF(ISNUMBER(INDEX(Registro!$I$587:$I$616,MATCH($A8,Registro!$A$587:$A$616,0))),EQ$5,0),0)</f>
        <v>0</v>
      </c>
      <c r="ER8" s="0" t="n">
        <f aca="false">IFERROR(IF(ISNUMBER(INDEX(Registro!$O$587:$O$616,MATCH($A8,Registro!$A$587:$A$616,0))),ER$5,0),0)</f>
        <v>0</v>
      </c>
      <c r="ES8" s="0" t="n">
        <f aca="false">IFERROR(IF(ISNUMBER(INDEX(Registro!$U$587:$U$616,MATCH($A8,Registro!$A$587:$A$616,0))),ES$5,0),0)</f>
        <v>0</v>
      </c>
      <c r="ET8" s="0" t="n">
        <f aca="false">IFERROR(IF(ISNUMBER(INDEX(Registro!$AA$587:$AA$616,MATCH($A8,Registro!$A$587:$A$616,0))),ET$5,0),0)</f>
        <v>0</v>
      </c>
      <c r="EU8" s="0" t="n">
        <f aca="false">IFERROR(IF(ISNUMBER(INDEX(Registro!$I$623:$I$652,MATCH($A8,Registro!$A$623:$A$652,0))),EU$5,0),0)</f>
        <v>0</v>
      </c>
      <c r="EV8" s="0" t="n">
        <f aca="false">IFERROR(IF(ISNUMBER(INDEX(Registro!$O$623:$O$652,MATCH($A8,Registro!$A$623:$A$652,0))),EV$5,0),0)</f>
        <v>0</v>
      </c>
      <c r="EW8" s="0" t="n">
        <f aca="false">IFERROR(IF(ISNUMBER(INDEX(Registro!$U$623:$U$652,MATCH($A8,Registro!$A$623:$A$652,0))),EW$5,0),0)</f>
        <v>0</v>
      </c>
      <c r="EX8" s="0" t="n">
        <f aca="false">IFERROR(IF(ISNUMBER(INDEX(Registro!$AA$623:$AA$652,MATCH($A8,Registro!$A$623:$A$652,0))),EX$5,0),0)</f>
        <v>0</v>
      </c>
      <c r="EY8" s="0" t="n">
        <f aca="false">IFERROR(IF(ISNUMBER(INDEX(Registro!$I$659:$I$688,MATCH($A8,Registro!$A$659:$A$688,0))),EY$5,0),0)</f>
        <v>0</v>
      </c>
      <c r="EZ8" s="0" t="n">
        <f aca="false">IFERROR(IF(ISNUMBER(INDEX(Registro!$O$659:$O$688,MATCH($A8,Registro!$A$659:$A$688,0))),EZ$5,0),0)</f>
        <v>0</v>
      </c>
      <c r="FA8" s="0" t="n">
        <f aca="false">IFERROR(IF(ISNUMBER(INDEX(Registro!$U$659:$U$688,MATCH($A8,Registro!$A$659:$A$688,0))),FA$5,0),0)</f>
        <v>0</v>
      </c>
      <c r="FB8" s="0" t="n">
        <f aca="false">IFERROR(IF(ISNUMBER(INDEX(Registro!$AA$659:$AA$688,MATCH($A8,Registro!$A$659:$A$688,0))),FB$5,0),0)</f>
        <v>0</v>
      </c>
      <c r="FC8" s="0" t="n">
        <f aca="false">IFERROR(IF(ISNUMBER(INDEX(Registro!$I$695:$I$724,MATCH($A8,Registro!$A$695:$A$724,0))),FC$5,0),0)</f>
        <v>0</v>
      </c>
      <c r="FD8" s="0" t="n">
        <f aca="false">IFERROR(IF(ISNUMBER(INDEX(Registro!$O$695:$O$724,MATCH($A8,Registro!$A$695:$A$724,0))),FD$5,0),0)</f>
        <v>0</v>
      </c>
      <c r="FE8" s="0" t="n">
        <f aca="false">IFERROR(IF(ISNUMBER(INDEX(Registro!$U$695:$U$724,MATCH($A8,Registro!$A$695:$A$724,0))),FE$5,0),0)</f>
        <v>0</v>
      </c>
      <c r="FF8" s="0" t="n">
        <f aca="false">IFERROR(IF(ISNUMBER(INDEX(Registro!$AA$695:$AA$724,MATCH($A8,Registro!$A$695:$A$724,0))),FF$5,0),0)</f>
        <v>0</v>
      </c>
      <c r="FG8" s="0" t="n">
        <f aca="false">IFERROR(IF(AND(INDEX(Registro!$C$11:$C$40,MATCH($A8,Registro!$A$11:$A$40,0))="AS",INDEX(Registro!$D$11:$D$40,MATCH($A8,Registro!$A$11:$A$40,0))&amp;""=""),1,0),0)</f>
        <v>0</v>
      </c>
      <c r="FH8" s="0" t="n">
        <f aca="false">IFERROR(IF(AND(INDEX(Registro!$C$47:$C$76,MATCH($A8,Registro!$A$47:$A$76,0))="AS",INDEX(Registro!$D$47:$D$76,MATCH($A8,Registro!$A$47:$A$76,0))&amp;""=""),1,0),0)</f>
        <v>0</v>
      </c>
      <c r="FI8" s="0" t="n">
        <f aca="false">IFERROR(IF(AND(INDEX(Registro!$C$83:$C$112,MATCH($A8,Registro!$A$83:$A$112,0))="AS",INDEX(Registro!$D$83:$D$112,MATCH($A8,Registro!$A$83:$A$112,0))&amp;""=""),1,0),0)</f>
        <v>1</v>
      </c>
      <c r="FJ8" s="0" t="n">
        <f aca="false">IFERROR(IF(AND(INDEX(Registro!$C$119:$C$148,MATCH($A8,Registro!$A$119:$A$148,0))="AS",INDEX(Registro!$D$119:$D$148,MATCH($A8,Registro!$A$119:$A$148,0))&amp;""=""),1,0),0)</f>
        <v>0</v>
      </c>
      <c r="FK8" s="0" t="n">
        <f aca="false">IFERROR(IF(AND(INDEX(Registro!$C$155:$C$184,MATCH($A8,Registro!$A$155:$A$184,0))="AS",INDEX(Registro!$D$155:$D$184,MATCH($A8,Registro!$A$155:$A$184,0))&amp;""=""),1,0),0)</f>
        <v>0</v>
      </c>
      <c r="FL8" s="0" t="n">
        <f aca="false">IFERROR(IF(AND(INDEX(Registro!$C$191:$C$220,MATCH($A8,Registro!$A$191:$A$220,0))="AS",INDEX(Registro!$D$191:$D$220,MATCH($A8,Registro!$A$191:$A$220,0))&amp;""=""),1,0),0)</f>
        <v>0</v>
      </c>
      <c r="FM8" s="0" t="n">
        <f aca="false">IFERROR(IF(AND(INDEX(Registro!$C$227:$C$256,MATCH($A8,Registro!$A$227:$A$256,0))="AS",INDEX(Registro!$D$227:$D$256,MATCH($A8,Registro!$A$227:$A$256,0))&amp;""=""),1,0),0)</f>
        <v>0</v>
      </c>
      <c r="FN8" s="0" t="n">
        <f aca="false">IFERROR(IF(AND(INDEX(Registro!$C$263:$C$292,MATCH($A8,Registro!$A$263:$A$292,0))="AS",INDEX(Registro!$D$263:$D$292,MATCH($A8,Registro!$A$263:$A$292,0))&amp;""=""),1,0),0)</f>
        <v>0</v>
      </c>
      <c r="FO8" s="0" t="n">
        <f aca="false">IFERROR(IF(AND(INDEX(Registro!$C$299:$C$328,MATCH($A8,Registro!$A$299:$A$328,0))="AS",INDEX(Registro!$D$299:$D$328,MATCH($A8,Registro!$A$299:$A$328,0))&amp;""=""),1,0),0)</f>
        <v>0</v>
      </c>
      <c r="FP8" s="0" t="n">
        <f aca="false">IFERROR(IF(AND(INDEX(Registro!$C$335:$C$364,MATCH($A8,Registro!$A$335:$A$364,0))="AS",INDEX(Registro!$D$335:$D$364,MATCH($A8,Registro!$A$335:$A$364,0))&amp;""=""),1,0),0)</f>
        <v>0</v>
      </c>
      <c r="FQ8" s="0" t="n">
        <f aca="false">IFERROR(IF(AND(INDEX(Registro!$C$371:$C$400,MATCH($A8,Registro!$A$371:$A$400,0))="AS",INDEX(Registro!$D$371:$D$400,MATCH($A8,Registro!$A$371:$A$400,0))&amp;""=""),1,0),0)</f>
        <v>0</v>
      </c>
      <c r="FR8" s="0" t="n">
        <f aca="false">IFERROR(IF(AND(INDEX(Registro!$C$407:$C$436,MATCH($A8,Registro!$A$407:$A$436,0))="AS",INDEX(Registro!$D$407:$D$436,MATCH($A8,Registro!$A$407:$A$436,0))&amp;""=""),1,0),0)</f>
        <v>0</v>
      </c>
      <c r="FS8" s="0" t="n">
        <f aca="false">IFERROR(IF(AND(INDEX(Registro!$C$443:$C$472,MATCH($A8,Registro!$A$443:$A$472,0))="AS",INDEX(Registro!$D$443:$D$472,MATCH($A8,Registro!$A$443:$A$472,0))&amp;""=""),1,0),0)</f>
        <v>0</v>
      </c>
      <c r="FT8" s="0" t="n">
        <f aca="false">IFERROR(IF(AND(INDEX(Registro!$C$479:$C$508,MATCH($A8,Registro!$A$479:$A$508,0))="AS",INDEX(Registro!$D$479:$D$508,MATCH($A8,Registro!$A$479:$A$508,0))&amp;""=""),1,0),0)</f>
        <v>0</v>
      </c>
      <c r="FU8" s="0" t="n">
        <f aca="false">IFERROR(IF(AND(INDEX(Registro!$C$515:$C$544,MATCH($A8,Registro!$A$515:$A$544,0))="AS",INDEX(Registro!$D$515:$D$544,MATCH($A8,Registro!$A$515:$A$544,0))&amp;""=""),1,0),0)</f>
        <v>0</v>
      </c>
      <c r="FV8" s="0" t="n">
        <f aca="false">IFERROR(IF(AND(INDEX(Registro!$C$551:$C$580,MATCH($A8,Registro!$A$551:$A$580,0))="AS",INDEX(Registro!$D$551:$D$580,MATCH($A8,Registro!$A$551:$A$580,0))&amp;""=""),1,0),0)</f>
        <v>0</v>
      </c>
      <c r="FW8" s="0" t="n">
        <f aca="false">IFERROR(IF(AND(INDEX(Registro!$C$587:$C$616,MATCH($A8,Registro!$A$587:$A$616,0))="AS",INDEX(Registro!$D$587:$D$616,MATCH($A8,Registro!$A$587:$A$616,0))&amp;""=""),1,0),0)</f>
        <v>0</v>
      </c>
      <c r="FX8" s="0" t="n">
        <f aca="false">IFERROR(IF(AND(INDEX(Registro!$C$623:$C$652,MATCH($A8,Registro!$A$623:$A$652,0))="AS",INDEX(Registro!$D$623:$D$652,MATCH($A8,Registro!$A$623:$A$652,0))&amp;""=""),1,0),0)</f>
        <v>0</v>
      </c>
      <c r="FY8" s="0" t="n">
        <f aca="false">IFERROR(IF(AND(INDEX(Registro!$C$659:$C$688,MATCH($A8,Registro!$A$659:$A$688,0))="AS",INDEX(Registro!$D$659:$D$688,MATCH($A8,Registro!$A$659:$A$688,0))&amp;""=""),1,0),0)</f>
        <v>0</v>
      </c>
      <c r="FZ8" s="0" t="n">
        <f aca="false">IFERROR(IF(AND(INDEX(Registro!$C$695:$C$724,MATCH($A8,Registro!$A$695:$A$724,0))="AS",INDEX(Registro!$D$695:$D$724,MATCH($A8,Registro!$A$695:$A$724,0))&amp;""=""),1,0),0)</f>
        <v>0</v>
      </c>
    </row>
    <row r="9" customFormat="false" ht="15" hidden="false" customHeight="false" outlineLevel="0" collapsed="false">
      <c r="A9" s="0" t="n">
        <v>3</v>
      </c>
      <c r="C9" s="0" t="n">
        <f aca="false">IFERROR(N(INDEX(Registro!$I$11:$I$40,MATCH($A9,Registro!$A$11:$A$40,0))),0)</f>
        <v>0</v>
      </c>
      <c r="D9" s="0" t="n">
        <f aca="false">IFERROR(N(INDEX(Registro!$O$11:$O$40,MATCH($A9,Registro!$A$11:$A$40,0))),0)</f>
        <v>0</v>
      </c>
      <c r="E9" s="0" t="n">
        <f aca="false">IFERROR(N(INDEX(Registro!$U$11:$U$40,MATCH($A9,Registro!$A$11:$A$40,0))),0)</f>
        <v>0</v>
      </c>
      <c r="F9" s="0" t="n">
        <f aca="false">IFERROR(N(INDEX(Registro!$AA$11:$AA$40,MATCH($A9,Registro!$A$11:$A$40,0))),0)</f>
        <v>0</v>
      </c>
      <c r="G9" s="0" t="n">
        <f aca="false">IFERROR(N(INDEX(Registro!$I$47:$I$76,MATCH($A9,Registro!$A$47:$A$76,0))),0)</f>
        <v>0</v>
      </c>
      <c r="H9" s="0" t="n">
        <f aca="false">IFERROR(N(INDEX(Registro!$O$47:$O$76,MATCH($A9,Registro!$A$47:$A$76,0))),0)</f>
        <v>0</v>
      </c>
      <c r="I9" s="0" t="n">
        <f aca="false">IFERROR(N(INDEX(Registro!$U$47:$U$76,MATCH($A9,Registro!$A$47:$A$76,0))),0)</f>
        <v>0</v>
      </c>
      <c r="J9" s="0" t="n">
        <f aca="false">IFERROR(N(INDEX(Registro!$AA$47:$AA$76,MATCH($A9,Registro!$A$47:$A$76,0))),0)</f>
        <v>0</v>
      </c>
      <c r="K9" s="0" t="n">
        <f aca="false">IFERROR(N(INDEX(Registro!$I$83:$I$112,MATCH($A9,Registro!$A$83:$A$112,0))),0)</f>
        <v>0</v>
      </c>
      <c r="L9" s="0" t="n">
        <f aca="false">IFERROR(N(INDEX(Registro!$O$83:$O$112,MATCH($A9,Registro!$A$83:$A$112,0))),0)</f>
        <v>0</v>
      </c>
      <c r="M9" s="0" t="n">
        <f aca="false">IFERROR(N(INDEX(Registro!$U$83:$U$112,MATCH($A9,Registro!$A$83:$A$112,0))),0)</f>
        <v>0</v>
      </c>
      <c r="N9" s="0" t="n">
        <f aca="false">IFERROR(N(INDEX(Registro!$AA$83:$AA$112,MATCH($A9,Registro!$A$83:$A$112,0))),0)</f>
        <v>0</v>
      </c>
      <c r="O9" s="0" t="n">
        <f aca="false">IFERROR(N(INDEX(Registro!$I$119:$I$148,MATCH($A9,Registro!$A$119:$A$148,0))),0)</f>
        <v>0</v>
      </c>
      <c r="P9" s="0" t="n">
        <f aca="false">IFERROR(N(INDEX(Registro!$O$119:$O$148,MATCH($A9,Registro!$A$119:$A$148,0))),0)</f>
        <v>0</v>
      </c>
      <c r="Q9" s="0" t="n">
        <f aca="false">IFERROR(N(INDEX(Registro!$U$119:$U$148,MATCH($A9,Registro!$A$119:$A$148,0))),0)</f>
        <v>0</v>
      </c>
      <c r="R9" s="0" t="n">
        <f aca="false">IFERROR(N(INDEX(Registro!$AA$119:$AA$148,MATCH($A9,Registro!$A$119:$A$148,0))),0)</f>
        <v>0</v>
      </c>
      <c r="S9" s="0" t="n">
        <f aca="false">IFERROR(N(INDEX(Registro!$I$155:$I$184,MATCH($A9,Registro!$A$155:$A$184,0))),0)</f>
        <v>0</v>
      </c>
      <c r="T9" s="0" t="n">
        <f aca="false">IFERROR(N(INDEX(Registro!$O$155:$O$184,MATCH($A9,Registro!$A$155:$A$184,0))),0)</f>
        <v>0</v>
      </c>
      <c r="U9" s="0" t="n">
        <f aca="false">IFERROR(N(INDEX(Registro!$U$155:$U$184,MATCH($A9,Registro!$A$155:$A$184,0))),0)</f>
        <v>0</v>
      </c>
      <c r="V9" s="0" t="n">
        <f aca="false">IFERROR(N(INDEX(Registro!$AA$155:$AA$184,MATCH($A9,Registro!$A$155:$A$184,0))),0)</f>
        <v>0</v>
      </c>
      <c r="W9" s="0" t="n">
        <f aca="false">IFERROR(N(INDEX(Registro!$I$191:$I$220,MATCH($A9,Registro!$A$191:$A$220,0))),0)</f>
        <v>0</v>
      </c>
      <c r="X9" s="0" t="n">
        <f aca="false">IFERROR(N(INDEX(Registro!$O$191:$O$220,MATCH($A9,Registro!$A$191:$A$220,0))),0)</f>
        <v>0</v>
      </c>
      <c r="Y9" s="0" t="n">
        <f aca="false">IFERROR(N(INDEX(Registro!$U$191:$U$220,MATCH($A9,Registro!$A$191:$A$220,0))),0)</f>
        <v>0</v>
      </c>
      <c r="Z9" s="0" t="n">
        <f aca="false">IFERROR(N(INDEX(Registro!$AA$191:$AA$220,MATCH($A9,Registro!$A$191:$A$220,0))),0)</f>
        <v>0</v>
      </c>
      <c r="AA9" s="0" t="n">
        <f aca="false">IFERROR(N(INDEX(Registro!$I$227:$I$256,MATCH($A9,Registro!$A$227:$A$256,0))),0)</f>
        <v>0</v>
      </c>
      <c r="AB9" s="0" t="n">
        <f aca="false">IFERROR(N(INDEX(Registro!$O$227:$O$256,MATCH($A9,Registro!$A$227:$A$256,0))),0)</f>
        <v>0</v>
      </c>
      <c r="AC9" s="0" t="n">
        <f aca="false">IFERROR(N(INDEX(Registro!$U$227:$U$256,MATCH($A9,Registro!$A$227:$A$256,0))),0)</f>
        <v>0</v>
      </c>
      <c r="AD9" s="0" t="n">
        <f aca="false">IFERROR(N(INDEX(Registro!$AA$227:$AA$256,MATCH($A9,Registro!$A$227:$A$256,0))),0)</f>
        <v>0</v>
      </c>
      <c r="AE9" s="0" t="n">
        <f aca="false">IFERROR(N(INDEX(Registro!$I$263:$I$292,MATCH($A9,Registro!$A$263:$A$292,0))),0)</f>
        <v>0</v>
      </c>
      <c r="AF9" s="0" t="n">
        <f aca="false">IFERROR(N(INDEX(Registro!$O$263:$O$292,MATCH($A9,Registro!$A$263:$A$292,0))),0)</f>
        <v>0</v>
      </c>
      <c r="AG9" s="0" t="n">
        <f aca="false">IFERROR(N(INDEX(Registro!$U$263:$U$292,MATCH($A9,Registro!$A$263:$A$292,0))),0)</f>
        <v>0</v>
      </c>
      <c r="AH9" s="0" t="n">
        <f aca="false">IFERROR(N(INDEX(Registro!$AA$263:$AA$292,MATCH($A9,Registro!$A$263:$A$292,0))),0)</f>
        <v>0</v>
      </c>
      <c r="AI9" s="0" t="n">
        <f aca="false">IFERROR(N(INDEX(Registro!$I$299:$I$328,MATCH($A9,Registro!$A$299:$A$328,0))),0)</f>
        <v>0</v>
      </c>
      <c r="AJ9" s="0" t="n">
        <f aca="false">IFERROR(N(INDEX(Registro!$O$299:$O$328,MATCH($A9,Registro!$A$299:$A$328,0))),0)</f>
        <v>0</v>
      </c>
      <c r="AK9" s="0" t="n">
        <f aca="false">IFERROR(N(INDEX(Registro!$U$299:$U$328,MATCH($A9,Registro!$A$299:$A$328,0))),0)</f>
        <v>0</v>
      </c>
      <c r="AL9" s="0" t="n">
        <f aca="false">IFERROR(N(INDEX(Registro!$AA$299:$AA$328,MATCH($A9,Registro!$A$299:$A$328,0))),0)</f>
        <v>0</v>
      </c>
      <c r="AM9" s="0" t="n">
        <f aca="false">IFERROR(N(INDEX(Registro!$I$335:$I$364,MATCH($A9,Registro!$A$335:$A$364,0))),0)</f>
        <v>0</v>
      </c>
      <c r="AN9" s="0" t="n">
        <f aca="false">IFERROR(N(INDEX(Registro!$O$335:$O$364,MATCH($A9,Registro!$A$335:$A$364,0))),0)</f>
        <v>0</v>
      </c>
      <c r="AO9" s="0" t="n">
        <f aca="false">IFERROR(N(INDEX(Registro!$U$335:$U$364,MATCH($A9,Registro!$A$335:$A$364,0))),0)</f>
        <v>0</v>
      </c>
      <c r="AP9" s="0" t="n">
        <f aca="false">IFERROR(N(INDEX(Registro!$AA$335:$AA$364,MATCH($A9,Registro!$A$335:$A$364,0))),0)</f>
        <v>0</v>
      </c>
      <c r="AQ9" s="0" t="n">
        <f aca="false">IFERROR(N(INDEX(Registro!$I$371:$I$400,MATCH($A9,Registro!$A$371:$A$400,0))),0)</f>
        <v>0</v>
      </c>
      <c r="AR9" s="0" t="n">
        <f aca="false">IFERROR(N(INDEX(Registro!$O$371:$O$400,MATCH($A9,Registro!$A$371:$A$400,0))),0)</f>
        <v>0</v>
      </c>
      <c r="AS9" s="0" t="n">
        <f aca="false">IFERROR(N(INDEX(Registro!$U$371:$U$400,MATCH($A9,Registro!$A$371:$A$400,0))),0)</f>
        <v>0</v>
      </c>
      <c r="AT9" s="0" t="n">
        <f aca="false">IFERROR(N(INDEX(Registro!$AA$371:$AA$400,MATCH($A9,Registro!$A$371:$A$400,0))),0)</f>
        <v>0</v>
      </c>
      <c r="AU9" s="0" t="n">
        <f aca="false">IFERROR(N(INDEX(Registro!$I$407:$I$436,MATCH($A9,Registro!$A$407:$A$436,0))),0)</f>
        <v>0</v>
      </c>
      <c r="AV9" s="0" t="n">
        <f aca="false">IFERROR(N(INDEX(Registro!$O$407:$O$436,MATCH($A9,Registro!$A$407:$A$436,0))),0)</f>
        <v>0</v>
      </c>
      <c r="AW9" s="0" t="n">
        <f aca="false">IFERROR(N(INDEX(Registro!$U$407:$U$436,MATCH($A9,Registro!$A$407:$A$436,0))),0)</f>
        <v>0</v>
      </c>
      <c r="AX9" s="0" t="n">
        <f aca="false">IFERROR(N(INDEX(Registro!$AA$407:$AA$436,MATCH($A9,Registro!$A$407:$A$436,0))),0)</f>
        <v>0</v>
      </c>
      <c r="AY9" s="0" t="n">
        <f aca="false">IFERROR(N(INDEX(Registro!$I$443:$I$472,MATCH($A9,Registro!$A$443:$A$472,0))),0)</f>
        <v>0</v>
      </c>
      <c r="AZ9" s="0" t="n">
        <f aca="false">IFERROR(N(INDEX(Registro!$O$443:$O$472,MATCH($A9,Registro!$A$443:$A$472,0))),0)</f>
        <v>0</v>
      </c>
      <c r="BA9" s="0" t="n">
        <f aca="false">IFERROR(N(INDEX(Registro!$U$443:$U$472,MATCH($A9,Registro!$A$443:$A$472,0))),0)</f>
        <v>0</v>
      </c>
      <c r="BB9" s="0" t="n">
        <f aca="false">IFERROR(N(INDEX(Registro!$AA$443:$AA$472,MATCH($A9,Registro!$A$443:$A$472,0))),0)</f>
        <v>0</v>
      </c>
      <c r="BC9" s="0" t="n">
        <f aca="false">IFERROR(N(INDEX(Registro!$I$479:$I$508,MATCH($A9,Registro!$A$479:$A$508,0))),0)</f>
        <v>0</v>
      </c>
      <c r="BD9" s="0" t="n">
        <f aca="false">IFERROR(N(INDEX(Registro!$O$479:$O$508,MATCH($A9,Registro!$A$479:$A$508,0))),0)</f>
        <v>0</v>
      </c>
      <c r="BE9" s="0" t="n">
        <f aca="false">IFERROR(N(INDEX(Registro!$U$479:$U$508,MATCH($A9,Registro!$A$479:$A$508,0))),0)</f>
        <v>0</v>
      </c>
      <c r="BF9" s="0" t="n">
        <f aca="false">IFERROR(N(INDEX(Registro!$AA$479:$AA$508,MATCH($A9,Registro!$A$479:$A$508,0))),0)</f>
        <v>0</v>
      </c>
      <c r="BG9" s="0" t="n">
        <f aca="false">IFERROR(N(INDEX(Registro!$I$515:$I$544,MATCH($A9,Registro!$A$515:$A$544,0))),0)</f>
        <v>0</v>
      </c>
      <c r="BH9" s="0" t="n">
        <f aca="false">IFERROR(N(INDEX(Registro!$O$515:$O$544,MATCH($A9,Registro!$A$515:$A$544,0))),0)</f>
        <v>0</v>
      </c>
      <c r="BI9" s="0" t="n">
        <f aca="false">IFERROR(N(INDEX(Registro!$U$515:$U$544,MATCH($A9,Registro!$A$515:$A$544,0))),0)</f>
        <v>0</v>
      </c>
      <c r="BJ9" s="0" t="n">
        <f aca="false">IFERROR(N(INDEX(Registro!$AA$515:$AA$544,MATCH($A9,Registro!$A$515:$A$544,0))),0)</f>
        <v>0</v>
      </c>
      <c r="BK9" s="0" t="n">
        <f aca="false">IFERROR(N(INDEX(Registro!$I$551:$I$580,MATCH($A9,Registro!$A$551:$A$580,0))),0)</f>
        <v>0</v>
      </c>
      <c r="BL9" s="0" t="n">
        <f aca="false">IFERROR(N(INDEX(Registro!$O$551:$O$580,MATCH($A9,Registro!$A$551:$A$580,0))),0)</f>
        <v>0</v>
      </c>
      <c r="BM9" s="0" t="n">
        <f aca="false">IFERROR(N(INDEX(Registro!$U$551:$U$580,MATCH($A9,Registro!$A$551:$A$580,0))),0)</f>
        <v>0</v>
      </c>
      <c r="BN9" s="0" t="n">
        <f aca="false">IFERROR(N(INDEX(Registro!$AA$551:$AA$580,MATCH($A9,Registro!$A$551:$A$580,0))),0)</f>
        <v>0</v>
      </c>
      <c r="BO9" s="0" t="n">
        <f aca="false">IFERROR(N(INDEX(Registro!$I$587:$I$616,MATCH($A9,Registro!$A$587:$A$616,0))),0)</f>
        <v>0</v>
      </c>
      <c r="BP9" s="0" t="n">
        <f aca="false">IFERROR(N(INDEX(Registro!$O$587:$O$616,MATCH($A9,Registro!$A$587:$A$616,0))),0)</f>
        <v>0</v>
      </c>
      <c r="BQ9" s="0" t="n">
        <f aca="false">IFERROR(N(INDEX(Registro!$U$587:$U$616,MATCH($A9,Registro!$A$587:$A$616,0))),0)</f>
        <v>0</v>
      </c>
      <c r="BR9" s="0" t="n">
        <f aca="false">IFERROR(N(INDEX(Registro!$AA$587:$AA$616,MATCH($A9,Registro!$A$587:$A$616,0))),0)</f>
        <v>0</v>
      </c>
      <c r="BS9" s="0" t="n">
        <f aca="false">IFERROR(N(INDEX(Registro!$I$623:$I$652,MATCH($A9,Registro!$A$623:$A$652,0))),0)</f>
        <v>0</v>
      </c>
      <c r="BT9" s="0" t="n">
        <f aca="false">IFERROR(N(INDEX(Registro!$O$623:$O$652,MATCH($A9,Registro!$A$623:$A$652,0))),0)</f>
        <v>0</v>
      </c>
      <c r="BU9" s="0" t="n">
        <f aca="false">IFERROR(N(INDEX(Registro!$U$623:$U$652,MATCH($A9,Registro!$A$623:$A$652,0))),0)</f>
        <v>0</v>
      </c>
      <c r="BV9" s="0" t="n">
        <f aca="false">IFERROR(N(INDEX(Registro!$AA$623:$AA$652,MATCH($A9,Registro!$A$623:$A$652,0))),0)</f>
        <v>0</v>
      </c>
      <c r="BW9" s="0" t="n">
        <f aca="false">IFERROR(N(INDEX(Registro!$I$659:$I$688,MATCH($A9,Registro!$A$659:$A$688,0))),0)</f>
        <v>0</v>
      </c>
      <c r="BX9" s="0" t="n">
        <f aca="false">IFERROR(N(INDEX(Registro!$O$659:$O$688,MATCH($A9,Registro!$A$659:$A$688,0))),0)</f>
        <v>0</v>
      </c>
      <c r="BY9" s="0" t="n">
        <f aca="false">IFERROR(N(INDEX(Registro!$U$659:$U$688,MATCH($A9,Registro!$A$659:$A$688,0))),0)</f>
        <v>0</v>
      </c>
      <c r="BZ9" s="0" t="n">
        <f aca="false">IFERROR(N(INDEX(Registro!$AA$659:$AA$688,MATCH($A9,Registro!$A$659:$A$688,0))),0)</f>
        <v>0</v>
      </c>
      <c r="CA9" s="0" t="n">
        <f aca="false">IFERROR(N(INDEX(Registro!$I$695:$I$724,MATCH($A9,Registro!$A$695:$A$724,0))),0)</f>
        <v>0</v>
      </c>
      <c r="CB9" s="0" t="n">
        <f aca="false">IFERROR(N(INDEX(Registro!$O$695:$O$724,MATCH($A9,Registro!$A$695:$A$724,0))),0)</f>
        <v>0</v>
      </c>
      <c r="CC9" s="0" t="n">
        <f aca="false">IFERROR(N(INDEX(Registro!$U$695:$U$724,MATCH($A9,Registro!$A$695:$A$724,0))),0)</f>
        <v>0</v>
      </c>
      <c r="CD9" s="0" t="n">
        <f aca="false">IFERROR(N(INDEX(Registro!$AA$695:$AA$724,MATCH($A9,Registro!$A$695:$A$724,0))),0)</f>
        <v>0</v>
      </c>
      <c r="CE9" s="0" t="n">
        <f aca="false">IFERROR(IF(ISNUMBER(INDEX(Registro!$I$11:$I$40,MATCH($A9,Registro!$A$11:$A$40,0))),CE$5,0),0)</f>
        <v>0</v>
      </c>
      <c r="CF9" s="0" t="n">
        <f aca="false">IFERROR(IF(ISNUMBER(INDEX(Registro!$O$11:$O$40,MATCH($A9,Registro!$A$11:$A$40,0))),CF$5,0),0)</f>
        <v>0</v>
      </c>
      <c r="CG9" s="0" t="n">
        <f aca="false">IFERROR(IF(ISNUMBER(INDEX(Registro!$U$11:$U$40,MATCH($A9,Registro!$A$11:$A$40,0))),CG$5,0),0)</f>
        <v>0</v>
      </c>
      <c r="CH9" s="0" t="n">
        <f aca="false">IFERROR(IF(ISNUMBER(INDEX(Registro!$AA$11:$AA$40,MATCH($A9,Registro!$A$11:$A$40,0))),CH$5,0),0)</f>
        <v>0</v>
      </c>
      <c r="CI9" s="0" t="n">
        <f aca="false">IFERROR(IF(ISNUMBER(INDEX(Registro!$I$47:$I$76,MATCH($A9,Registro!$A$47:$A$76,0))),CI$5,0),0)</f>
        <v>0</v>
      </c>
      <c r="CJ9" s="0" t="n">
        <f aca="false">IFERROR(IF(ISNUMBER(INDEX(Registro!$O$47:$O$76,MATCH($A9,Registro!$A$47:$A$76,0))),CJ$5,0),0)</f>
        <v>0</v>
      </c>
      <c r="CK9" s="0" t="n">
        <f aca="false">IFERROR(IF(ISNUMBER(INDEX(Registro!$U$47:$U$76,MATCH($A9,Registro!$A$47:$A$76,0))),CK$5,0),0)</f>
        <v>0</v>
      </c>
      <c r="CL9" s="0" t="n">
        <f aca="false">IFERROR(IF(ISNUMBER(INDEX(Registro!$AA$47:$AA$76,MATCH($A9,Registro!$A$47:$A$76,0))),CL$5,0),0)</f>
        <v>0</v>
      </c>
      <c r="CM9" s="0" t="n">
        <f aca="false">IFERROR(IF(ISNUMBER(INDEX(Registro!$I$83:$I$112,MATCH($A9,Registro!$A$83:$A$112,0))),CM$5,0),0)</f>
        <v>0</v>
      </c>
      <c r="CN9" s="0" t="n">
        <f aca="false">IFERROR(IF(ISNUMBER(INDEX(Registro!$O$83:$O$112,MATCH($A9,Registro!$A$83:$A$112,0))),CN$5,0),0)</f>
        <v>0</v>
      </c>
      <c r="CO9" s="0" t="n">
        <f aca="false">IFERROR(IF(ISNUMBER(INDEX(Registro!$U$83:$U$112,MATCH($A9,Registro!$A$83:$A$112,0))),CO$5,0),0)</f>
        <v>0</v>
      </c>
      <c r="CP9" s="0" t="n">
        <f aca="false">IFERROR(IF(ISNUMBER(INDEX(Registro!$AA$83:$AA$112,MATCH($A9,Registro!$A$83:$A$112,0))),CP$5,0),0)</f>
        <v>0</v>
      </c>
      <c r="CQ9" s="0" t="n">
        <f aca="false">IFERROR(IF(ISNUMBER(INDEX(Registro!$I$119:$I$148,MATCH($A9,Registro!$A$119:$A$148,0))),CQ$5,0),0)</f>
        <v>0</v>
      </c>
      <c r="CR9" s="0" t="n">
        <f aca="false">IFERROR(IF(ISNUMBER(INDEX(Registro!$O$119:$O$148,MATCH($A9,Registro!$A$119:$A$148,0))),CR$5,0),0)</f>
        <v>0</v>
      </c>
      <c r="CS9" s="0" t="n">
        <f aca="false">IFERROR(IF(ISNUMBER(INDEX(Registro!$U$119:$U$148,MATCH($A9,Registro!$A$119:$A$148,0))),CS$5,0),0)</f>
        <v>0</v>
      </c>
      <c r="CT9" s="0" t="n">
        <f aca="false">IFERROR(IF(ISNUMBER(INDEX(Registro!$AA$119:$AA$148,MATCH($A9,Registro!$A$119:$A$148,0))),CT$5,0),0)</f>
        <v>0</v>
      </c>
      <c r="CU9" s="0" t="n">
        <f aca="false">IFERROR(IF(ISNUMBER(INDEX(Registro!$I$155:$I$184,MATCH($A9,Registro!$A$155:$A$184,0))),CU$5,0),0)</f>
        <v>0</v>
      </c>
      <c r="CV9" s="0" t="n">
        <f aca="false">IFERROR(IF(ISNUMBER(INDEX(Registro!$O$155:$O$184,MATCH($A9,Registro!$A$155:$A$184,0))),CV$5,0),0)</f>
        <v>0</v>
      </c>
      <c r="CW9" s="0" t="n">
        <f aca="false">IFERROR(IF(ISNUMBER(INDEX(Registro!$U$155:$U$184,MATCH($A9,Registro!$A$155:$A$184,0))),CW$5,0),0)</f>
        <v>0</v>
      </c>
      <c r="CX9" s="0" t="n">
        <f aca="false">IFERROR(IF(ISNUMBER(INDEX(Registro!$AA$155:$AA$184,MATCH($A9,Registro!$A$155:$A$184,0))),CX$5,0),0)</f>
        <v>0</v>
      </c>
      <c r="CY9" s="0" t="n">
        <f aca="false">IFERROR(IF(ISNUMBER(INDEX(Registro!$I$191:$I$220,MATCH($A9,Registro!$A$191:$A$220,0))),CY$5,0),0)</f>
        <v>0</v>
      </c>
      <c r="CZ9" s="0" t="n">
        <f aca="false">IFERROR(IF(ISNUMBER(INDEX(Registro!$O$191:$O$220,MATCH($A9,Registro!$A$191:$A$220,0))),CZ$5,0),0)</f>
        <v>0</v>
      </c>
      <c r="DA9" s="0" t="n">
        <f aca="false">IFERROR(IF(ISNUMBER(INDEX(Registro!$U$191:$U$220,MATCH($A9,Registro!$A$191:$A$220,0))),DA$5,0),0)</f>
        <v>0</v>
      </c>
      <c r="DB9" s="0" t="n">
        <f aca="false">IFERROR(IF(ISNUMBER(INDEX(Registro!$AA$191:$AA$220,MATCH($A9,Registro!$A$191:$A$220,0))),DB$5,0),0)</f>
        <v>0</v>
      </c>
      <c r="DC9" s="0" t="n">
        <f aca="false">IFERROR(IF(ISNUMBER(INDEX(Registro!$I$227:$I$256,MATCH($A9,Registro!$A$227:$A$256,0))),DC$5,0),0)</f>
        <v>0</v>
      </c>
      <c r="DD9" s="0" t="n">
        <f aca="false">IFERROR(IF(ISNUMBER(INDEX(Registro!$O$227:$O$256,MATCH($A9,Registro!$A$227:$A$256,0))),DD$5,0),0)</f>
        <v>0</v>
      </c>
      <c r="DE9" s="0" t="n">
        <f aca="false">IFERROR(IF(ISNUMBER(INDEX(Registro!$U$227:$U$256,MATCH($A9,Registro!$A$227:$A$256,0))),DE$5,0),0)</f>
        <v>0</v>
      </c>
      <c r="DF9" s="0" t="n">
        <f aca="false">IFERROR(IF(ISNUMBER(INDEX(Registro!$AA$227:$AA$256,MATCH($A9,Registro!$A$227:$A$256,0))),DF$5,0),0)</f>
        <v>0</v>
      </c>
      <c r="DG9" s="0" t="n">
        <f aca="false">IFERROR(IF(ISNUMBER(INDEX(Registro!$I$263:$I$292,MATCH($A9,Registro!$A$263:$A$292,0))),DG$5,0),0)</f>
        <v>0</v>
      </c>
      <c r="DH9" s="0" t="n">
        <f aca="false">IFERROR(IF(ISNUMBER(INDEX(Registro!$O$263:$O$292,MATCH($A9,Registro!$A$263:$A$292,0))),DH$5,0),0)</f>
        <v>0</v>
      </c>
      <c r="DI9" s="0" t="n">
        <f aca="false">IFERROR(IF(ISNUMBER(INDEX(Registro!$U$263:$U$292,MATCH($A9,Registro!$A$263:$A$292,0))),DI$5,0),0)</f>
        <v>0</v>
      </c>
      <c r="DJ9" s="0" t="n">
        <f aca="false">IFERROR(IF(ISNUMBER(INDEX(Registro!$AA$263:$AA$292,MATCH($A9,Registro!$A$263:$A$292,0))),DJ$5,0),0)</f>
        <v>0</v>
      </c>
      <c r="DK9" s="0" t="n">
        <f aca="false">IFERROR(IF(ISNUMBER(INDEX(Registro!$I$299:$I$328,MATCH($A9,Registro!$A$299:$A$328,0))),DK$5,0),0)</f>
        <v>0</v>
      </c>
      <c r="DL9" s="0" t="n">
        <f aca="false">IFERROR(IF(ISNUMBER(INDEX(Registro!$O$299:$O$328,MATCH($A9,Registro!$A$299:$A$328,0))),DL$5,0),0)</f>
        <v>0</v>
      </c>
      <c r="DM9" s="0" t="n">
        <f aca="false">IFERROR(IF(ISNUMBER(INDEX(Registro!$U$299:$U$328,MATCH($A9,Registro!$A$299:$A$328,0))),DM$5,0),0)</f>
        <v>0</v>
      </c>
      <c r="DN9" s="0" t="n">
        <f aca="false">IFERROR(IF(ISNUMBER(INDEX(Registro!$AA$299:$AA$328,MATCH($A9,Registro!$A$299:$A$328,0))),DN$5,0),0)</f>
        <v>0</v>
      </c>
      <c r="DO9" s="0" t="n">
        <f aca="false">IFERROR(IF(ISNUMBER(INDEX(Registro!$I$335:$I$364,MATCH($A9,Registro!$A$335:$A$364,0))),DO$5,0),0)</f>
        <v>0</v>
      </c>
      <c r="DP9" s="0" t="n">
        <f aca="false">IFERROR(IF(ISNUMBER(INDEX(Registro!$O$335:$O$364,MATCH($A9,Registro!$A$335:$A$364,0))),DP$5,0),0)</f>
        <v>0</v>
      </c>
      <c r="DQ9" s="0" t="n">
        <f aca="false">IFERROR(IF(ISNUMBER(INDEX(Registro!$U$335:$U$364,MATCH($A9,Registro!$A$335:$A$364,0))),DQ$5,0),0)</f>
        <v>0</v>
      </c>
      <c r="DR9" s="0" t="n">
        <f aca="false">IFERROR(IF(ISNUMBER(INDEX(Registro!$AA$335:$AA$364,MATCH($A9,Registro!$A$335:$A$364,0))),DR$5,0),0)</f>
        <v>0</v>
      </c>
      <c r="DS9" s="0" t="n">
        <f aca="false">IFERROR(IF(ISNUMBER(INDEX(Registro!$I$371:$I$400,MATCH($A9,Registro!$A$371:$A$400,0))),DS$5,0),0)</f>
        <v>0</v>
      </c>
      <c r="DT9" s="0" t="n">
        <f aca="false">IFERROR(IF(ISNUMBER(INDEX(Registro!$O$371:$O$400,MATCH($A9,Registro!$A$371:$A$400,0))),DT$5,0),0)</f>
        <v>0</v>
      </c>
      <c r="DU9" s="0" t="n">
        <f aca="false">IFERROR(IF(ISNUMBER(INDEX(Registro!$U$371:$U$400,MATCH($A9,Registro!$A$371:$A$400,0))),DU$5,0),0)</f>
        <v>0</v>
      </c>
      <c r="DV9" s="0" t="n">
        <f aca="false">IFERROR(IF(ISNUMBER(INDEX(Registro!$AA$371:$AA$400,MATCH($A9,Registro!$A$371:$A$400,0))),DV$5,0),0)</f>
        <v>0</v>
      </c>
      <c r="DW9" s="0" t="n">
        <f aca="false">IFERROR(IF(ISNUMBER(INDEX(Registro!$I$407:$I$436,MATCH($A9,Registro!$A$407:$A$436,0))),DW$5,0),0)</f>
        <v>0</v>
      </c>
      <c r="DX9" s="0" t="n">
        <f aca="false">IFERROR(IF(ISNUMBER(INDEX(Registro!$O$407:$O$436,MATCH($A9,Registro!$A$407:$A$436,0))),DX$5,0),0)</f>
        <v>0</v>
      </c>
      <c r="DY9" s="0" t="n">
        <f aca="false">IFERROR(IF(ISNUMBER(INDEX(Registro!$U$407:$U$436,MATCH($A9,Registro!$A$407:$A$436,0))),DY$5,0),0)</f>
        <v>0</v>
      </c>
      <c r="DZ9" s="0" t="n">
        <f aca="false">IFERROR(IF(ISNUMBER(INDEX(Registro!$AA$407:$AA$436,MATCH($A9,Registro!$A$407:$A$436,0))),DZ$5,0),0)</f>
        <v>0</v>
      </c>
      <c r="EA9" s="0" t="n">
        <f aca="false">IFERROR(IF(ISNUMBER(INDEX(Registro!$I$443:$I$472,MATCH($A9,Registro!$A$443:$A$472,0))),EA$5,0),0)</f>
        <v>0</v>
      </c>
      <c r="EB9" s="0" t="n">
        <f aca="false">IFERROR(IF(ISNUMBER(INDEX(Registro!$O$443:$O$472,MATCH($A9,Registro!$A$443:$A$472,0))),EB$5,0),0)</f>
        <v>0</v>
      </c>
      <c r="EC9" s="0" t="n">
        <f aca="false">IFERROR(IF(ISNUMBER(INDEX(Registro!$U$443:$U$472,MATCH($A9,Registro!$A$443:$A$472,0))),EC$5,0),0)</f>
        <v>0</v>
      </c>
      <c r="ED9" s="0" t="n">
        <f aca="false">IFERROR(IF(ISNUMBER(INDEX(Registro!$AA$443:$AA$472,MATCH($A9,Registro!$A$443:$A$472,0))),ED$5,0),0)</f>
        <v>0</v>
      </c>
      <c r="EE9" s="0" t="n">
        <f aca="false">IFERROR(IF(ISNUMBER(INDEX(Registro!$I$479:$I$508,MATCH($A9,Registro!$A$479:$A$508,0))),EE$5,0),0)</f>
        <v>0</v>
      </c>
      <c r="EF9" s="0" t="n">
        <f aca="false">IFERROR(IF(ISNUMBER(INDEX(Registro!$O$479:$O$508,MATCH($A9,Registro!$A$479:$A$508,0))),EF$5,0),0)</f>
        <v>0</v>
      </c>
      <c r="EG9" s="0" t="n">
        <f aca="false">IFERROR(IF(ISNUMBER(INDEX(Registro!$U$479:$U$508,MATCH($A9,Registro!$A$479:$A$508,0))),EG$5,0),0)</f>
        <v>0</v>
      </c>
      <c r="EH9" s="0" t="n">
        <f aca="false">IFERROR(IF(ISNUMBER(INDEX(Registro!$AA$479:$AA$508,MATCH($A9,Registro!$A$479:$A$508,0))),EH$5,0),0)</f>
        <v>0</v>
      </c>
      <c r="EI9" s="0" t="n">
        <f aca="false">IFERROR(IF(ISNUMBER(INDEX(Registro!$I$515:$I$544,MATCH($A9,Registro!$A$515:$A$544,0))),EI$5,0),0)</f>
        <v>0</v>
      </c>
      <c r="EJ9" s="0" t="n">
        <f aca="false">IFERROR(IF(ISNUMBER(INDEX(Registro!$O$515:$O$544,MATCH($A9,Registro!$A$515:$A$544,0))),EJ$5,0),0)</f>
        <v>0</v>
      </c>
      <c r="EK9" s="0" t="n">
        <f aca="false">IFERROR(IF(ISNUMBER(INDEX(Registro!$U$515:$U$544,MATCH($A9,Registro!$A$515:$A$544,0))),EK$5,0),0)</f>
        <v>0</v>
      </c>
      <c r="EL9" s="0" t="n">
        <f aca="false">IFERROR(IF(ISNUMBER(INDEX(Registro!$AA$515:$AA$544,MATCH($A9,Registro!$A$515:$A$544,0))),EL$5,0),0)</f>
        <v>0</v>
      </c>
      <c r="EM9" s="0" t="n">
        <f aca="false">IFERROR(IF(ISNUMBER(INDEX(Registro!$I$551:$I$580,MATCH($A9,Registro!$A$551:$A$580,0))),EM$5,0),0)</f>
        <v>0</v>
      </c>
      <c r="EN9" s="0" t="n">
        <f aca="false">IFERROR(IF(ISNUMBER(INDEX(Registro!$O$551:$O$580,MATCH($A9,Registro!$A$551:$A$580,0))),EN$5,0),0)</f>
        <v>0</v>
      </c>
      <c r="EO9" s="0" t="n">
        <f aca="false">IFERROR(IF(ISNUMBER(INDEX(Registro!$U$551:$U$580,MATCH($A9,Registro!$A$551:$A$580,0))),EO$5,0),0)</f>
        <v>0</v>
      </c>
      <c r="EP9" s="0" t="n">
        <f aca="false">IFERROR(IF(ISNUMBER(INDEX(Registro!$AA$551:$AA$580,MATCH($A9,Registro!$A$551:$A$580,0))),EP$5,0),0)</f>
        <v>0</v>
      </c>
      <c r="EQ9" s="0" t="n">
        <f aca="false">IFERROR(IF(ISNUMBER(INDEX(Registro!$I$587:$I$616,MATCH($A9,Registro!$A$587:$A$616,0))),EQ$5,0),0)</f>
        <v>0</v>
      </c>
      <c r="ER9" s="0" t="n">
        <f aca="false">IFERROR(IF(ISNUMBER(INDEX(Registro!$O$587:$O$616,MATCH($A9,Registro!$A$587:$A$616,0))),ER$5,0),0)</f>
        <v>0</v>
      </c>
      <c r="ES9" s="0" t="n">
        <f aca="false">IFERROR(IF(ISNUMBER(INDEX(Registro!$U$587:$U$616,MATCH($A9,Registro!$A$587:$A$616,0))),ES$5,0),0)</f>
        <v>0</v>
      </c>
      <c r="ET9" s="0" t="n">
        <f aca="false">IFERROR(IF(ISNUMBER(INDEX(Registro!$AA$587:$AA$616,MATCH($A9,Registro!$A$587:$A$616,0))),ET$5,0),0)</f>
        <v>0</v>
      </c>
      <c r="EU9" s="0" t="n">
        <f aca="false">IFERROR(IF(ISNUMBER(INDEX(Registro!$I$623:$I$652,MATCH($A9,Registro!$A$623:$A$652,0))),EU$5,0),0)</f>
        <v>0</v>
      </c>
      <c r="EV9" s="0" t="n">
        <f aca="false">IFERROR(IF(ISNUMBER(INDEX(Registro!$O$623:$O$652,MATCH($A9,Registro!$A$623:$A$652,0))),EV$5,0),0)</f>
        <v>0</v>
      </c>
      <c r="EW9" s="0" t="n">
        <f aca="false">IFERROR(IF(ISNUMBER(INDEX(Registro!$U$623:$U$652,MATCH($A9,Registro!$A$623:$A$652,0))),EW$5,0),0)</f>
        <v>0</v>
      </c>
      <c r="EX9" s="0" t="n">
        <f aca="false">IFERROR(IF(ISNUMBER(INDEX(Registro!$AA$623:$AA$652,MATCH($A9,Registro!$A$623:$A$652,0))),EX$5,0),0)</f>
        <v>0</v>
      </c>
      <c r="EY9" s="0" t="n">
        <f aca="false">IFERROR(IF(ISNUMBER(INDEX(Registro!$I$659:$I$688,MATCH($A9,Registro!$A$659:$A$688,0))),EY$5,0),0)</f>
        <v>0</v>
      </c>
      <c r="EZ9" s="0" t="n">
        <f aca="false">IFERROR(IF(ISNUMBER(INDEX(Registro!$O$659:$O$688,MATCH($A9,Registro!$A$659:$A$688,0))),EZ$5,0),0)</f>
        <v>0</v>
      </c>
      <c r="FA9" s="0" t="n">
        <f aca="false">IFERROR(IF(ISNUMBER(INDEX(Registro!$U$659:$U$688,MATCH($A9,Registro!$A$659:$A$688,0))),FA$5,0),0)</f>
        <v>0</v>
      </c>
      <c r="FB9" s="0" t="n">
        <f aca="false">IFERROR(IF(ISNUMBER(INDEX(Registro!$AA$659:$AA$688,MATCH($A9,Registro!$A$659:$A$688,0))),FB$5,0),0)</f>
        <v>0</v>
      </c>
      <c r="FC9" s="0" t="n">
        <f aca="false">IFERROR(IF(ISNUMBER(INDEX(Registro!$I$695:$I$724,MATCH($A9,Registro!$A$695:$A$724,0))),FC$5,0),0)</f>
        <v>0</v>
      </c>
      <c r="FD9" s="0" t="n">
        <f aca="false">IFERROR(IF(ISNUMBER(INDEX(Registro!$O$695:$O$724,MATCH($A9,Registro!$A$695:$A$724,0))),FD$5,0),0)</f>
        <v>0</v>
      </c>
      <c r="FE9" s="0" t="n">
        <f aca="false">IFERROR(IF(ISNUMBER(INDEX(Registro!$U$695:$U$724,MATCH($A9,Registro!$A$695:$A$724,0))),FE$5,0),0)</f>
        <v>0</v>
      </c>
      <c r="FF9" s="0" t="n">
        <f aca="false">IFERROR(IF(ISNUMBER(INDEX(Registro!$AA$695:$AA$724,MATCH($A9,Registro!$A$695:$A$724,0))),FF$5,0),0)</f>
        <v>0</v>
      </c>
      <c r="FG9" s="0" t="n">
        <f aca="false">IFERROR(IF(AND(INDEX(Registro!$C$11:$C$40,MATCH($A9,Registro!$A$11:$A$40,0))="AS",INDEX(Registro!$D$11:$D$40,MATCH($A9,Registro!$A$11:$A$40,0))&amp;""=""),1,0),0)</f>
        <v>0</v>
      </c>
      <c r="FH9" s="0" t="n">
        <f aca="false">IFERROR(IF(AND(INDEX(Registro!$C$47:$C$76,MATCH($A9,Registro!$A$47:$A$76,0))="AS",INDEX(Registro!$D$47:$D$76,MATCH($A9,Registro!$A$47:$A$76,0))&amp;""=""),1,0),0)</f>
        <v>0</v>
      </c>
      <c r="FI9" s="0" t="n">
        <f aca="false">IFERROR(IF(AND(INDEX(Registro!$C$83:$C$112,MATCH($A9,Registro!$A$83:$A$112,0))="AS",INDEX(Registro!$D$83:$D$112,MATCH($A9,Registro!$A$83:$A$112,0))&amp;""=""),1,0),0)</f>
        <v>0</v>
      </c>
      <c r="FJ9" s="0" t="n">
        <f aca="false">IFERROR(IF(AND(INDEX(Registro!$C$119:$C$148,MATCH($A9,Registro!$A$119:$A$148,0))="AS",INDEX(Registro!$D$119:$D$148,MATCH($A9,Registro!$A$119:$A$148,0))&amp;""=""),1,0),0)</f>
        <v>0</v>
      </c>
      <c r="FK9" s="0" t="n">
        <f aca="false">IFERROR(IF(AND(INDEX(Registro!$C$155:$C$184,MATCH($A9,Registro!$A$155:$A$184,0))="AS",INDEX(Registro!$D$155:$D$184,MATCH($A9,Registro!$A$155:$A$184,0))&amp;""=""),1,0),0)</f>
        <v>0</v>
      </c>
      <c r="FL9" s="0" t="n">
        <f aca="false">IFERROR(IF(AND(INDEX(Registro!$C$191:$C$220,MATCH($A9,Registro!$A$191:$A$220,0))="AS",INDEX(Registro!$D$191:$D$220,MATCH($A9,Registro!$A$191:$A$220,0))&amp;""=""),1,0),0)</f>
        <v>0</v>
      </c>
      <c r="FM9" s="0" t="n">
        <f aca="false">IFERROR(IF(AND(INDEX(Registro!$C$227:$C$256,MATCH($A9,Registro!$A$227:$A$256,0))="AS",INDEX(Registro!$D$227:$D$256,MATCH($A9,Registro!$A$227:$A$256,0))&amp;""=""),1,0),0)</f>
        <v>0</v>
      </c>
      <c r="FN9" s="0" t="n">
        <f aca="false">IFERROR(IF(AND(INDEX(Registro!$C$263:$C$292,MATCH($A9,Registro!$A$263:$A$292,0))="AS",INDEX(Registro!$D$263:$D$292,MATCH($A9,Registro!$A$263:$A$292,0))&amp;""=""),1,0),0)</f>
        <v>0</v>
      </c>
      <c r="FO9" s="0" t="n">
        <f aca="false">IFERROR(IF(AND(INDEX(Registro!$C$299:$C$328,MATCH($A9,Registro!$A$299:$A$328,0))="AS",INDEX(Registro!$D$299:$D$328,MATCH($A9,Registro!$A$299:$A$328,0))&amp;""=""),1,0),0)</f>
        <v>0</v>
      </c>
      <c r="FP9" s="0" t="n">
        <f aca="false">IFERROR(IF(AND(INDEX(Registro!$C$335:$C$364,MATCH($A9,Registro!$A$335:$A$364,0))="AS",INDEX(Registro!$D$335:$D$364,MATCH($A9,Registro!$A$335:$A$364,0))&amp;""=""),1,0),0)</f>
        <v>0</v>
      </c>
      <c r="FQ9" s="0" t="n">
        <f aca="false">IFERROR(IF(AND(INDEX(Registro!$C$371:$C$400,MATCH($A9,Registro!$A$371:$A$400,0))="AS",INDEX(Registro!$D$371:$D$400,MATCH($A9,Registro!$A$371:$A$400,0))&amp;""=""),1,0),0)</f>
        <v>0</v>
      </c>
      <c r="FR9" s="0" t="n">
        <f aca="false">IFERROR(IF(AND(INDEX(Registro!$C$407:$C$436,MATCH($A9,Registro!$A$407:$A$436,0))="AS",INDEX(Registro!$D$407:$D$436,MATCH($A9,Registro!$A$407:$A$436,0))&amp;""=""),1,0),0)</f>
        <v>0</v>
      </c>
      <c r="FS9" s="0" t="n">
        <f aca="false">IFERROR(IF(AND(INDEX(Registro!$C$443:$C$472,MATCH($A9,Registro!$A$443:$A$472,0))="AS",INDEX(Registro!$D$443:$D$472,MATCH($A9,Registro!$A$443:$A$472,0))&amp;""=""),1,0),0)</f>
        <v>0</v>
      </c>
      <c r="FT9" s="0" t="n">
        <f aca="false">IFERROR(IF(AND(INDEX(Registro!$C$479:$C$508,MATCH($A9,Registro!$A$479:$A$508,0))="AS",INDEX(Registro!$D$479:$D$508,MATCH($A9,Registro!$A$479:$A$508,0))&amp;""=""),1,0),0)</f>
        <v>0</v>
      </c>
      <c r="FU9" s="0" t="n">
        <f aca="false">IFERROR(IF(AND(INDEX(Registro!$C$515:$C$544,MATCH($A9,Registro!$A$515:$A$544,0))="AS",INDEX(Registro!$D$515:$D$544,MATCH($A9,Registro!$A$515:$A$544,0))&amp;""=""),1,0),0)</f>
        <v>0</v>
      </c>
      <c r="FV9" s="0" t="n">
        <f aca="false">IFERROR(IF(AND(INDEX(Registro!$C$551:$C$580,MATCH($A9,Registro!$A$551:$A$580,0))="AS",INDEX(Registro!$D$551:$D$580,MATCH($A9,Registro!$A$551:$A$580,0))&amp;""=""),1,0),0)</f>
        <v>0</v>
      </c>
      <c r="FW9" s="0" t="n">
        <f aca="false">IFERROR(IF(AND(INDEX(Registro!$C$587:$C$616,MATCH($A9,Registro!$A$587:$A$616,0))="AS",INDEX(Registro!$D$587:$D$616,MATCH($A9,Registro!$A$587:$A$616,0))&amp;""=""),1,0),0)</f>
        <v>0</v>
      </c>
      <c r="FX9" s="0" t="n">
        <f aca="false">IFERROR(IF(AND(INDEX(Registro!$C$623:$C$652,MATCH($A9,Registro!$A$623:$A$652,0))="AS",INDEX(Registro!$D$623:$D$652,MATCH($A9,Registro!$A$623:$A$652,0))&amp;""=""),1,0),0)</f>
        <v>0</v>
      </c>
      <c r="FY9" s="0" t="n">
        <f aca="false">IFERROR(IF(AND(INDEX(Registro!$C$659:$C$688,MATCH($A9,Registro!$A$659:$A$688,0))="AS",INDEX(Registro!$D$659:$D$688,MATCH($A9,Registro!$A$659:$A$688,0))&amp;""=""),1,0),0)</f>
        <v>0</v>
      </c>
      <c r="FZ9" s="0" t="n">
        <f aca="false">IFERROR(IF(AND(INDEX(Registro!$C$695:$C$724,MATCH($A9,Registro!$A$695:$A$724,0))="AS",INDEX(Registro!$D$695:$D$724,MATCH($A9,Registro!$A$695:$A$724,0))&amp;""=""),1,0),0)</f>
        <v>0</v>
      </c>
    </row>
    <row r="10" customFormat="false" ht="15" hidden="false" customHeight="false" outlineLevel="0" collapsed="false">
      <c r="A10" s="0" t="n">
        <v>4</v>
      </c>
      <c r="C10" s="0" t="n">
        <f aca="false">IFERROR(N(INDEX(Registro!$I$11:$I$40,MATCH($A10,Registro!$A$11:$A$40,0))),0)</f>
        <v>0</v>
      </c>
      <c r="D10" s="0" t="n">
        <f aca="false">IFERROR(N(INDEX(Registro!$O$11:$O$40,MATCH($A10,Registro!$A$11:$A$40,0))),0)</f>
        <v>0</v>
      </c>
      <c r="E10" s="0" t="n">
        <f aca="false">IFERROR(N(INDEX(Registro!$U$11:$U$40,MATCH($A10,Registro!$A$11:$A$40,0))),0)</f>
        <v>0</v>
      </c>
      <c r="F10" s="0" t="n">
        <f aca="false">IFERROR(N(INDEX(Registro!$AA$11:$AA$40,MATCH($A10,Registro!$A$11:$A$40,0))),0)</f>
        <v>0</v>
      </c>
      <c r="G10" s="0" t="n">
        <f aca="false">IFERROR(N(INDEX(Registro!$I$47:$I$76,MATCH($A10,Registro!$A$47:$A$76,0))),0)</f>
        <v>0</v>
      </c>
      <c r="H10" s="0" t="n">
        <f aca="false">IFERROR(N(INDEX(Registro!$O$47:$O$76,MATCH($A10,Registro!$A$47:$A$76,0))),0)</f>
        <v>0</v>
      </c>
      <c r="I10" s="0" t="n">
        <f aca="false">IFERROR(N(INDEX(Registro!$U$47:$U$76,MATCH($A10,Registro!$A$47:$A$76,0))),0)</f>
        <v>0</v>
      </c>
      <c r="J10" s="0" t="n">
        <f aca="false">IFERROR(N(INDEX(Registro!$AA$47:$AA$76,MATCH($A10,Registro!$A$47:$A$76,0))),0)</f>
        <v>0</v>
      </c>
      <c r="K10" s="0" t="n">
        <f aca="false">IFERROR(N(INDEX(Registro!$I$83:$I$112,MATCH($A10,Registro!$A$83:$A$112,0))),0)</f>
        <v>0</v>
      </c>
      <c r="L10" s="0" t="n">
        <f aca="false">IFERROR(N(INDEX(Registro!$O$83:$O$112,MATCH($A10,Registro!$A$83:$A$112,0))),0)</f>
        <v>0</v>
      </c>
      <c r="M10" s="0" t="n">
        <f aca="false">IFERROR(N(INDEX(Registro!$U$83:$U$112,MATCH($A10,Registro!$A$83:$A$112,0))),0)</f>
        <v>0</v>
      </c>
      <c r="N10" s="0" t="n">
        <f aca="false">IFERROR(N(INDEX(Registro!$AA$83:$AA$112,MATCH($A10,Registro!$A$83:$A$112,0))),0)</f>
        <v>0</v>
      </c>
      <c r="O10" s="0" t="n">
        <f aca="false">IFERROR(N(INDEX(Registro!$I$119:$I$148,MATCH($A10,Registro!$A$119:$A$148,0))),0)</f>
        <v>0</v>
      </c>
      <c r="P10" s="0" t="n">
        <f aca="false">IFERROR(N(INDEX(Registro!$O$119:$O$148,MATCH($A10,Registro!$A$119:$A$148,0))),0)</f>
        <v>0</v>
      </c>
      <c r="Q10" s="0" t="n">
        <f aca="false">IFERROR(N(INDEX(Registro!$U$119:$U$148,MATCH($A10,Registro!$A$119:$A$148,0))),0)</f>
        <v>0</v>
      </c>
      <c r="R10" s="0" t="n">
        <f aca="false">IFERROR(N(INDEX(Registro!$AA$119:$AA$148,MATCH($A10,Registro!$A$119:$A$148,0))),0)</f>
        <v>0</v>
      </c>
      <c r="S10" s="0" t="n">
        <f aca="false">IFERROR(N(INDEX(Registro!$I$155:$I$184,MATCH($A10,Registro!$A$155:$A$184,0))),0)</f>
        <v>0</v>
      </c>
      <c r="T10" s="0" t="n">
        <f aca="false">IFERROR(N(INDEX(Registro!$O$155:$O$184,MATCH($A10,Registro!$A$155:$A$184,0))),0)</f>
        <v>0</v>
      </c>
      <c r="U10" s="0" t="n">
        <f aca="false">IFERROR(N(INDEX(Registro!$U$155:$U$184,MATCH($A10,Registro!$A$155:$A$184,0))),0)</f>
        <v>0</v>
      </c>
      <c r="V10" s="0" t="n">
        <f aca="false">IFERROR(N(INDEX(Registro!$AA$155:$AA$184,MATCH($A10,Registro!$A$155:$A$184,0))),0)</f>
        <v>0</v>
      </c>
      <c r="W10" s="0" t="n">
        <f aca="false">IFERROR(N(INDEX(Registro!$I$191:$I$220,MATCH($A10,Registro!$A$191:$A$220,0))),0)</f>
        <v>0</v>
      </c>
      <c r="X10" s="0" t="n">
        <f aca="false">IFERROR(N(INDEX(Registro!$O$191:$O$220,MATCH($A10,Registro!$A$191:$A$220,0))),0)</f>
        <v>0</v>
      </c>
      <c r="Y10" s="0" t="n">
        <f aca="false">IFERROR(N(INDEX(Registro!$U$191:$U$220,MATCH($A10,Registro!$A$191:$A$220,0))),0)</f>
        <v>0</v>
      </c>
      <c r="Z10" s="0" t="n">
        <f aca="false">IFERROR(N(INDEX(Registro!$AA$191:$AA$220,MATCH($A10,Registro!$A$191:$A$220,0))),0)</f>
        <v>0</v>
      </c>
      <c r="AA10" s="0" t="n">
        <f aca="false">IFERROR(N(INDEX(Registro!$I$227:$I$256,MATCH($A10,Registro!$A$227:$A$256,0))),0)</f>
        <v>0</v>
      </c>
      <c r="AB10" s="0" t="n">
        <f aca="false">IFERROR(N(INDEX(Registro!$O$227:$O$256,MATCH($A10,Registro!$A$227:$A$256,0))),0)</f>
        <v>0</v>
      </c>
      <c r="AC10" s="0" t="n">
        <f aca="false">IFERROR(N(INDEX(Registro!$U$227:$U$256,MATCH($A10,Registro!$A$227:$A$256,0))),0)</f>
        <v>0</v>
      </c>
      <c r="AD10" s="0" t="n">
        <f aca="false">IFERROR(N(INDEX(Registro!$AA$227:$AA$256,MATCH($A10,Registro!$A$227:$A$256,0))),0)</f>
        <v>0</v>
      </c>
      <c r="AE10" s="0" t="n">
        <f aca="false">IFERROR(N(INDEX(Registro!$I$263:$I$292,MATCH($A10,Registro!$A$263:$A$292,0))),0)</f>
        <v>0</v>
      </c>
      <c r="AF10" s="0" t="n">
        <f aca="false">IFERROR(N(INDEX(Registro!$O$263:$O$292,MATCH($A10,Registro!$A$263:$A$292,0))),0)</f>
        <v>0</v>
      </c>
      <c r="AG10" s="0" t="n">
        <f aca="false">IFERROR(N(INDEX(Registro!$U$263:$U$292,MATCH($A10,Registro!$A$263:$A$292,0))),0)</f>
        <v>0</v>
      </c>
      <c r="AH10" s="0" t="n">
        <f aca="false">IFERROR(N(INDEX(Registro!$AA$263:$AA$292,MATCH($A10,Registro!$A$263:$A$292,0))),0)</f>
        <v>0</v>
      </c>
      <c r="AI10" s="0" t="n">
        <f aca="false">IFERROR(N(INDEX(Registro!$I$299:$I$328,MATCH($A10,Registro!$A$299:$A$328,0))),0)</f>
        <v>0</v>
      </c>
      <c r="AJ10" s="0" t="n">
        <f aca="false">IFERROR(N(INDEX(Registro!$O$299:$O$328,MATCH($A10,Registro!$A$299:$A$328,0))),0)</f>
        <v>0</v>
      </c>
      <c r="AK10" s="0" t="n">
        <f aca="false">IFERROR(N(INDEX(Registro!$U$299:$U$328,MATCH($A10,Registro!$A$299:$A$328,0))),0)</f>
        <v>0</v>
      </c>
      <c r="AL10" s="0" t="n">
        <f aca="false">IFERROR(N(INDEX(Registro!$AA$299:$AA$328,MATCH($A10,Registro!$A$299:$A$328,0))),0)</f>
        <v>0</v>
      </c>
      <c r="AM10" s="0" t="n">
        <f aca="false">IFERROR(N(INDEX(Registro!$I$335:$I$364,MATCH($A10,Registro!$A$335:$A$364,0))),0)</f>
        <v>0</v>
      </c>
      <c r="AN10" s="0" t="n">
        <f aca="false">IFERROR(N(INDEX(Registro!$O$335:$O$364,MATCH($A10,Registro!$A$335:$A$364,0))),0)</f>
        <v>0</v>
      </c>
      <c r="AO10" s="0" t="n">
        <f aca="false">IFERROR(N(INDEX(Registro!$U$335:$U$364,MATCH($A10,Registro!$A$335:$A$364,0))),0)</f>
        <v>0</v>
      </c>
      <c r="AP10" s="0" t="n">
        <f aca="false">IFERROR(N(INDEX(Registro!$AA$335:$AA$364,MATCH($A10,Registro!$A$335:$A$364,0))),0)</f>
        <v>0</v>
      </c>
      <c r="AQ10" s="0" t="n">
        <f aca="false">IFERROR(N(INDEX(Registro!$I$371:$I$400,MATCH($A10,Registro!$A$371:$A$400,0))),0)</f>
        <v>0</v>
      </c>
      <c r="AR10" s="0" t="n">
        <f aca="false">IFERROR(N(INDEX(Registro!$O$371:$O$400,MATCH($A10,Registro!$A$371:$A$400,0))),0)</f>
        <v>0</v>
      </c>
      <c r="AS10" s="0" t="n">
        <f aca="false">IFERROR(N(INDEX(Registro!$U$371:$U$400,MATCH($A10,Registro!$A$371:$A$400,0))),0)</f>
        <v>0</v>
      </c>
      <c r="AT10" s="0" t="n">
        <f aca="false">IFERROR(N(INDEX(Registro!$AA$371:$AA$400,MATCH($A10,Registro!$A$371:$A$400,0))),0)</f>
        <v>0</v>
      </c>
      <c r="AU10" s="0" t="n">
        <f aca="false">IFERROR(N(INDEX(Registro!$I$407:$I$436,MATCH($A10,Registro!$A$407:$A$436,0))),0)</f>
        <v>0</v>
      </c>
      <c r="AV10" s="0" t="n">
        <f aca="false">IFERROR(N(INDEX(Registro!$O$407:$O$436,MATCH($A10,Registro!$A$407:$A$436,0))),0)</f>
        <v>0</v>
      </c>
      <c r="AW10" s="0" t="n">
        <f aca="false">IFERROR(N(INDEX(Registro!$U$407:$U$436,MATCH($A10,Registro!$A$407:$A$436,0))),0)</f>
        <v>0</v>
      </c>
      <c r="AX10" s="0" t="n">
        <f aca="false">IFERROR(N(INDEX(Registro!$AA$407:$AA$436,MATCH($A10,Registro!$A$407:$A$436,0))),0)</f>
        <v>0</v>
      </c>
      <c r="AY10" s="0" t="n">
        <f aca="false">IFERROR(N(INDEX(Registro!$I$443:$I$472,MATCH($A10,Registro!$A$443:$A$472,0))),0)</f>
        <v>0</v>
      </c>
      <c r="AZ10" s="0" t="n">
        <f aca="false">IFERROR(N(INDEX(Registro!$O$443:$O$472,MATCH($A10,Registro!$A$443:$A$472,0))),0)</f>
        <v>0</v>
      </c>
      <c r="BA10" s="0" t="n">
        <f aca="false">IFERROR(N(INDEX(Registro!$U$443:$U$472,MATCH($A10,Registro!$A$443:$A$472,0))),0)</f>
        <v>0</v>
      </c>
      <c r="BB10" s="0" t="n">
        <f aca="false">IFERROR(N(INDEX(Registro!$AA$443:$AA$472,MATCH($A10,Registro!$A$443:$A$472,0))),0)</f>
        <v>0</v>
      </c>
      <c r="BC10" s="0" t="n">
        <f aca="false">IFERROR(N(INDEX(Registro!$I$479:$I$508,MATCH($A10,Registro!$A$479:$A$508,0))),0)</f>
        <v>0</v>
      </c>
      <c r="BD10" s="0" t="n">
        <f aca="false">IFERROR(N(INDEX(Registro!$O$479:$O$508,MATCH($A10,Registro!$A$479:$A$508,0))),0)</f>
        <v>0</v>
      </c>
      <c r="BE10" s="0" t="n">
        <f aca="false">IFERROR(N(INDEX(Registro!$U$479:$U$508,MATCH($A10,Registro!$A$479:$A$508,0))),0)</f>
        <v>0</v>
      </c>
      <c r="BF10" s="0" t="n">
        <f aca="false">IFERROR(N(INDEX(Registro!$AA$479:$AA$508,MATCH($A10,Registro!$A$479:$A$508,0))),0)</f>
        <v>0</v>
      </c>
      <c r="BG10" s="0" t="n">
        <f aca="false">IFERROR(N(INDEX(Registro!$I$515:$I$544,MATCH($A10,Registro!$A$515:$A$544,0))),0)</f>
        <v>0</v>
      </c>
      <c r="BH10" s="0" t="n">
        <f aca="false">IFERROR(N(INDEX(Registro!$O$515:$O$544,MATCH($A10,Registro!$A$515:$A$544,0))),0)</f>
        <v>0</v>
      </c>
      <c r="BI10" s="0" t="n">
        <f aca="false">IFERROR(N(INDEX(Registro!$U$515:$U$544,MATCH($A10,Registro!$A$515:$A$544,0))),0)</f>
        <v>0</v>
      </c>
      <c r="BJ10" s="0" t="n">
        <f aca="false">IFERROR(N(INDEX(Registro!$AA$515:$AA$544,MATCH($A10,Registro!$A$515:$A$544,0))),0)</f>
        <v>0</v>
      </c>
      <c r="BK10" s="0" t="n">
        <f aca="false">IFERROR(N(INDEX(Registro!$I$551:$I$580,MATCH($A10,Registro!$A$551:$A$580,0))),0)</f>
        <v>0</v>
      </c>
      <c r="BL10" s="0" t="n">
        <f aca="false">IFERROR(N(INDEX(Registro!$O$551:$O$580,MATCH($A10,Registro!$A$551:$A$580,0))),0)</f>
        <v>0</v>
      </c>
      <c r="BM10" s="0" t="n">
        <f aca="false">IFERROR(N(INDEX(Registro!$U$551:$U$580,MATCH($A10,Registro!$A$551:$A$580,0))),0)</f>
        <v>0</v>
      </c>
      <c r="BN10" s="0" t="n">
        <f aca="false">IFERROR(N(INDEX(Registro!$AA$551:$AA$580,MATCH($A10,Registro!$A$551:$A$580,0))),0)</f>
        <v>0</v>
      </c>
      <c r="BO10" s="0" t="n">
        <f aca="false">IFERROR(N(INDEX(Registro!$I$587:$I$616,MATCH($A10,Registro!$A$587:$A$616,0))),0)</f>
        <v>0</v>
      </c>
      <c r="BP10" s="0" t="n">
        <f aca="false">IFERROR(N(INDEX(Registro!$O$587:$O$616,MATCH($A10,Registro!$A$587:$A$616,0))),0)</f>
        <v>0</v>
      </c>
      <c r="BQ10" s="0" t="n">
        <f aca="false">IFERROR(N(INDEX(Registro!$U$587:$U$616,MATCH($A10,Registro!$A$587:$A$616,0))),0)</f>
        <v>0</v>
      </c>
      <c r="BR10" s="0" t="n">
        <f aca="false">IFERROR(N(INDEX(Registro!$AA$587:$AA$616,MATCH($A10,Registro!$A$587:$A$616,0))),0)</f>
        <v>0</v>
      </c>
      <c r="BS10" s="0" t="n">
        <f aca="false">IFERROR(N(INDEX(Registro!$I$623:$I$652,MATCH($A10,Registro!$A$623:$A$652,0))),0)</f>
        <v>0</v>
      </c>
      <c r="BT10" s="0" t="n">
        <f aca="false">IFERROR(N(INDEX(Registro!$O$623:$O$652,MATCH($A10,Registro!$A$623:$A$652,0))),0)</f>
        <v>0</v>
      </c>
      <c r="BU10" s="0" t="n">
        <f aca="false">IFERROR(N(INDEX(Registro!$U$623:$U$652,MATCH($A10,Registro!$A$623:$A$652,0))),0)</f>
        <v>0</v>
      </c>
      <c r="BV10" s="0" t="n">
        <f aca="false">IFERROR(N(INDEX(Registro!$AA$623:$AA$652,MATCH($A10,Registro!$A$623:$A$652,0))),0)</f>
        <v>0</v>
      </c>
      <c r="BW10" s="0" t="n">
        <f aca="false">IFERROR(N(INDEX(Registro!$I$659:$I$688,MATCH($A10,Registro!$A$659:$A$688,0))),0)</f>
        <v>0</v>
      </c>
      <c r="BX10" s="0" t="n">
        <f aca="false">IFERROR(N(INDEX(Registro!$O$659:$O$688,MATCH($A10,Registro!$A$659:$A$688,0))),0)</f>
        <v>0</v>
      </c>
      <c r="BY10" s="0" t="n">
        <f aca="false">IFERROR(N(INDEX(Registro!$U$659:$U$688,MATCH($A10,Registro!$A$659:$A$688,0))),0)</f>
        <v>0</v>
      </c>
      <c r="BZ10" s="0" t="n">
        <f aca="false">IFERROR(N(INDEX(Registro!$AA$659:$AA$688,MATCH($A10,Registro!$A$659:$A$688,0))),0)</f>
        <v>0</v>
      </c>
      <c r="CA10" s="0" t="n">
        <f aca="false">IFERROR(N(INDEX(Registro!$I$695:$I$724,MATCH($A10,Registro!$A$695:$A$724,0))),0)</f>
        <v>0</v>
      </c>
      <c r="CB10" s="0" t="n">
        <f aca="false">IFERROR(N(INDEX(Registro!$O$695:$O$724,MATCH($A10,Registro!$A$695:$A$724,0))),0)</f>
        <v>0</v>
      </c>
      <c r="CC10" s="0" t="n">
        <f aca="false">IFERROR(N(INDEX(Registro!$U$695:$U$724,MATCH($A10,Registro!$A$695:$A$724,0))),0)</f>
        <v>0</v>
      </c>
      <c r="CD10" s="0" t="n">
        <f aca="false">IFERROR(N(INDEX(Registro!$AA$695:$AA$724,MATCH($A10,Registro!$A$695:$A$724,0))),0)</f>
        <v>0</v>
      </c>
      <c r="CE10" s="0" t="n">
        <f aca="false">IFERROR(IF(ISNUMBER(INDEX(Registro!$I$11:$I$40,MATCH($A10,Registro!$A$11:$A$40,0))),CE$5,0),0)</f>
        <v>0</v>
      </c>
      <c r="CF10" s="0" t="n">
        <f aca="false">IFERROR(IF(ISNUMBER(INDEX(Registro!$O$11:$O$40,MATCH($A10,Registro!$A$11:$A$40,0))),CF$5,0),0)</f>
        <v>0</v>
      </c>
      <c r="CG10" s="0" t="n">
        <f aca="false">IFERROR(IF(ISNUMBER(INDEX(Registro!$U$11:$U$40,MATCH($A10,Registro!$A$11:$A$40,0))),CG$5,0),0)</f>
        <v>0</v>
      </c>
      <c r="CH10" s="0" t="n">
        <f aca="false">IFERROR(IF(ISNUMBER(INDEX(Registro!$AA$11:$AA$40,MATCH($A10,Registro!$A$11:$A$40,0))),CH$5,0),0)</f>
        <v>0</v>
      </c>
      <c r="CI10" s="0" t="n">
        <f aca="false">IFERROR(IF(ISNUMBER(INDEX(Registro!$I$47:$I$76,MATCH($A10,Registro!$A$47:$A$76,0))),CI$5,0),0)</f>
        <v>0</v>
      </c>
      <c r="CJ10" s="0" t="n">
        <f aca="false">IFERROR(IF(ISNUMBER(INDEX(Registro!$O$47:$O$76,MATCH($A10,Registro!$A$47:$A$76,0))),CJ$5,0),0)</f>
        <v>0</v>
      </c>
      <c r="CK10" s="0" t="n">
        <f aca="false">IFERROR(IF(ISNUMBER(INDEX(Registro!$U$47:$U$76,MATCH($A10,Registro!$A$47:$A$76,0))),CK$5,0),0)</f>
        <v>0</v>
      </c>
      <c r="CL10" s="0" t="n">
        <f aca="false">IFERROR(IF(ISNUMBER(INDEX(Registro!$AA$47:$AA$76,MATCH($A10,Registro!$A$47:$A$76,0))),CL$5,0),0)</f>
        <v>0</v>
      </c>
      <c r="CM10" s="0" t="n">
        <f aca="false">IFERROR(IF(ISNUMBER(INDEX(Registro!$I$83:$I$112,MATCH($A10,Registro!$A$83:$A$112,0))),CM$5,0),0)</f>
        <v>0</v>
      </c>
      <c r="CN10" s="0" t="n">
        <f aca="false">IFERROR(IF(ISNUMBER(INDEX(Registro!$O$83:$O$112,MATCH($A10,Registro!$A$83:$A$112,0))),CN$5,0),0)</f>
        <v>0</v>
      </c>
      <c r="CO10" s="0" t="n">
        <f aca="false">IFERROR(IF(ISNUMBER(INDEX(Registro!$U$83:$U$112,MATCH($A10,Registro!$A$83:$A$112,0))),CO$5,0),0)</f>
        <v>0</v>
      </c>
      <c r="CP10" s="0" t="n">
        <f aca="false">IFERROR(IF(ISNUMBER(INDEX(Registro!$AA$83:$AA$112,MATCH($A10,Registro!$A$83:$A$112,0))),CP$5,0),0)</f>
        <v>0</v>
      </c>
      <c r="CQ10" s="0" t="n">
        <f aca="false">IFERROR(IF(ISNUMBER(INDEX(Registro!$I$119:$I$148,MATCH($A10,Registro!$A$119:$A$148,0))),CQ$5,0),0)</f>
        <v>0</v>
      </c>
      <c r="CR10" s="0" t="n">
        <f aca="false">IFERROR(IF(ISNUMBER(INDEX(Registro!$O$119:$O$148,MATCH($A10,Registro!$A$119:$A$148,0))),CR$5,0),0)</f>
        <v>0</v>
      </c>
      <c r="CS10" s="0" t="n">
        <f aca="false">IFERROR(IF(ISNUMBER(INDEX(Registro!$U$119:$U$148,MATCH($A10,Registro!$A$119:$A$148,0))),CS$5,0),0)</f>
        <v>0</v>
      </c>
      <c r="CT10" s="0" t="n">
        <f aca="false">IFERROR(IF(ISNUMBER(INDEX(Registro!$AA$119:$AA$148,MATCH($A10,Registro!$A$119:$A$148,0))),CT$5,0),0)</f>
        <v>0</v>
      </c>
      <c r="CU10" s="0" t="n">
        <f aca="false">IFERROR(IF(ISNUMBER(INDEX(Registro!$I$155:$I$184,MATCH($A10,Registro!$A$155:$A$184,0))),CU$5,0),0)</f>
        <v>0</v>
      </c>
      <c r="CV10" s="0" t="n">
        <f aca="false">IFERROR(IF(ISNUMBER(INDEX(Registro!$O$155:$O$184,MATCH($A10,Registro!$A$155:$A$184,0))),CV$5,0),0)</f>
        <v>0</v>
      </c>
      <c r="CW10" s="0" t="n">
        <f aca="false">IFERROR(IF(ISNUMBER(INDEX(Registro!$U$155:$U$184,MATCH($A10,Registro!$A$155:$A$184,0))),CW$5,0),0)</f>
        <v>0</v>
      </c>
      <c r="CX10" s="0" t="n">
        <f aca="false">IFERROR(IF(ISNUMBER(INDEX(Registro!$AA$155:$AA$184,MATCH($A10,Registro!$A$155:$A$184,0))),CX$5,0),0)</f>
        <v>0</v>
      </c>
      <c r="CY10" s="0" t="n">
        <f aca="false">IFERROR(IF(ISNUMBER(INDEX(Registro!$I$191:$I$220,MATCH($A10,Registro!$A$191:$A$220,0))),CY$5,0),0)</f>
        <v>0</v>
      </c>
      <c r="CZ10" s="0" t="n">
        <f aca="false">IFERROR(IF(ISNUMBER(INDEX(Registro!$O$191:$O$220,MATCH($A10,Registro!$A$191:$A$220,0))),CZ$5,0),0)</f>
        <v>0</v>
      </c>
      <c r="DA10" s="0" t="n">
        <f aca="false">IFERROR(IF(ISNUMBER(INDEX(Registro!$U$191:$U$220,MATCH($A10,Registro!$A$191:$A$220,0))),DA$5,0),0)</f>
        <v>0</v>
      </c>
      <c r="DB10" s="0" t="n">
        <f aca="false">IFERROR(IF(ISNUMBER(INDEX(Registro!$AA$191:$AA$220,MATCH($A10,Registro!$A$191:$A$220,0))),DB$5,0),0)</f>
        <v>0</v>
      </c>
      <c r="DC10" s="0" t="n">
        <f aca="false">IFERROR(IF(ISNUMBER(INDEX(Registro!$I$227:$I$256,MATCH($A10,Registro!$A$227:$A$256,0))),DC$5,0),0)</f>
        <v>0</v>
      </c>
      <c r="DD10" s="0" t="n">
        <f aca="false">IFERROR(IF(ISNUMBER(INDEX(Registro!$O$227:$O$256,MATCH($A10,Registro!$A$227:$A$256,0))),DD$5,0),0)</f>
        <v>0</v>
      </c>
      <c r="DE10" s="0" t="n">
        <f aca="false">IFERROR(IF(ISNUMBER(INDEX(Registro!$U$227:$U$256,MATCH($A10,Registro!$A$227:$A$256,0))),DE$5,0),0)</f>
        <v>0</v>
      </c>
      <c r="DF10" s="0" t="n">
        <f aca="false">IFERROR(IF(ISNUMBER(INDEX(Registro!$AA$227:$AA$256,MATCH($A10,Registro!$A$227:$A$256,0))),DF$5,0),0)</f>
        <v>0</v>
      </c>
      <c r="DG10" s="0" t="n">
        <f aca="false">IFERROR(IF(ISNUMBER(INDEX(Registro!$I$263:$I$292,MATCH($A10,Registro!$A$263:$A$292,0))),DG$5,0),0)</f>
        <v>0</v>
      </c>
      <c r="DH10" s="0" t="n">
        <f aca="false">IFERROR(IF(ISNUMBER(INDEX(Registro!$O$263:$O$292,MATCH($A10,Registro!$A$263:$A$292,0))),DH$5,0),0)</f>
        <v>0</v>
      </c>
      <c r="DI10" s="0" t="n">
        <f aca="false">IFERROR(IF(ISNUMBER(INDEX(Registro!$U$263:$U$292,MATCH($A10,Registro!$A$263:$A$292,0))),DI$5,0),0)</f>
        <v>0</v>
      </c>
      <c r="DJ10" s="0" t="n">
        <f aca="false">IFERROR(IF(ISNUMBER(INDEX(Registro!$AA$263:$AA$292,MATCH($A10,Registro!$A$263:$A$292,0))),DJ$5,0),0)</f>
        <v>0</v>
      </c>
      <c r="DK10" s="0" t="n">
        <f aca="false">IFERROR(IF(ISNUMBER(INDEX(Registro!$I$299:$I$328,MATCH($A10,Registro!$A$299:$A$328,0))),DK$5,0),0)</f>
        <v>0</v>
      </c>
      <c r="DL10" s="0" t="n">
        <f aca="false">IFERROR(IF(ISNUMBER(INDEX(Registro!$O$299:$O$328,MATCH($A10,Registro!$A$299:$A$328,0))),DL$5,0),0)</f>
        <v>0</v>
      </c>
      <c r="DM10" s="0" t="n">
        <f aca="false">IFERROR(IF(ISNUMBER(INDEX(Registro!$U$299:$U$328,MATCH($A10,Registro!$A$299:$A$328,0))),DM$5,0),0)</f>
        <v>0</v>
      </c>
      <c r="DN10" s="0" t="n">
        <f aca="false">IFERROR(IF(ISNUMBER(INDEX(Registro!$AA$299:$AA$328,MATCH($A10,Registro!$A$299:$A$328,0))),DN$5,0),0)</f>
        <v>0</v>
      </c>
      <c r="DO10" s="0" t="n">
        <f aca="false">IFERROR(IF(ISNUMBER(INDEX(Registro!$I$335:$I$364,MATCH($A10,Registro!$A$335:$A$364,0))),DO$5,0),0)</f>
        <v>0</v>
      </c>
      <c r="DP10" s="0" t="n">
        <f aca="false">IFERROR(IF(ISNUMBER(INDEX(Registro!$O$335:$O$364,MATCH($A10,Registro!$A$335:$A$364,0))),DP$5,0),0)</f>
        <v>0</v>
      </c>
      <c r="DQ10" s="0" t="n">
        <f aca="false">IFERROR(IF(ISNUMBER(INDEX(Registro!$U$335:$U$364,MATCH($A10,Registro!$A$335:$A$364,0))),DQ$5,0),0)</f>
        <v>0</v>
      </c>
      <c r="DR10" s="0" t="n">
        <f aca="false">IFERROR(IF(ISNUMBER(INDEX(Registro!$AA$335:$AA$364,MATCH($A10,Registro!$A$335:$A$364,0))),DR$5,0),0)</f>
        <v>0</v>
      </c>
      <c r="DS10" s="0" t="n">
        <f aca="false">IFERROR(IF(ISNUMBER(INDEX(Registro!$I$371:$I$400,MATCH($A10,Registro!$A$371:$A$400,0))),DS$5,0),0)</f>
        <v>0</v>
      </c>
      <c r="DT10" s="0" t="n">
        <f aca="false">IFERROR(IF(ISNUMBER(INDEX(Registro!$O$371:$O$400,MATCH($A10,Registro!$A$371:$A$400,0))),DT$5,0),0)</f>
        <v>0</v>
      </c>
      <c r="DU10" s="0" t="n">
        <f aca="false">IFERROR(IF(ISNUMBER(INDEX(Registro!$U$371:$U$400,MATCH($A10,Registro!$A$371:$A$400,0))),DU$5,0),0)</f>
        <v>0</v>
      </c>
      <c r="DV10" s="0" t="n">
        <f aca="false">IFERROR(IF(ISNUMBER(INDEX(Registro!$AA$371:$AA$400,MATCH($A10,Registro!$A$371:$A$400,0))),DV$5,0),0)</f>
        <v>0</v>
      </c>
      <c r="DW10" s="0" t="n">
        <f aca="false">IFERROR(IF(ISNUMBER(INDEX(Registro!$I$407:$I$436,MATCH($A10,Registro!$A$407:$A$436,0))),DW$5,0),0)</f>
        <v>0</v>
      </c>
      <c r="DX10" s="0" t="n">
        <f aca="false">IFERROR(IF(ISNUMBER(INDEX(Registro!$O$407:$O$436,MATCH($A10,Registro!$A$407:$A$436,0))),DX$5,0),0)</f>
        <v>0</v>
      </c>
      <c r="DY10" s="0" t="n">
        <f aca="false">IFERROR(IF(ISNUMBER(INDEX(Registro!$U$407:$U$436,MATCH($A10,Registro!$A$407:$A$436,0))),DY$5,0),0)</f>
        <v>0</v>
      </c>
      <c r="DZ10" s="0" t="n">
        <f aca="false">IFERROR(IF(ISNUMBER(INDEX(Registro!$AA$407:$AA$436,MATCH($A10,Registro!$A$407:$A$436,0))),DZ$5,0),0)</f>
        <v>0</v>
      </c>
      <c r="EA10" s="0" t="n">
        <f aca="false">IFERROR(IF(ISNUMBER(INDEX(Registro!$I$443:$I$472,MATCH($A10,Registro!$A$443:$A$472,0))),EA$5,0),0)</f>
        <v>0</v>
      </c>
      <c r="EB10" s="0" t="n">
        <f aca="false">IFERROR(IF(ISNUMBER(INDEX(Registro!$O$443:$O$472,MATCH($A10,Registro!$A$443:$A$472,0))),EB$5,0),0)</f>
        <v>0</v>
      </c>
      <c r="EC10" s="0" t="n">
        <f aca="false">IFERROR(IF(ISNUMBER(INDEX(Registro!$U$443:$U$472,MATCH($A10,Registro!$A$443:$A$472,0))),EC$5,0),0)</f>
        <v>0</v>
      </c>
      <c r="ED10" s="0" t="n">
        <f aca="false">IFERROR(IF(ISNUMBER(INDEX(Registro!$AA$443:$AA$472,MATCH($A10,Registro!$A$443:$A$472,0))),ED$5,0),0)</f>
        <v>0</v>
      </c>
      <c r="EE10" s="0" t="n">
        <f aca="false">IFERROR(IF(ISNUMBER(INDEX(Registro!$I$479:$I$508,MATCH($A10,Registro!$A$479:$A$508,0))),EE$5,0),0)</f>
        <v>0</v>
      </c>
      <c r="EF10" s="0" t="n">
        <f aca="false">IFERROR(IF(ISNUMBER(INDEX(Registro!$O$479:$O$508,MATCH($A10,Registro!$A$479:$A$508,0))),EF$5,0),0)</f>
        <v>0</v>
      </c>
      <c r="EG10" s="0" t="n">
        <f aca="false">IFERROR(IF(ISNUMBER(INDEX(Registro!$U$479:$U$508,MATCH($A10,Registro!$A$479:$A$508,0))),EG$5,0),0)</f>
        <v>0</v>
      </c>
      <c r="EH10" s="0" t="n">
        <f aca="false">IFERROR(IF(ISNUMBER(INDEX(Registro!$AA$479:$AA$508,MATCH($A10,Registro!$A$479:$A$508,0))),EH$5,0),0)</f>
        <v>0</v>
      </c>
      <c r="EI10" s="0" t="n">
        <f aca="false">IFERROR(IF(ISNUMBER(INDEX(Registro!$I$515:$I$544,MATCH($A10,Registro!$A$515:$A$544,0))),EI$5,0),0)</f>
        <v>0</v>
      </c>
      <c r="EJ10" s="0" t="n">
        <f aca="false">IFERROR(IF(ISNUMBER(INDEX(Registro!$O$515:$O$544,MATCH($A10,Registro!$A$515:$A$544,0))),EJ$5,0),0)</f>
        <v>0</v>
      </c>
      <c r="EK10" s="0" t="n">
        <f aca="false">IFERROR(IF(ISNUMBER(INDEX(Registro!$U$515:$U$544,MATCH($A10,Registro!$A$515:$A$544,0))),EK$5,0),0)</f>
        <v>0</v>
      </c>
      <c r="EL10" s="0" t="n">
        <f aca="false">IFERROR(IF(ISNUMBER(INDEX(Registro!$AA$515:$AA$544,MATCH($A10,Registro!$A$515:$A$544,0))),EL$5,0),0)</f>
        <v>0</v>
      </c>
      <c r="EM10" s="0" t="n">
        <f aca="false">IFERROR(IF(ISNUMBER(INDEX(Registro!$I$551:$I$580,MATCH($A10,Registro!$A$551:$A$580,0))),EM$5,0),0)</f>
        <v>0</v>
      </c>
      <c r="EN10" s="0" t="n">
        <f aca="false">IFERROR(IF(ISNUMBER(INDEX(Registro!$O$551:$O$580,MATCH($A10,Registro!$A$551:$A$580,0))),EN$5,0),0)</f>
        <v>0</v>
      </c>
      <c r="EO10" s="0" t="n">
        <f aca="false">IFERROR(IF(ISNUMBER(INDEX(Registro!$U$551:$U$580,MATCH($A10,Registro!$A$551:$A$580,0))),EO$5,0),0)</f>
        <v>0</v>
      </c>
      <c r="EP10" s="0" t="n">
        <f aca="false">IFERROR(IF(ISNUMBER(INDEX(Registro!$AA$551:$AA$580,MATCH($A10,Registro!$A$551:$A$580,0))),EP$5,0),0)</f>
        <v>0</v>
      </c>
      <c r="EQ10" s="0" t="n">
        <f aca="false">IFERROR(IF(ISNUMBER(INDEX(Registro!$I$587:$I$616,MATCH($A10,Registro!$A$587:$A$616,0))),EQ$5,0),0)</f>
        <v>0</v>
      </c>
      <c r="ER10" s="0" t="n">
        <f aca="false">IFERROR(IF(ISNUMBER(INDEX(Registro!$O$587:$O$616,MATCH($A10,Registro!$A$587:$A$616,0))),ER$5,0),0)</f>
        <v>0</v>
      </c>
      <c r="ES10" s="0" t="n">
        <f aca="false">IFERROR(IF(ISNUMBER(INDEX(Registro!$U$587:$U$616,MATCH($A10,Registro!$A$587:$A$616,0))),ES$5,0),0)</f>
        <v>0</v>
      </c>
      <c r="ET10" s="0" t="n">
        <f aca="false">IFERROR(IF(ISNUMBER(INDEX(Registro!$AA$587:$AA$616,MATCH($A10,Registro!$A$587:$A$616,0))),ET$5,0),0)</f>
        <v>0</v>
      </c>
      <c r="EU10" s="0" t="n">
        <f aca="false">IFERROR(IF(ISNUMBER(INDEX(Registro!$I$623:$I$652,MATCH($A10,Registro!$A$623:$A$652,0))),EU$5,0),0)</f>
        <v>0</v>
      </c>
      <c r="EV10" s="0" t="n">
        <f aca="false">IFERROR(IF(ISNUMBER(INDEX(Registro!$O$623:$O$652,MATCH($A10,Registro!$A$623:$A$652,0))),EV$5,0),0)</f>
        <v>0</v>
      </c>
      <c r="EW10" s="0" t="n">
        <f aca="false">IFERROR(IF(ISNUMBER(INDEX(Registro!$U$623:$U$652,MATCH($A10,Registro!$A$623:$A$652,0))),EW$5,0),0)</f>
        <v>0</v>
      </c>
      <c r="EX10" s="0" t="n">
        <f aca="false">IFERROR(IF(ISNUMBER(INDEX(Registro!$AA$623:$AA$652,MATCH($A10,Registro!$A$623:$A$652,0))),EX$5,0),0)</f>
        <v>0</v>
      </c>
      <c r="EY10" s="0" t="n">
        <f aca="false">IFERROR(IF(ISNUMBER(INDEX(Registro!$I$659:$I$688,MATCH($A10,Registro!$A$659:$A$688,0))),EY$5,0),0)</f>
        <v>0</v>
      </c>
      <c r="EZ10" s="0" t="n">
        <f aca="false">IFERROR(IF(ISNUMBER(INDEX(Registro!$O$659:$O$688,MATCH($A10,Registro!$A$659:$A$688,0))),EZ$5,0),0)</f>
        <v>0</v>
      </c>
      <c r="FA10" s="0" t="n">
        <f aca="false">IFERROR(IF(ISNUMBER(INDEX(Registro!$U$659:$U$688,MATCH($A10,Registro!$A$659:$A$688,0))),FA$5,0),0)</f>
        <v>0</v>
      </c>
      <c r="FB10" s="0" t="n">
        <f aca="false">IFERROR(IF(ISNUMBER(INDEX(Registro!$AA$659:$AA$688,MATCH($A10,Registro!$A$659:$A$688,0))),FB$5,0),0)</f>
        <v>0</v>
      </c>
      <c r="FC10" s="0" t="n">
        <f aca="false">IFERROR(IF(ISNUMBER(INDEX(Registro!$I$695:$I$724,MATCH($A10,Registro!$A$695:$A$724,0))),FC$5,0),0)</f>
        <v>0</v>
      </c>
      <c r="FD10" s="0" t="n">
        <f aca="false">IFERROR(IF(ISNUMBER(INDEX(Registro!$O$695:$O$724,MATCH($A10,Registro!$A$695:$A$724,0))),FD$5,0),0)</f>
        <v>0</v>
      </c>
      <c r="FE10" s="0" t="n">
        <f aca="false">IFERROR(IF(ISNUMBER(INDEX(Registro!$U$695:$U$724,MATCH($A10,Registro!$A$695:$A$724,0))),FE$5,0),0)</f>
        <v>0</v>
      </c>
      <c r="FF10" s="0" t="n">
        <f aca="false">IFERROR(IF(ISNUMBER(INDEX(Registro!$AA$695:$AA$724,MATCH($A10,Registro!$A$695:$A$724,0))),FF$5,0),0)</f>
        <v>0</v>
      </c>
      <c r="FG10" s="0" t="n">
        <f aca="false">IFERROR(IF(AND(INDEX(Registro!$C$11:$C$40,MATCH($A10,Registro!$A$11:$A$40,0))="AS",INDEX(Registro!$D$11:$D$40,MATCH($A10,Registro!$A$11:$A$40,0))&amp;""=""),1,0),0)</f>
        <v>0</v>
      </c>
      <c r="FH10" s="0" t="n">
        <f aca="false">IFERROR(IF(AND(INDEX(Registro!$C$47:$C$76,MATCH($A10,Registro!$A$47:$A$76,0))="AS",INDEX(Registro!$D$47:$D$76,MATCH($A10,Registro!$A$47:$A$76,0))&amp;""=""),1,0),0)</f>
        <v>0</v>
      </c>
      <c r="FI10" s="0" t="n">
        <f aca="false">IFERROR(IF(AND(INDEX(Registro!$C$83:$C$112,MATCH($A10,Registro!$A$83:$A$112,0))="AS",INDEX(Registro!$D$83:$D$112,MATCH($A10,Registro!$A$83:$A$112,0))&amp;""=""),1,0),0)</f>
        <v>0</v>
      </c>
      <c r="FJ10" s="0" t="n">
        <f aca="false">IFERROR(IF(AND(INDEX(Registro!$C$119:$C$148,MATCH($A10,Registro!$A$119:$A$148,0))="AS",INDEX(Registro!$D$119:$D$148,MATCH($A10,Registro!$A$119:$A$148,0))&amp;""=""),1,0),0)</f>
        <v>0</v>
      </c>
      <c r="FK10" s="0" t="n">
        <f aca="false">IFERROR(IF(AND(INDEX(Registro!$C$155:$C$184,MATCH($A10,Registro!$A$155:$A$184,0))="AS",INDEX(Registro!$D$155:$D$184,MATCH($A10,Registro!$A$155:$A$184,0))&amp;""=""),1,0),0)</f>
        <v>0</v>
      </c>
      <c r="FL10" s="0" t="n">
        <f aca="false">IFERROR(IF(AND(INDEX(Registro!$C$191:$C$220,MATCH($A10,Registro!$A$191:$A$220,0))="AS",INDEX(Registro!$D$191:$D$220,MATCH($A10,Registro!$A$191:$A$220,0))&amp;""=""),1,0),0)</f>
        <v>0</v>
      </c>
      <c r="FM10" s="0" t="n">
        <f aca="false">IFERROR(IF(AND(INDEX(Registro!$C$227:$C$256,MATCH($A10,Registro!$A$227:$A$256,0))="AS",INDEX(Registro!$D$227:$D$256,MATCH($A10,Registro!$A$227:$A$256,0))&amp;""=""),1,0),0)</f>
        <v>0</v>
      </c>
      <c r="FN10" s="0" t="n">
        <f aca="false">IFERROR(IF(AND(INDEX(Registro!$C$263:$C$292,MATCH($A10,Registro!$A$263:$A$292,0))="AS",INDEX(Registro!$D$263:$D$292,MATCH($A10,Registro!$A$263:$A$292,0))&amp;""=""),1,0),0)</f>
        <v>0</v>
      </c>
      <c r="FO10" s="0" t="n">
        <f aca="false">IFERROR(IF(AND(INDEX(Registro!$C$299:$C$328,MATCH($A10,Registro!$A$299:$A$328,0))="AS",INDEX(Registro!$D$299:$D$328,MATCH($A10,Registro!$A$299:$A$328,0))&amp;""=""),1,0),0)</f>
        <v>0</v>
      </c>
      <c r="FP10" s="0" t="n">
        <f aca="false">IFERROR(IF(AND(INDEX(Registro!$C$335:$C$364,MATCH($A10,Registro!$A$335:$A$364,0))="AS",INDEX(Registro!$D$335:$D$364,MATCH($A10,Registro!$A$335:$A$364,0))&amp;""=""),1,0),0)</f>
        <v>0</v>
      </c>
      <c r="FQ10" s="0" t="n">
        <f aca="false">IFERROR(IF(AND(INDEX(Registro!$C$371:$C$400,MATCH($A10,Registro!$A$371:$A$400,0))="AS",INDEX(Registro!$D$371:$D$400,MATCH($A10,Registro!$A$371:$A$400,0))&amp;""=""),1,0),0)</f>
        <v>0</v>
      </c>
      <c r="FR10" s="0" t="n">
        <f aca="false">IFERROR(IF(AND(INDEX(Registro!$C$407:$C$436,MATCH($A10,Registro!$A$407:$A$436,0))="AS",INDEX(Registro!$D$407:$D$436,MATCH($A10,Registro!$A$407:$A$436,0))&amp;""=""),1,0),0)</f>
        <v>0</v>
      </c>
      <c r="FS10" s="0" t="n">
        <f aca="false">IFERROR(IF(AND(INDEX(Registro!$C$443:$C$472,MATCH($A10,Registro!$A$443:$A$472,0))="AS",INDEX(Registro!$D$443:$D$472,MATCH($A10,Registro!$A$443:$A$472,0))&amp;""=""),1,0),0)</f>
        <v>0</v>
      </c>
      <c r="FT10" s="0" t="n">
        <f aca="false">IFERROR(IF(AND(INDEX(Registro!$C$479:$C$508,MATCH($A10,Registro!$A$479:$A$508,0))="AS",INDEX(Registro!$D$479:$D$508,MATCH($A10,Registro!$A$479:$A$508,0))&amp;""=""),1,0),0)</f>
        <v>0</v>
      </c>
      <c r="FU10" s="0" t="n">
        <f aca="false">IFERROR(IF(AND(INDEX(Registro!$C$515:$C$544,MATCH($A10,Registro!$A$515:$A$544,0))="AS",INDEX(Registro!$D$515:$D$544,MATCH($A10,Registro!$A$515:$A$544,0))&amp;""=""),1,0),0)</f>
        <v>0</v>
      </c>
      <c r="FV10" s="0" t="n">
        <f aca="false">IFERROR(IF(AND(INDEX(Registro!$C$551:$C$580,MATCH($A10,Registro!$A$551:$A$580,0))="AS",INDEX(Registro!$D$551:$D$580,MATCH($A10,Registro!$A$551:$A$580,0))&amp;""=""),1,0),0)</f>
        <v>0</v>
      </c>
      <c r="FW10" s="0" t="n">
        <f aca="false">IFERROR(IF(AND(INDEX(Registro!$C$587:$C$616,MATCH($A10,Registro!$A$587:$A$616,0))="AS",INDEX(Registro!$D$587:$D$616,MATCH($A10,Registro!$A$587:$A$616,0))&amp;""=""),1,0),0)</f>
        <v>0</v>
      </c>
      <c r="FX10" s="0" t="n">
        <f aca="false">IFERROR(IF(AND(INDEX(Registro!$C$623:$C$652,MATCH($A10,Registro!$A$623:$A$652,0))="AS",INDEX(Registro!$D$623:$D$652,MATCH($A10,Registro!$A$623:$A$652,0))&amp;""=""),1,0),0)</f>
        <v>0</v>
      </c>
      <c r="FY10" s="0" t="n">
        <f aca="false">IFERROR(IF(AND(INDEX(Registro!$C$659:$C$688,MATCH($A10,Registro!$A$659:$A$688,0))="AS",INDEX(Registro!$D$659:$D$688,MATCH($A10,Registro!$A$659:$A$688,0))&amp;""=""),1,0),0)</f>
        <v>0</v>
      </c>
      <c r="FZ10" s="0" t="n">
        <f aca="false">IFERROR(IF(AND(INDEX(Registro!$C$695:$C$724,MATCH($A10,Registro!$A$695:$A$724,0))="AS",INDEX(Registro!$D$695:$D$724,MATCH($A10,Registro!$A$695:$A$724,0))&amp;""=""),1,0),0)</f>
        <v>0</v>
      </c>
    </row>
    <row r="11" customFormat="false" ht="15" hidden="false" customHeight="false" outlineLevel="0" collapsed="false">
      <c r="A11" s="0" t="n">
        <v>5</v>
      </c>
      <c r="C11" s="0" t="n">
        <f aca="false">IFERROR(N(INDEX(Registro!$I$11:$I$40,MATCH($A11,Registro!$A$11:$A$40,0))),0)</f>
        <v>0</v>
      </c>
      <c r="D11" s="0" t="n">
        <f aca="false">IFERROR(N(INDEX(Registro!$O$11:$O$40,MATCH($A11,Registro!$A$11:$A$40,0))),0)</f>
        <v>0</v>
      </c>
      <c r="E11" s="0" t="n">
        <f aca="false">IFERROR(N(INDEX(Registro!$U$11:$U$40,MATCH($A11,Registro!$A$11:$A$40,0))),0)</f>
        <v>0</v>
      </c>
      <c r="F11" s="0" t="n">
        <f aca="false">IFERROR(N(INDEX(Registro!$AA$11:$AA$40,MATCH($A11,Registro!$A$11:$A$40,0))),0)</f>
        <v>0</v>
      </c>
      <c r="G11" s="0" t="n">
        <f aca="false">IFERROR(N(INDEX(Registro!$I$47:$I$76,MATCH($A11,Registro!$A$47:$A$76,0))),0)</f>
        <v>0</v>
      </c>
      <c r="H11" s="0" t="n">
        <f aca="false">IFERROR(N(INDEX(Registro!$O$47:$O$76,MATCH($A11,Registro!$A$47:$A$76,0))),0)</f>
        <v>0</v>
      </c>
      <c r="I11" s="0" t="n">
        <f aca="false">IFERROR(N(INDEX(Registro!$U$47:$U$76,MATCH($A11,Registro!$A$47:$A$76,0))),0)</f>
        <v>0</v>
      </c>
      <c r="J11" s="0" t="n">
        <f aca="false">IFERROR(N(INDEX(Registro!$AA$47:$AA$76,MATCH($A11,Registro!$A$47:$A$76,0))),0)</f>
        <v>0</v>
      </c>
      <c r="K11" s="0" t="n">
        <f aca="false">IFERROR(N(INDEX(Registro!$I$83:$I$112,MATCH($A11,Registro!$A$83:$A$112,0))),0)</f>
        <v>0</v>
      </c>
      <c r="L11" s="0" t="n">
        <f aca="false">IFERROR(N(INDEX(Registro!$O$83:$O$112,MATCH($A11,Registro!$A$83:$A$112,0))),0)</f>
        <v>0</v>
      </c>
      <c r="M11" s="0" t="n">
        <f aca="false">IFERROR(N(INDEX(Registro!$U$83:$U$112,MATCH($A11,Registro!$A$83:$A$112,0))),0)</f>
        <v>0</v>
      </c>
      <c r="N11" s="0" t="n">
        <f aca="false">IFERROR(N(INDEX(Registro!$AA$83:$AA$112,MATCH($A11,Registro!$A$83:$A$112,0))),0)</f>
        <v>0</v>
      </c>
      <c r="O11" s="0" t="n">
        <f aca="false">IFERROR(N(INDEX(Registro!$I$119:$I$148,MATCH($A11,Registro!$A$119:$A$148,0))),0)</f>
        <v>0</v>
      </c>
      <c r="P11" s="0" t="n">
        <f aca="false">IFERROR(N(INDEX(Registro!$O$119:$O$148,MATCH($A11,Registro!$A$119:$A$148,0))),0)</f>
        <v>0</v>
      </c>
      <c r="Q11" s="0" t="n">
        <f aca="false">IFERROR(N(INDEX(Registro!$U$119:$U$148,MATCH($A11,Registro!$A$119:$A$148,0))),0)</f>
        <v>0</v>
      </c>
      <c r="R11" s="0" t="n">
        <f aca="false">IFERROR(N(INDEX(Registro!$AA$119:$AA$148,MATCH($A11,Registro!$A$119:$A$148,0))),0)</f>
        <v>0</v>
      </c>
      <c r="S11" s="0" t="n">
        <f aca="false">IFERROR(N(INDEX(Registro!$I$155:$I$184,MATCH($A11,Registro!$A$155:$A$184,0))),0)</f>
        <v>0</v>
      </c>
      <c r="T11" s="0" t="n">
        <f aca="false">IFERROR(N(INDEX(Registro!$O$155:$O$184,MATCH($A11,Registro!$A$155:$A$184,0))),0)</f>
        <v>0</v>
      </c>
      <c r="U11" s="0" t="n">
        <f aca="false">IFERROR(N(INDEX(Registro!$U$155:$U$184,MATCH($A11,Registro!$A$155:$A$184,0))),0)</f>
        <v>0</v>
      </c>
      <c r="V11" s="0" t="n">
        <f aca="false">IFERROR(N(INDEX(Registro!$AA$155:$AA$184,MATCH($A11,Registro!$A$155:$A$184,0))),0)</f>
        <v>0</v>
      </c>
      <c r="W11" s="0" t="n">
        <f aca="false">IFERROR(N(INDEX(Registro!$I$191:$I$220,MATCH($A11,Registro!$A$191:$A$220,0))),0)</f>
        <v>0</v>
      </c>
      <c r="X11" s="0" t="n">
        <f aca="false">IFERROR(N(INDEX(Registro!$O$191:$O$220,MATCH($A11,Registro!$A$191:$A$220,0))),0)</f>
        <v>0</v>
      </c>
      <c r="Y11" s="0" t="n">
        <f aca="false">IFERROR(N(INDEX(Registro!$U$191:$U$220,MATCH($A11,Registro!$A$191:$A$220,0))),0)</f>
        <v>0</v>
      </c>
      <c r="Z11" s="0" t="n">
        <f aca="false">IFERROR(N(INDEX(Registro!$AA$191:$AA$220,MATCH($A11,Registro!$A$191:$A$220,0))),0)</f>
        <v>0</v>
      </c>
      <c r="AA11" s="0" t="n">
        <f aca="false">IFERROR(N(INDEX(Registro!$I$227:$I$256,MATCH($A11,Registro!$A$227:$A$256,0))),0)</f>
        <v>0</v>
      </c>
      <c r="AB11" s="0" t="n">
        <f aca="false">IFERROR(N(INDEX(Registro!$O$227:$O$256,MATCH($A11,Registro!$A$227:$A$256,0))),0)</f>
        <v>0</v>
      </c>
      <c r="AC11" s="0" t="n">
        <f aca="false">IFERROR(N(INDEX(Registro!$U$227:$U$256,MATCH($A11,Registro!$A$227:$A$256,0))),0)</f>
        <v>0</v>
      </c>
      <c r="AD11" s="0" t="n">
        <f aca="false">IFERROR(N(INDEX(Registro!$AA$227:$AA$256,MATCH($A11,Registro!$A$227:$A$256,0))),0)</f>
        <v>0</v>
      </c>
      <c r="AE11" s="0" t="n">
        <f aca="false">IFERROR(N(INDEX(Registro!$I$263:$I$292,MATCH($A11,Registro!$A$263:$A$292,0))),0)</f>
        <v>0</v>
      </c>
      <c r="AF11" s="0" t="n">
        <f aca="false">IFERROR(N(INDEX(Registro!$O$263:$O$292,MATCH($A11,Registro!$A$263:$A$292,0))),0)</f>
        <v>0</v>
      </c>
      <c r="AG11" s="0" t="n">
        <f aca="false">IFERROR(N(INDEX(Registro!$U$263:$U$292,MATCH($A11,Registro!$A$263:$A$292,0))),0)</f>
        <v>0</v>
      </c>
      <c r="AH11" s="0" t="n">
        <f aca="false">IFERROR(N(INDEX(Registro!$AA$263:$AA$292,MATCH($A11,Registro!$A$263:$A$292,0))),0)</f>
        <v>0</v>
      </c>
      <c r="AI11" s="0" t="n">
        <f aca="false">IFERROR(N(INDEX(Registro!$I$299:$I$328,MATCH($A11,Registro!$A$299:$A$328,0))),0)</f>
        <v>0</v>
      </c>
      <c r="AJ11" s="0" t="n">
        <f aca="false">IFERROR(N(INDEX(Registro!$O$299:$O$328,MATCH($A11,Registro!$A$299:$A$328,0))),0)</f>
        <v>0</v>
      </c>
      <c r="AK11" s="0" t="n">
        <f aca="false">IFERROR(N(INDEX(Registro!$U$299:$U$328,MATCH($A11,Registro!$A$299:$A$328,0))),0)</f>
        <v>0</v>
      </c>
      <c r="AL11" s="0" t="n">
        <f aca="false">IFERROR(N(INDEX(Registro!$AA$299:$AA$328,MATCH($A11,Registro!$A$299:$A$328,0))),0)</f>
        <v>0</v>
      </c>
      <c r="AM11" s="0" t="n">
        <f aca="false">IFERROR(N(INDEX(Registro!$I$335:$I$364,MATCH($A11,Registro!$A$335:$A$364,0))),0)</f>
        <v>0</v>
      </c>
      <c r="AN11" s="0" t="n">
        <f aca="false">IFERROR(N(INDEX(Registro!$O$335:$O$364,MATCH($A11,Registro!$A$335:$A$364,0))),0)</f>
        <v>0</v>
      </c>
      <c r="AO11" s="0" t="n">
        <f aca="false">IFERROR(N(INDEX(Registro!$U$335:$U$364,MATCH($A11,Registro!$A$335:$A$364,0))),0)</f>
        <v>0</v>
      </c>
      <c r="AP11" s="0" t="n">
        <f aca="false">IFERROR(N(INDEX(Registro!$AA$335:$AA$364,MATCH($A11,Registro!$A$335:$A$364,0))),0)</f>
        <v>0</v>
      </c>
      <c r="AQ11" s="0" t="n">
        <f aca="false">IFERROR(N(INDEX(Registro!$I$371:$I$400,MATCH($A11,Registro!$A$371:$A$400,0))),0)</f>
        <v>0</v>
      </c>
      <c r="AR11" s="0" t="n">
        <f aca="false">IFERROR(N(INDEX(Registro!$O$371:$O$400,MATCH($A11,Registro!$A$371:$A$400,0))),0)</f>
        <v>0</v>
      </c>
      <c r="AS11" s="0" t="n">
        <f aca="false">IFERROR(N(INDEX(Registro!$U$371:$U$400,MATCH($A11,Registro!$A$371:$A$400,0))),0)</f>
        <v>0</v>
      </c>
      <c r="AT11" s="0" t="n">
        <f aca="false">IFERROR(N(INDEX(Registro!$AA$371:$AA$400,MATCH($A11,Registro!$A$371:$A$400,0))),0)</f>
        <v>0</v>
      </c>
      <c r="AU11" s="0" t="n">
        <f aca="false">IFERROR(N(INDEX(Registro!$I$407:$I$436,MATCH($A11,Registro!$A$407:$A$436,0))),0)</f>
        <v>0</v>
      </c>
      <c r="AV11" s="0" t="n">
        <f aca="false">IFERROR(N(INDEX(Registro!$O$407:$O$436,MATCH($A11,Registro!$A$407:$A$436,0))),0)</f>
        <v>0</v>
      </c>
      <c r="AW11" s="0" t="n">
        <f aca="false">IFERROR(N(INDEX(Registro!$U$407:$U$436,MATCH($A11,Registro!$A$407:$A$436,0))),0)</f>
        <v>0</v>
      </c>
      <c r="AX11" s="0" t="n">
        <f aca="false">IFERROR(N(INDEX(Registro!$AA$407:$AA$436,MATCH($A11,Registro!$A$407:$A$436,0))),0)</f>
        <v>0</v>
      </c>
      <c r="AY11" s="0" t="n">
        <f aca="false">IFERROR(N(INDEX(Registro!$I$443:$I$472,MATCH($A11,Registro!$A$443:$A$472,0))),0)</f>
        <v>0</v>
      </c>
      <c r="AZ11" s="0" t="n">
        <f aca="false">IFERROR(N(INDEX(Registro!$O$443:$O$472,MATCH($A11,Registro!$A$443:$A$472,0))),0)</f>
        <v>0</v>
      </c>
      <c r="BA11" s="0" t="n">
        <f aca="false">IFERROR(N(INDEX(Registro!$U$443:$U$472,MATCH($A11,Registro!$A$443:$A$472,0))),0)</f>
        <v>0</v>
      </c>
      <c r="BB11" s="0" t="n">
        <f aca="false">IFERROR(N(INDEX(Registro!$AA$443:$AA$472,MATCH($A11,Registro!$A$443:$A$472,0))),0)</f>
        <v>0</v>
      </c>
      <c r="BC11" s="0" t="n">
        <f aca="false">IFERROR(N(INDEX(Registro!$I$479:$I$508,MATCH($A11,Registro!$A$479:$A$508,0))),0)</f>
        <v>0</v>
      </c>
      <c r="BD11" s="0" t="n">
        <f aca="false">IFERROR(N(INDEX(Registro!$O$479:$O$508,MATCH($A11,Registro!$A$479:$A$508,0))),0)</f>
        <v>0</v>
      </c>
      <c r="BE11" s="0" t="n">
        <f aca="false">IFERROR(N(INDEX(Registro!$U$479:$U$508,MATCH($A11,Registro!$A$479:$A$508,0))),0)</f>
        <v>0</v>
      </c>
      <c r="BF11" s="0" t="n">
        <f aca="false">IFERROR(N(INDEX(Registro!$AA$479:$AA$508,MATCH($A11,Registro!$A$479:$A$508,0))),0)</f>
        <v>0</v>
      </c>
      <c r="BG11" s="0" t="n">
        <f aca="false">IFERROR(N(INDEX(Registro!$I$515:$I$544,MATCH($A11,Registro!$A$515:$A$544,0))),0)</f>
        <v>0</v>
      </c>
      <c r="BH11" s="0" t="n">
        <f aca="false">IFERROR(N(INDEX(Registro!$O$515:$O$544,MATCH($A11,Registro!$A$515:$A$544,0))),0)</f>
        <v>0</v>
      </c>
      <c r="BI11" s="0" t="n">
        <f aca="false">IFERROR(N(INDEX(Registro!$U$515:$U$544,MATCH($A11,Registro!$A$515:$A$544,0))),0)</f>
        <v>0</v>
      </c>
      <c r="BJ11" s="0" t="n">
        <f aca="false">IFERROR(N(INDEX(Registro!$AA$515:$AA$544,MATCH($A11,Registro!$A$515:$A$544,0))),0)</f>
        <v>0</v>
      </c>
      <c r="BK11" s="0" t="n">
        <f aca="false">IFERROR(N(INDEX(Registro!$I$551:$I$580,MATCH($A11,Registro!$A$551:$A$580,0))),0)</f>
        <v>0</v>
      </c>
      <c r="BL11" s="0" t="n">
        <f aca="false">IFERROR(N(INDEX(Registro!$O$551:$O$580,MATCH($A11,Registro!$A$551:$A$580,0))),0)</f>
        <v>0</v>
      </c>
      <c r="BM11" s="0" t="n">
        <f aca="false">IFERROR(N(INDEX(Registro!$U$551:$U$580,MATCH($A11,Registro!$A$551:$A$580,0))),0)</f>
        <v>0</v>
      </c>
      <c r="BN11" s="0" t="n">
        <f aca="false">IFERROR(N(INDEX(Registro!$AA$551:$AA$580,MATCH($A11,Registro!$A$551:$A$580,0))),0)</f>
        <v>0</v>
      </c>
      <c r="BO11" s="0" t="n">
        <f aca="false">IFERROR(N(INDEX(Registro!$I$587:$I$616,MATCH($A11,Registro!$A$587:$A$616,0))),0)</f>
        <v>0</v>
      </c>
      <c r="BP11" s="0" t="n">
        <f aca="false">IFERROR(N(INDEX(Registro!$O$587:$O$616,MATCH($A11,Registro!$A$587:$A$616,0))),0)</f>
        <v>0</v>
      </c>
      <c r="BQ11" s="0" t="n">
        <f aca="false">IFERROR(N(INDEX(Registro!$U$587:$U$616,MATCH($A11,Registro!$A$587:$A$616,0))),0)</f>
        <v>0</v>
      </c>
      <c r="BR11" s="0" t="n">
        <f aca="false">IFERROR(N(INDEX(Registro!$AA$587:$AA$616,MATCH($A11,Registro!$A$587:$A$616,0))),0)</f>
        <v>0</v>
      </c>
      <c r="BS11" s="0" t="n">
        <f aca="false">IFERROR(N(INDEX(Registro!$I$623:$I$652,MATCH($A11,Registro!$A$623:$A$652,0))),0)</f>
        <v>0</v>
      </c>
      <c r="BT11" s="0" t="n">
        <f aca="false">IFERROR(N(INDEX(Registro!$O$623:$O$652,MATCH($A11,Registro!$A$623:$A$652,0))),0)</f>
        <v>0</v>
      </c>
      <c r="BU11" s="0" t="n">
        <f aca="false">IFERROR(N(INDEX(Registro!$U$623:$U$652,MATCH($A11,Registro!$A$623:$A$652,0))),0)</f>
        <v>0</v>
      </c>
      <c r="BV11" s="0" t="n">
        <f aca="false">IFERROR(N(INDEX(Registro!$AA$623:$AA$652,MATCH($A11,Registro!$A$623:$A$652,0))),0)</f>
        <v>0</v>
      </c>
      <c r="BW11" s="0" t="n">
        <f aca="false">IFERROR(N(INDEX(Registro!$I$659:$I$688,MATCH($A11,Registro!$A$659:$A$688,0))),0)</f>
        <v>0</v>
      </c>
      <c r="BX11" s="0" t="n">
        <f aca="false">IFERROR(N(INDEX(Registro!$O$659:$O$688,MATCH($A11,Registro!$A$659:$A$688,0))),0)</f>
        <v>0</v>
      </c>
      <c r="BY11" s="0" t="n">
        <f aca="false">IFERROR(N(INDEX(Registro!$U$659:$U$688,MATCH($A11,Registro!$A$659:$A$688,0))),0)</f>
        <v>0</v>
      </c>
      <c r="BZ11" s="0" t="n">
        <f aca="false">IFERROR(N(INDEX(Registro!$AA$659:$AA$688,MATCH($A11,Registro!$A$659:$A$688,0))),0)</f>
        <v>0</v>
      </c>
      <c r="CA11" s="0" t="n">
        <f aca="false">IFERROR(N(INDEX(Registro!$I$695:$I$724,MATCH($A11,Registro!$A$695:$A$724,0))),0)</f>
        <v>0</v>
      </c>
      <c r="CB11" s="0" t="n">
        <f aca="false">IFERROR(N(INDEX(Registro!$O$695:$O$724,MATCH($A11,Registro!$A$695:$A$724,0))),0)</f>
        <v>0</v>
      </c>
      <c r="CC11" s="0" t="n">
        <f aca="false">IFERROR(N(INDEX(Registro!$U$695:$U$724,MATCH($A11,Registro!$A$695:$A$724,0))),0)</f>
        <v>0</v>
      </c>
      <c r="CD11" s="0" t="n">
        <f aca="false">IFERROR(N(INDEX(Registro!$AA$695:$AA$724,MATCH($A11,Registro!$A$695:$A$724,0))),0)</f>
        <v>0</v>
      </c>
      <c r="CE11" s="0" t="n">
        <f aca="false">IFERROR(IF(ISNUMBER(INDEX(Registro!$I$11:$I$40,MATCH($A11,Registro!$A$11:$A$40,0))),CE$5,0),0)</f>
        <v>0</v>
      </c>
      <c r="CF11" s="0" t="n">
        <f aca="false">IFERROR(IF(ISNUMBER(INDEX(Registro!$O$11:$O$40,MATCH($A11,Registro!$A$11:$A$40,0))),CF$5,0),0)</f>
        <v>0</v>
      </c>
      <c r="CG11" s="0" t="n">
        <f aca="false">IFERROR(IF(ISNUMBER(INDEX(Registro!$U$11:$U$40,MATCH($A11,Registro!$A$11:$A$40,0))),CG$5,0),0)</f>
        <v>0</v>
      </c>
      <c r="CH11" s="0" t="n">
        <f aca="false">IFERROR(IF(ISNUMBER(INDEX(Registro!$AA$11:$AA$40,MATCH($A11,Registro!$A$11:$A$40,0))),CH$5,0),0)</f>
        <v>0</v>
      </c>
      <c r="CI11" s="0" t="n">
        <f aca="false">IFERROR(IF(ISNUMBER(INDEX(Registro!$I$47:$I$76,MATCH($A11,Registro!$A$47:$A$76,0))),CI$5,0),0)</f>
        <v>0</v>
      </c>
      <c r="CJ11" s="0" t="n">
        <f aca="false">IFERROR(IF(ISNUMBER(INDEX(Registro!$O$47:$O$76,MATCH($A11,Registro!$A$47:$A$76,0))),CJ$5,0),0)</f>
        <v>0</v>
      </c>
      <c r="CK11" s="0" t="n">
        <f aca="false">IFERROR(IF(ISNUMBER(INDEX(Registro!$U$47:$U$76,MATCH($A11,Registro!$A$47:$A$76,0))),CK$5,0),0)</f>
        <v>0</v>
      </c>
      <c r="CL11" s="0" t="n">
        <f aca="false">IFERROR(IF(ISNUMBER(INDEX(Registro!$AA$47:$AA$76,MATCH($A11,Registro!$A$47:$A$76,0))),CL$5,0),0)</f>
        <v>0</v>
      </c>
      <c r="CM11" s="0" t="n">
        <f aca="false">IFERROR(IF(ISNUMBER(INDEX(Registro!$I$83:$I$112,MATCH($A11,Registro!$A$83:$A$112,0))),CM$5,0),0)</f>
        <v>0</v>
      </c>
      <c r="CN11" s="0" t="n">
        <f aca="false">IFERROR(IF(ISNUMBER(INDEX(Registro!$O$83:$O$112,MATCH($A11,Registro!$A$83:$A$112,0))),CN$5,0),0)</f>
        <v>0</v>
      </c>
      <c r="CO11" s="0" t="n">
        <f aca="false">IFERROR(IF(ISNUMBER(INDEX(Registro!$U$83:$U$112,MATCH($A11,Registro!$A$83:$A$112,0))),CO$5,0),0)</f>
        <v>0</v>
      </c>
      <c r="CP11" s="0" t="n">
        <f aca="false">IFERROR(IF(ISNUMBER(INDEX(Registro!$AA$83:$AA$112,MATCH($A11,Registro!$A$83:$A$112,0))),CP$5,0),0)</f>
        <v>0</v>
      </c>
      <c r="CQ11" s="0" t="n">
        <f aca="false">IFERROR(IF(ISNUMBER(INDEX(Registro!$I$119:$I$148,MATCH($A11,Registro!$A$119:$A$148,0))),CQ$5,0),0)</f>
        <v>0</v>
      </c>
      <c r="CR11" s="0" t="n">
        <f aca="false">IFERROR(IF(ISNUMBER(INDEX(Registro!$O$119:$O$148,MATCH($A11,Registro!$A$119:$A$148,0))),CR$5,0),0)</f>
        <v>0</v>
      </c>
      <c r="CS11" s="0" t="n">
        <f aca="false">IFERROR(IF(ISNUMBER(INDEX(Registro!$U$119:$U$148,MATCH($A11,Registro!$A$119:$A$148,0))),CS$5,0),0)</f>
        <v>0</v>
      </c>
      <c r="CT11" s="0" t="n">
        <f aca="false">IFERROR(IF(ISNUMBER(INDEX(Registro!$AA$119:$AA$148,MATCH($A11,Registro!$A$119:$A$148,0))),CT$5,0),0)</f>
        <v>0</v>
      </c>
      <c r="CU11" s="0" t="n">
        <f aca="false">IFERROR(IF(ISNUMBER(INDEX(Registro!$I$155:$I$184,MATCH($A11,Registro!$A$155:$A$184,0))),CU$5,0),0)</f>
        <v>0</v>
      </c>
      <c r="CV11" s="0" t="n">
        <f aca="false">IFERROR(IF(ISNUMBER(INDEX(Registro!$O$155:$O$184,MATCH($A11,Registro!$A$155:$A$184,0))),CV$5,0),0)</f>
        <v>0</v>
      </c>
      <c r="CW11" s="0" t="n">
        <f aca="false">IFERROR(IF(ISNUMBER(INDEX(Registro!$U$155:$U$184,MATCH($A11,Registro!$A$155:$A$184,0))),CW$5,0),0)</f>
        <v>0</v>
      </c>
      <c r="CX11" s="0" t="n">
        <f aca="false">IFERROR(IF(ISNUMBER(INDEX(Registro!$AA$155:$AA$184,MATCH($A11,Registro!$A$155:$A$184,0))),CX$5,0),0)</f>
        <v>0</v>
      </c>
      <c r="CY11" s="0" t="n">
        <f aca="false">IFERROR(IF(ISNUMBER(INDEX(Registro!$I$191:$I$220,MATCH($A11,Registro!$A$191:$A$220,0))),CY$5,0),0)</f>
        <v>0</v>
      </c>
      <c r="CZ11" s="0" t="n">
        <f aca="false">IFERROR(IF(ISNUMBER(INDEX(Registro!$O$191:$O$220,MATCH($A11,Registro!$A$191:$A$220,0))),CZ$5,0),0)</f>
        <v>0</v>
      </c>
      <c r="DA11" s="0" t="n">
        <f aca="false">IFERROR(IF(ISNUMBER(INDEX(Registro!$U$191:$U$220,MATCH($A11,Registro!$A$191:$A$220,0))),DA$5,0),0)</f>
        <v>0</v>
      </c>
      <c r="DB11" s="0" t="n">
        <f aca="false">IFERROR(IF(ISNUMBER(INDEX(Registro!$AA$191:$AA$220,MATCH($A11,Registro!$A$191:$A$220,0))),DB$5,0),0)</f>
        <v>0</v>
      </c>
      <c r="DC11" s="0" t="n">
        <f aca="false">IFERROR(IF(ISNUMBER(INDEX(Registro!$I$227:$I$256,MATCH($A11,Registro!$A$227:$A$256,0))),DC$5,0),0)</f>
        <v>0</v>
      </c>
      <c r="DD11" s="0" t="n">
        <f aca="false">IFERROR(IF(ISNUMBER(INDEX(Registro!$O$227:$O$256,MATCH($A11,Registro!$A$227:$A$256,0))),DD$5,0),0)</f>
        <v>0</v>
      </c>
      <c r="DE11" s="0" t="n">
        <f aca="false">IFERROR(IF(ISNUMBER(INDEX(Registro!$U$227:$U$256,MATCH($A11,Registro!$A$227:$A$256,0))),DE$5,0),0)</f>
        <v>0</v>
      </c>
      <c r="DF11" s="0" t="n">
        <f aca="false">IFERROR(IF(ISNUMBER(INDEX(Registro!$AA$227:$AA$256,MATCH($A11,Registro!$A$227:$A$256,0))),DF$5,0),0)</f>
        <v>0</v>
      </c>
      <c r="DG11" s="0" t="n">
        <f aca="false">IFERROR(IF(ISNUMBER(INDEX(Registro!$I$263:$I$292,MATCH($A11,Registro!$A$263:$A$292,0))),DG$5,0),0)</f>
        <v>0</v>
      </c>
      <c r="DH11" s="0" t="n">
        <f aca="false">IFERROR(IF(ISNUMBER(INDEX(Registro!$O$263:$O$292,MATCH($A11,Registro!$A$263:$A$292,0))),DH$5,0),0)</f>
        <v>0</v>
      </c>
      <c r="DI11" s="0" t="n">
        <f aca="false">IFERROR(IF(ISNUMBER(INDEX(Registro!$U$263:$U$292,MATCH($A11,Registro!$A$263:$A$292,0))),DI$5,0),0)</f>
        <v>0</v>
      </c>
      <c r="DJ11" s="0" t="n">
        <f aca="false">IFERROR(IF(ISNUMBER(INDEX(Registro!$AA$263:$AA$292,MATCH($A11,Registro!$A$263:$A$292,0))),DJ$5,0),0)</f>
        <v>0</v>
      </c>
      <c r="DK11" s="0" t="n">
        <f aca="false">IFERROR(IF(ISNUMBER(INDEX(Registro!$I$299:$I$328,MATCH($A11,Registro!$A$299:$A$328,0))),DK$5,0),0)</f>
        <v>0</v>
      </c>
      <c r="DL11" s="0" t="n">
        <f aca="false">IFERROR(IF(ISNUMBER(INDEX(Registro!$O$299:$O$328,MATCH($A11,Registro!$A$299:$A$328,0))),DL$5,0),0)</f>
        <v>0</v>
      </c>
      <c r="DM11" s="0" t="n">
        <f aca="false">IFERROR(IF(ISNUMBER(INDEX(Registro!$U$299:$U$328,MATCH($A11,Registro!$A$299:$A$328,0))),DM$5,0),0)</f>
        <v>0</v>
      </c>
      <c r="DN11" s="0" t="n">
        <f aca="false">IFERROR(IF(ISNUMBER(INDEX(Registro!$AA$299:$AA$328,MATCH($A11,Registro!$A$299:$A$328,0))),DN$5,0),0)</f>
        <v>0</v>
      </c>
      <c r="DO11" s="0" t="n">
        <f aca="false">IFERROR(IF(ISNUMBER(INDEX(Registro!$I$335:$I$364,MATCH($A11,Registro!$A$335:$A$364,0))),DO$5,0),0)</f>
        <v>0</v>
      </c>
      <c r="DP11" s="0" t="n">
        <f aca="false">IFERROR(IF(ISNUMBER(INDEX(Registro!$O$335:$O$364,MATCH($A11,Registro!$A$335:$A$364,0))),DP$5,0),0)</f>
        <v>0</v>
      </c>
      <c r="DQ11" s="0" t="n">
        <f aca="false">IFERROR(IF(ISNUMBER(INDEX(Registro!$U$335:$U$364,MATCH($A11,Registro!$A$335:$A$364,0))),DQ$5,0),0)</f>
        <v>0</v>
      </c>
      <c r="DR11" s="0" t="n">
        <f aca="false">IFERROR(IF(ISNUMBER(INDEX(Registro!$AA$335:$AA$364,MATCH($A11,Registro!$A$335:$A$364,0))),DR$5,0),0)</f>
        <v>0</v>
      </c>
      <c r="DS11" s="0" t="n">
        <f aca="false">IFERROR(IF(ISNUMBER(INDEX(Registro!$I$371:$I$400,MATCH($A11,Registro!$A$371:$A$400,0))),DS$5,0),0)</f>
        <v>0</v>
      </c>
      <c r="DT11" s="0" t="n">
        <f aca="false">IFERROR(IF(ISNUMBER(INDEX(Registro!$O$371:$O$400,MATCH($A11,Registro!$A$371:$A$400,0))),DT$5,0),0)</f>
        <v>0</v>
      </c>
      <c r="DU11" s="0" t="n">
        <f aca="false">IFERROR(IF(ISNUMBER(INDEX(Registro!$U$371:$U$400,MATCH($A11,Registro!$A$371:$A$400,0))),DU$5,0),0)</f>
        <v>0</v>
      </c>
      <c r="DV11" s="0" t="n">
        <f aca="false">IFERROR(IF(ISNUMBER(INDEX(Registro!$AA$371:$AA$400,MATCH($A11,Registro!$A$371:$A$400,0))),DV$5,0),0)</f>
        <v>0</v>
      </c>
      <c r="DW11" s="0" t="n">
        <f aca="false">IFERROR(IF(ISNUMBER(INDEX(Registro!$I$407:$I$436,MATCH($A11,Registro!$A$407:$A$436,0))),DW$5,0),0)</f>
        <v>0</v>
      </c>
      <c r="DX11" s="0" t="n">
        <f aca="false">IFERROR(IF(ISNUMBER(INDEX(Registro!$O$407:$O$436,MATCH($A11,Registro!$A$407:$A$436,0))),DX$5,0),0)</f>
        <v>0</v>
      </c>
      <c r="DY11" s="0" t="n">
        <f aca="false">IFERROR(IF(ISNUMBER(INDEX(Registro!$U$407:$U$436,MATCH($A11,Registro!$A$407:$A$436,0))),DY$5,0),0)</f>
        <v>0</v>
      </c>
      <c r="DZ11" s="0" t="n">
        <f aca="false">IFERROR(IF(ISNUMBER(INDEX(Registro!$AA$407:$AA$436,MATCH($A11,Registro!$A$407:$A$436,0))),DZ$5,0),0)</f>
        <v>0</v>
      </c>
      <c r="EA11" s="0" t="n">
        <f aca="false">IFERROR(IF(ISNUMBER(INDEX(Registro!$I$443:$I$472,MATCH($A11,Registro!$A$443:$A$472,0))),EA$5,0),0)</f>
        <v>0</v>
      </c>
      <c r="EB11" s="0" t="n">
        <f aca="false">IFERROR(IF(ISNUMBER(INDEX(Registro!$O$443:$O$472,MATCH($A11,Registro!$A$443:$A$472,0))),EB$5,0),0)</f>
        <v>0</v>
      </c>
      <c r="EC11" s="0" t="n">
        <f aca="false">IFERROR(IF(ISNUMBER(INDEX(Registro!$U$443:$U$472,MATCH($A11,Registro!$A$443:$A$472,0))),EC$5,0),0)</f>
        <v>0</v>
      </c>
      <c r="ED11" s="0" t="n">
        <f aca="false">IFERROR(IF(ISNUMBER(INDEX(Registro!$AA$443:$AA$472,MATCH($A11,Registro!$A$443:$A$472,0))),ED$5,0),0)</f>
        <v>0</v>
      </c>
      <c r="EE11" s="0" t="n">
        <f aca="false">IFERROR(IF(ISNUMBER(INDEX(Registro!$I$479:$I$508,MATCH($A11,Registro!$A$479:$A$508,0))),EE$5,0),0)</f>
        <v>0</v>
      </c>
      <c r="EF11" s="0" t="n">
        <f aca="false">IFERROR(IF(ISNUMBER(INDEX(Registro!$O$479:$O$508,MATCH($A11,Registro!$A$479:$A$508,0))),EF$5,0),0)</f>
        <v>0</v>
      </c>
      <c r="EG11" s="0" t="n">
        <f aca="false">IFERROR(IF(ISNUMBER(INDEX(Registro!$U$479:$U$508,MATCH($A11,Registro!$A$479:$A$508,0))),EG$5,0),0)</f>
        <v>0</v>
      </c>
      <c r="EH11" s="0" t="n">
        <f aca="false">IFERROR(IF(ISNUMBER(INDEX(Registro!$AA$479:$AA$508,MATCH($A11,Registro!$A$479:$A$508,0))),EH$5,0),0)</f>
        <v>0</v>
      </c>
      <c r="EI11" s="0" t="n">
        <f aca="false">IFERROR(IF(ISNUMBER(INDEX(Registro!$I$515:$I$544,MATCH($A11,Registro!$A$515:$A$544,0))),EI$5,0),0)</f>
        <v>0</v>
      </c>
      <c r="EJ11" s="0" t="n">
        <f aca="false">IFERROR(IF(ISNUMBER(INDEX(Registro!$O$515:$O$544,MATCH($A11,Registro!$A$515:$A$544,0))),EJ$5,0),0)</f>
        <v>0</v>
      </c>
      <c r="EK11" s="0" t="n">
        <f aca="false">IFERROR(IF(ISNUMBER(INDEX(Registro!$U$515:$U$544,MATCH($A11,Registro!$A$515:$A$544,0))),EK$5,0),0)</f>
        <v>0</v>
      </c>
      <c r="EL11" s="0" t="n">
        <f aca="false">IFERROR(IF(ISNUMBER(INDEX(Registro!$AA$515:$AA$544,MATCH($A11,Registro!$A$515:$A$544,0))),EL$5,0),0)</f>
        <v>0</v>
      </c>
      <c r="EM11" s="0" t="n">
        <f aca="false">IFERROR(IF(ISNUMBER(INDEX(Registro!$I$551:$I$580,MATCH($A11,Registro!$A$551:$A$580,0))),EM$5,0),0)</f>
        <v>0</v>
      </c>
      <c r="EN11" s="0" t="n">
        <f aca="false">IFERROR(IF(ISNUMBER(INDEX(Registro!$O$551:$O$580,MATCH($A11,Registro!$A$551:$A$580,0))),EN$5,0),0)</f>
        <v>0</v>
      </c>
      <c r="EO11" s="0" t="n">
        <f aca="false">IFERROR(IF(ISNUMBER(INDEX(Registro!$U$551:$U$580,MATCH($A11,Registro!$A$551:$A$580,0))),EO$5,0),0)</f>
        <v>0</v>
      </c>
      <c r="EP11" s="0" t="n">
        <f aca="false">IFERROR(IF(ISNUMBER(INDEX(Registro!$AA$551:$AA$580,MATCH($A11,Registro!$A$551:$A$580,0))),EP$5,0),0)</f>
        <v>0</v>
      </c>
      <c r="EQ11" s="0" t="n">
        <f aca="false">IFERROR(IF(ISNUMBER(INDEX(Registro!$I$587:$I$616,MATCH($A11,Registro!$A$587:$A$616,0))),EQ$5,0),0)</f>
        <v>0</v>
      </c>
      <c r="ER11" s="0" t="n">
        <f aca="false">IFERROR(IF(ISNUMBER(INDEX(Registro!$O$587:$O$616,MATCH($A11,Registro!$A$587:$A$616,0))),ER$5,0),0)</f>
        <v>0</v>
      </c>
      <c r="ES11" s="0" t="n">
        <f aca="false">IFERROR(IF(ISNUMBER(INDEX(Registro!$U$587:$U$616,MATCH($A11,Registro!$A$587:$A$616,0))),ES$5,0),0)</f>
        <v>0</v>
      </c>
      <c r="ET11" s="0" t="n">
        <f aca="false">IFERROR(IF(ISNUMBER(INDEX(Registro!$AA$587:$AA$616,MATCH($A11,Registro!$A$587:$A$616,0))),ET$5,0),0)</f>
        <v>0</v>
      </c>
      <c r="EU11" s="0" t="n">
        <f aca="false">IFERROR(IF(ISNUMBER(INDEX(Registro!$I$623:$I$652,MATCH($A11,Registro!$A$623:$A$652,0))),EU$5,0),0)</f>
        <v>0</v>
      </c>
      <c r="EV11" s="0" t="n">
        <f aca="false">IFERROR(IF(ISNUMBER(INDEX(Registro!$O$623:$O$652,MATCH($A11,Registro!$A$623:$A$652,0))),EV$5,0),0)</f>
        <v>0</v>
      </c>
      <c r="EW11" s="0" t="n">
        <f aca="false">IFERROR(IF(ISNUMBER(INDEX(Registro!$U$623:$U$652,MATCH($A11,Registro!$A$623:$A$652,0))),EW$5,0),0)</f>
        <v>0</v>
      </c>
      <c r="EX11" s="0" t="n">
        <f aca="false">IFERROR(IF(ISNUMBER(INDEX(Registro!$AA$623:$AA$652,MATCH($A11,Registro!$A$623:$A$652,0))),EX$5,0),0)</f>
        <v>0</v>
      </c>
      <c r="EY11" s="0" t="n">
        <f aca="false">IFERROR(IF(ISNUMBER(INDEX(Registro!$I$659:$I$688,MATCH($A11,Registro!$A$659:$A$688,0))),EY$5,0),0)</f>
        <v>0</v>
      </c>
      <c r="EZ11" s="0" t="n">
        <f aca="false">IFERROR(IF(ISNUMBER(INDEX(Registro!$O$659:$O$688,MATCH($A11,Registro!$A$659:$A$688,0))),EZ$5,0),0)</f>
        <v>0</v>
      </c>
      <c r="FA11" s="0" t="n">
        <f aca="false">IFERROR(IF(ISNUMBER(INDEX(Registro!$U$659:$U$688,MATCH($A11,Registro!$A$659:$A$688,0))),FA$5,0),0)</f>
        <v>0</v>
      </c>
      <c r="FB11" s="0" t="n">
        <f aca="false">IFERROR(IF(ISNUMBER(INDEX(Registro!$AA$659:$AA$688,MATCH($A11,Registro!$A$659:$A$688,0))),FB$5,0),0)</f>
        <v>0</v>
      </c>
      <c r="FC11" s="0" t="n">
        <f aca="false">IFERROR(IF(ISNUMBER(INDEX(Registro!$I$695:$I$724,MATCH($A11,Registro!$A$695:$A$724,0))),FC$5,0),0)</f>
        <v>0</v>
      </c>
      <c r="FD11" s="0" t="n">
        <f aca="false">IFERROR(IF(ISNUMBER(INDEX(Registro!$O$695:$O$724,MATCH($A11,Registro!$A$695:$A$724,0))),FD$5,0),0)</f>
        <v>0</v>
      </c>
      <c r="FE11" s="0" t="n">
        <f aca="false">IFERROR(IF(ISNUMBER(INDEX(Registro!$U$695:$U$724,MATCH($A11,Registro!$A$695:$A$724,0))),FE$5,0),0)</f>
        <v>0</v>
      </c>
      <c r="FF11" s="0" t="n">
        <f aca="false">IFERROR(IF(ISNUMBER(INDEX(Registro!$AA$695:$AA$724,MATCH($A11,Registro!$A$695:$A$724,0))),FF$5,0),0)</f>
        <v>0</v>
      </c>
      <c r="FG11" s="0" t="n">
        <f aca="false">IFERROR(IF(AND(INDEX(Registro!$C$11:$C$40,MATCH($A11,Registro!$A$11:$A$40,0))="AS",INDEX(Registro!$D$11:$D$40,MATCH($A11,Registro!$A$11:$A$40,0))&amp;""=""),1,0),0)</f>
        <v>0</v>
      </c>
      <c r="FH11" s="0" t="n">
        <f aca="false">IFERROR(IF(AND(INDEX(Registro!$C$47:$C$76,MATCH($A11,Registro!$A$47:$A$76,0))="AS",INDEX(Registro!$D$47:$D$76,MATCH($A11,Registro!$A$47:$A$76,0))&amp;""=""),1,0),0)</f>
        <v>0</v>
      </c>
      <c r="FI11" s="0" t="n">
        <f aca="false">IFERROR(IF(AND(INDEX(Registro!$C$83:$C$112,MATCH($A11,Registro!$A$83:$A$112,0))="AS",INDEX(Registro!$D$83:$D$112,MATCH($A11,Registro!$A$83:$A$112,0))&amp;""=""),1,0),0)</f>
        <v>0</v>
      </c>
      <c r="FJ11" s="0" t="n">
        <f aca="false">IFERROR(IF(AND(INDEX(Registro!$C$119:$C$148,MATCH($A11,Registro!$A$119:$A$148,0))="AS",INDEX(Registro!$D$119:$D$148,MATCH($A11,Registro!$A$119:$A$148,0))&amp;""=""),1,0),0)</f>
        <v>0</v>
      </c>
      <c r="FK11" s="0" t="n">
        <f aca="false">IFERROR(IF(AND(INDEX(Registro!$C$155:$C$184,MATCH($A11,Registro!$A$155:$A$184,0))="AS",INDEX(Registro!$D$155:$D$184,MATCH($A11,Registro!$A$155:$A$184,0))&amp;""=""),1,0),0)</f>
        <v>0</v>
      </c>
      <c r="FL11" s="0" t="n">
        <f aca="false">IFERROR(IF(AND(INDEX(Registro!$C$191:$C$220,MATCH($A11,Registro!$A$191:$A$220,0))="AS",INDEX(Registro!$D$191:$D$220,MATCH($A11,Registro!$A$191:$A$220,0))&amp;""=""),1,0),0)</f>
        <v>0</v>
      </c>
      <c r="FM11" s="0" t="n">
        <f aca="false">IFERROR(IF(AND(INDEX(Registro!$C$227:$C$256,MATCH($A11,Registro!$A$227:$A$256,0))="AS",INDEX(Registro!$D$227:$D$256,MATCH($A11,Registro!$A$227:$A$256,0))&amp;""=""),1,0),0)</f>
        <v>0</v>
      </c>
      <c r="FN11" s="0" t="n">
        <f aca="false">IFERROR(IF(AND(INDEX(Registro!$C$263:$C$292,MATCH($A11,Registro!$A$263:$A$292,0))="AS",INDEX(Registro!$D$263:$D$292,MATCH($A11,Registro!$A$263:$A$292,0))&amp;""=""),1,0),0)</f>
        <v>0</v>
      </c>
      <c r="FO11" s="0" t="n">
        <f aca="false">IFERROR(IF(AND(INDEX(Registro!$C$299:$C$328,MATCH($A11,Registro!$A$299:$A$328,0))="AS",INDEX(Registro!$D$299:$D$328,MATCH($A11,Registro!$A$299:$A$328,0))&amp;""=""),1,0),0)</f>
        <v>0</v>
      </c>
      <c r="FP11" s="0" t="n">
        <f aca="false">IFERROR(IF(AND(INDEX(Registro!$C$335:$C$364,MATCH($A11,Registro!$A$335:$A$364,0))="AS",INDEX(Registro!$D$335:$D$364,MATCH($A11,Registro!$A$335:$A$364,0))&amp;""=""),1,0),0)</f>
        <v>0</v>
      </c>
      <c r="FQ11" s="0" t="n">
        <f aca="false">IFERROR(IF(AND(INDEX(Registro!$C$371:$C$400,MATCH($A11,Registro!$A$371:$A$400,0))="AS",INDEX(Registro!$D$371:$D$400,MATCH($A11,Registro!$A$371:$A$400,0))&amp;""=""),1,0),0)</f>
        <v>0</v>
      </c>
      <c r="FR11" s="0" t="n">
        <f aca="false">IFERROR(IF(AND(INDEX(Registro!$C$407:$C$436,MATCH($A11,Registro!$A$407:$A$436,0))="AS",INDEX(Registro!$D$407:$D$436,MATCH($A11,Registro!$A$407:$A$436,0))&amp;""=""),1,0),0)</f>
        <v>0</v>
      </c>
      <c r="FS11" s="0" t="n">
        <f aca="false">IFERROR(IF(AND(INDEX(Registro!$C$443:$C$472,MATCH($A11,Registro!$A$443:$A$472,0))="AS",INDEX(Registro!$D$443:$D$472,MATCH($A11,Registro!$A$443:$A$472,0))&amp;""=""),1,0),0)</f>
        <v>0</v>
      </c>
      <c r="FT11" s="0" t="n">
        <f aca="false">IFERROR(IF(AND(INDEX(Registro!$C$479:$C$508,MATCH($A11,Registro!$A$479:$A$508,0))="AS",INDEX(Registro!$D$479:$D$508,MATCH($A11,Registro!$A$479:$A$508,0))&amp;""=""),1,0),0)</f>
        <v>0</v>
      </c>
      <c r="FU11" s="0" t="n">
        <f aca="false">IFERROR(IF(AND(INDEX(Registro!$C$515:$C$544,MATCH($A11,Registro!$A$515:$A$544,0))="AS",INDEX(Registro!$D$515:$D$544,MATCH($A11,Registro!$A$515:$A$544,0))&amp;""=""),1,0),0)</f>
        <v>0</v>
      </c>
      <c r="FV11" s="0" t="n">
        <f aca="false">IFERROR(IF(AND(INDEX(Registro!$C$551:$C$580,MATCH($A11,Registro!$A$551:$A$580,0))="AS",INDEX(Registro!$D$551:$D$580,MATCH($A11,Registro!$A$551:$A$580,0))&amp;""=""),1,0),0)</f>
        <v>0</v>
      </c>
      <c r="FW11" s="0" t="n">
        <f aca="false">IFERROR(IF(AND(INDEX(Registro!$C$587:$C$616,MATCH($A11,Registro!$A$587:$A$616,0))="AS",INDEX(Registro!$D$587:$D$616,MATCH($A11,Registro!$A$587:$A$616,0))&amp;""=""),1,0),0)</f>
        <v>0</v>
      </c>
      <c r="FX11" s="0" t="n">
        <f aca="false">IFERROR(IF(AND(INDEX(Registro!$C$623:$C$652,MATCH($A11,Registro!$A$623:$A$652,0))="AS",INDEX(Registro!$D$623:$D$652,MATCH($A11,Registro!$A$623:$A$652,0))&amp;""=""),1,0),0)</f>
        <v>0</v>
      </c>
      <c r="FY11" s="0" t="n">
        <f aca="false">IFERROR(IF(AND(INDEX(Registro!$C$659:$C$688,MATCH($A11,Registro!$A$659:$A$688,0))="AS",INDEX(Registro!$D$659:$D$688,MATCH($A11,Registro!$A$659:$A$688,0))&amp;""=""),1,0),0)</f>
        <v>0</v>
      </c>
      <c r="FZ11" s="0" t="n">
        <f aca="false">IFERROR(IF(AND(INDEX(Registro!$C$695:$C$724,MATCH($A11,Registro!$A$695:$A$724,0))="AS",INDEX(Registro!$D$695:$D$724,MATCH($A11,Registro!$A$695:$A$724,0))&amp;""=""),1,0),0)</f>
        <v>0</v>
      </c>
    </row>
    <row r="12" customFormat="false" ht="15" hidden="false" customHeight="false" outlineLevel="0" collapsed="false">
      <c r="A12" s="0" t="n">
        <v>6</v>
      </c>
      <c r="C12" s="0" t="n">
        <f aca="false">IFERROR(N(INDEX(Registro!$I$11:$I$40,MATCH($A12,Registro!$A$11:$A$40,0))),0)</f>
        <v>0</v>
      </c>
      <c r="D12" s="0" t="n">
        <f aca="false">IFERROR(N(INDEX(Registro!$O$11:$O$40,MATCH($A12,Registro!$A$11:$A$40,0))),0)</f>
        <v>0</v>
      </c>
      <c r="E12" s="0" t="n">
        <f aca="false">IFERROR(N(INDEX(Registro!$U$11:$U$40,MATCH($A12,Registro!$A$11:$A$40,0))),0)</f>
        <v>0</v>
      </c>
      <c r="F12" s="0" t="n">
        <f aca="false">IFERROR(N(INDEX(Registro!$AA$11:$AA$40,MATCH($A12,Registro!$A$11:$A$40,0))),0)</f>
        <v>0</v>
      </c>
      <c r="G12" s="0" t="n">
        <f aca="false">IFERROR(N(INDEX(Registro!$I$47:$I$76,MATCH($A12,Registro!$A$47:$A$76,0))),0)</f>
        <v>0</v>
      </c>
      <c r="H12" s="0" t="n">
        <f aca="false">IFERROR(N(INDEX(Registro!$O$47:$O$76,MATCH($A12,Registro!$A$47:$A$76,0))),0)</f>
        <v>0</v>
      </c>
      <c r="I12" s="0" t="n">
        <f aca="false">IFERROR(N(INDEX(Registro!$U$47:$U$76,MATCH($A12,Registro!$A$47:$A$76,0))),0)</f>
        <v>0</v>
      </c>
      <c r="J12" s="0" t="n">
        <f aca="false">IFERROR(N(INDEX(Registro!$AA$47:$AA$76,MATCH($A12,Registro!$A$47:$A$76,0))),0)</f>
        <v>0</v>
      </c>
      <c r="K12" s="0" t="n">
        <f aca="false">IFERROR(N(INDEX(Registro!$I$83:$I$112,MATCH($A12,Registro!$A$83:$A$112,0))),0)</f>
        <v>0</v>
      </c>
      <c r="L12" s="0" t="n">
        <f aca="false">IFERROR(N(INDEX(Registro!$O$83:$O$112,MATCH($A12,Registro!$A$83:$A$112,0))),0)</f>
        <v>0</v>
      </c>
      <c r="M12" s="0" t="n">
        <f aca="false">IFERROR(N(INDEX(Registro!$U$83:$U$112,MATCH($A12,Registro!$A$83:$A$112,0))),0)</f>
        <v>0</v>
      </c>
      <c r="N12" s="0" t="n">
        <f aca="false">IFERROR(N(INDEX(Registro!$AA$83:$AA$112,MATCH($A12,Registro!$A$83:$A$112,0))),0)</f>
        <v>0</v>
      </c>
      <c r="O12" s="0" t="n">
        <f aca="false">IFERROR(N(INDEX(Registro!$I$119:$I$148,MATCH($A12,Registro!$A$119:$A$148,0))),0)</f>
        <v>0</v>
      </c>
      <c r="P12" s="0" t="n">
        <f aca="false">IFERROR(N(INDEX(Registro!$O$119:$O$148,MATCH($A12,Registro!$A$119:$A$148,0))),0)</f>
        <v>0</v>
      </c>
      <c r="Q12" s="0" t="n">
        <f aca="false">IFERROR(N(INDEX(Registro!$U$119:$U$148,MATCH($A12,Registro!$A$119:$A$148,0))),0)</f>
        <v>0</v>
      </c>
      <c r="R12" s="0" t="n">
        <f aca="false">IFERROR(N(INDEX(Registro!$AA$119:$AA$148,MATCH($A12,Registro!$A$119:$A$148,0))),0)</f>
        <v>0</v>
      </c>
      <c r="S12" s="0" t="n">
        <f aca="false">IFERROR(N(INDEX(Registro!$I$155:$I$184,MATCH($A12,Registro!$A$155:$A$184,0))),0)</f>
        <v>0</v>
      </c>
      <c r="T12" s="0" t="n">
        <f aca="false">IFERROR(N(INDEX(Registro!$O$155:$O$184,MATCH($A12,Registro!$A$155:$A$184,0))),0)</f>
        <v>0</v>
      </c>
      <c r="U12" s="0" t="n">
        <f aca="false">IFERROR(N(INDEX(Registro!$U$155:$U$184,MATCH($A12,Registro!$A$155:$A$184,0))),0)</f>
        <v>0</v>
      </c>
      <c r="V12" s="0" t="n">
        <f aca="false">IFERROR(N(INDEX(Registro!$AA$155:$AA$184,MATCH($A12,Registro!$A$155:$A$184,0))),0)</f>
        <v>0</v>
      </c>
      <c r="W12" s="0" t="n">
        <f aca="false">IFERROR(N(INDEX(Registro!$I$191:$I$220,MATCH($A12,Registro!$A$191:$A$220,0))),0)</f>
        <v>0</v>
      </c>
      <c r="X12" s="0" t="n">
        <f aca="false">IFERROR(N(INDEX(Registro!$O$191:$O$220,MATCH($A12,Registro!$A$191:$A$220,0))),0)</f>
        <v>0</v>
      </c>
      <c r="Y12" s="0" t="n">
        <f aca="false">IFERROR(N(INDEX(Registro!$U$191:$U$220,MATCH($A12,Registro!$A$191:$A$220,0))),0)</f>
        <v>0</v>
      </c>
      <c r="Z12" s="0" t="n">
        <f aca="false">IFERROR(N(INDEX(Registro!$AA$191:$AA$220,MATCH($A12,Registro!$A$191:$A$220,0))),0)</f>
        <v>0</v>
      </c>
      <c r="AA12" s="0" t="n">
        <f aca="false">IFERROR(N(INDEX(Registro!$I$227:$I$256,MATCH($A12,Registro!$A$227:$A$256,0))),0)</f>
        <v>0</v>
      </c>
      <c r="AB12" s="0" t="n">
        <f aca="false">IFERROR(N(INDEX(Registro!$O$227:$O$256,MATCH($A12,Registro!$A$227:$A$256,0))),0)</f>
        <v>0</v>
      </c>
      <c r="AC12" s="0" t="n">
        <f aca="false">IFERROR(N(INDEX(Registro!$U$227:$U$256,MATCH($A12,Registro!$A$227:$A$256,0))),0)</f>
        <v>0</v>
      </c>
      <c r="AD12" s="0" t="n">
        <f aca="false">IFERROR(N(INDEX(Registro!$AA$227:$AA$256,MATCH($A12,Registro!$A$227:$A$256,0))),0)</f>
        <v>0</v>
      </c>
      <c r="AE12" s="0" t="n">
        <f aca="false">IFERROR(N(INDEX(Registro!$I$263:$I$292,MATCH($A12,Registro!$A$263:$A$292,0))),0)</f>
        <v>0</v>
      </c>
      <c r="AF12" s="0" t="n">
        <f aca="false">IFERROR(N(INDEX(Registro!$O$263:$O$292,MATCH($A12,Registro!$A$263:$A$292,0))),0)</f>
        <v>0</v>
      </c>
      <c r="AG12" s="0" t="n">
        <f aca="false">IFERROR(N(INDEX(Registro!$U$263:$U$292,MATCH($A12,Registro!$A$263:$A$292,0))),0)</f>
        <v>0</v>
      </c>
      <c r="AH12" s="0" t="n">
        <f aca="false">IFERROR(N(INDEX(Registro!$AA$263:$AA$292,MATCH($A12,Registro!$A$263:$A$292,0))),0)</f>
        <v>0</v>
      </c>
      <c r="AI12" s="0" t="n">
        <f aca="false">IFERROR(N(INDEX(Registro!$I$299:$I$328,MATCH($A12,Registro!$A$299:$A$328,0))),0)</f>
        <v>0</v>
      </c>
      <c r="AJ12" s="0" t="n">
        <f aca="false">IFERROR(N(INDEX(Registro!$O$299:$O$328,MATCH($A12,Registro!$A$299:$A$328,0))),0)</f>
        <v>0</v>
      </c>
      <c r="AK12" s="0" t="n">
        <f aca="false">IFERROR(N(INDEX(Registro!$U$299:$U$328,MATCH($A12,Registro!$A$299:$A$328,0))),0)</f>
        <v>0</v>
      </c>
      <c r="AL12" s="0" t="n">
        <f aca="false">IFERROR(N(INDEX(Registro!$AA$299:$AA$328,MATCH($A12,Registro!$A$299:$A$328,0))),0)</f>
        <v>0</v>
      </c>
      <c r="AM12" s="0" t="n">
        <f aca="false">IFERROR(N(INDEX(Registro!$I$335:$I$364,MATCH($A12,Registro!$A$335:$A$364,0))),0)</f>
        <v>0</v>
      </c>
      <c r="AN12" s="0" t="n">
        <f aca="false">IFERROR(N(INDEX(Registro!$O$335:$O$364,MATCH($A12,Registro!$A$335:$A$364,0))),0)</f>
        <v>0</v>
      </c>
      <c r="AO12" s="0" t="n">
        <f aca="false">IFERROR(N(INDEX(Registro!$U$335:$U$364,MATCH($A12,Registro!$A$335:$A$364,0))),0)</f>
        <v>0</v>
      </c>
      <c r="AP12" s="0" t="n">
        <f aca="false">IFERROR(N(INDEX(Registro!$AA$335:$AA$364,MATCH($A12,Registro!$A$335:$A$364,0))),0)</f>
        <v>0</v>
      </c>
      <c r="AQ12" s="0" t="n">
        <f aca="false">IFERROR(N(INDEX(Registro!$I$371:$I$400,MATCH($A12,Registro!$A$371:$A$400,0))),0)</f>
        <v>0</v>
      </c>
      <c r="AR12" s="0" t="n">
        <f aca="false">IFERROR(N(INDEX(Registro!$O$371:$O$400,MATCH($A12,Registro!$A$371:$A$400,0))),0)</f>
        <v>0</v>
      </c>
      <c r="AS12" s="0" t="n">
        <f aca="false">IFERROR(N(INDEX(Registro!$U$371:$U$400,MATCH($A12,Registro!$A$371:$A$400,0))),0)</f>
        <v>0</v>
      </c>
      <c r="AT12" s="0" t="n">
        <f aca="false">IFERROR(N(INDEX(Registro!$AA$371:$AA$400,MATCH($A12,Registro!$A$371:$A$400,0))),0)</f>
        <v>0</v>
      </c>
      <c r="AU12" s="0" t="n">
        <f aca="false">IFERROR(N(INDEX(Registro!$I$407:$I$436,MATCH($A12,Registro!$A$407:$A$436,0))),0)</f>
        <v>0</v>
      </c>
      <c r="AV12" s="0" t="n">
        <f aca="false">IFERROR(N(INDEX(Registro!$O$407:$O$436,MATCH($A12,Registro!$A$407:$A$436,0))),0)</f>
        <v>0</v>
      </c>
      <c r="AW12" s="0" t="n">
        <f aca="false">IFERROR(N(INDEX(Registro!$U$407:$U$436,MATCH($A12,Registro!$A$407:$A$436,0))),0)</f>
        <v>0</v>
      </c>
      <c r="AX12" s="0" t="n">
        <f aca="false">IFERROR(N(INDEX(Registro!$AA$407:$AA$436,MATCH($A12,Registro!$A$407:$A$436,0))),0)</f>
        <v>0</v>
      </c>
      <c r="AY12" s="0" t="n">
        <f aca="false">IFERROR(N(INDEX(Registro!$I$443:$I$472,MATCH($A12,Registro!$A$443:$A$472,0))),0)</f>
        <v>0</v>
      </c>
      <c r="AZ12" s="0" t="n">
        <f aca="false">IFERROR(N(INDEX(Registro!$O$443:$O$472,MATCH($A12,Registro!$A$443:$A$472,0))),0)</f>
        <v>0</v>
      </c>
      <c r="BA12" s="0" t="n">
        <f aca="false">IFERROR(N(INDEX(Registro!$U$443:$U$472,MATCH($A12,Registro!$A$443:$A$472,0))),0)</f>
        <v>0</v>
      </c>
      <c r="BB12" s="0" t="n">
        <f aca="false">IFERROR(N(INDEX(Registro!$AA$443:$AA$472,MATCH($A12,Registro!$A$443:$A$472,0))),0)</f>
        <v>0</v>
      </c>
      <c r="BC12" s="0" t="n">
        <f aca="false">IFERROR(N(INDEX(Registro!$I$479:$I$508,MATCH($A12,Registro!$A$479:$A$508,0))),0)</f>
        <v>0</v>
      </c>
      <c r="BD12" s="0" t="n">
        <f aca="false">IFERROR(N(INDEX(Registro!$O$479:$O$508,MATCH($A12,Registro!$A$479:$A$508,0))),0)</f>
        <v>0</v>
      </c>
      <c r="BE12" s="0" t="n">
        <f aca="false">IFERROR(N(INDEX(Registro!$U$479:$U$508,MATCH($A12,Registro!$A$479:$A$508,0))),0)</f>
        <v>0</v>
      </c>
      <c r="BF12" s="0" t="n">
        <f aca="false">IFERROR(N(INDEX(Registro!$AA$479:$AA$508,MATCH($A12,Registro!$A$479:$A$508,0))),0)</f>
        <v>0</v>
      </c>
      <c r="BG12" s="0" t="n">
        <f aca="false">IFERROR(N(INDEX(Registro!$I$515:$I$544,MATCH($A12,Registro!$A$515:$A$544,0))),0)</f>
        <v>0</v>
      </c>
      <c r="BH12" s="0" t="n">
        <f aca="false">IFERROR(N(INDEX(Registro!$O$515:$O$544,MATCH($A12,Registro!$A$515:$A$544,0))),0)</f>
        <v>0</v>
      </c>
      <c r="BI12" s="0" t="n">
        <f aca="false">IFERROR(N(INDEX(Registro!$U$515:$U$544,MATCH($A12,Registro!$A$515:$A$544,0))),0)</f>
        <v>0</v>
      </c>
      <c r="BJ12" s="0" t="n">
        <f aca="false">IFERROR(N(INDEX(Registro!$AA$515:$AA$544,MATCH($A12,Registro!$A$515:$A$544,0))),0)</f>
        <v>0</v>
      </c>
      <c r="BK12" s="0" t="n">
        <f aca="false">IFERROR(N(INDEX(Registro!$I$551:$I$580,MATCH($A12,Registro!$A$551:$A$580,0))),0)</f>
        <v>0</v>
      </c>
      <c r="BL12" s="0" t="n">
        <f aca="false">IFERROR(N(INDEX(Registro!$O$551:$O$580,MATCH($A12,Registro!$A$551:$A$580,0))),0)</f>
        <v>0</v>
      </c>
      <c r="BM12" s="0" t="n">
        <f aca="false">IFERROR(N(INDEX(Registro!$U$551:$U$580,MATCH($A12,Registro!$A$551:$A$580,0))),0)</f>
        <v>0</v>
      </c>
      <c r="BN12" s="0" t="n">
        <f aca="false">IFERROR(N(INDEX(Registro!$AA$551:$AA$580,MATCH($A12,Registro!$A$551:$A$580,0))),0)</f>
        <v>0</v>
      </c>
      <c r="BO12" s="0" t="n">
        <f aca="false">IFERROR(N(INDEX(Registro!$I$587:$I$616,MATCH($A12,Registro!$A$587:$A$616,0))),0)</f>
        <v>0</v>
      </c>
      <c r="BP12" s="0" t="n">
        <f aca="false">IFERROR(N(INDEX(Registro!$O$587:$O$616,MATCH($A12,Registro!$A$587:$A$616,0))),0)</f>
        <v>0</v>
      </c>
      <c r="BQ12" s="0" t="n">
        <f aca="false">IFERROR(N(INDEX(Registro!$U$587:$U$616,MATCH($A12,Registro!$A$587:$A$616,0))),0)</f>
        <v>0</v>
      </c>
      <c r="BR12" s="0" t="n">
        <f aca="false">IFERROR(N(INDEX(Registro!$AA$587:$AA$616,MATCH($A12,Registro!$A$587:$A$616,0))),0)</f>
        <v>0</v>
      </c>
      <c r="BS12" s="0" t="n">
        <f aca="false">IFERROR(N(INDEX(Registro!$I$623:$I$652,MATCH($A12,Registro!$A$623:$A$652,0))),0)</f>
        <v>0</v>
      </c>
      <c r="BT12" s="0" t="n">
        <f aca="false">IFERROR(N(INDEX(Registro!$O$623:$O$652,MATCH($A12,Registro!$A$623:$A$652,0))),0)</f>
        <v>0</v>
      </c>
      <c r="BU12" s="0" t="n">
        <f aca="false">IFERROR(N(INDEX(Registro!$U$623:$U$652,MATCH($A12,Registro!$A$623:$A$652,0))),0)</f>
        <v>0</v>
      </c>
      <c r="BV12" s="0" t="n">
        <f aca="false">IFERROR(N(INDEX(Registro!$AA$623:$AA$652,MATCH($A12,Registro!$A$623:$A$652,0))),0)</f>
        <v>0</v>
      </c>
      <c r="BW12" s="0" t="n">
        <f aca="false">IFERROR(N(INDEX(Registro!$I$659:$I$688,MATCH($A12,Registro!$A$659:$A$688,0))),0)</f>
        <v>0</v>
      </c>
      <c r="BX12" s="0" t="n">
        <f aca="false">IFERROR(N(INDEX(Registro!$O$659:$O$688,MATCH($A12,Registro!$A$659:$A$688,0))),0)</f>
        <v>0</v>
      </c>
      <c r="BY12" s="0" t="n">
        <f aca="false">IFERROR(N(INDEX(Registro!$U$659:$U$688,MATCH($A12,Registro!$A$659:$A$688,0))),0)</f>
        <v>0</v>
      </c>
      <c r="BZ12" s="0" t="n">
        <f aca="false">IFERROR(N(INDEX(Registro!$AA$659:$AA$688,MATCH($A12,Registro!$A$659:$A$688,0))),0)</f>
        <v>0</v>
      </c>
      <c r="CA12" s="0" t="n">
        <f aca="false">IFERROR(N(INDEX(Registro!$I$695:$I$724,MATCH($A12,Registro!$A$695:$A$724,0))),0)</f>
        <v>0</v>
      </c>
      <c r="CB12" s="0" t="n">
        <f aca="false">IFERROR(N(INDEX(Registro!$O$695:$O$724,MATCH($A12,Registro!$A$695:$A$724,0))),0)</f>
        <v>0</v>
      </c>
      <c r="CC12" s="0" t="n">
        <f aca="false">IFERROR(N(INDEX(Registro!$U$695:$U$724,MATCH($A12,Registro!$A$695:$A$724,0))),0)</f>
        <v>0</v>
      </c>
      <c r="CD12" s="0" t="n">
        <f aca="false">IFERROR(N(INDEX(Registro!$AA$695:$AA$724,MATCH($A12,Registro!$A$695:$A$724,0))),0)</f>
        <v>0</v>
      </c>
      <c r="CE12" s="0" t="n">
        <f aca="false">IFERROR(IF(ISNUMBER(INDEX(Registro!$I$11:$I$40,MATCH($A12,Registro!$A$11:$A$40,0))),CE$5,0),0)</f>
        <v>0</v>
      </c>
      <c r="CF12" s="0" t="n">
        <f aca="false">IFERROR(IF(ISNUMBER(INDEX(Registro!$O$11:$O$40,MATCH($A12,Registro!$A$11:$A$40,0))),CF$5,0),0)</f>
        <v>0</v>
      </c>
      <c r="CG12" s="0" t="n">
        <f aca="false">IFERROR(IF(ISNUMBER(INDEX(Registro!$U$11:$U$40,MATCH($A12,Registro!$A$11:$A$40,0))),CG$5,0),0)</f>
        <v>0</v>
      </c>
      <c r="CH12" s="0" t="n">
        <f aca="false">IFERROR(IF(ISNUMBER(INDEX(Registro!$AA$11:$AA$40,MATCH($A12,Registro!$A$11:$A$40,0))),CH$5,0),0)</f>
        <v>0</v>
      </c>
      <c r="CI12" s="0" t="n">
        <f aca="false">IFERROR(IF(ISNUMBER(INDEX(Registro!$I$47:$I$76,MATCH($A12,Registro!$A$47:$A$76,0))),CI$5,0),0)</f>
        <v>0</v>
      </c>
      <c r="CJ12" s="0" t="n">
        <f aca="false">IFERROR(IF(ISNUMBER(INDEX(Registro!$O$47:$O$76,MATCH($A12,Registro!$A$47:$A$76,0))),CJ$5,0),0)</f>
        <v>0</v>
      </c>
      <c r="CK12" s="0" t="n">
        <f aca="false">IFERROR(IF(ISNUMBER(INDEX(Registro!$U$47:$U$76,MATCH($A12,Registro!$A$47:$A$76,0))),CK$5,0),0)</f>
        <v>0</v>
      </c>
      <c r="CL12" s="0" t="n">
        <f aca="false">IFERROR(IF(ISNUMBER(INDEX(Registro!$AA$47:$AA$76,MATCH($A12,Registro!$A$47:$A$76,0))),CL$5,0),0)</f>
        <v>0</v>
      </c>
      <c r="CM12" s="0" t="n">
        <f aca="false">IFERROR(IF(ISNUMBER(INDEX(Registro!$I$83:$I$112,MATCH($A12,Registro!$A$83:$A$112,0))),CM$5,0),0)</f>
        <v>0</v>
      </c>
      <c r="CN12" s="0" t="n">
        <f aca="false">IFERROR(IF(ISNUMBER(INDEX(Registro!$O$83:$O$112,MATCH($A12,Registro!$A$83:$A$112,0))),CN$5,0),0)</f>
        <v>0</v>
      </c>
      <c r="CO12" s="0" t="n">
        <f aca="false">IFERROR(IF(ISNUMBER(INDEX(Registro!$U$83:$U$112,MATCH($A12,Registro!$A$83:$A$112,0))),CO$5,0),0)</f>
        <v>0</v>
      </c>
      <c r="CP12" s="0" t="n">
        <f aca="false">IFERROR(IF(ISNUMBER(INDEX(Registro!$AA$83:$AA$112,MATCH($A12,Registro!$A$83:$A$112,0))),CP$5,0),0)</f>
        <v>0</v>
      </c>
      <c r="CQ12" s="0" t="n">
        <f aca="false">IFERROR(IF(ISNUMBER(INDEX(Registro!$I$119:$I$148,MATCH($A12,Registro!$A$119:$A$148,0))),CQ$5,0),0)</f>
        <v>0</v>
      </c>
      <c r="CR12" s="0" t="n">
        <f aca="false">IFERROR(IF(ISNUMBER(INDEX(Registro!$O$119:$O$148,MATCH($A12,Registro!$A$119:$A$148,0))),CR$5,0),0)</f>
        <v>0</v>
      </c>
      <c r="CS12" s="0" t="n">
        <f aca="false">IFERROR(IF(ISNUMBER(INDEX(Registro!$U$119:$U$148,MATCH($A12,Registro!$A$119:$A$148,0))),CS$5,0),0)</f>
        <v>0</v>
      </c>
      <c r="CT12" s="0" t="n">
        <f aca="false">IFERROR(IF(ISNUMBER(INDEX(Registro!$AA$119:$AA$148,MATCH($A12,Registro!$A$119:$A$148,0))),CT$5,0),0)</f>
        <v>0</v>
      </c>
      <c r="CU12" s="0" t="n">
        <f aca="false">IFERROR(IF(ISNUMBER(INDEX(Registro!$I$155:$I$184,MATCH($A12,Registro!$A$155:$A$184,0))),CU$5,0),0)</f>
        <v>0</v>
      </c>
      <c r="CV12" s="0" t="n">
        <f aca="false">IFERROR(IF(ISNUMBER(INDEX(Registro!$O$155:$O$184,MATCH($A12,Registro!$A$155:$A$184,0))),CV$5,0),0)</f>
        <v>0</v>
      </c>
      <c r="CW12" s="0" t="n">
        <f aca="false">IFERROR(IF(ISNUMBER(INDEX(Registro!$U$155:$U$184,MATCH($A12,Registro!$A$155:$A$184,0))),CW$5,0),0)</f>
        <v>0</v>
      </c>
      <c r="CX12" s="0" t="n">
        <f aca="false">IFERROR(IF(ISNUMBER(INDEX(Registro!$AA$155:$AA$184,MATCH($A12,Registro!$A$155:$A$184,0))),CX$5,0),0)</f>
        <v>0</v>
      </c>
      <c r="CY12" s="0" t="n">
        <f aca="false">IFERROR(IF(ISNUMBER(INDEX(Registro!$I$191:$I$220,MATCH($A12,Registro!$A$191:$A$220,0))),CY$5,0),0)</f>
        <v>0</v>
      </c>
      <c r="CZ12" s="0" t="n">
        <f aca="false">IFERROR(IF(ISNUMBER(INDEX(Registro!$O$191:$O$220,MATCH($A12,Registro!$A$191:$A$220,0))),CZ$5,0),0)</f>
        <v>0</v>
      </c>
      <c r="DA12" s="0" t="n">
        <f aca="false">IFERROR(IF(ISNUMBER(INDEX(Registro!$U$191:$U$220,MATCH($A12,Registro!$A$191:$A$220,0))),DA$5,0),0)</f>
        <v>0</v>
      </c>
      <c r="DB12" s="0" t="n">
        <f aca="false">IFERROR(IF(ISNUMBER(INDEX(Registro!$AA$191:$AA$220,MATCH($A12,Registro!$A$191:$A$220,0))),DB$5,0),0)</f>
        <v>0</v>
      </c>
      <c r="DC12" s="0" t="n">
        <f aca="false">IFERROR(IF(ISNUMBER(INDEX(Registro!$I$227:$I$256,MATCH($A12,Registro!$A$227:$A$256,0))),DC$5,0),0)</f>
        <v>0</v>
      </c>
      <c r="DD12" s="0" t="n">
        <f aca="false">IFERROR(IF(ISNUMBER(INDEX(Registro!$O$227:$O$256,MATCH($A12,Registro!$A$227:$A$256,0))),DD$5,0),0)</f>
        <v>0</v>
      </c>
      <c r="DE12" s="0" t="n">
        <f aca="false">IFERROR(IF(ISNUMBER(INDEX(Registro!$U$227:$U$256,MATCH($A12,Registro!$A$227:$A$256,0))),DE$5,0),0)</f>
        <v>0</v>
      </c>
      <c r="DF12" s="0" t="n">
        <f aca="false">IFERROR(IF(ISNUMBER(INDEX(Registro!$AA$227:$AA$256,MATCH($A12,Registro!$A$227:$A$256,0))),DF$5,0),0)</f>
        <v>0</v>
      </c>
      <c r="DG12" s="0" t="n">
        <f aca="false">IFERROR(IF(ISNUMBER(INDEX(Registro!$I$263:$I$292,MATCH($A12,Registro!$A$263:$A$292,0))),DG$5,0),0)</f>
        <v>0</v>
      </c>
      <c r="DH12" s="0" t="n">
        <f aca="false">IFERROR(IF(ISNUMBER(INDEX(Registro!$O$263:$O$292,MATCH($A12,Registro!$A$263:$A$292,0))),DH$5,0),0)</f>
        <v>0</v>
      </c>
      <c r="DI12" s="0" t="n">
        <f aca="false">IFERROR(IF(ISNUMBER(INDEX(Registro!$U$263:$U$292,MATCH($A12,Registro!$A$263:$A$292,0))),DI$5,0),0)</f>
        <v>0</v>
      </c>
      <c r="DJ12" s="0" t="n">
        <f aca="false">IFERROR(IF(ISNUMBER(INDEX(Registro!$AA$263:$AA$292,MATCH($A12,Registro!$A$263:$A$292,0))),DJ$5,0),0)</f>
        <v>0</v>
      </c>
      <c r="DK12" s="0" t="n">
        <f aca="false">IFERROR(IF(ISNUMBER(INDEX(Registro!$I$299:$I$328,MATCH($A12,Registro!$A$299:$A$328,0))),DK$5,0),0)</f>
        <v>0</v>
      </c>
      <c r="DL12" s="0" t="n">
        <f aca="false">IFERROR(IF(ISNUMBER(INDEX(Registro!$O$299:$O$328,MATCH($A12,Registro!$A$299:$A$328,0))),DL$5,0),0)</f>
        <v>0</v>
      </c>
      <c r="DM12" s="0" t="n">
        <f aca="false">IFERROR(IF(ISNUMBER(INDEX(Registro!$U$299:$U$328,MATCH($A12,Registro!$A$299:$A$328,0))),DM$5,0),0)</f>
        <v>0</v>
      </c>
      <c r="DN12" s="0" t="n">
        <f aca="false">IFERROR(IF(ISNUMBER(INDEX(Registro!$AA$299:$AA$328,MATCH($A12,Registro!$A$299:$A$328,0))),DN$5,0),0)</f>
        <v>0</v>
      </c>
      <c r="DO12" s="0" t="n">
        <f aca="false">IFERROR(IF(ISNUMBER(INDEX(Registro!$I$335:$I$364,MATCH($A12,Registro!$A$335:$A$364,0))),DO$5,0),0)</f>
        <v>0</v>
      </c>
      <c r="DP12" s="0" t="n">
        <f aca="false">IFERROR(IF(ISNUMBER(INDEX(Registro!$O$335:$O$364,MATCH($A12,Registro!$A$335:$A$364,0))),DP$5,0),0)</f>
        <v>0</v>
      </c>
      <c r="DQ12" s="0" t="n">
        <f aca="false">IFERROR(IF(ISNUMBER(INDEX(Registro!$U$335:$U$364,MATCH($A12,Registro!$A$335:$A$364,0))),DQ$5,0),0)</f>
        <v>0</v>
      </c>
      <c r="DR12" s="0" t="n">
        <f aca="false">IFERROR(IF(ISNUMBER(INDEX(Registro!$AA$335:$AA$364,MATCH($A12,Registro!$A$335:$A$364,0))),DR$5,0),0)</f>
        <v>0</v>
      </c>
      <c r="DS12" s="0" t="n">
        <f aca="false">IFERROR(IF(ISNUMBER(INDEX(Registro!$I$371:$I$400,MATCH($A12,Registro!$A$371:$A$400,0))),DS$5,0),0)</f>
        <v>0</v>
      </c>
      <c r="DT12" s="0" t="n">
        <f aca="false">IFERROR(IF(ISNUMBER(INDEX(Registro!$O$371:$O$400,MATCH($A12,Registro!$A$371:$A$400,0))),DT$5,0),0)</f>
        <v>0</v>
      </c>
      <c r="DU12" s="0" t="n">
        <f aca="false">IFERROR(IF(ISNUMBER(INDEX(Registro!$U$371:$U$400,MATCH($A12,Registro!$A$371:$A$400,0))),DU$5,0),0)</f>
        <v>0</v>
      </c>
      <c r="DV12" s="0" t="n">
        <f aca="false">IFERROR(IF(ISNUMBER(INDEX(Registro!$AA$371:$AA$400,MATCH($A12,Registro!$A$371:$A$400,0))),DV$5,0),0)</f>
        <v>0</v>
      </c>
      <c r="DW12" s="0" t="n">
        <f aca="false">IFERROR(IF(ISNUMBER(INDEX(Registro!$I$407:$I$436,MATCH($A12,Registro!$A$407:$A$436,0))),DW$5,0),0)</f>
        <v>0</v>
      </c>
      <c r="DX12" s="0" t="n">
        <f aca="false">IFERROR(IF(ISNUMBER(INDEX(Registro!$O$407:$O$436,MATCH($A12,Registro!$A$407:$A$436,0))),DX$5,0),0)</f>
        <v>0</v>
      </c>
      <c r="DY12" s="0" t="n">
        <f aca="false">IFERROR(IF(ISNUMBER(INDEX(Registro!$U$407:$U$436,MATCH($A12,Registro!$A$407:$A$436,0))),DY$5,0),0)</f>
        <v>0</v>
      </c>
      <c r="DZ12" s="0" t="n">
        <f aca="false">IFERROR(IF(ISNUMBER(INDEX(Registro!$AA$407:$AA$436,MATCH($A12,Registro!$A$407:$A$436,0))),DZ$5,0),0)</f>
        <v>0</v>
      </c>
      <c r="EA12" s="0" t="n">
        <f aca="false">IFERROR(IF(ISNUMBER(INDEX(Registro!$I$443:$I$472,MATCH($A12,Registro!$A$443:$A$472,0))),EA$5,0),0)</f>
        <v>0</v>
      </c>
      <c r="EB12" s="0" t="n">
        <f aca="false">IFERROR(IF(ISNUMBER(INDEX(Registro!$O$443:$O$472,MATCH($A12,Registro!$A$443:$A$472,0))),EB$5,0),0)</f>
        <v>0</v>
      </c>
      <c r="EC12" s="0" t="n">
        <f aca="false">IFERROR(IF(ISNUMBER(INDEX(Registro!$U$443:$U$472,MATCH($A12,Registro!$A$443:$A$472,0))),EC$5,0),0)</f>
        <v>0</v>
      </c>
      <c r="ED12" s="0" t="n">
        <f aca="false">IFERROR(IF(ISNUMBER(INDEX(Registro!$AA$443:$AA$472,MATCH($A12,Registro!$A$443:$A$472,0))),ED$5,0),0)</f>
        <v>0</v>
      </c>
      <c r="EE12" s="0" t="n">
        <f aca="false">IFERROR(IF(ISNUMBER(INDEX(Registro!$I$479:$I$508,MATCH($A12,Registro!$A$479:$A$508,0))),EE$5,0),0)</f>
        <v>0</v>
      </c>
      <c r="EF12" s="0" t="n">
        <f aca="false">IFERROR(IF(ISNUMBER(INDEX(Registro!$O$479:$O$508,MATCH($A12,Registro!$A$479:$A$508,0))),EF$5,0),0)</f>
        <v>0</v>
      </c>
      <c r="EG12" s="0" t="n">
        <f aca="false">IFERROR(IF(ISNUMBER(INDEX(Registro!$U$479:$U$508,MATCH($A12,Registro!$A$479:$A$508,0))),EG$5,0),0)</f>
        <v>0</v>
      </c>
      <c r="EH12" s="0" t="n">
        <f aca="false">IFERROR(IF(ISNUMBER(INDEX(Registro!$AA$479:$AA$508,MATCH($A12,Registro!$A$479:$A$508,0))),EH$5,0),0)</f>
        <v>0</v>
      </c>
      <c r="EI12" s="0" t="n">
        <f aca="false">IFERROR(IF(ISNUMBER(INDEX(Registro!$I$515:$I$544,MATCH($A12,Registro!$A$515:$A$544,0))),EI$5,0),0)</f>
        <v>0</v>
      </c>
      <c r="EJ12" s="0" t="n">
        <f aca="false">IFERROR(IF(ISNUMBER(INDEX(Registro!$O$515:$O$544,MATCH($A12,Registro!$A$515:$A$544,0))),EJ$5,0),0)</f>
        <v>0</v>
      </c>
      <c r="EK12" s="0" t="n">
        <f aca="false">IFERROR(IF(ISNUMBER(INDEX(Registro!$U$515:$U$544,MATCH($A12,Registro!$A$515:$A$544,0))),EK$5,0),0)</f>
        <v>0</v>
      </c>
      <c r="EL12" s="0" t="n">
        <f aca="false">IFERROR(IF(ISNUMBER(INDEX(Registro!$AA$515:$AA$544,MATCH($A12,Registro!$A$515:$A$544,0))),EL$5,0),0)</f>
        <v>0</v>
      </c>
      <c r="EM12" s="0" t="n">
        <f aca="false">IFERROR(IF(ISNUMBER(INDEX(Registro!$I$551:$I$580,MATCH($A12,Registro!$A$551:$A$580,0))),EM$5,0),0)</f>
        <v>0</v>
      </c>
      <c r="EN12" s="0" t="n">
        <f aca="false">IFERROR(IF(ISNUMBER(INDEX(Registro!$O$551:$O$580,MATCH($A12,Registro!$A$551:$A$580,0))),EN$5,0),0)</f>
        <v>0</v>
      </c>
      <c r="EO12" s="0" t="n">
        <f aca="false">IFERROR(IF(ISNUMBER(INDEX(Registro!$U$551:$U$580,MATCH($A12,Registro!$A$551:$A$580,0))),EO$5,0),0)</f>
        <v>0</v>
      </c>
      <c r="EP12" s="0" t="n">
        <f aca="false">IFERROR(IF(ISNUMBER(INDEX(Registro!$AA$551:$AA$580,MATCH($A12,Registro!$A$551:$A$580,0))),EP$5,0),0)</f>
        <v>0</v>
      </c>
      <c r="EQ12" s="0" t="n">
        <f aca="false">IFERROR(IF(ISNUMBER(INDEX(Registro!$I$587:$I$616,MATCH($A12,Registro!$A$587:$A$616,0))),EQ$5,0),0)</f>
        <v>0</v>
      </c>
      <c r="ER12" s="0" t="n">
        <f aca="false">IFERROR(IF(ISNUMBER(INDEX(Registro!$O$587:$O$616,MATCH($A12,Registro!$A$587:$A$616,0))),ER$5,0),0)</f>
        <v>0</v>
      </c>
      <c r="ES12" s="0" t="n">
        <f aca="false">IFERROR(IF(ISNUMBER(INDEX(Registro!$U$587:$U$616,MATCH($A12,Registro!$A$587:$A$616,0))),ES$5,0),0)</f>
        <v>0</v>
      </c>
      <c r="ET12" s="0" t="n">
        <f aca="false">IFERROR(IF(ISNUMBER(INDEX(Registro!$AA$587:$AA$616,MATCH($A12,Registro!$A$587:$A$616,0))),ET$5,0),0)</f>
        <v>0</v>
      </c>
      <c r="EU12" s="0" t="n">
        <f aca="false">IFERROR(IF(ISNUMBER(INDEX(Registro!$I$623:$I$652,MATCH($A12,Registro!$A$623:$A$652,0))),EU$5,0),0)</f>
        <v>0</v>
      </c>
      <c r="EV12" s="0" t="n">
        <f aca="false">IFERROR(IF(ISNUMBER(INDEX(Registro!$O$623:$O$652,MATCH($A12,Registro!$A$623:$A$652,0))),EV$5,0),0)</f>
        <v>0</v>
      </c>
      <c r="EW12" s="0" t="n">
        <f aca="false">IFERROR(IF(ISNUMBER(INDEX(Registro!$U$623:$U$652,MATCH($A12,Registro!$A$623:$A$652,0))),EW$5,0),0)</f>
        <v>0</v>
      </c>
      <c r="EX12" s="0" t="n">
        <f aca="false">IFERROR(IF(ISNUMBER(INDEX(Registro!$AA$623:$AA$652,MATCH($A12,Registro!$A$623:$A$652,0))),EX$5,0),0)</f>
        <v>0</v>
      </c>
      <c r="EY12" s="0" t="n">
        <f aca="false">IFERROR(IF(ISNUMBER(INDEX(Registro!$I$659:$I$688,MATCH($A12,Registro!$A$659:$A$688,0))),EY$5,0),0)</f>
        <v>0</v>
      </c>
      <c r="EZ12" s="0" t="n">
        <f aca="false">IFERROR(IF(ISNUMBER(INDEX(Registro!$O$659:$O$688,MATCH($A12,Registro!$A$659:$A$688,0))),EZ$5,0),0)</f>
        <v>0</v>
      </c>
      <c r="FA12" s="0" t="n">
        <f aca="false">IFERROR(IF(ISNUMBER(INDEX(Registro!$U$659:$U$688,MATCH($A12,Registro!$A$659:$A$688,0))),FA$5,0),0)</f>
        <v>0</v>
      </c>
      <c r="FB12" s="0" t="n">
        <f aca="false">IFERROR(IF(ISNUMBER(INDEX(Registro!$AA$659:$AA$688,MATCH($A12,Registro!$A$659:$A$688,0))),FB$5,0),0)</f>
        <v>0</v>
      </c>
      <c r="FC12" s="0" t="n">
        <f aca="false">IFERROR(IF(ISNUMBER(INDEX(Registro!$I$695:$I$724,MATCH($A12,Registro!$A$695:$A$724,0))),FC$5,0),0)</f>
        <v>0</v>
      </c>
      <c r="FD12" s="0" t="n">
        <f aca="false">IFERROR(IF(ISNUMBER(INDEX(Registro!$O$695:$O$724,MATCH($A12,Registro!$A$695:$A$724,0))),FD$5,0),0)</f>
        <v>0</v>
      </c>
      <c r="FE12" s="0" t="n">
        <f aca="false">IFERROR(IF(ISNUMBER(INDEX(Registro!$U$695:$U$724,MATCH($A12,Registro!$A$695:$A$724,0))),FE$5,0),0)</f>
        <v>0</v>
      </c>
      <c r="FF12" s="0" t="n">
        <f aca="false">IFERROR(IF(ISNUMBER(INDEX(Registro!$AA$695:$AA$724,MATCH($A12,Registro!$A$695:$A$724,0))),FF$5,0),0)</f>
        <v>0</v>
      </c>
      <c r="FG12" s="0" t="n">
        <f aca="false">IFERROR(IF(AND(INDEX(Registro!$C$11:$C$40,MATCH($A12,Registro!$A$11:$A$40,0))="AS",INDEX(Registro!$D$11:$D$40,MATCH($A12,Registro!$A$11:$A$40,0))&amp;""=""),1,0),0)</f>
        <v>0</v>
      </c>
      <c r="FH12" s="0" t="n">
        <f aca="false">IFERROR(IF(AND(INDEX(Registro!$C$47:$C$76,MATCH($A12,Registro!$A$47:$A$76,0))="AS",INDEX(Registro!$D$47:$D$76,MATCH($A12,Registro!$A$47:$A$76,0))&amp;""=""),1,0),0)</f>
        <v>0</v>
      </c>
      <c r="FI12" s="0" t="n">
        <f aca="false">IFERROR(IF(AND(INDEX(Registro!$C$83:$C$112,MATCH($A12,Registro!$A$83:$A$112,0))="AS",INDEX(Registro!$D$83:$D$112,MATCH($A12,Registro!$A$83:$A$112,0))&amp;""=""),1,0),0)</f>
        <v>0</v>
      </c>
      <c r="FJ12" s="0" t="n">
        <f aca="false">IFERROR(IF(AND(INDEX(Registro!$C$119:$C$148,MATCH($A12,Registro!$A$119:$A$148,0))="AS",INDEX(Registro!$D$119:$D$148,MATCH($A12,Registro!$A$119:$A$148,0))&amp;""=""),1,0),0)</f>
        <v>0</v>
      </c>
      <c r="FK12" s="0" t="n">
        <f aca="false">IFERROR(IF(AND(INDEX(Registro!$C$155:$C$184,MATCH($A12,Registro!$A$155:$A$184,0))="AS",INDEX(Registro!$D$155:$D$184,MATCH($A12,Registro!$A$155:$A$184,0))&amp;""=""),1,0),0)</f>
        <v>0</v>
      </c>
      <c r="FL12" s="0" t="n">
        <f aca="false">IFERROR(IF(AND(INDEX(Registro!$C$191:$C$220,MATCH($A12,Registro!$A$191:$A$220,0))="AS",INDEX(Registro!$D$191:$D$220,MATCH($A12,Registro!$A$191:$A$220,0))&amp;""=""),1,0),0)</f>
        <v>0</v>
      </c>
      <c r="FM12" s="0" t="n">
        <f aca="false">IFERROR(IF(AND(INDEX(Registro!$C$227:$C$256,MATCH($A12,Registro!$A$227:$A$256,0))="AS",INDEX(Registro!$D$227:$D$256,MATCH($A12,Registro!$A$227:$A$256,0))&amp;""=""),1,0),0)</f>
        <v>0</v>
      </c>
      <c r="FN12" s="0" t="n">
        <f aca="false">IFERROR(IF(AND(INDEX(Registro!$C$263:$C$292,MATCH($A12,Registro!$A$263:$A$292,0))="AS",INDEX(Registro!$D$263:$D$292,MATCH($A12,Registro!$A$263:$A$292,0))&amp;""=""),1,0),0)</f>
        <v>0</v>
      </c>
      <c r="FO12" s="0" t="n">
        <f aca="false">IFERROR(IF(AND(INDEX(Registro!$C$299:$C$328,MATCH($A12,Registro!$A$299:$A$328,0))="AS",INDEX(Registro!$D$299:$D$328,MATCH($A12,Registro!$A$299:$A$328,0))&amp;""=""),1,0),0)</f>
        <v>0</v>
      </c>
      <c r="FP12" s="0" t="n">
        <f aca="false">IFERROR(IF(AND(INDEX(Registro!$C$335:$C$364,MATCH($A12,Registro!$A$335:$A$364,0))="AS",INDEX(Registro!$D$335:$D$364,MATCH($A12,Registro!$A$335:$A$364,0))&amp;""=""),1,0),0)</f>
        <v>0</v>
      </c>
      <c r="FQ12" s="0" t="n">
        <f aca="false">IFERROR(IF(AND(INDEX(Registro!$C$371:$C$400,MATCH($A12,Registro!$A$371:$A$400,0))="AS",INDEX(Registro!$D$371:$D$400,MATCH($A12,Registro!$A$371:$A$400,0))&amp;""=""),1,0),0)</f>
        <v>0</v>
      </c>
      <c r="FR12" s="0" t="n">
        <f aca="false">IFERROR(IF(AND(INDEX(Registro!$C$407:$C$436,MATCH($A12,Registro!$A$407:$A$436,0))="AS",INDEX(Registro!$D$407:$D$436,MATCH($A12,Registro!$A$407:$A$436,0))&amp;""=""),1,0),0)</f>
        <v>0</v>
      </c>
      <c r="FS12" s="0" t="n">
        <f aca="false">IFERROR(IF(AND(INDEX(Registro!$C$443:$C$472,MATCH($A12,Registro!$A$443:$A$472,0))="AS",INDEX(Registro!$D$443:$D$472,MATCH($A12,Registro!$A$443:$A$472,0))&amp;""=""),1,0),0)</f>
        <v>0</v>
      </c>
      <c r="FT12" s="0" t="n">
        <f aca="false">IFERROR(IF(AND(INDEX(Registro!$C$479:$C$508,MATCH($A12,Registro!$A$479:$A$508,0))="AS",INDEX(Registro!$D$479:$D$508,MATCH($A12,Registro!$A$479:$A$508,0))&amp;""=""),1,0),0)</f>
        <v>0</v>
      </c>
      <c r="FU12" s="0" t="n">
        <f aca="false">IFERROR(IF(AND(INDEX(Registro!$C$515:$C$544,MATCH($A12,Registro!$A$515:$A$544,0))="AS",INDEX(Registro!$D$515:$D$544,MATCH($A12,Registro!$A$515:$A$544,0))&amp;""=""),1,0),0)</f>
        <v>0</v>
      </c>
      <c r="FV12" s="0" t="n">
        <f aca="false">IFERROR(IF(AND(INDEX(Registro!$C$551:$C$580,MATCH($A12,Registro!$A$551:$A$580,0))="AS",INDEX(Registro!$D$551:$D$580,MATCH($A12,Registro!$A$551:$A$580,0))&amp;""=""),1,0),0)</f>
        <v>0</v>
      </c>
      <c r="FW12" s="0" t="n">
        <f aca="false">IFERROR(IF(AND(INDEX(Registro!$C$587:$C$616,MATCH($A12,Registro!$A$587:$A$616,0))="AS",INDEX(Registro!$D$587:$D$616,MATCH($A12,Registro!$A$587:$A$616,0))&amp;""=""),1,0),0)</f>
        <v>0</v>
      </c>
      <c r="FX12" s="0" t="n">
        <f aca="false">IFERROR(IF(AND(INDEX(Registro!$C$623:$C$652,MATCH($A12,Registro!$A$623:$A$652,0))="AS",INDEX(Registro!$D$623:$D$652,MATCH($A12,Registro!$A$623:$A$652,0))&amp;""=""),1,0),0)</f>
        <v>0</v>
      </c>
      <c r="FY12" s="0" t="n">
        <f aca="false">IFERROR(IF(AND(INDEX(Registro!$C$659:$C$688,MATCH($A12,Registro!$A$659:$A$688,0))="AS",INDEX(Registro!$D$659:$D$688,MATCH($A12,Registro!$A$659:$A$688,0))&amp;""=""),1,0),0)</f>
        <v>0</v>
      </c>
      <c r="FZ12" s="0" t="n">
        <f aca="false">IFERROR(IF(AND(INDEX(Registro!$C$695:$C$724,MATCH($A12,Registro!$A$695:$A$724,0))="AS",INDEX(Registro!$D$695:$D$724,MATCH($A12,Registro!$A$695:$A$724,0))&amp;""=""),1,0),0)</f>
        <v>0</v>
      </c>
    </row>
    <row r="13" customFormat="false" ht="15" hidden="false" customHeight="false" outlineLevel="0" collapsed="false">
      <c r="A13" s="0" t="n">
        <v>7</v>
      </c>
      <c r="C13" s="0" t="n">
        <f aca="false">IFERROR(N(INDEX(Registro!$I$11:$I$40,MATCH($A13,Registro!$A$11:$A$40,0))),0)</f>
        <v>0</v>
      </c>
      <c r="D13" s="0" t="n">
        <f aca="false">IFERROR(N(INDEX(Registro!$O$11:$O$40,MATCH($A13,Registro!$A$11:$A$40,0))),0)</f>
        <v>0</v>
      </c>
      <c r="E13" s="0" t="n">
        <f aca="false">IFERROR(N(INDEX(Registro!$U$11:$U$40,MATCH($A13,Registro!$A$11:$A$40,0))),0)</f>
        <v>0</v>
      </c>
      <c r="F13" s="0" t="n">
        <f aca="false">IFERROR(N(INDEX(Registro!$AA$11:$AA$40,MATCH($A13,Registro!$A$11:$A$40,0))),0)</f>
        <v>0</v>
      </c>
      <c r="G13" s="0" t="n">
        <f aca="false">IFERROR(N(INDEX(Registro!$I$47:$I$76,MATCH($A13,Registro!$A$47:$A$76,0))),0)</f>
        <v>0</v>
      </c>
      <c r="H13" s="0" t="n">
        <f aca="false">IFERROR(N(INDEX(Registro!$O$47:$O$76,MATCH($A13,Registro!$A$47:$A$76,0))),0)</f>
        <v>0</v>
      </c>
      <c r="I13" s="0" t="n">
        <f aca="false">IFERROR(N(INDEX(Registro!$U$47:$U$76,MATCH($A13,Registro!$A$47:$A$76,0))),0)</f>
        <v>0</v>
      </c>
      <c r="J13" s="0" t="n">
        <f aca="false">IFERROR(N(INDEX(Registro!$AA$47:$AA$76,MATCH($A13,Registro!$A$47:$A$76,0))),0)</f>
        <v>0</v>
      </c>
      <c r="K13" s="0" t="n">
        <f aca="false">IFERROR(N(INDEX(Registro!$I$83:$I$112,MATCH($A13,Registro!$A$83:$A$112,0))),0)</f>
        <v>0</v>
      </c>
      <c r="L13" s="0" t="n">
        <f aca="false">IFERROR(N(INDEX(Registro!$O$83:$O$112,MATCH($A13,Registro!$A$83:$A$112,0))),0)</f>
        <v>0</v>
      </c>
      <c r="M13" s="0" t="n">
        <f aca="false">IFERROR(N(INDEX(Registro!$U$83:$U$112,MATCH($A13,Registro!$A$83:$A$112,0))),0)</f>
        <v>0</v>
      </c>
      <c r="N13" s="0" t="n">
        <f aca="false">IFERROR(N(INDEX(Registro!$AA$83:$AA$112,MATCH($A13,Registro!$A$83:$A$112,0))),0)</f>
        <v>0</v>
      </c>
      <c r="O13" s="0" t="n">
        <f aca="false">IFERROR(N(INDEX(Registro!$I$119:$I$148,MATCH($A13,Registro!$A$119:$A$148,0))),0)</f>
        <v>0</v>
      </c>
      <c r="P13" s="0" t="n">
        <f aca="false">IFERROR(N(INDEX(Registro!$O$119:$O$148,MATCH($A13,Registro!$A$119:$A$148,0))),0)</f>
        <v>0</v>
      </c>
      <c r="Q13" s="0" t="n">
        <f aca="false">IFERROR(N(INDEX(Registro!$U$119:$U$148,MATCH($A13,Registro!$A$119:$A$148,0))),0)</f>
        <v>0</v>
      </c>
      <c r="R13" s="0" t="n">
        <f aca="false">IFERROR(N(INDEX(Registro!$AA$119:$AA$148,MATCH($A13,Registro!$A$119:$A$148,0))),0)</f>
        <v>0</v>
      </c>
      <c r="S13" s="0" t="n">
        <f aca="false">IFERROR(N(INDEX(Registro!$I$155:$I$184,MATCH($A13,Registro!$A$155:$A$184,0))),0)</f>
        <v>0</v>
      </c>
      <c r="T13" s="0" t="n">
        <f aca="false">IFERROR(N(INDEX(Registro!$O$155:$O$184,MATCH($A13,Registro!$A$155:$A$184,0))),0)</f>
        <v>0</v>
      </c>
      <c r="U13" s="0" t="n">
        <f aca="false">IFERROR(N(INDEX(Registro!$U$155:$U$184,MATCH($A13,Registro!$A$155:$A$184,0))),0)</f>
        <v>0</v>
      </c>
      <c r="V13" s="0" t="n">
        <f aca="false">IFERROR(N(INDEX(Registro!$AA$155:$AA$184,MATCH($A13,Registro!$A$155:$A$184,0))),0)</f>
        <v>0</v>
      </c>
      <c r="W13" s="0" t="n">
        <f aca="false">IFERROR(N(INDEX(Registro!$I$191:$I$220,MATCH($A13,Registro!$A$191:$A$220,0))),0)</f>
        <v>0</v>
      </c>
      <c r="X13" s="0" t="n">
        <f aca="false">IFERROR(N(INDEX(Registro!$O$191:$O$220,MATCH($A13,Registro!$A$191:$A$220,0))),0)</f>
        <v>0</v>
      </c>
      <c r="Y13" s="0" t="n">
        <f aca="false">IFERROR(N(INDEX(Registro!$U$191:$U$220,MATCH($A13,Registro!$A$191:$A$220,0))),0)</f>
        <v>0</v>
      </c>
      <c r="Z13" s="0" t="n">
        <f aca="false">IFERROR(N(INDEX(Registro!$AA$191:$AA$220,MATCH($A13,Registro!$A$191:$A$220,0))),0)</f>
        <v>0</v>
      </c>
      <c r="AA13" s="0" t="n">
        <f aca="false">IFERROR(N(INDEX(Registro!$I$227:$I$256,MATCH($A13,Registro!$A$227:$A$256,0))),0)</f>
        <v>0</v>
      </c>
      <c r="AB13" s="0" t="n">
        <f aca="false">IFERROR(N(INDEX(Registro!$O$227:$O$256,MATCH($A13,Registro!$A$227:$A$256,0))),0)</f>
        <v>0</v>
      </c>
      <c r="AC13" s="0" t="n">
        <f aca="false">IFERROR(N(INDEX(Registro!$U$227:$U$256,MATCH($A13,Registro!$A$227:$A$256,0))),0)</f>
        <v>0</v>
      </c>
      <c r="AD13" s="0" t="n">
        <f aca="false">IFERROR(N(INDEX(Registro!$AA$227:$AA$256,MATCH($A13,Registro!$A$227:$A$256,0))),0)</f>
        <v>0</v>
      </c>
      <c r="AE13" s="0" t="n">
        <f aca="false">IFERROR(N(INDEX(Registro!$I$263:$I$292,MATCH($A13,Registro!$A$263:$A$292,0))),0)</f>
        <v>0</v>
      </c>
      <c r="AF13" s="0" t="n">
        <f aca="false">IFERROR(N(INDEX(Registro!$O$263:$O$292,MATCH($A13,Registro!$A$263:$A$292,0))),0)</f>
        <v>0</v>
      </c>
      <c r="AG13" s="0" t="n">
        <f aca="false">IFERROR(N(INDEX(Registro!$U$263:$U$292,MATCH($A13,Registro!$A$263:$A$292,0))),0)</f>
        <v>0</v>
      </c>
      <c r="AH13" s="0" t="n">
        <f aca="false">IFERROR(N(INDEX(Registro!$AA$263:$AA$292,MATCH($A13,Registro!$A$263:$A$292,0))),0)</f>
        <v>0</v>
      </c>
      <c r="AI13" s="0" t="n">
        <f aca="false">IFERROR(N(INDEX(Registro!$I$299:$I$328,MATCH($A13,Registro!$A$299:$A$328,0))),0)</f>
        <v>0</v>
      </c>
      <c r="AJ13" s="0" t="n">
        <f aca="false">IFERROR(N(INDEX(Registro!$O$299:$O$328,MATCH($A13,Registro!$A$299:$A$328,0))),0)</f>
        <v>0</v>
      </c>
      <c r="AK13" s="0" t="n">
        <f aca="false">IFERROR(N(INDEX(Registro!$U$299:$U$328,MATCH($A13,Registro!$A$299:$A$328,0))),0)</f>
        <v>0</v>
      </c>
      <c r="AL13" s="0" t="n">
        <f aca="false">IFERROR(N(INDEX(Registro!$AA$299:$AA$328,MATCH($A13,Registro!$A$299:$A$328,0))),0)</f>
        <v>0</v>
      </c>
      <c r="AM13" s="0" t="n">
        <f aca="false">IFERROR(N(INDEX(Registro!$I$335:$I$364,MATCH($A13,Registro!$A$335:$A$364,0))),0)</f>
        <v>0</v>
      </c>
      <c r="AN13" s="0" t="n">
        <f aca="false">IFERROR(N(INDEX(Registro!$O$335:$O$364,MATCH($A13,Registro!$A$335:$A$364,0))),0)</f>
        <v>0</v>
      </c>
      <c r="AO13" s="0" t="n">
        <f aca="false">IFERROR(N(INDEX(Registro!$U$335:$U$364,MATCH($A13,Registro!$A$335:$A$364,0))),0)</f>
        <v>0</v>
      </c>
      <c r="AP13" s="0" t="n">
        <f aca="false">IFERROR(N(INDEX(Registro!$AA$335:$AA$364,MATCH($A13,Registro!$A$335:$A$364,0))),0)</f>
        <v>0</v>
      </c>
      <c r="AQ13" s="0" t="n">
        <f aca="false">IFERROR(N(INDEX(Registro!$I$371:$I$400,MATCH($A13,Registro!$A$371:$A$400,0))),0)</f>
        <v>0</v>
      </c>
      <c r="AR13" s="0" t="n">
        <f aca="false">IFERROR(N(INDEX(Registro!$O$371:$O$400,MATCH($A13,Registro!$A$371:$A$400,0))),0)</f>
        <v>0</v>
      </c>
      <c r="AS13" s="0" t="n">
        <f aca="false">IFERROR(N(INDEX(Registro!$U$371:$U$400,MATCH($A13,Registro!$A$371:$A$400,0))),0)</f>
        <v>0</v>
      </c>
      <c r="AT13" s="0" t="n">
        <f aca="false">IFERROR(N(INDEX(Registro!$AA$371:$AA$400,MATCH($A13,Registro!$A$371:$A$400,0))),0)</f>
        <v>0</v>
      </c>
      <c r="AU13" s="0" t="n">
        <f aca="false">IFERROR(N(INDEX(Registro!$I$407:$I$436,MATCH($A13,Registro!$A$407:$A$436,0))),0)</f>
        <v>0</v>
      </c>
      <c r="AV13" s="0" t="n">
        <f aca="false">IFERROR(N(INDEX(Registro!$O$407:$O$436,MATCH($A13,Registro!$A$407:$A$436,0))),0)</f>
        <v>0</v>
      </c>
      <c r="AW13" s="0" t="n">
        <f aca="false">IFERROR(N(INDEX(Registro!$U$407:$U$436,MATCH($A13,Registro!$A$407:$A$436,0))),0)</f>
        <v>0</v>
      </c>
      <c r="AX13" s="0" t="n">
        <f aca="false">IFERROR(N(INDEX(Registro!$AA$407:$AA$436,MATCH($A13,Registro!$A$407:$A$436,0))),0)</f>
        <v>0</v>
      </c>
      <c r="AY13" s="0" t="n">
        <f aca="false">IFERROR(N(INDEX(Registro!$I$443:$I$472,MATCH($A13,Registro!$A$443:$A$472,0))),0)</f>
        <v>0</v>
      </c>
      <c r="AZ13" s="0" t="n">
        <f aca="false">IFERROR(N(INDEX(Registro!$O$443:$O$472,MATCH($A13,Registro!$A$443:$A$472,0))),0)</f>
        <v>0</v>
      </c>
      <c r="BA13" s="0" t="n">
        <f aca="false">IFERROR(N(INDEX(Registro!$U$443:$U$472,MATCH($A13,Registro!$A$443:$A$472,0))),0)</f>
        <v>0</v>
      </c>
      <c r="BB13" s="0" t="n">
        <f aca="false">IFERROR(N(INDEX(Registro!$AA$443:$AA$472,MATCH($A13,Registro!$A$443:$A$472,0))),0)</f>
        <v>0</v>
      </c>
      <c r="BC13" s="0" t="n">
        <f aca="false">IFERROR(N(INDEX(Registro!$I$479:$I$508,MATCH($A13,Registro!$A$479:$A$508,0))),0)</f>
        <v>0</v>
      </c>
      <c r="BD13" s="0" t="n">
        <f aca="false">IFERROR(N(INDEX(Registro!$O$479:$O$508,MATCH($A13,Registro!$A$479:$A$508,0))),0)</f>
        <v>0</v>
      </c>
      <c r="BE13" s="0" t="n">
        <f aca="false">IFERROR(N(INDEX(Registro!$U$479:$U$508,MATCH($A13,Registro!$A$479:$A$508,0))),0)</f>
        <v>0</v>
      </c>
      <c r="BF13" s="0" t="n">
        <f aca="false">IFERROR(N(INDEX(Registro!$AA$479:$AA$508,MATCH($A13,Registro!$A$479:$A$508,0))),0)</f>
        <v>0</v>
      </c>
      <c r="BG13" s="0" t="n">
        <f aca="false">IFERROR(N(INDEX(Registro!$I$515:$I$544,MATCH($A13,Registro!$A$515:$A$544,0))),0)</f>
        <v>0</v>
      </c>
      <c r="BH13" s="0" t="n">
        <f aca="false">IFERROR(N(INDEX(Registro!$O$515:$O$544,MATCH($A13,Registro!$A$515:$A$544,0))),0)</f>
        <v>0</v>
      </c>
      <c r="BI13" s="0" t="n">
        <f aca="false">IFERROR(N(INDEX(Registro!$U$515:$U$544,MATCH($A13,Registro!$A$515:$A$544,0))),0)</f>
        <v>0</v>
      </c>
      <c r="BJ13" s="0" t="n">
        <f aca="false">IFERROR(N(INDEX(Registro!$AA$515:$AA$544,MATCH($A13,Registro!$A$515:$A$544,0))),0)</f>
        <v>0</v>
      </c>
      <c r="BK13" s="0" t="n">
        <f aca="false">IFERROR(N(INDEX(Registro!$I$551:$I$580,MATCH($A13,Registro!$A$551:$A$580,0))),0)</f>
        <v>0</v>
      </c>
      <c r="BL13" s="0" t="n">
        <f aca="false">IFERROR(N(INDEX(Registro!$O$551:$O$580,MATCH($A13,Registro!$A$551:$A$580,0))),0)</f>
        <v>0</v>
      </c>
      <c r="BM13" s="0" t="n">
        <f aca="false">IFERROR(N(INDEX(Registro!$U$551:$U$580,MATCH($A13,Registro!$A$551:$A$580,0))),0)</f>
        <v>0</v>
      </c>
      <c r="BN13" s="0" t="n">
        <f aca="false">IFERROR(N(INDEX(Registro!$AA$551:$AA$580,MATCH($A13,Registro!$A$551:$A$580,0))),0)</f>
        <v>0</v>
      </c>
      <c r="BO13" s="0" t="n">
        <f aca="false">IFERROR(N(INDEX(Registro!$I$587:$I$616,MATCH($A13,Registro!$A$587:$A$616,0))),0)</f>
        <v>0</v>
      </c>
      <c r="BP13" s="0" t="n">
        <f aca="false">IFERROR(N(INDEX(Registro!$O$587:$O$616,MATCH($A13,Registro!$A$587:$A$616,0))),0)</f>
        <v>0</v>
      </c>
      <c r="BQ13" s="0" t="n">
        <f aca="false">IFERROR(N(INDEX(Registro!$U$587:$U$616,MATCH($A13,Registro!$A$587:$A$616,0))),0)</f>
        <v>0</v>
      </c>
      <c r="BR13" s="0" t="n">
        <f aca="false">IFERROR(N(INDEX(Registro!$AA$587:$AA$616,MATCH($A13,Registro!$A$587:$A$616,0))),0)</f>
        <v>0</v>
      </c>
      <c r="BS13" s="0" t="n">
        <f aca="false">IFERROR(N(INDEX(Registro!$I$623:$I$652,MATCH($A13,Registro!$A$623:$A$652,0))),0)</f>
        <v>0</v>
      </c>
      <c r="BT13" s="0" t="n">
        <f aca="false">IFERROR(N(INDEX(Registro!$O$623:$O$652,MATCH($A13,Registro!$A$623:$A$652,0))),0)</f>
        <v>0</v>
      </c>
      <c r="BU13" s="0" t="n">
        <f aca="false">IFERROR(N(INDEX(Registro!$U$623:$U$652,MATCH($A13,Registro!$A$623:$A$652,0))),0)</f>
        <v>0</v>
      </c>
      <c r="BV13" s="0" t="n">
        <f aca="false">IFERROR(N(INDEX(Registro!$AA$623:$AA$652,MATCH($A13,Registro!$A$623:$A$652,0))),0)</f>
        <v>0</v>
      </c>
      <c r="BW13" s="0" t="n">
        <f aca="false">IFERROR(N(INDEX(Registro!$I$659:$I$688,MATCH($A13,Registro!$A$659:$A$688,0))),0)</f>
        <v>0</v>
      </c>
      <c r="BX13" s="0" t="n">
        <f aca="false">IFERROR(N(INDEX(Registro!$O$659:$O$688,MATCH($A13,Registro!$A$659:$A$688,0))),0)</f>
        <v>0</v>
      </c>
      <c r="BY13" s="0" t="n">
        <f aca="false">IFERROR(N(INDEX(Registro!$U$659:$U$688,MATCH($A13,Registro!$A$659:$A$688,0))),0)</f>
        <v>0</v>
      </c>
      <c r="BZ13" s="0" t="n">
        <f aca="false">IFERROR(N(INDEX(Registro!$AA$659:$AA$688,MATCH($A13,Registro!$A$659:$A$688,0))),0)</f>
        <v>0</v>
      </c>
      <c r="CA13" s="0" t="n">
        <f aca="false">IFERROR(N(INDEX(Registro!$I$695:$I$724,MATCH($A13,Registro!$A$695:$A$724,0))),0)</f>
        <v>0</v>
      </c>
      <c r="CB13" s="0" t="n">
        <f aca="false">IFERROR(N(INDEX(Registro!$O$695:$O$724,MATCH($A13,Registro!$A$695:$A$724,0))),0)</f>
        <v>0</v>
      </c>
      <c r="CC13" s="0" t="n">
        <f aca="false">IFERROR(N(INDEX(Registro!$U$695:$U$724,MATCH($A13,Registro!$A$695:$A$724,0))),0)</f>
        <v>0</v>
      </c>
      <c r="CD13" s="0" t="n">
        <f aca="false">IFERROR(N(INDEX(Registro!$AA$695:$AA$724,MATCH($A13,Registro!$A$695:$A$724,0))),0)</f>
        <v>0</v>
      </c>
      <c r="CE13" s="0" t="n">
        <f aca="false">IFERROR(IF(ISNUMBER(INDEX(Registro!$I$11:$I$40,MATCH($A13,Registro!$A$11:$A$40,0))),CE$5,0),0)</f>
        <v>0</v>
      </c>
      <c r="CF13" s="0" t="n">
        <f aca="false">IFERROR(IF(ISNUMBER(INDEX(Registro!$O$11:$O$40,MATCH($A13,Registro!$A$11:$A$40,0))),CF$5,0),0)</f>
        <v>0</v>
      </c>
      <c r="CG13" s="0" t="n">
        <f aca="false">IFERROR(IF(ISNUMBER(INDEX(Registro!$U$11:$U$40,MATCH($A13,Registro!$A$11:$A$40,0))),CG$5,0),0)</f>
        <v>0</v>
      </c>
      <c r="CH13" s="0" t="n">
        <f aca="false">IFERROR(IF(ISNUMBER(INDEX(Registro!$AA$11:$AA$40,MATCH($A13,Registro!$A$11:$A$40,0))),CH$5,0),0)</f>
        <v>0</v>
      </c>
      <c r="CI13" s="0" t="n">
        <f aca="false">IFERROR(IF(ISNUMBER(INDEX(Registro!$I$47:$I$76,MATCH($A13,Registro!$A$47:$A$76,0))),CI$5,0),0)</f>
        <v>0</v>
      </c>
      <c r="CJ13" s="0" t="n">
        <f aca="false">IFERROR(IF(ISNUMBER(INDEX(Registro!$O$47:$O$76,MATCH($A13,Registro!$A$47:$A$76,0))),CJ$5,0),0)</f>
        <v>0</v>
      </c>
      <c r="CK13" s="0" t="n">
        <f aca="false">IFERROR(IF(ISNUMBER(INDEX(Registro!$U$47:$U$76,MATCH($A13,Registro!$A$47:$A$76,0))),CK$5,0),0)</f>
        <v>0</v>
      </c>
      <c r="CL13" s="0" t="n">
        <f aca="false">IFERROR(IF(ISNUMBER(INDEX(Registro!$AA$47:$AA$76,MATCH($A13,Registro!$A$47:$A$76,0))),CL$5,0),0)</f>
        <v>0</v>
      </c>
      <c r="CM13" s="0" t="n">
        <f aca="false">IFERROR(IF(ISNUMBER(INDEX(Registro!$I$83:$I$112,MATCH($A13,Registro!$A$83:$A$112,0))),CM$5,0),0)</f>
        <v>0</v>
      </c>
      <c r="CN13" s="0" t="n">
        <f aca="false">IFERROR(IF(ISNUMBER(INDEX(Registro!$O$83:$O$112,MATCH($A13,Registro!$A$83:$A$112,0))),CN$5,0),0)</f>
        <v>0</v>
      </c>
      <c r="CO13" s="0" t="n">
        <f aca="false">IFERROR(IF(ISNUMBER(INDEX(Registro!$U$83:$U$112,MATCH($A13,Registro!$A$83:$A$112,0))),CO$5,0),0)</f>
        <v>0</v>
      </c>
      <c r="CP13" s="0" t="n">
        <f aca="false">IFERROR(IF(ISNUMBER(INDEX(Registro!$AA$83:$AA$112,MATCH($A13,Registro!$A$83:$A$112,0))),CP$5,0),0)</f>
        <v>0</v>
      </c>
      <c r="CQ13" s="0" t="n">
        <f aca="false">IFERROR(IF(ISNUMBER(INDEX(Registro!$I$119:$I$148,MATCH($A13,Registro!$A$119:$A$148,0))),CQ$5,0),0)</f>
        <v>0</v>
      </c>
      <c r="CR13" s="0" t="n">
        <f aca="false">IFERROR(IF(ISNUMBER(INDEX(Registro!$O$119:$O$148,MATCH($A13,Registro!$A$119:$A$148,0))),CR$5,0),0)</f>
        <v>0</v>
      </c>
      <c r="CS13" s="0" t="n">
        <f aca="false">IFERROR(IF(ISNUMBER(INDEX(Registro!$U$119:$U$148,MATCH($A13,Registro!$A$119:$A$148,0))),CS$5,0),0)</f>
        <v>0</v>
      </c>
      <c r="CT13" s="0" t="n">
        <f aca="false">IFERROR(IF(ISNUMBER(INDEX(Registro!$AA$119:$AA$148,MATCH($A13,Registro!$A$119:$A$148,0))),CT$5,0),0)</f>
        <v>0</v>
      </c>
      <c r="CU13" s="0" t="n">
        <f aca="false">IFERROR(IF(ISNUMBER(INDEX(Registro!$I$155:$I$184,MATCH($A13,Registro!$A$155:$A$184,0))),CU$5,0),0)</f>
        <v>0</v>
      </c>
      <c r="CV13" s="0" t="n">
        <f aca="false">IFERROR(IF(ISNUMBER(INDEX(Registro!$O$155:$O$184,MATCH($A13,Registro!$A$155:$A$184,0))),CV$5,0),0)</f>
        <v>0</v>
      </c>
      <c r="CW13" s="0" t="n">
        <f aca="false">IFERROR(IF(ISNUMBER(INDEX(Registro!$U$155:$U$184,MATCH($A13,Registro!$A$155:$A$184,0))),CW$5,0),0)</f>
        <v>0</v>
      </c>
      <c r="CX13" s="0" t="n">
        <f aca="false">IFERROR(IF(ISNUMBER(INDEX(Registro!$AA$155:$AA$184,MATCH($A13,Registro!$A$155:$A$184,0))),CX$5,0),0)</f>
        <v>0</v>
      </c>
      <c r="CY13" s="0" t="n">
        <f aca="false">IFERROR(IF(ISNUMBER(INDEX(Registro!$I$191:$I$220,MATCH($A13,Registro!$A$191:$A$220,0))),CY$5,0),0)</f>
        <v>0</v>
      </c>
      <c r="CZ13" s="0" t="n">
        <f aca="false">IFERROR(IF(ISNUMBER(INDEX(Registro!$O$191:$O$220,MATCH($A13,Registro!$A$191:$A$220,0))),CZ$5,0),0)</f>
        <v>0</v>
      </c>
      <c r="DA13" s="0" t="n">
        <f aca="false">IFERROR(IF(ISNUMBER(INDEX(Registro!$U$191:$U$220,MATCH($A13,Registro!$A$191:$A$220,0))),DA$5,0),0)</f>
        <v>0</v>
      </c>
      <c r="DB13" s="0" t="n">
        <f aca="false">IFERROR(IF(ISNUMBER(INDEX(Registro!$AA$191:$AA$220,MATCH($A13,Registro!$A$191:$A$220,0))),DB$5,0),0)</f>
        <v>0</v>
      </c>
      <c r="DC13" s="0" t="n">
        <f aca="false">IFERROR(IF(ISNUMBER(INDEX(Registro!$I$227:$I$256,MATCH($A13,Registro!$A$227:$A$256,0))),DC$5,0),0)</f>
        <v>0</v>
      </c>
      <c r="DD13" s="0" t="n">
        <f aca="false">IFERROR(IF(ISNUMBER(INDEX(Registro!$O$227:$O$256,MATCH($A13,Registro!$A$227:$A$256,0))),DD$5,0),0)</f>
        <v>0</v>
      </c>
      <c r="DE13" s="0" t="n">
        <f aca="false">IFERROR(IF(ISNUMBER(INDEX(Registro!$U$227:$U$256,MATCH($A13,Registro!$A$227:$A$256,0))),DE$5,0),0)</f>
        <v>0</v>
      </c>
      <c r="DF13" s="0" t="n">
        <f aca="false">IFERROR(IF(ISNUMBER(INDEX(Registro!$AA$227:$AA$256,MATCH($A13,Registro!$A$227:$A$256,0))),DF$5,0),0)</f>
        <v>0</v>
      </c>
      <c r="DG13" s="0" t="n">
        <f aca="false">IFERROR(IF(ISNUMBER(INDEX(Registro!$I$263:$I$292,MATCH($A13,Registro!$A$263:$A$292,0))),DG$5,0),0)</f>
        <v>0</v>
      </c>
      <c r="DH13" s="0" t="n">
        <f aca="false">IFERROR(IF(ISNUMBER(INDEX(Registro!$O$263:$O$292,MATCH($A13,Registro!$A$263:$A$292,0))),DH$5,0),0)</f>
        <v>0</v>
      </c>
      <c r="DI13" s="0" t="n">
        <f aca="false">IFERROR(IF(ISNUMBER(INDEX(Registro!$U$263:$U$292,MATCH($A13,Registro!$A$263:$A$292,0))),DI$5,0),0)</f>
        <v>0</v>
      </c>
      <c r="DJ13" s="0" t="n">
        <f aca="false">IFERROR(IF(ISNUMBER(INDEX(Registro!$AA$263:$AA$292,MATCH($A13,Registro!$A$263:$A$292,0))),DJ$5,0),0)</f>
        <v>0</v>
      </c>
      <c r="DK13" s="0" t="n">
        <f aca="false">IFERROR(IF(ISNUMBER(INDEX(Registro!$I$299:$I$328,MATCH($A13,Registro!$A$299:$A$328,0))),DK$5,0),0)</f>
        <v>0</v>
      </c>
      <c r="DL13" s="0" t="n">
        <f aca="false">IFERROR(IF(ISNUMBER(INDEX(Registro!$O$299:$O$328,MATCH($A13,Registro!$A$299:$A$328,0))),DL$5,0),0)</f>
        <v>0</v>
      </c>
      <c r="DM13" s="0" t="n">
        <f aca="false">IFERROR(IF(ISNUMBER(INDEX(Registro!$U$299:$U$328,MATCH($A13,Registro!$A$299:$A$328,0))),DM$5,0),0)</f>
        <v>0</v>
      </c>
      <c r="DN13" s="0" t="n">
        <f aca="false">IFERROR(IF(ISNUMBER(INDEX(Registro!$AA$299:$AA$328,MATCH($A13,Registro!$A$299:$A$328,0))),DN$5,0),0)</f>
        <v>0</v>
      </c>
      <c r="DO13" s="0" t="n">
        <f aca="false">IFERROR(IF(ISNUMBER(INDEX(Registro!$I$335:$I$364,MATCH($A13,Registro!$A$335:$A$364,0))),DO$5,0),0)</f>
        <v>0</v>
      </c>
      <c r="DP13" s="0" t="n">
        <f aca="false">IFERROR(IF(ISNUMBER(INDEX(Registro!$O$335:$O$364,MATCH($A13,Registro!$A$335:$A$364,0))),DP$5,0),0)</f>
        <v>0</v>
      </c>
      <c r="DQ13" s="0" t="n">
        <f aca="false">IFERROR(IF(ISNUMBER(INDEX(Registro!$U$335:$U$364,MATCH($A13,Registro!$A$335:$A$364,0))),DQ$5,0),0)</f>
        <v>0</v>
      </c>
      <c r="DR13" s="0" t="n">
        <f aca="false">IFERROR(IF(ISNUMBER(INDEX(Registro!$AA$335:$AA$364,MATCH($A13,Registro!$A$335:$A$364,0))),DR$5,0),0)</f>
        <v>0</v>
      </c>
      <c r="DS13" s="0" t="n">
        <f aca="false">IFERROR(IF(ISNUMBER(INDEX(Registro!$I$371:$I$400,MATCH($A13,Registro!$A$371:$A$400,0))),DS$5,0),0)</f>
        <v>0</v>
      </c>
      <c r="DT13" s="0" t="n">
        <f aca="false">IFERROR(IF(ISNUMBER(INDEX(Registro!$O$371:$O$400,MATCH($A13,Registro!$A$371:$A$400,0))),DT$5,0),0)</f>
        <v>0</v>
      </c>
      <c r="DU13" s="0" t="n">
        <f aca="false">IFERROR(IF(ISNUMBER(INDEX(Registro!$U$371:$U$400,MATCH($A13,Registro!$A$371:$A$400,0))),DU$5,0),0)</f>
        <v>0</v>
      </c>
      <c r="DV13" s="0" t="n">
        <f aca="false">IFERROR(IF(ISNUMBER(INDEX(Registro!$AA$371:$AA$400,MATCH($A13,Registro!$A$371:$A$400,0))),DV$5,0),0)</f>
        <v>0</v>
      </c>
      <c r="DW13" s="0" t="n">
        <f aca="false">IFERROR(IF(ISNUMBER(INDEX(Registro!$I$407:$I$436,MATCH($A13,Registro!$A$407:$A$436,0))),DW$5,0),0)</f>
        <v>0</v>
      </c>
      <c r="DX13" s="0" t="n">
        <f aca="false">IFERROR(IF(ISNUMBER(INDEX(Registro!$O$407:$O$436,MATCH($A13,Registro!$A$407:$A$436,0))),DX$5,0),0)</f>
        <v>0</v>
      </c>
      <c r="DY13" s="0" t="n">
        <f aca="false">IFERROR(IF(ISNUMBER(INDEX(Registro!$U$407:$U$436,MATCH($A13,Registro!$A$407:$A$436,0))),DY$5,0),0)</f>
        <v>0</v>
      </c>
      <c r="DZ13" s="0" t="n">
        <f aca="false">IFERROR(IF(ISNUMBER(INDEX(Registro!$AA$407:$AA$436,MATCH($A13,Registro!$A$407:$A$436,0))),DZ$5,0),0)</f>
        <v>0</v>
      </c>
      <c r="EA13" s="0" t="n">
        <f aca="false">IFERROR(IF(ISNUMBER(INDEX(Registro!$I$443:$I$472,MATCH($A13,Registro!$A$443:$A$472,0))),EA$5,0),0)</f>
        <v>0</v>
      </c>
      <c r="EB13" s="0" t="n">
        <f aca="false">IFERROR(IF(ISNUMBER(INDEX(Registro!$O$443:$O$472,MATCH($A13,Registro!$A$443:$A$472,0))),EB$5,0),0)</f>
        <v>0</v>
      </c>
      <c r="EC13" s="0" t="n">
        <f aca="false">IFERROR(IF(ISNUMBER(INDEX(Registro!$U$443:$U$472,MATCH($A13,Registro!$A$443:$A$472,0))),EC$5,0),0)</f>
        <v>0</v>
      </c>
      <c r="ED13" s="0" t="n">
        <f aca="false">IFERROR(IF(ISNUMBER(INDEX(Registro!$AA$443:$AA$472,MATCH($A13,Registro!$A$443:$A$472,0))),ED$5,0),0)</f>
        <v>0</v>
      </c>
      <c r="EE13" s="0" t="n">
        <f aca="false">IFERROR(IF(ISNUMBER(INDEX(Registro!$I$479:$I$508,MATCH($A13,Registro!$A$479:$A$508,0))),EE$5,0),0)</f>
        <v>0</v>
      </c>
      <c r="EF13" s="0" t="n">
        <f aca="false">IFERROR(IF(ISNUMBER(INDEX(Registro!$O$479:$O$508,MATCH($A13,Registro!$A$479:$A$508,0))),EF$5,0),0)</f>
        <v>0</v>
      </c>
      <c r="EG13" s="0" t="n">
        <f aca="false">IFERROR(IF(ISNUMBER(INDEX(Registro!$U$479:$U$508,MATCH($A13,Registro!$A$479:$A$508,0))),EG$5,0),0)</f>
        <v>0</v>
      </c>
      <c r="EH13" s="0" t="n">
        <f aca="false">IFERROR(IF(ISNUMBER(INDEX(Registro!$AA$479:$AA$508,MATCH($A13,Registro!$A$479:$A$508,0))),EH$5,0),0)</f>
        <v>0</v>
      </c>
      <c r="EI13" s="0" t="n">
        <f aca="false">IFERROR(IF(ISNUMBER(INDEX(Registro!$I$515:$I$544,MATCH($A13,Registro!$A$515:$A$544,0))),EI$5,0),0)</f>
        <v>0</v>
      </c>
      <c r="EJ13" s="0" t="n">
        <f aca="false">IFERROR(IF(ISNUMBER(INDEX(Registro!$O$515:$O$544,MATCH($A13,Registro!$A$515:$A$544,0))),EJ$5,0),0)</f>
        <v>0</v>
      </c>
      <c r="EK13" s="0" t="n">
        <f aca="false">IFERROR(IF(ISNUMBER(INDEX(Registro!$U$515:$U$544,MATCH($A13,Registro!$A$515:$A$544,0))),EK$5,0),0)</f>
        <v>0</v>
      </c>
      <c r="EL13" s="0" t="n">
        <f aca="false">IFERROR(IF(ISNUMBER(INDEX(Registro!$AA$515:$AA$544,MATCH($A13,Registro!$A$515:$A$544,0))),EL$5,0),0)</f>
        <v>0</v>
      </c>
      <c r="EM13" s="0" t="n">
        <f aca="false">IFERROR(IF(ISNUMBER(INDEX(Registro!$I$551:$I$580,MATCH($A13,Registro!$A$551:$A$580,0))),EM$5,0),0)</f>
        <v>0</v>
      </c>
      <c r="EN13" s="0" t="n">
        <f aca="false">IFERROR(IF(ISNUMBER(INDEX(Registro!$O$551:$O$580,MATCH($A13,Registro!$A$551:$A$580,0))),EN$5,0),0)</f>
        <v>0</v>
      </c>
      <c r="EO13" s="0" t="n">
        <f aca="false">IFERROR(IF(ISNUMBER(INDEX(Registro!$U$551:$U$580,MATCH($A13,Registro!$A$551:$A$580,0))),EO$5,0),0)</f>
        <v>0</v>
      </c>
      <c r="EP13" s="0" t="n">
        <f aca="false">IFERROR(IF(ISNUMBER(INDEX(Registro!$AA$551:$AA$580,MATCH($A13,Registro!$A$551:$A$580,0))),EP$5,0),0)</f>
        <v>0</v>
      </c>
      <c r="EQ13" s="0" t="n">
        <f aca="false">IFERROR(IF(ISNUMBER(INDEX(Registro!$I$587:$I$616,MATCH($A13,Registro!$A$587:$A$616,0))),EQ$5,0),0)</f>
        <v>0</v>
      </c>
      <c r="ER13" s="0" t="n">
        <f aca="false">IFERROR(IF(ISNUMBER(INDEX(Registro!$O$587:$O$616,MATCH($A13,Registro!$A$587:$A$616,0))),ER$5,0),0)</f>
        <v>0</v>
      </c>
      <c r="ES13" s="0" t="n">
        <f aca="false">IFERROR(IF(ISNUMBER(INDEX(Registro!$U$587:$U$616,MATCH($A13,Registro!$A$587:$A$616,0))),ES$5,0),0)</f>
        <v>0</v>
      </c>
      <c r="ET13" s="0" t="n">
        <f aca="false">IFERROR(IF(ISNUMBER(INDEX(Registro!$AA$587:$AA$616,MATCH($A13,Registro!$A$587:$A$616,0))),ET$5,0),0)</f>
        <v>0</v>
      </c>
      <c r="EU13" s="0" t="n">
        <f aca="false">IFERROR(IF(ISNUMBER(INDEX(Registro!$I$623:$I$652,MATCH($A13,Registro!$A$623:$A$652,0))),EU$5,0),0)</f>
        <v>0</v>
      </c>
      <c r="EV13" s="0" t="n">
        <f aca="false">IFERROR(IF(ISNUMBER(INDEX(Registro!$O$623:$O$652,MATCH($A13,Registro!$A$623:$A$652,0))),EV$5,0),0)</f>
        <v>0</v>
      </c>
      <c r="EW13" s="0" t="n">
        <f aca="false">IFERROR(IF(ISNUMBER(INDEX(Registro!$U$623:$U$652,MATCH($A13,Registro!$A$623:$A$652,0))),EW$5,0),0)</f>
        <v>0</v>
      </c>
      <c r="EX13" s="0" t="n">
        <f aca="false">IFERROR(IF(ISNUMBER(INDEX(Registro!$AA$623:$AA$652,MATCH($A13,Registro!$A$623:$A$652,0))),EX$5,0),0)</f>
        <v>0</v>
      </c>
      <c r="EY13" s="0" t="n">
        <f aca="false">IFERROR(IF(ISNUMBER(INDEX(Registro!$I$659:$I$688,MATCH($A13,Registro!$A$659:$A$688,0))),EY$5,0),0)</f>
        <v>0</v>
      </c>
      <c r="EZ13" s="0" t="n">
        <f aca="false">IFERROR(IF(ISNUMBER(INDEX(Registro!$O$659:$O$688,MATCH($A13,Registro!$A$659:$A$688,0))),EZ$5,0),0)</f>
        <v>0</v>
      </c>
      <c r="FA13" s="0" t="n">
        <f aca="false">IFERROR(IF(ISNUMBER(INDEX(Registro!$U$659:$U$688,MATCH($A13,Registro!$A$659:$A$688,0))),FA$5,0),0)</f>
        <v>0</v>
      </c>
      <c r="FB13" s="0" t="n">
        <f aca="false">IFERROR(IF(ISNUMBER(INDEX(Registro!$AA$659:$AA$688,MATCH($A13,Registro!$A$659:$A$688,0))),FB$5,0),0)</f>
        <v>0</v>
      </c>
      <c r="FC13" s="0" t="n">
        <f aca="false">IFERROR(IF(ISNUMBER(INDEX(Registro!$I$695:$I$724,MATCH($A13,Registro!$A$695:$A$724,0))),FC$5,0),0)</f>
        <v>0</v>
      </c>
      <c r="FD13" s="0" t="n">
        <f aca="false">IFERROR(IF(ISNUMBER(INDEX(Registro!$O$695:$O$724,MATCH($A13,Registro!$A$695:$A$724,0))),FD$5,0),0)</f>
        <v>0</v>
      </c>
      <c r="FE13" s="0" t="n">
        <f aca="false">IFERROR(IF(ISNUMBER(INDEX(Registro!$U$695:$U$724,MATCH($A13,Registro!$A$695:$A$724,0))),FE$5,0),0)</f>
        <v>0</v>
      </c>
      <c r="FF13" s="0" t="n">
        <f aca="false">IFERROR(IF(ISNUMBER(INDEX(Registro!$AA$695:$AA$724,MATCH($A13,Registro!$A$695:$A$724,0))),FF$5,0),0)</f>
        <v>0</v>
      </c>
      <c r="FG13" s="0" t="n">
        <f aca="false">IFERROR(IF(AND(INDEX(Registro!$C$11:$C$40,MATCH($A13,Registro!$A$11:$A$40,0))="AS",INDEX(Registro!$D$11:$D$40,MATCH($A13,Registro!$A$11:$A$40,0))&amp;""=""),1,0),0)</f>
        <v>0</v>
      </c>
      <c r="FH13" s="0" t="n">
        <f aca="false">IFERROR(IF(AND(INDEX(Registro!$C$47:$C$76,MATCH($A13,Registro!$A$47:$A$76,0))="AS",INDEX(Registro!$D$47:$D$76,MATCH($A13,Registro!$A$47:$A$76,0))&amp;""=""),1,0),0)</f>
        <v>0</v>
      </c>
      <c r="FI13" s="0" t="n">
        <f aca="false">IFERROR(IF(AND(INDEX(Registro!$C$83:$C$112,MATCH($A13,Registro!$A$83:$A$112,0))="AS",INDEX(Registro!$D$83:$D$112,MATCH($A13,Registro!$A$83:$A$112,0))&amp;""=""),1,0),0)</f>
        <v>0</v>
      </c>
      <c r="FJ13" s="0" t="n">
        <f aca="false">IFERROR(IF(AND(INDEX(Registro!$C$119:$C$148,MATCH($A13,Registro!$A$119:$A$148,0))="AS",INDEX(Registro!$D$119:$D$148,MATCH($A13,Registro!$A$119:$A$148,0))&amp;""=""),1,0),0)</f>
        <v>0</v>
      </c>
      <c r="FK13" s="0" t="n">
        <f aca="false">IFERROR(IF(AND(INDEX(Registro!$C$155:$C$184,MATCH($A13,Registro!$A$155:$A$184,0))="AS",INDEX(Registro!$D$155:$D$184,MATCH($A13,Registro!$A$155:$A$184,0))&amp;""=""),1,0),0)</f>
        <v>0</v>
      </c>
      <c r="FL13" s="0" t="n">
        <f aca="false">IFERROR(IF(AND(INDEX(Registro!$C$191:$C$220,MATCH($A13,Registro!$A$191:$A$220,0))="AS",INDEX(Registro!$D$191:$D$220,MATCH($A13,Registro!$A$191:$A$220,0))&amp;""=""),1,0),0)</f>
        <v>0</v>
      </c>
      <c r="FM13" s="0" t="n">
        <f aca="false">IFERROR(IF(AND(INDEX(Registro!$C$227:$C$256,MATCH($A13,Registro!$A$227:$A$256,0))="AS",INDEX(Registro!$D$227:$D$256,MATCH($A13,Registro!$A$227:$A$256,0))&amp;""=""),1,0),0)</f>
        <v>0</v>
      </c>
      <c r="FN13" s="0" t="n">
        <f aca="false">IFERROR(IF(AND(INDEX(Registro!$C$263:$C$292,MATCH($A13,Registro!$A$263:$A$292,0))="AS",INDEX(Registro!$D$263:$D$292,MATCH($A13,Registro!$A$263:$A$292,0))&amp;""=""),1,0),0)</f>
        <v>0</v>
      </c>
      <c r="FO13" s="0" t="n">
        <f aca="false">IFERROR(IF(AND(INDEX(Registro!$C$299:$C$328,MATCH($A13,Registro!$A$299:$A$328,0))="AS",INDEX(Registro!$D$299:$D$328,MATCH($A13,Registro!$A$299:$A$328,0))&amp;""=""),1,0),0)</f>
        <v>0</v>
      </c>
      <c r="FP13" s="0" t="n">
        <f aca="false">IFERROR(IF(AND(INDEX(Registro!$C$335:$C$364,MATCH($A13,Registro!$A$335:$A$364,0))="AS",INDEX(Registro!$D$335:$D$364,MATCH($A13,Registro!$A$335:$A$364,0))&amp;""=""),1,0),0)</f>
        <v>0</v>
      </c>
      <c r="FQ13" s="0" t="n">
        <f aca="false">IFERROR(IF(AND(INDEX(Registro!$C$371:$C$400,MATCH($A13,Registro!$A$371:$A$400,0))="AS",INDEX(Registro!$D$371:$D$400,MATCH($A13,Registro!$A$371:$A$400,0))&amp;""=""),1,0),0)</f>
        <v>0</v>
      </c>
      <c r="FR13" s="0" t="n">
        <f aca="false">IFERROR(IF(AND(INDEX(Registro!$C$407:$C$436,MATCH($A13,Registro!$A$407:$A$436,0))="AS",INDEX(Registro!$D$407:$D$436,MATCH($A13,Registro!$A$407:$A$436,0))&amp;""=""),1,0),0)</f>
        <v>0</v>
      </c>
      <c r="FS13" s="0" t="n">
        <f aca="false">IFERROR(IF(AND(INDEX(Registro!$C$443:$C$472,MATCH($A13,Registro!$A$443:$A$472,0))="AS",INDEX(Registro!$D$443:$D$472,MATCH($A13,Registro!$A$443:$A$472,0))&amp;""=""),1,0),0)</f>
        <v>0</v>
      </c>
      <c r="FT13" s="0" t="n">
        <f aca="false">IFERROR(IF(AND(INDEX(Registro!$C$479:$C$508,MATCH($A13,Registro!$A$479:$A$508,0))="AS",INDEX(Registro!$D$479:$D$508,MATCH($A13,Registro!$A$479:$A$508,0))&amp;""=""),1,0),0)</f>
        <v>0</v>
      </c>
      <c r="FU13" s="0" t="n">
        <f aca="false">IFERROR(IF(AND(INDEX(Registro!$C$515:$C$544,MATCH($A13,Registro!$A$515:$A$544,0))="AS",INDEX(Registro!$D$515:$D$544,MATCH($A13,Registro!$A$515:$A$544,0))&amp;""=""),1,0),0)</f>
        <v>0</v>
      </c>
      <c r="FV13" s="0" t="n">
        <f aca="false">IFERROR(IF(AND(INDEX(Registro!$C$551:$C$580,MATCH($A13,Registro!$A$551:$A$580,0))="AS",INDEX(Registro!$D$551:$D$580,MATCH($A13,Registro!$A$551:$A$580,0))&amp;""=""),1,0),0)</f>
        <v>0</v>
      </c>
      <c r="FW13" s="0" t="n">
        <f aca="false">IFERROR(IF(AND(INDEX(Registro!$C$587:$C$616,MATCH($A13,Registro!$A$587:$A$616,0))="AS",INDEX(Registro!$D$587:$D$616,MATCH($A13,Registro!$A$587:$A$616,0))&amp;""=""),1,0),0)</f>
        <v>0</v>
      </c>
      <c r="FX13" s="0" t="n">
        <f aca="false">IFERROR(IF(AND(INDEX(Registro!$C$623:$C$652,MATCH($A13,Registro!$A$623:$A$652,0))="AS",INDEX(Registro!$D$623:$D$652,MATCH($A13,Registro!$A$623:$A$652,0))&amp;""=""),1,0),0)</f>
        <v>0</v>
      </c>
      <c r="FY13" s="0" t="n">
        <f aca="false">IFERROR(IF(AND(INDEX(Registro!$C$659:$C$688,MATCH($A13,Registro!$A$659:$A$688,0))="AS",INDEX(Registro!$D$659:$D$688,MATCH($A13,Registro!$A$659:$A$688,0))&amp;""=""),1,0),0)</f>
        <v>0</v>
      </c>
      <c r="FZ13" s="0" t="n">
        <f aca="false">IFERROR(IF(AND(INDEX(Registro!$C$695:$C$724,MATCH($A13,Registro!$A$695:$A$724,0))="AS",INDEX(Registro!$D$695:$D$724,MATCH($A13,Registro!$A$695:$A$724,0))&amp;""=""),1,0),0)</f>
        <v>0</v>
      </c>
    </row>
    <row r="14" customFormat="false" ht="15" hidden="false" customHeight="false" outlineLevel="0" collapsed="false">
      <c r="A14" s="0" t="n">
        <v>8</v>
      </c>
      <c r="C14" s="0" t="n">
        <f aca="false">IFERROR(N(INDEX(Registro!$I$11:$I$40,MATCH($A14,Registro!$A$11:$A$40,0))),0)</f>
        <v>0</v>
      </c>
      <c r="D14" s="0" t="n">
        <f aca="false">IFERROR(N(INDEX(Registro!$O$11:$O$40,MATCH($A14,Registro!$A$11:$A$40,0))),0)</f>
        <v>0</v>
      </c>
      <c r="E14" s="0" t="n">
        <f aca="false">IFERROR(N(INDEX(Registro!$U$11:$U$40,MATCH($A14,Registro!$A$11:$A$40,0))),0)</f>
        <v>0</v>
      </c>
      <c r="F14" s="0" t="n">
        <f aca="false">IFERROR(N(INDEX(Registro!$AA$11:$AA$40,MATCH($A14,Registro!$A$11:$A$40,0))),0)</f>
        <v>0</v>
      </c>
      <c r="G14" s="0" t="n">
        <f aca="false">IFERROR(N(INDEX(Registro!$I$47:$I$76,MATCH($A14,Registro!$A$47:$A$76,0))),0)</f>
        <v>0</v>
      </c>
      <c r="H14" s="0" t="n">
        <f aca="false">IFERROR(N(INDEX(Registro!$O$47:$O$76,MATCH($A14,Registro!$A$47:$A$76,0))),0)</f>
        <v>0</v>
      </c>
      <c r="I14" s="0" t="n">
        <f aca="false">IFERROR(N(INDEX(Registro!$U$47:$U$76,MATCH($A14,Registro!$A$47:$A$76,0))),0)</f>
        <v>0</v>
      </c>
      <c r="J14" s="0" t="n">
        <f aca="false">IFERROR(N(INDEX(Registro!$AA$47:$AA$76,MATCH($A14,Registro!$A$47:$A$76,0))),0)</f>
        <v>0</v>
      </c>
      <c r="K14" s="0" t="n">
        <f aca="false">IFERROR(N(INDEX(Registro!$I$83:$I$112,MATCH($A14,Registro!$A$83:$A$112,0))),0)</f>
        <v>0</v>
      </c>
      <c r="L14" s="0" t="n">
        <f aca="false">IFERROR(N(INDEX(Registro!$O$83:$O$112,MATCH($A14,Registro!$A$83:$A$112,0))),0)</f>
        <v>0</v>
      </c>
      <c r="M14" s="0" t="n">
        <f aca="false">IFERROR(N(INDEX(Registro!$U$83:$U$112,MATCH($A14,Registro!$A$83:$A$112,0))),0)</f>
        <v>0</v>
      </c>
      <c r="N14" s="0" t="n">
        <f aca="false">IFERROR(N(INDEX(Registro!$AA$83:$AA$112,MATCH($A14,Registro!$A$83:$A$112,0))),0)</f>
        <v>0</v>
      </c>
      <c r="O14" s="0" t="n">
        <f aca="false">IFERROR(N(INDEX(Registro!$I$119:$I$148,MATCH($A14,Registro!$A$119:$A$148,0))),0)</f>
        <v>0</v>
      </c>
      <c r="P14" s="0" t="n">
        <f aca="false">IFERROR(N(INDEX(Registro!$O$119:$O$148,MATCH($A14,Registro!$A$119:$A$148,0))),0)</f>
        <v>0</v>
      </c>
      <c r="Q14" s="0" t="n">
        <f aca="false">IFERROR(N(INDEX(Registro!$U$119:$U$148,MATCH($A14,Registro!$A$119:$A$148,0))),0)</f>
        <v>0</v>
      </c>
      <c r="R14" s="0" t="n">
        <f aca="false">IFERROR(N(INDEX(Registro!$AA$119:$AA$148,MATCH($A14,Registro!$A$119:$A$148,0))),0)</f>
        <v>0</v>
      </c>
      <c r="S14" s="0" t="n">
        <f aca="false">IFERROR(N(INDEX(Registro!$I$155:$I$184,MATCH($A14,Registro!$A$155:$A$184,0))),0)</f>
        <v>0</v>
      </c>
      <c r="T14" s="0" t="n">
        <f aca="false">IFERROR(N(INDEX(Registro!$O$155:$O$184,MATCH($A14,Registro!$A$155:$A$184,0))),0)</f>
        <v>0</v>
      </c>
      <c r="U14" s="0" t="n">
        <f aca="false">IFERROR(N(INDEX(Registro!$U$155:$U$184,MATCH($A14,Registro!$A$155:$A$184,0))),0)</f>
        <v>0</v>
      </c>
      <c r="V14" s="0" t="n">
        <f aca="false">IFERROR(N(INDEX(Registro!$AA$155:$AA$184,MATCH($A14,Registro!$A$155:$A$184,0))),0)</f>
        <v>0</v>
      </c>
      <c r="W14" s="0" t="n">
        <f aca="false">IFERROR(N(INDEX(Registro!$I$191:$I$220,MATCH($A14,Registro!$A$191:$A$220,0))),0)</f>
        <v>0</v>
      </c>
      <c r="X14" s="0" t="n">
        <f aca="false">IFERROR(N(INDEX(Registro!$O$191:$O$220,MATCH($A14,Registro!$A$191:$A$220,0))),0)</f>
        <v>0</v>
      </c>
      <c r="Y14" s="0" t="n">
        <f aca="false">IFERROR(N(INDEX(Registro!$U$191:$U$220,MATCH($A14,Registro!$A$191:$A$220,0))),0)</f>
        <v>0</v>
      </c>
      <c r="Z14" s="0" t="n">
        <f aca="false">IFERROR(N(INDEX(Registro!$AA$191:$AA$220,MATCH($A14,Registro!$A$191:$A$220,0))),0)</f>
        <v>0</v>
      </c>
      <c r="AA14" s="0" t="n">
        <f aca="false">IFERROR(N(INDEX(Registro!$I$227:$I$256,MATCH($A14,Registro!$A$227:$A$256,0))),0)</f>
        <v>0</v>
      </c>
      <c r="AB14" s="0" t="n">
        <f aca="false">IFERROR(N(INDEX(Registro!$O$227:$O$256,MATCH($A14,Registro!$A$227:$A$256,0))),0)</f>
        <v>0</v>
      </c>
      <c r="AC14" s="0" t="n">
        <f aca="false">IFERROR(N(INDEX(Registro!$U$227:$U$256,MATCH($A14,Registro!$A$227:$A$256,0))),0)</f>
        <v>0</v>
      </c>
      <c r="AD14" s="0" t="n">
        <f aca="false">IFERROR(N(INDEX(Registro!$AA$227:$AA$256,MATCH($A14,Registro!$A$227:$A$256,0))),0)</f>
        <v>0</v>
      </c>
      <c r="AE14" s="0" t="n">
        <f aca="false">IFERROR(N(INDEX(Registro!$I$263:$I$292,MATCH($A14,Registro!$A$263:$A$292,0))),0)</f>
        <v>0</v>
      </c>
      <c r="AF14" s="0" t="n">
        <f aca="false">IFERROR(N(INDEX(Registro!$O$263:$O$292,MATCH($A14,Registro!$A$263:$A$292,0))),0)</f>
        <v>0</v>
      </c>
      <c r="AG14" s="0" t="n">
        <f aca="false">IFERROR(N(INDEX(Registro!$U$263:$U$292,MATCH($A14,Registro!$A$263:$A$292,0))),0)</f>
        <v>0</v>
      </c>
      <c r="AH14" s="0" t="n">
        <f aca="false">IFERROR(N(INDEX(Registro!$AA$263:$AA$292,MATCH($A14,Registro!$A$263:$A$292,0))),0)</f>
        <v>0</v>
      </c>
      <c r="AI14" s="0" t="n">
        <f aca="false">IFERROR(N(INDEX(Registro!$I$299:$I$328,MATCH($A14,Registro!$A$299:$A$328,0))),0)</f>
        <v>0</v>
      </c>
      <c r="AJ14" s="0" t="n">
        <f aca="false">IFERROR(N(INDEX(Registro!$O$299:$O$328,MATCH($A14,Registro!$A$299:$A$328,0))),0)</f>
        <v>0</v>
      </c>
      <c r="AK14" s="0" t="n">
        <f aca="false">IFERROR(N(INDEX(Registro!$U$299:$U$328,MATCH($A14,Registro!$A$299:$A$328,0))),0)</f>
        <v>0</v>
      </c>
      <c r="AL14" s="0" t="n">
        <f aca="false">IFERROR(N(INDEX(Registro!$AA$299:$AA$328,MATCH($A14,Registro!$A$299:$A$328,0))),0)</f>
        <v>0</v>
      </c>
      <c r="AM14" s="0" t="n">
        <f aca="false">IFERROR(N(INDEX(Registro!$I$335:$I$364,MATCH($A14,Registro!$A$335:$A$364,0))),0)</f>
        <v>0</v>
      </c>
      <c r="AN14" s="0" t="n">
        <f aca="false">IFERROR(N(INDEX(Registro!$O$335:$O$364,MATCH($A14,Registro!$A$335:$A$364,0))),0)</f>
        <v>0</v>
      </c>
      <c r="AO14" s="0" t="n">
        <f aca="false">IFERROR(N(INDEX(Registro!$U$335:$U$364,MATCH($A14,Registro!$A$335:$A$364,0))),0)</f>
        <v>0</v>
      </c>
      <c r="AP14" s="0" t="n">
        <f aca="false">IFERROR(N(INDEX(Registro!$AA$335:$AA$364,MATCH($A14,Registro!$A$335:$A$364,0))),0)</f>
        <v>0</v>
      </c>
      <c r="AQ14" s="0" t="n">
        <f aca="false">IFERROR(N(INDEX(Registro!$I$371:$I$400,MATCH($A14,Registro!$A$371:$A$400,0))),0)</f>
        <v>0</v>
      </c>
      <c r="AR14" s="0" t="n">
        <f aca="false">IFERROR(N(INDEX(Registro!$O$371:$O$400,MATCH($A14,Registro!$A$371:$A$400,0))),0)</f>
        <v>0</v>
      </c>
      <c r="AS14" s="0" t="n">
        <f aca="false">IFERROR(N(INDEX(Registro!$U$371:$U$400,MATCH($A14,Registro!$A$371:$A$400,0))),0)</f>
        <v>0</v>
      </c>
      <c r="AT14" s="0" t="n">
        <f aca="false">IFERROR(N(INDEX(Registro!$AA$371:$AA$400,MATCH($A14,Registro!$A$371:$A$400,0))),0)</f>
        <v>0</v>
      </c>
      <c r="AU14" s="0" t="n">
        <f aca="false">IFERROR(N(INDEX(Registro!$I$407:$I$436,MATCH($A14,Registro!$A$407:$A$436,0))),0)</f>
        <v>0</v>
      </c>
      <c r="AV14" s="0" t="n">
        <f aca="false">IFERROR(N(INDEX(Registro!$O$407:$O$436,MATCH($A14,Registro!$A$407:$A$436,0))),0)</f>
        <v>0</v>
      </c>
      <c r="AW14" s="0" t="n">
        <f aca="false">IFERROR(N(INDEX(Registro!$U$407:$U$436,MATCH($A14,Registro!$A$407:$A$436,0))),0)</f>
        <v>0</v>
      </c>
      <c r="AX14" s="0" t="n">
        <f aca="false">IFERROR(N(INDEX(Registro!$AA$407:$AA$436,MATCH($A14,Registro!$A$407:$A$436,0))),0)</f>
        <v>0</v>
      </c>
      <c r="AY14" s="0" t="n">
        <f aca="false">IFERROR(N(INDEX(Registro!$I$443:$I$472,MATCH($A14,Registro!$A$443:$A$472,0))),0)</f>
        <v>0</v>
      </c>
      <c r="AZ14" s="0" t="n">
        <f aca="false">IFERROR(N(INDEX(Registro!$O$443:$O$472,MATCH($A14,Registro!$A$443:$A$472,0))),0)</f>
        <v>0</v>
      </c>
      <c r="BA14" s="0" t="n">
        <f aca="false">IFERROR(N(INDEX(Registro!$U$443:$U$472,MATCH($A14,Registro!$A$443:$A$472,0))),0)</f>
        <v>0</v>
      </c>
      <c r="BB14" s="0" t="n">
        <f aca="false">IFERROR(N(INDEX(Registro!$AA$443:$AA$472,MATCH($A14,Registro!$A$443:$A$472,0))),0)</f>
        <v>0</v>
      </c>
      <c r="BC14" s="0" t="n">
        <f aca="false">IFERROR(N(INDEX(Registro!$I$479:$I$508,MATCH($A14,Registro!$A$479:$A$508,0))),0)</f>
        <v>0</v>
      </c>
      <c r="BD14" s="0" t="n">
        <f aca="false">IFERROR(N(INDEX(Registro!$O$479:$O$508,MATCH($A14,Registro!$A$479:$A$508,0))),0)</f>
        <v>0</v>
      </c>
      <c r="BE14" s="0" t="n">
        <f aca="false">IFERROR(N(INDEX(Registro!$U$479:$U$508,MATCH($A14,Registro!$A$479:$A$508,0))),0)</f>
        <v>0</v>
      </c>
      <c r="BF14" s="0" t="n">
        <f aca="false">IFERROR(N(INDEX(Registro!$AA$479:$AA$508,MATCH($A14,Registro!$A$479:$A$508,0))),0)</f>
        <v>0</v>
      </c>
      <c r="BG14" s="0" t="n">
        <f aca="false">IFERROR(N(INDEX(Registro!$I$515:$I$544,MATCH($A14,Registro!$A$515:$A$544,0))),0)</f>
        <v>0</v>
      </c>
      <c r="BH14" s="0" t="n">
        <f aca="false">IFERROR(N(INDEX(Registro!$O$515:$O$544,MATCH($A14,Registro!$A$515:$A$544,0))),0)</f>
        <v>0</v>
      </c>
      <c r="BI14" s="0" t="n">
        <f aca="false">IFERROR(N(INDEX(Registro!$U$515:$U$544,MATCH($A14,Registro!$A$515:$A$544,0))),0)</f>
        <v>0</v>
      </c>
      <c r="BJ14" s="0" t="n">
        <f aca="false">IFERROR(N(INDEX(Registro!$AA$515:$AA$544,MATCH($A14,Registro!$A$515:$A$544,0))),0)</f>
        <v>0</v>
      </c>
      <c r="BK14" s="0" t="n">
        <f aca="false">IFERROR(N(INDEX(Registro!$I$551:$I$580,MATCH($A14,Registro!$A$551:$A$580,0))),0)</f>
        <v>0</v>
      </c>
      <c r="BL14" s="0" t="n">
        <f aca="false">IFERROR(N(INDEX(Registro!$O$551:$O$580,MATCH($A14,Registro!$A$551:$A$580,0))),0)</f>
        <v>0</v>
      </c>
      <c r="BM14" s="0" t="n">
        <f aca="false">IFERROR(N(INDEX(Registro!$U$551:$U$580,MATCH($A14,Registro!$A$551:$A$580,0))),0)</f>
        <v>0</v>
      </c>
      <c r="BN14" s="0" t="n">
        <f aca="false">IFERROR(N(INDEX(Registro!$AA$551:$AA$580,MATCH($A14,Registro!$A$551:$A$580,0))),0)</f>
        <v>0</v>
      </c>
      <c r="BO14" s="0" t="n">
        <f aca="false">IFERROR(N(INDEX(Registro!$I$587:$I$616,MATCH($A14,Registro!$A$587:$A$616,0))),0)</f>
        <v>0</v>
      </c>
      <c r="BP14" s="0" t="n">
        <f aca="false">IFERROR(N(INDEX(Registro!$O$587:$O$616,MATCH($A14,Registro!$A$587:$A$616,0))),0)</f>
        <v>0</v>
      </c>
      <c r="BQ14" s="0" t="n">
        <f aca="false">IFERROR(N(INDEX(Registro!$U$587:$U$616,MATCH($A14,Registro!$A$587:$A$616,0))),0)</f>
        <v>0</v>
      </c>
      <c r="BR14" s="0" t="n">
        <f aca="false">IFERROR(N(INDEX(Registro!$AA$587:$AA$616,MATCH($A14,Registro!$A$587:$A$616,0))),0)</f>
        <v>0</v>
      </c>
      <c r="BS14" s="0" t="n">
        <f aca="false">IFERROR(N(INDEX(Registro!$I$623:$I$652,MATCH($A14,Registro!$A$623:$A$652,0))),0)</f>
        <v>0</v>
      </c>
      <c r="BT14" s="0" t="n">
        <f aca="false">IFERROR(N(INDEX(Registro!$O$623:$O$652,MATCH($A14,Registro!$A$623:$A$652,0))),0)</f>
        <v>0</v>
      </c>
      <c r="BU14" s="0" t="n">
        <f aca="false">IFERROR(N(INDEX(Registro!$U$623:$U$652,MATCH($A14,Registro!$A$623:$A$652,0))),0)</f>
        <v>0</v>
      </c>
      <c r="BV14" s="0" t="n">
        <f aca="false">IFERROR(N(INDEX(Registro!$AA$623:$AA$652,MATCH($A14,Registro!$A$623:$A$652,0))),0)</f>
        <v>0</v>
      </c>
      <c r="BW14" s="0" t="n">
        <f aca="false">IFERROR(N(INDEX(Registro!$I$659:$I$688,MATCH($A14,Registro!$A$659:$A$688,0))),0)</f>
        <v>0</v>
      </c>
      <c r="BX14" s="0" t="n">
        <f aca="false">IFERROR(N(INDEX(Registro!$O$659:$O$688,MATCH($A14,Registro!$A$659:$A$688,0))),0)</f>
        <v>0</v>
      </c>
      <c r="BY14" s="0" t="n">
        <f aca="false">IFERROR(N(INDEX(Registro!$U$659:$U$688,MATCH($A14,Registro!$A$659:$A$688,0))),0)</f>
        <v>0</v>
      </c>
      <c r="BZ14" s="0" t="n">
        <f aca="false">IFERROR(N(INDEX(Registro!$AA$659:$AA$688,MATCH($A14,Registro!$A$659:$A$688,0))),0)</f>
        <v>0</v>
      </c>
      <c r="CA14" s="0" t="n">
        <f aca="false">IFERROR(N(INDEX(Registro!$I$695:$I$724,MATCH($A14,Registro!$A$695:$A$724,0))),0)</f>
        <v>0</v>
      </c>
      <c r="CB14" s="0" t="n">
        <f aca="false">IFERROR(N(INDEX(Registro!$O$695:$O$724,MATCH($A14,Registro!$A$695:$A$724,0))),0)</f>
        <v>0</v>
      </c>
      <c r="CC14" s="0" t="n">
        <f aca="false">IFERROR(N(INDEX(Registro!$U$695:$U$724,MATCH($A14,Registro!$A$695:$A$724,0))),0)</f>
        <v>0</v>
      </c>
      <c r="CD14" s="0" t="n">
        <f aca="false">IFERROR(N(INDEX(Registro!$AA$695:$AA$724,MATCH($A14,Registro!$A$695:$A$724,0))),0)</f>
        <v>0</v>
      </c>
      <c r="CE14" s="0" t="n">
        <f aca="false">IFERROR(IF(ISNUMBER(INDEX(Registro!$I$11:$I$40,MATCH($A14,Registro!$A$11:$A$40,0))),CE$5,0),0)</f>
        <v>0</v>
      </c>
      <c r="CF14" s="0" t="n">
        <f aca="false">IFERROR(IF(ISNUMBER(INDEX(Registro!$O$11:$O$40,MATCH($A14,Registro!$A$11:$A$40,0))),CF$5,0),0)</f>
        <v>0</v>
      </c>
      <c r="CG14" s="0" t="n">
        <f aca="false">IFERROR(IF(ISNUMBER(INDEX(Registro!$U$11:$U$40,MATCH($A14,Registro!$A$11:$A$40,0))),CG$5,0),0)</f>
        <v>0</v>
      </c>
      <c r="CH14" s="0" t="n">
        <f aca="false">IFERROR(IF(ISNUMBER(INDEX(Registro!$AA$11:$AA$40,MATCH($A14,Registro!$A$11:$A$40,0))),CH$5,0),0)</f>
        <v>0</v>
      </c>
      <c r="CI14" s="0" t="n">
        <f aca="false">IFERROR(IF(ISNUMBER(INDEX(Registro!$I$47:$I$76,MATCH($A14,Registro!$A$47:$A$76,0))),CI$5,0),0)</f>
        <v>0</v>
      </c>
      <c r="CJ14" s="0" t="n">
        <f aca="false">IFERROR(IF(ISNUMBER(INDEX(Registro!$O$47:$O$76,MATCH($A14,Registro!$A$47:$A$76,0))),CJ$5,0),0)</f>
        <v>0</v>
      </c>
      <c r="CK14" s="0" t="n">
        <f aca="false">IFERROR(IF(ISNUMBER(INDEX(Registro!$U$47:$U$76,MATCH($A14,Registro!$A$47:$A$76,0))),CK$5,0),0)</f>
        <v>0</v>
      </c>
      <c r="CL14" s="0" t="n">
        <f aca="false">IFERROR(IF(ISNUMBER(INDEX(Registro!$AA$47:$AA$76,MATCH($A14,Registro!$A$47:$A$76,0))),CL$5,0),0)</f>
        <v>0</v>
      </c>
      <c r="CM14" s="0" t="n">
        <f aca="false">IFERROR(IF(ISNUMBER(INDEX(Registro!$I$83:$I$112,MATCH($A14,Registro!$A$83:$A$112,0))),CM$5,0),0)</f>
        <v>0</v>
      </c>
      <c r="CN14" s="0" t="n">
        <f aca="false">IFERROR(IF(ISNUMBER(INDEX(Registro!$O$83:$O$112,MATCH($A14,Registro!$A$83:$A$112,0))),CN$5,0),0)</f>
        <v>0</v>
      </c>
      <c r="CO14" s="0" t="n">
        <f aca="false">IFERROR(IF(ISNUMBER(INDEX(Registro!$U$83:$U$112,MATCH($A14,Registro!$A$83:$A$112,0))),CO$5,0),0)</f>
        <v>0</v>
      </c>
      <c r="CP14" s="0" t="n">
        <f aca="false">IFERROR(IF(ISNUMBER(INDEX(Registro!$AA$83:$AA$112,MATCH($A14,Registro!$A$83:$A$112,0))),CP$5,0),0)</f>
        <v>0</v>
      </c>
      <c r="CQ14" s="0" t="n">
        <f aca="false">IFERROR(IF(ISNUMBER(INDEX(Registro!$I$119:$I$148,MATCH($A14,Registro!$A$119:$A$148,0))),CQ$5,0),0)</f>
        <v>0</v>
      </c>
      <c r="CR14" s="0" t="n">
        <f aca="false">IFERROR(IF(ISNUMBER(INDEX(Registro!$O$119:$O$148,MATCH($A14,Registro!$A$119:$A$148,0))),CR$5,0),0)</f>
        <v>0</v>
      </c>
      <c r="CS14" s="0" t="n">
        <f aca="false">IFERROR(IF(ISNUMBER(INDEX(Registro!$U$119:$U$148,MATCH($A14,Registro!$A$119:$A$148,0))),CS$5,0),0)</f>
        <v>0</v>
      </c>
      <c r="CT14" s="0" t="n">
        <f aca="false">IFERROR(IF(ISNUMBER(INDEX(Registro!$AA$119:$AA$148,MATCH($A14,Registro!$A$119:$A$148,0))),CT$5,0),0)</f>
        <v>0</v>
      </c>
      <c r="CU14" s="0" t="n">
        <f aca="false">IFERROR(IF(ISNUMBER(INDEX(Registro!$I$155:$I$184,MATCH($A14,Registro!$A$155:$A$184,0))),CU$5,0),0)</f>
        <v>0</v>
      </c>
      <c r="CV14" s="0" t="n">
        <f aca="false">IFERROR(IF(ISNUMBER(INDEX(Registro!$O$155:$O$184,MATCH($A14,Registro!$A$155:$A$184,0))),CV$5,0),0)</f>
        <v>0</v>
      </c>
      <c r="CW14" s="0" t="n">
        <f aca="false">IFERROR(IF(ISNUMBER(INDEX(Registro!$U$155:$U$184,MATCH($A14,Registro!$A$155:$A$184,0))),CW$5,0),0)</f>
        <v>0</v>
      </c>
      <c r="CX14" s="0" t="n">
        <f aca="false">IFERROR(IF(ISNUMBER(INDEX(Registro!$AA$155:$AA$184,MATCH($A14,Registro!$A$155:$A$184,0))),CX$5,0),0)</f>
        <v>0</v>
      </c>
      <c r="CY14" s="0" t="n">
        <f aca="false">IFERROR(IF(ISNUMBER(INDEX(Registro!$I$191:$I$220,MATCH($A14,Registro!$A$191:$A$220,0))),CY$5,0),0)</f>
        <v>0</v>
      </c>
      <c r="CZ14" s="0" t="n">
        <f aca="false">IFERROR(IF(ISNUMBER(INDEX(Registro!$O$191:$O$220,MATCH($A14,Registro!$A$191:$A$220,0))),CZ$5,0),0)</f>
        <v>0</v>
      </c>
      <c r="DA14" s="0" t="n">
        <f aca="false">IFERROR(IF(ISNUMBER(INDEX(Registro!$U$191:$U$220,MATCH($A14,Registro!$A$191:$A$220,0))),DA$5,0),0)</f>
        <v>0</v>
      </c>
      <c r="DB14" s="0" t="n">
        <f aca="false">IFERROR(IF(ISNUMBER(INDEX(Registro!$AA$191:$AA$220,MATCH($A14,Registro!$A$191:$A$220,0))),DB$5,0),0)</f>
        <v>0</v>
      </c>
      <c r="DC14" s="0" t="n">
        <f aca="false">IFERROR(IF(ISNUMBER(INDEX(Registro!$I$227:$I$256,MATCH($A14,Registro!$A$227:$A$256,0))),DC$5,0),0)</f>
        <v>0</v>
      </c>
      <c r="DD14" s="0" t="n">
        <f aca="false">IFERROR(IF(ISNUMBER(INDEX(Registro!$O$227:$O$256,MATCH($A14,Registro!$A$227:$A$256,0))),DD$5,0),0)</f>
        <v>0</v>
      </c>
      <c r="DE14" s="0" t="n">
        <f aca="false">IFERROR(IF(ISNUMBER(INDEX(Registro!$U$227:$U$256,MATCH($A14,Registro!$A$227:$A$256,0))),DE$5,0),0)</f>
        <v>0</v>
      </c>
      <c r="DF14" s="0" t="n">
        <f aca="false">IFERROR(IF(ISNUMBER(INDEX(Registro!$AA$227:$AA$256,MATCH($A14,Registro!$A$227:$A$256,0))),DF$5,0),0)</f>
        <v>0</v>
      </c>
      <c r="DG14" s="0" t="n">
        <f aca="false">IFERROR(IF(ISNUMBER(INDEX(Registro!$I$263:$I$292,MATCH($A14,Registro!$A$263:$A$292,0))),DG$5,0),0)</f>
        <v>0</v>
      </c>
      <c r="DH14" s="0" t="n">
        <f aca="false">IFERROR(IF(ISNUMBER(INDEX(Registro!$O$263:$O$292,MATCH($A14,Registro!$A$263:$A$292,0))),DH$5,0),0)</f>
        <v>0</v>
      </c>
      <c r="DI14" s="0" t="n">
        <f aca="false">IFERROR(IF(ISNUMBER(INDEX(Registro!$U$263:$U$292,MATCH($A14,Registro!$A$263:$A$292,0))),DI$5,0),0)</f>
        <v>0</v>
      </c>
      <c r="DJ14" s="0" t="n">
        <f aca="false">IFERROR(IF(ISNUMBER(INDEX(Registro!$AA$263:$AA$292,MATCH($A14,Registro!$A$263:$A$292,0))),DJ$5,0),0)</f>
        <v>0</v>
      </c>
      <c r="DK14" s="0" t="n">
        <f aca="false">IFERROR(IF(ISNUMBER(INDEX(Registro!$I$299:$I$328,MATCH($A14,Registro!$A$299:$A$328,0))),DK$5,0),0)</f>
        <v>0</v>
      </c>
      <c r="DL14" s="0" t="n">
        <f aca="false">IFERROR(IF(ISNUMBER(INDEX(Registro!$O$299:$O$328,MATCH($A14,Registro!$A$299:$A$328,0))),DL$5,0),0)</f>
        <v>0</v>
      </c>
      <c r="DM14" s="0" t="n">
        <f aca="false">IFERROR(IF(ISNUMBER(INDEX(Registro!$U$299:$U$328,MATCH($A14,Registro!$A$299:$A$328,0))),DM$5,0),0)</f>
        <v>0</v>
      </c>
      <c r="DN14" s="0" t="n">
        <f aca="false">IFERROR(IF(ISNUMBER(INDEX(Registro!$AA$299:$AA$328,MATCH($A14,Registro!$A$299:$A$328,0))),DN$5,0),0)</f>
        <v>0</v>
      </c>
      <c r="DO14" s="0" t="n">
        <f aca="false">IFERROR(IF(ISNUMBER(INDEX(Registro!$I$335:$I$364,MATCH($A14,Registro!$A$335:$A$364,0))),DO$5,0),0)</f>
        <v>0</v>
      </c>
      <c r="DP14" s="0" t="n">
        <f aca="false">IFERROR(IF(ISNUMBER(INDEX(Registro!$O$335:$O$364,MATCH($A14,Registro!$A$335:$A$364,0))),DP$5,0),0)</f>
        <v>0</v>
      </c>
      <c r="DQ14" s="0" t="n">
        <f aca="false">IFERROR(IF(ISNUMBER(INDEX(Registro!$U$335:$U$364,MATCH($A14,Registro!$A$335:$A$364,0))),DQ$5,0),0)</f>
        <v>0</v>
      </c>
      <c r="DR14" s="0" t="n">
        <f aca="false">IFERROR(IF(ISNUMBER(INDEX(Registro!$AA$335:$AA$364,MATCH($A14,Registro!$A$335:$A$364,0))),DR$5,0),0)</f>
        <v>0</v>
      </c>
      <c r="DS14" s="0" t="n">
        <f aca="false">IFERROR(IF(ISNUMBER(INDEX(Registro!$I$371:$I$400,MATCH($A14,Registro!$A$371:$A$400,0))),DS$5,0),0)</f>
        <v>0</v>
      </c>
      <c r="DT14" s="0" t="n">
        <f aca="false">IFERROR(IF(ISNUMBER(INDEX(Registro!$O$371:$O$400,MATCH($A14,Registro!$A$371:$A$400,0))),DT$5,0),0)</f>
        <v>0</v>
      </c>
      <c r="DU14" s="0" t="n">
        <f aca="false">IFERROR(IF(ISNUMBER(INDEX(Registro!$U$371:$U$400,MATCH($A14,Registro!$A$371:$A$400,0))),DU$5,0),0)</f>
        <v>0</v>
      </c>
      <c r="DV14" s="0" t="n">
        <f aca="false">IFERROR(IF(ISNUMBER(INDEX(Registro!$AA$371:$AA$400,MATCH($A14,Registro!$A$371:$A$400,0))),DV$5,0),0)</f>
        <v>0</v>
      </c>
      <c r="DW14" s="0" t="n">
        <f aca="false">IFERROR(IF(ISNUMBER(INDEX(Registro!$I$407:$I$436,MATCH($A14,Registro!$A$407:$A$436,0))),DW$5,0),0)</f>
        <v>0</v>
      </c>
      <c r="DX14" s="0" t="n">
        <f aca="false">IFERROR(IF(ISNUMBER(INDEX(Registro!$O$407:$O$436,MATCH($A14,Registro!$A$407:$A$436,0))),DX$5,0),0)</f>
        <v>0</v>
      </c>
      <c r="DY14" s="0" t="n">
        <f aca="false">IFERROR(IF(ISNUMBER(INDEX(Registro!$U$407:$U$436,MATCH($A14,Registro!$A$407:$A$436,0))),DY$5,0),0)</f>
        <v>0</v>
      </c>
      <c r="DZ14" s="0" t="n">
        <f aca="false">IFERROR(IF(ISNUMBER(INDEX(Registro!$AA$407:$AA$436,MATCH($A14,Registro!$A$407:$A$436,0))),DZ$5,0),0)</f>
        <v>0</v>
      </c>
      <c r="EA14" s="0" t="n">
        <f aca="false">IFERROR(IF(ISNUMBER(INDEX(Registro!$I$443:$I$472,MATCH($A14,Registro!$A$443:$A$472,0))),EA$5,0),0)</f>
        <v>0</v>
      </c>
      <c r="EB14" s="0" t="n">
        <f aca="false">IFERROR(IF(ISNUMBER(INDEX(Registro!$O$443:$O$472,MATCH($A14,Registro!$A$443:$A$472,0))),EB$5,0),0)</f>
        <v>0</v>
      </c>
      <c r="EC14" s="0" t="n">
        <f aca="false">IFERROR(IF(ISNUMBER(INDEX(Registro!$U$443:$U$472,MATCH($A14,Registro!$A$443:$A$472,0))),EC$5,0),0)</f>
        <v>0</v>
      </c>
      <c r="ED14" s="0" t="n">
        <f aca="false">IFERROR(IF(ISNUMBER(INDEX(Registro!$AA$443:$AA$472,MATCH($A14,Registro!$A$443:$A$472,0))),ED$5,0),0)</f>
        <v>0</v>
      </c>
      <c r="EE14" s="0" t="n">
        <f aca="false">IFERROR(IF(ISNUMBER(INDEX(Registro!$I$479:$I$508,MATCH($A14,Registro!$A$479:$A$508,0))),EE$5,0),0)</f>
        <v>0</v>
      </c>
      <c r="EF14" s="0" t="n">
        <f aca="false">IFERROR(IF(ISNUMBER(INDEX(Registro!$O$479:$O$508,MATCH($A14,Registro!$A$479:$A$508,0))),EF$5,0),0)</f>
        <v>0</v>
      </c>
      <c r="EG14" s="0" t="n">
        <f aca="false">IFERROR(IF(ISNUMBER(INDEX(Registro!$U$479:$U$508,MATCH($A14,Registro!$A$479:$A$508,0))),EG$5,0),0)</f>
        <v>0</v>
      </c>
      <c r="EH14" s="0" t="n">
        <f aca="false">IFERROR(IF(ISNUMBER(INDEX(Registro!$AA$479:$AA$508,MATCH($A14,Registro!$A$479:$A$508,0))),EH$5,0),0)</f>
        <v>0</v>
      </c>
      <c r="EI14" s="0" t="n">
        <f aca="false">IFERROR(IF(ISNUMBER(INDEX(Registro!$I$515:$I$544,MATCH($A14,Registro!$A$515:$A$544,0))),EI$5,0),0)</f>
        <v>0</v>
      </c>
      <c r="EJ14" s="0" t="n">
        <f aca="false">IFERROR(IF(ISNUMBER(INDEX(Registro!$O$515:$O$544,MATCH($A14,Registro!$A$515:$A$544,0))),EJ$5,0),0)</f>
        <v>0</v>
      </c>
      <c r="EK14" s="0" t="n">
        <f aca="false">IFERROR(IF(ISNUMBER(INDEX(Registro!$U$515:$U$544,MATCH($A14,Registro!$A$515:$A$544,0))),EK$5,0),0)</f>
        <v>0</v>
      </c>
      <c r="EL14" s="0" t="n">
        <f aca="false">IFERROR(IF(ISNUMBER(INDEX(Registro!$AA$515:$AA$544,MATCH($A14,Registro!$A$515:$A$544,0))),EL$5,0),0)</f>
        <v>0</v>
      </c>
      <c r="EM14" s="0" t="n">
        <f aca="false">IFERROR(IF(ISNUMBER(INDEX(Registro!$I$551:$I$580,MATCH($A14,Registro!$A$551:$A$580,0))),EM$5,0),0)</f>
        <v>0</v>
      </c>
      <c r="EN14" s="0" t="n">
        <f aca="false">IFERROR(IF(ISNUMBER(INDEX(Registro!$O$551:$O$580,MATCH($A14,Registro!$A$551:$A$580,0))),EN$5,0),0)</f>
        <v>0</v>
      </c>
      <c r="EO14" s="0" t="n">
        <f aca="false">IFERROR(IF(ISNUMBER(INDEX(Registro!$U$551:$U$580,MATCH($A14,Registro!$A$551:$A$580,0))),EO$5,0),0)</f>
        <v>0</v>
      </c>
      <c r="EP14" s="0" t="n">
        <f aca="false">IFERROR(IF(ISNUMBER(INDEX(Registro!$AA$551:$AA$580,MATCH($A14,Registro!$A$551:$A$580,0))),EP$5,0),0)</f>
        <v>0</v>
      </c>
      <c r="EQ14" s="0" t="n">
        <f aca="false">IFERROR(IF(ISNUMBER(INDEX(Registro!$I$587:$I$616,MATCH($A14,Registro!$A$587:$A$616,0))),EQ$5,0),0)</f>
        <v>0</v>
      </c>
      <c r="ER14" s="0" t="n">
        <f aca="false">IFERROR(IF(ISNUMBER(INDEX(Registro!$O$587:$O$616,MATCH($A14,Registro!$A$587:$A$616,0))),ER$5,0),0)</f>
        <v>0</v>
      </c>
      <c r="ES14" s="0" t="n">
        <f aca="false">IFERROR(IF(ISNUMBER(INDEX(Registro!$U$587:$U$616,MATCH($A14,Registro!$A$587:$A$616,0))),ES$5,0),0)</f>
        <v>0</v>
      </c>
      <c r="ET14" s="0" t="n">
        <f aca="false">IFERROR(IF(ISNUMBER(INDEX(Registro!$AA$587:$AA$616,MATCH($A14,Registro!$A$587:$A$616,0))),ET$5,0),0)</f>
        <v>0</v>
      </c>
      <c r="EU14" s="0" t="n">
        <f aca="false">IFERROR(IF(ISNUMBER(INDEX(Registro!$I$623:$I$652,MATCH($A14,Registro!$A$623:$A$652,0))),EU$5,0),0)</f>
        <v>0</v>
      </c>
      <c r="EV14" s="0" t="n">
        <f aca="false">IFERROR(IF(ISNUMBER(INDEX(Registro!$O$623:$O$652,MATCH($A14,Registro!$A$623:$A$652,0))),EV$5,0),0)</f>
        <v>0</v>
      </c>
      <c r="EW14" s="0" t="n">
        <f aca="false">IFERROR(IF(ISNUMBER(INDEX(Registro!$U$623:$U$652,MATCH($A14,Registro!$A$623:$A$652,0))),EW$5,0),0)</f>
        <v>0</v>
      </c>
      <c r="EX14" s="0" t="n">
        <f aca="false">IFERROR(IF(ISNUMBER(INDEX(Registro!$AA$623:$AA$652,MATCH($A14,Registro!$A$623:$A$652,0))),EX$5,0),0)</f>
        <v>0</v>
      </c>
      <c r="EY14" s="0" t="n">
        <f aca="false">IFERROR(IF(ISNUMBER(INDEX(Registro!$I$659:$I$688,MATCH($A14,Registro!$A$659:$A$688,0))),EY$5,0),0)</f>
        <v>0</v>
      </c>
      <c r="EZ14" s="0" t="n">
        <f aca="false">IFERROR(IF(ISNUMBER(INDEX(Registro!$O$659:$O$688,MATCH($A14,Registro!$A$659:$A$688,0))),EZ$5,0),0)</f>
        <v>0</v>
      </c>
      <c r="FA14" s="0" t="n">
        <f aca="false">IFERROR(IF(ISNUMBER(INDEX(Registro!$U$659:$U$688,MATCH($A14,Registro!$A$659:$A$688,0))),FA$5,0),0)</f>
        <v>0</v>
      </c>
      <c r="FB14" s="0" t="n">
        <f aca="false">IFERROR(IF(ISNUMBER(INDEX(Registro!$AA$659:$AA$688,MATCH($A14,Registro!$A$659:$A$688,0))),FB$5,0),0)</f>
        <v>0</v>
      </c>
      <c r="FC14" s="0" t="n">
        <f aca="false">IFERROR(IF(ISNUMBER(INDEX(Registro!$I$695:$I$724,MATCH($A14,Registro!$A$695:$A$724,0))),FC$5,0),0)</f>
        <v>0</v>
      </c>
      <c r="FD14" s="0" t="n">
        <f aca="false">IFERROR(IF(ISNUMBER(INDEX(Registro!$O$695:$O$724,MATCH($A14,Registro!$A$695:$A$724,0))),FD$5,0),0)</f>
        <v>0</v>
      </c>
      <c r="FE14" s="0" t="n">
        <f aca="false">IFERROR(IF(ISNUMBER(INDEX(Registro!$U$695:$U$724,MATCH($A14,Registro!$A$695:$A$724,0))),FE$5,0),0)</f>
        <v>0</v>
      </c>
      <c r="FF14" s="0" t="n">
        <f aca="false">IFERROR(IF(ISNUMBER(INDEX(Registro!$AA$695:$AA$724,MATCH($A14,Registro!$A$695:$A$724,0))),FF$5,0),0)</f>
        <v>0</v>
      </c>
      <c r="FG14" s="0" t="n">
        <f aca="false">IFERROR(IF(AND(INDEX(Registro!$C$11:$C$40,MATCH($A14,Registro!$A$11:$A$40,0))="AS",INDEX(Registro!$D$11:$D$40,MATCH($A14,Registro!$A$11:$A$40,0))&amp;""=""),1,0),0)</f>
        <v>0</v>
      </c>
      <c r="FH14" s="0" t="n">
        <f aca="false">IFERROR(IF(AND(INDEX(Registro!$C$47:$C$76,MATCH($A14,Registro!$A$47:$A$76,0))="AS",INDEX(Registro!$D$47:$D$76,MATCH($A14,Registro!$A$47:$A$76,0))&amp;""=""),1,0),0)</f>
        <v>0</v>
      </c>
      <c r="FI14" s="0" t="n">
        <f aca="false">IFERROR(IF(AND(INDEX(Registro!$C$83:$C$112,MATCH($A14,Registro!$A$83:$A$112,0))="AS",INDEX(Registro!$D$83:$D$112,MATCH($A14,Registro!$A$83:$A$112,0))&amp;""=""),1,0),0)</f>
        <v>0</v>
      </c>
      <c r="FJ14" s="0" t="n">
        <f aca="false">IFERROR(IF(AND(INDEX(Registro!$C$119:$C$148,MATCH($A14,Registro!$A$119:$A$148,0))="AS",INDEX(Registro!$D$119:$D$148,MATCH($A14,Registro!$A$119:$A$148,0))&amp;""=""),1,0),0)</f>
        <v>0</v>
      </c>
      <c r="FK14" s="0" t="n">
        <f aca="false">IFERROR(IF(AND(INDEX(Registro!$C$155:$C$184,MATCH($A14,Registro!$A$155:$A$184,0))="AS",INDEX(Registro!$D$155:$D$184,MATCH($A14,Registro!$A$155:$A$184,0))&amp;""=""),1,0),0)</f>
        <v>0</v>
      </c>
      <c r="FL14" s="0" t="n">
        <f aca="false">IFERROR(IF(AND(INDEX(Registro!$C$191:$C$220,MATCH($A14,Registro!$A$191:$A$220,0))="AS",INDEX(Registro!$D$191:$D$220,MATCH($A14,Registro!$A$191:$A$220,0))&amp;""=""),1,0),0)</f>
        <v>0</v>
      </c>
      <c r="FM14" s="0" t="n">
        <f aca="false">IFERROR(IF(AND(INDEX(Registro!$C$227:$C$256,MATCH($A14,Registro!$A$227:$A$256,0))="AS",INDEX(Registro!$D$227:$D$256,MATCH($A14,Registro!$A$227:$A$256,0))&amp;""=""),1,0),0)</f>
        <v>0</v>
      </c>
      <c r="FN14" s="0" t="n">
        <f aca="false">IFERROR(IF(AND(INDEX(Registro!$C$263:$C$292,MATCH($A14,Registro!$A$263:$A$292,0))="AS",INDEX(Registro!$D$263:$D$292,MATCH($A14,Registro!$A$263:$A$292,0))&amp;""=""),1,0),0)</f>
        <v>0</v>
      </c>
      <c r="FO14" s="0" t="n">
        <f aca="false">IFERROR(IF(AND(INDEX(Registro!$C$299:$C$328,MATCH($A14,Registro!$A$299:$A$328,0))="AS",INDEX(Registro!$D$299:$D$328,MATCH($A14,Registro!$A$299:$A$328,0))&amp;""=""),1,0),0)</f>
        <v>0</v>
      </c>
      <c r="FP14" s="0" t="n">
        <f aca="false">IFERROR(IF(AND(INDEX(Registro!$C$335:$C$364,MATCH($A14,Registro!$A$335:$A$364,0))="AS",INDEX(Registro!$D$335:$D$364,MATCH($A14,Registro!$A$335:$A$364,0))&amp;""=""),1,0),0)</f>
        <v>0</v>
      </c>
      <c r="FQ14" s="0" t="n">
        <f aca="false">IFERROR(IF(AND(INDEX(Registro!$C$371:$C$400,MATCH($A14,Registro!$A$371:$A$400,0))="AS",INDEX(Registro!$D$371:$D$400,MATCH($A14,Registro!$A$371:$A$400,0))&amp;""=""),1,0),0)</f>
        <v>0</v>
      </c>
      <c r="FR14" s="0" t="n">
        <f aca="false">IFERROR(IF(AND(INDEX(Registro!$C$407:$C$436,MATCH($A14,Registro!$A$407:$A$436,0))="AS",INDEX(Registro!$D$407:$D$436,MATCH($A14,Registro!$A$407:$A$436,0))&amp;""=""),1,0),0)</f>
        <v>0</v>
      </c>
      <c r="FS14" s="0" t="n">
        <f aca="false">IFERROR(IF(AND(INDEX(Registro!$C$443:$C$472,MATCH($A14,Registro!$A$443:$A$472,0))="AS",INDEX(Registro!$D$443:$D$472,MATCH($A14,Registro!$A$443:$A$472,0))&amp;""=""),1,0),0)</f>
        <v>0</v>
      </c>
      <c r="FT14" s="0" t="n">
        <f aca="false">IFERROR(IF(AND(INDEX(Registro!$C$479:$C$508,MATCH($A14,Registro!$A$479:$A$508,0))="AS",INDEX(Registro!$D$479:$D$508,MATCH($A14,Registro!$A$479:$A$508,0))&amp;""=""),1,0),0)</f>
        <v>0</v>
      </c>
      <c r="FU14" s="0" t="n">
        <f aca="false">IFERROR(IF(AND(INDEX(Registro!$C$515:$C$544,MATCH($A14,Registro!$A$515:$A$544,0))="AS",INDEX(Registro!$D$515:$D$544,MATCH($A14,Registro!$A$515:$A$544,0))&amp;""=""),1,0),0)</f>
        <v>0</v>
      </c>
      <c r="FV14" s="0" t="n">
        <f aca="false">IFERROR(IF(AND(INDEX(Registro!$C$551:$C$580,MATCH($A14,Registro!$A$551:$A$580,0))="AS",INDEX(Registro!$D$551:$D$580,MATCH($A14,Registro!$A$551:$A$580,0))&amp;""=""),1,0),0)</f>
        <v>0</v>
      </c>
      <c r="FW14" s="0" t="n">
        <f aca="false">IFERROR(IF(AND(INDEX(Registro!$C$587:$C$616,MATCH($A14,Registro!$A$587:$A$616,0))="AS",INDEX(Registro!$D$587:$D$616,MATCH($A14,Registro!$A$587:$A$616,0))&amp;""=""),1,0),0)</f>
        <v>0</v>
      </c>
      <c r="FX14" s="0" t="n">
        <f aca="false">IFERROR(IF(AND(INDEX(Registro!$C$623:$C$652,MATCH($A14,Registro!$A$623:$A$652,0))="AS",INDEX(Registro!$D$623:$D$652,MATCH($A14,Registro!$A$623:$A$652,0))&amp;""=""),1,0),0)</f>
        <v>0</v>
      </c>
      <c r="FY14" s="0" t="n">
        <f aca="false">IFERROR(IF(AND(INDEX(Registro!$C$659:$C$688,MATCH($A14,Registro!$A$659:$A$688,0))="AS",INDEX(Registro!$D$659:$D$688,MATCH($A14,Registro!$A$659:$A$688,0))&amp;""=""),1,0),0)</f>
        <v>0</v>
      </c>
      <c r="FZ14" s="0" t="n">
        <f aca="false">IFERROR(IF(AND(INDEX(Registro!$C$695:$C$724,MATCH($A14,Registro!$A$695:$A$724,0))="AS",INDEX(Registro!$D$695:$D$724,MATCH($A14,Registro!$A$695:$A$724,0))&amp;""=""),1,0),0)</f>
        <v>0</v>
      </c>
    </row>
    <row r="15" customFormat="false" ht="15" hidden="false" customHeight="false" outlineLevel="0" collapsed="false">
      <c r="A15" s="0" t="n">
        <v>9</v>
      </c>
      <c r="C15" s="0" t="n">
        <f aca="false">IFERROR(N(INDEX(Registro!$I$11:$I$40,MATCH($A15,Registro!$A$11:$A$40,0))),0)</f>
        <v>0</v>
      </c>
      <c r="D15" s="0" t="n">
        <f aca="false">IFERROR(N(INDEX(Registro!$O$11:$O$40,MATCH($A15,Registro!$A$11:$A$40,0))),0)</f>
        <v>0</v>
      </c>
      <c r="E15" s="0" t="n">
        <f aca="false">IFERROR(N(INDEX(Registro!$U$11:$U$40,MATCH($A15,Registro!$A$11:$A$40,0))),0)</f>
        <v>0</v>
      </c>
      <c r="F15" s="0" t="n">
        <f aca="false">IFERROR(N(INDEX(Registro!$AA$11:$AA$40,MATCH($A15,Registro!$A$11:$A$40,0))),0)</f>
        <v>0</v>
      </c>
      <c r="G15" s="0" t="n">
        <f aca="false">IFERROR(N(INDEX(Registro!$I$47:$I$76,MATCH($A15,Registro!$A$47:$A$76,0))),0)</f>
        <v>0</v>
      </c>
      <c r="H15" s="0" t="n">
        <f aca="false">IFERROR(N(INDEX(Registro!$O$47:$O$76,MATCH($A15,Registro!$A$47:$A$76,0))),0)</f>
        <v>0</v>
      </c>
      <c r="I15" s="0" t="n">
        <f aca="false">IFERROR(N(INDEX(Registro!$U$47:$U$76,MATCH($A15,Registro!$A$47:$A$76,0))),0)</f>
        <v>0</v>
      </c>
      <c r="J15" s="0" t="n">
        <f aca="false">IFERROR(N(INDEX(Registro!$AA$47:$AA$76,MATCH($A15,Registro!$A$47:$A$76,0))),0)</f>
        <v>0</v>
      </c>
      <c r="K15" s="0" t="n">
        <f aca="false">IFERROR(N(INDEX(Registro!$I$83:$I$112,MATCH($A15,Registro!$A$83:$A$112,0))),0)</f>
        <v>0</v>
      </c>
      <c r="L15" s="0" t="n">
        <f aca="false">IFERROR(N(INDEX(Registro!$O$83:$O$112,MATCH($A15,Registro!$A$83:$A$112,0))),0)</f>
        <v>0</v>
      </c>
      <c r="M15" s="0" t="n">
        <f aca="false">IFERROR(N(INDEX(Registro!$U$83:$U$112,MATCH($A15,Registro!$A$83:$A$112,0))),0)</f>
        <v>0</v>
      </c>
      <c r="N15" s="0" t="n">
        <f aca="false">IFERROR(N(INDEX(Registro!$AA$83:$AA$112,MATCH($A15,Registro!$A$83:$A$112,0))),0)</f>
        <v>0</v>
      </c>
      <c r="O15" s="0" t="n">
        <f aca="false">IFERROR(N(INDEX(Registro!$I$119:$I$148,MATCH($A15,Registro!$A$119:$A$148,0))),0)</f>
        <v>0</v>
      </c>
      <c r="P15" s="0" t="n">
        <f aca="false">IFERROR(N(INDEX(Registro!$O$119:$O$148,MATCH($A15,Registro!$A$119:$A$148,0))),0)</f>
        <v>0</v>
      </c>
      <c r="Q15" s="0" t="n">
        <f aca="false">IFERROR(N(INDEX(Registro!$U$119:$U$148,MATCH($A15,Registro!$A$119:$A$148,0))),0)</f>
        <v>0</v>
      </c>
      <c r="R15" s="0" t="n">
        <f aca="false">IFERROR(N(INDEX(Registro!$AA$119:$AA$148,MATCH($A15,Registro!$A$119:$A$148,0))),0)</f>
        <v>0</v>
      </c>
      <c r="S15" s="0" t="n">
        <f aca="false">IFERROR(N(INDEX(Registro!$I$155:$I$184,MATCH($A15,Registro!$A$155:$A$184,0))),0)</f>
        <v>0</v>
      </c>
      <c r="T15" s="0" t="n">
        <f aca="false">IFERROR(N(INDEX(Registro!$O$155:$O$184,MATCH($A15,Registro!$A$155:$A$184,0))),0)</f>
        <v>0</v>
      </c>
      <c r="U15" s="0" t="n">
        <f aca="false">IFERROR(N(INDEX(Registro!$U$155:$U$184,MATCH($A15,Registro!$A$155:$A$184,0))),0)</f>
        <v>0</v>
      </c>
      <c r="V15" s="0" t="n">
        <f aca="false">IFERROR(N(INDEX(Registro!$AA$155:$AA$184,MATCH($A15,Registro!$A$155:$A$184,0))),0)</f>
        <v>0</v>
      </c>
      <c r="W15" s="0" t="n">
        <f aca="false">IFERROR(N(INDEX(Registro!$I$191:$I$220,MATCH($A15,Registro!$A$191:$A$220,0))),0)</f>
        <v>0</v>
      </c>
      <c r="X15" s="0" t="n">
        <f aca="false">IFERROR(N(INDEX(Registro!$O$191:$O$220,MATCH($A15,Registro!$A$191:$A$220,0))),0)</f>
        <v>0</v>
      </c>
      <c r="Y15" s="0" t="n">
        <f aca="false">IFERROR(N(INDEX(Registro!$U$191:$U$220,MATCH($A15,Registro!$A$191:$A$220,0))),0)</f>
        <v>0</v>
      </c>
      <c r="Z15" s="0" t="n">
        <f aca="false">IFERROR(N(INDEX(Registro!$AA$191:$AA$220,MATCH($A15,Registro!$A$191:$A$220,0))),0)</f>
        <v>0</v>
      </c>
      <c r="AA15" s="0" t="n">
        <f aca="false">IFERROR(N(INDEX(Registro!$I$227:$I$256,MATCH($A15,Registro!$A$227:$A$256,0))),0)</f>
        <v>0</v>
      </c>
      <c r="AB15" s="0" t="n">
        <f aca="false">IFERROR(N(INDEX(Registro!$O$227:$O$256,MATCH($A15,Registro!$A$227:$A$256,0))),0)</f>
        <v>0</v>
      </c>
      <c r="AC15" s="0" t="n">
        <f aca="false">IFERROR(N(INDEX(Registro!$U$227:$U$256,MATCH($A15,Registro!$A$227:$A$256,0))),0)</f>
        <v>0</v>
      </c>
      <c r="AD15" s="0" t="n">
        <f aca="false">IFERROR(N(INDEX(Registro!$AA$227:$AA$256,MATCH($A15,Registro!$A$227:$A$256,0))),0)</f>
        <v>0</v>
      </c>
      <c r="AE15" s="0" t="n">
        <f aca="false">IFERROR(N(INDEX(Registro!$I$263:$I$292,MATCH($A15,Registro!$A$263:$A$292,0))),0)</f>
        <v>0</v>
      </c>
      <c r="AF15" s="0" t="n">
        <f aca="false">IFERROR(N(INDEX(Registro!$O$263:$O$292,MATCH($A15,Registro!$A$263:$A$292,0))),0)</f>
        <v>0</v>
      </c>
      <c r="AG15" s="0" t="n">
        <f aca="false">IFERROR(N(INDEX(Registro!$U$263:$U$292,MATCH($A15,Registro!$A$263:$A$292,0))),0)</f>
        <v>0</v>
      </c>
      <c r="AH15" s="0" t="n">
        <f aca="false">IFERROR(N(INDEX(Registro!$AA$263:$AA$292,MATCH($A15,Registro!$A$263:$A$292,0))),0)</f>
        <v>0</v>
      </c>
      <c r="AI15" s="0" t="n">
        <f aca="false">IFERROR(N(INDEX(Registro!$I$299:$I$328,MATCH($A15,Registro!$A$299:$A$328,0))),0)</f>
        <v>0</v>
      </c>
      <c r="AJ15" s="0" t="n">
        <f aca="false">IFERROR(N(INDEX(Registro!$O$299:$O$328,MATCH($A15,Registro!$A$299:$A$328,0))),0)</f>
        <v>0</v>
      </c>
      <c r="AK15" s="0" t="n">
        <f aca="false">IFERROR(N(INDEX(Registro!$U$299:$U$328,MATCH($A15,Registro!$A$299:$A$328,0))),0)</f>
        <v>0</v>
      </c>
      <c r="AL15" s="0" t="n">
        <f aca="false">IFERROR(N(INDEX(Registro!$AA$299:$AA$328,MATCH($A15,Registro!$A$299:$A$328,0))),0)</f>
        <v>0</v>
      </c>
      <c r="AM15" s="0" t="n">
        <f aca="false">IFERROR(N(INDEX(Registro!$I$335:$I$364,MATCH($A15,Registro!$A$335:$A$364,0))),0)</f>
        <v>0</v>
      </c>
      <c r="AN15" s="0" t="n">
        <f aca="false">IFERROR(N(INDEX(Registro!$O$335:$O$364,MATCH($A15,Registro!$A$335:$A$364,0))),0)</f>
        <v>0</v>
      </c>
      <c r="AO15" s="0" t="n">
        <f aca="false">IFERROR(N(INDEX(Registro!$U$335:$U$364,MATCH($A15,Registro!$A$335:$A$364,0))),0)</f>
        <v>0</v>
      </c>
      <c r="AP15" s="0" t="n">
        <f aca="false">IFERROR(N(INDEX(Registro!$AA$335:$AA$364,MATCH($A15,Registro!$A$335:$A$364,0))),0)</f>
        <v>0</v>
      </c>
      <c r="AQ15" s="0" t="n">
        <f aca="false">IFERROR(N(INDEX(Registro!$I$371:$I$400,MATCH($A15,Registro!$A$371:$A$400,0))),0)</f>
        <v>0</v>
      </c>
      <c r="AR15" s="0" t="n">
        <f aca="false">IFERROR(N(INDEX(Registro!$O$371:$O$400,MATCH($A15,Registro!$A$371:$A$400,0))),0)</f>
        <v>0</v>
      </c>
      <c r="AS15" s="0" t="n">
        <f aca="false">IFERROR(N(INDEX(Registro!$U$371:$U$400,MATCH($A15,Registro!$A$371:$A$400,0))),0)</f>
        <v>0</v>
      </c>
      <c r="AT15" s="0" t="n">
        <f aca="false">IFERROR(N(INDEX(Registro!$AA$371:$AA$400,MATCH($A15,Registro!$A$371:$A$400,0))),0)</f>
        <v>0</v>
      </c>
      <c r="AU15" s="0" t="n">
        <f aca="false">IFERROR(N(INDEX(Registro!$I$407:$I$436,MATCH($A15,Registro!$A$407:$A$436,0))),0)</f>
        <v>0</v>
      </c>
      <c r="AV15" s="0" t="n">
        <f aca="false">IFERROR(N(INDEX(Registro!$O$407:$O$436,MATCH($A15,Registro!$A$407:$A$436,0))),0)</f>
        <v>0</v>
      </c>
      <c r="AW15" s="0" t="n">
        <f aca="false">IFERROR(N(INDEX(Registro!$U$407:$U$436,MATCH($A15,Registro!$A$407:$A$436,0))),0)</f>
        <v>0</v>
      </c>
      <c r="AX15" s="0" t="n">
        <f aca="false">IFERROR(N(INDEX(Registro!$AA$407:$AA$436,MATCH($A15,Registro!$A$407:$A$436,0))),0)</f>
        <v>0</v>
      </c>
      <c r="AY15" s="0" t="n">
        <f aca="false">IFERROR(N(INDEX(Registro!$I$443:$I$472,MATCH($A15,Registro!$A$443:$A$472,0))),0)</f>
        <v>0</v>
      </c>
      <c r="AZ15" s="0" t="n">
        <f aca="false">IFERROR(N(INDEX(Registro!$O$443:$O$472,MATCH($A15,Registro!$A$443:$A$472,0))),0)</f>
        <v>0</v>
      </c>
      <c r="BA15" s="0" t="n">
        <f aca="false">IFERROR(N(INDEX(Registro!$U$443:$U$472,MATCH($A15,Registro!$A$443:$A$472,0))),0)</f>
        <v>0</v>
      </c>
      <c r="BB15" s="0" t="n">
        <f aca="false">IFERROR(N(INDEX(Registro!$AA$443:$AA$472,MATCH($A15,Registro!$A$443:$A$472,0))),0)</f>
        <v>0</v>
      </c>
      <c r="BC15" s="0" t="n">
        <f aca="false">IFERROR(N(INDEX(Registro!$I$479:$I$508,MATCH($A15,Registro!$A$479:$A$508,0))),0)</f>
        <v>0</v>
      </c>
      <c r="BD15" s="0" t="n">
        <f aca="false">IFERROR(N(INDEX(Registro!$O$479:$O$508,MATCH($A15,Registro!$A$479:$A$508,0))),0)</f>
        <v>0</v>
      </c>
      <c r="BE15" s="0" t="n">
        <f aca="false">IFERROR(N(INDEX(Registro!$U$479:$U$508,MATCH($A15,Registro!$A$479:$A$508,0))),0)</f>
        <v>0</v>
      </c>
      <c r="BF15" s="0" t="n">
        <f aca="false">IFERROR(N(INDEX(Registro!$AA$479:$AA$508,MATCH($A15,Registro!$A$479:$A$508,0))),0)</f>
        <v>0</v>
      </c>
      <c r="BG15" s="0" t="n">
        <f aca="false">IFERROR(N(INDEX(Registro!$I$515:$I$544,MATCH($A15,Registro!$A$515:$A$544,0))),0)</f>
        <v>0</v>
      </c>
      <c r="BH15" s="0" t="n">
        <f aca="false">IFERROR(N(INDEX(Registro!$O$515:$O$544,MATCH($A15,Registro!$A$515:$A$544,0))),0)</f>
        <v>0</v>
      </c>
      <c r="BI15" s="0" t="n">
        <f aca="false">IFERROR(N(INDEX(Registro!$U$515:$U$544,MATCH($A15,Registro!$A$515:$A$544,0))),0)</f>
        <v>0</v>
      </c>
      <c r="BJ15" s="0" t="n">
        <f aca="false">IFERROR(N(INDEX(Registro!$AA$515:$AA$544,MATCH($A15,Registro!$A$515:$A$544,0))),0)</f>
        <v>0</v>
      </c>
      <c r="BK15" s="0" t="n">
        <f aca="false">IFERROR(N(INDEX(Registro!$I$551:$I$580,MATCH($A15,Registro!$A$551:$A$580,0))),0)</f>
        <v>0</v>
      </c>
      <c r="BL15" s="0" t="n">
        <f aca="false">IFERROR(N(INDEX(Registro!$O$551:$O$580,MATCH($A15,Registro!$A$551:$A$580,0))),0)</f>
        <v>0</v>
      </c>
      <c r="BM15" s="0" t="n">
        <f aca="false">IFERROR(N(INDEX(Registro!$U$551:$U$580,MATCH($A15,Registro!$A$551:$A$580,0))),0)</f>
        <v>0</v>
      </c>
      <c r="BN15" s="0" t="n">
        <f aca="false">IFERROR(N(INDEX(Registro!$AA$551:$AA$580,MATCH($A15,Registro!$A$551:$A$580,0))),0)</f>
        <v>0</v>
      </c>
      <c r="BO15" s="0" t="n">
        <f aca="false">IFERROR(N(INDEX(Registro!$I$587:$I$616,MATCH($A15,Registro!$A$587:$A$616,0))),0)</f>
        <v>0</v>
      </c>
      <c r="BP15" s="0" t="n">
        <f aca="false">IFERROR(N(INDEX(Registro!$O$587:$O$616,MATCH($A15,Registro!$A$587:$A$616,0))),0)</f>
        <v>0</v>
      </c>
      <c r="BQ15" s="0" t="n">
        <f aca="false">IFERROR(N(INDEX(Registro!$U$587:$U$616,MATCH($A15,Registro!$A$587:$A$616,0))),0)</f>
        <v>0</v>
      </c>
      <c r="BR15" s="0" t="n">
        <f aca="false">IFERROR(N(INDEX(Registro!$AA$587:$AA$616,MATCH($A15,Registro!$A$587:$A$616,0))),0)</f>
        <v>0</v>
      </c>
      <c r="BS15" s="0" t="n">
        <f aca="false">IFERROR(N(INDEX(Registro!$I$623:$I$652,MATCH($A15,Registro!$A$623:$A$652,0))),0)</f>
        <v>0</v>
      </c>
      <c r="BT15" s="0" t="n">
        <f aca="false">IFERROR(N(INDEX(Registro!$O$623:$O$652,MATCH($A15,Registro!$A$623:$A$652,0))),0)</f>
        <v>0</v>
      </c>
      <c r="BU15" s="0" t="n">
        <f aca="false">IFERROR(N(INDEX(Registro!$U$623:$U$652,MATCH($A15,Registro!$A$623:$A$652,0))),0)</f>
        <v>0</v>
      </c>
      <c r="BV15" s="0" t="n">
        <f aca="false">IFERROR(N(INDEX(Registro!$AA$623:$AA$652,MATCH($A15,Registro!$A$623:$A$652,0))),0)</f>
        <v>0</v>
      </c>
      <c r="BW15" s="0" t="n">
        <f aca="false">IFERROR(N(INDEX(Registro!$I$659:$I$688,MATCH($A15,Registro!$A$659:$A$688,0))),0)</f>
        <v>0</v>
      </c>
      <c r="BX15" s="0" t="n">
        <f aca="false">IFERROR(N(INDEX(Registro!$O$659:$O$688,MATCH($A15,Registro!$A$659:$A$688,0))),0)</f>
        <v>0</v>
      </c>
      <c r="BY15" s="0" t="n">
        <f aca="false">IFERROR(N(INDEX(Registro!$U$659:$U$688,MATCH($A15,Registro!$A$659:$A$688,0))),0)</f>
        <v>0</v>
      </c>
      <c r="BZ15" s="0" t="n">
        <f aca="false">IFERROR(N(INDEX(Registro!$AA$659:$AA$688,MATCH($A15,Registro!$A$659:$A$688,0))),0)</f>
        <v>0</v>
      </c>
      <c r="CA15" s="0" t="n">
        <f aca="false">IFERROR(N(INDEX(Registro!$I$695:$I$724,MATCH($A15,Registro!$A$695:$A$724,0))),0)</f>
        <v>0</v>
      </c>
      <c r="CB15" s="0" t="n">
        <f aca="false">IFERROR(N(INDEX(Registro!$O$695:$O$724,MATCH($A15,Registro!$A$695:$A$724,0))),0)</f>
        <v>0</v>
      </c>
      <c r="CC15" s="0" t="n">
        <f aca="false">IFERROR(N(INDEX(Registro!$U$695:$U$724,MATCH($A15,Registro!$A$695:$A$724,0))),0)</f>
        <v>0</v>
      </c>
      <c r="CD15" s="0" t="n">
        <f aca="false">IFERROR(N(INDEX(Registro!$AA$695:$AA$724,MATCH($A15,Registro!$A$695:$A$724,0))),0)</f>
        <v>0</v>
      </c>
      <c r="CE15" s="0" t="n">
        <f aca="false">IFERROR(IF(ISNUMBER(INDEX(Registro!$I$11:$I$40,MATCH($A15,Registro!$A$11:$A$40,0))),CE$5,0),0)</f>
        <v>0</v>
      </c>
      <c r="CF15" s="0" t="n">
        <f aca="false">IFERROR(IF(ISNUMBER(INDEX(Registro!$O$11:$O$40,MATCH($A15,Registro!$A$11:$A$40,0))),CF$5,0),0)</f>
        <v>0</v>
      </c>
      <c r="CG15" s="0" t="n">
        <f aca="false">IFERROR(IF(ISNUMBER(INDEX(Registro!$U$11:$U$40,MATCH($A15,Registro!$A$11:$A$40,0))),CG$5,0),0)</f>
        <v>0</v>
      </c>
      <c r="CH15" s="0" t="n">
        <f aca="false">IFERROR(IF(ISNUMBER(INDEX(Registro!$AA$11:$AA$40,MATCH($A15,Registro!$A$11:$A$40,0))),CH$5,0),0)</f>
        <v>0</v>
      </c>
      <c r="CI15" s="0" t="n">
        <f aca="false">IFERROR(IF(ISNUMBER(INDEX(Registro!$I$47:$I$76,MATCH($A15,Registro!$A$47:$A$76,0))),CI$5,0),0)</f>
        <v>0</v>
      </c>
      <c r="CJ15" s="0" t="n">
        <f aca="false">IFERROR(IF(ISNUMBER(INDEX(Registro!$O$47:$O$76,MATCH($A15,Registro!$A$47:$A$76,0))),CJ$5,0),0)</f>
        <v>0</v>
      </c>
      <c r="CK15" s="0" t="n">
        <f aca="false">IFERROR(IF(ISNUMBER(INDEX(Registro!$U$47:$U$76,MATCH($A15,Registro!$A$47:$A$76,0))),CK$5,0),0)</f>
        <v>0</v>
      </c>
      <c r="CL15" s="0" t="n">
        <f aca="false">IFERROR(IF(ISNUMBER(INDEX(Registro!$AA$47:$AA$76,MATCH($A15,Registro!$A$47:$A$76,0))),CL$5,0),0)</f>
        <v>0</v>
      </c>
      <c r="CM15" s="0" t="n">
        <f aca="false">IFERROR(IF(ISNUMBER(INDEX(Registro!$I$83:$I$112,MATCH($A15,Registro!$A$83:$A$112,0))),CM$5,0),0)</f>
        <v>0</v>
      </c>
      <c r="CN15" s="0" t="n">
        <f aca="false">IFERROR(IF(ISNUMBER(INDEX(Registro!$O$83:$O$112,MATCH($A15,Registro!$A$83:$A$112,0))),CN$5,0),0)</f>
        <v>0</v>
      </c>
      <c r="CO15" s="0" t="n">
        <f aca="false">IFERROR(IF(ISNUMBER(INDEX(Registro!$U$83:$U$112,MATCH($A15,Registro!$A$83:$A$112,0))),CO$5,0),0)</f>
        <v>0</v>
      </c>
      <c r="CP15" s="0" t="n">
        <f aca="false">IFERROR(IF(ISNUMBER(INDEX(Registro!$AA$83:$AA$112,MATCH($A15,Registro!$A$83:$A$112,0))),CP$5,0),0)</f>
        <v>0</v>
      </c>
      <c r="CQ15" s="0" t="n">
        <f aca="false">IFERROR(IF(ISNUMBER(INDEX(Registro!$I$119:$I$148,MATCH($A15,Registro!$A$119:$A$148,0))),CQ$5,0),0)</f>
        <v>0</v>
      </c>
      <c r="CR15" s="0" t="n">
        <f aca="false">IFERROR(IF(ISNUMBER(INDEX(Registro!$O$119:$O$148,MATCH($A15,Registro!$A$119:$A$148,0))),CR$5,0),0)</f>
        <v>0</v>
      </c>
      <c r="CS15" s="0" t="n">
        <f aca="false">IFERROR(IF(ISNUMBER(INDEX(Registro!$U$119:$U$148,MATCH($A15,Registro!$A$119:$A$148,0))),CS$5,0),0)</f>
        <v>0</v>
      </c>
      <c r="CT15" s="0" t="n">
        <f aca="false">IFERROR(IF(ISNUMBER(INDEX(Registro!$AA$119:$AA$148,MATCH($A15,Registro!$A$119:$A$148,0))),CT$5,0),0)</f>
        <v>0</v>
      </c>
      <c r="CU15" s="0" t="n">
        <f aca="false">IFERROR(IF(ISNUMBER(INDEX(Registro!$I$155:$I$184,MATCH($A15,Registro!$A$155:$A$184,0))),CU$5,0),0)</f>
        <v>0</v>
      </c>
      <c r="CV15" s="0" t="n">
        <f aca="false">IFERROR(IF(ISNUMBER(INDEX(Registro!$O$155:$O$184,MATCH($A15,Registro!$A$155:$A$184,0))),CV$5,0),0)</f>
        <v>0</v>
      </c>
      <c r="CW15" s="0" t="n">
        <f aca="false">IFERROR(IF(ISNUMBER(INDEX(Registro!$U$155:$U$184,MATCH($A15,Registro!$A$155:$A$184,0))),CW$5,0),0)</f>
        <v>0</v>
      </c>
      <c r="CX15" s="0" t="n">
        <f aca="false">IFERROR(IF(ISNUMBER(INDEX(Registro!$AA$155:$AA$184,MATCH($A15,Registro!$A$155:$A$184,0))),CX$5,0),0)</f>
        <v>0</v>
      </c>
      <c r="CY15" s="0" t="n">
        <f aca="false">IFERROR(IF(ISNUMBER(INDEX(Registro!$I$191:$I$220,MATCH($A15,Registro!$A$191:$A$220,0))),CY$5,0),0)</f>
        <v>0</v>
      </c>
      <c r="CZ15" s="0" t="n">
        <f aca="false">IFERROR(IF(ISNUMBER(INDEX(Registro!$O$191:$O$220,MATCH($A15,Registro!$A$191:$A$220,0))),CZ$5,0),0)</f>
        <v>0</v>
      </c>
      <c r="DA15" s="0" t="n">
        <f aca="false">IFERROR(IF(ISNUMBER(INDEX(Registro!$U$191:$U$220,MATCH($A15,Registro!$A$191:$A$220,0))),DA$5,0),0)</f>
        <v>0</v>
      </c>
      <c r="DB15" s="0" t="n">
        <f aca="false">IFERROR(IF(ISNUMBER(INDEX(Registro!$AA$191:$AA$220,MATCH($A15,Registro!$A$191:$A$220,0))),DB$5,0),0)</f>
        <v>0</v>
      </c>
      <c r="DC15" s="0" t="n">
        <f aca="false">IFERROR(IF(ISNUMBER(INDEX(Registro!$I$227:$I$256,MATCH($A15,Registro!$A$227:$A$256,0))),DC$5,0),0)</f>
        <v>0</v>
      </c>
      <c r="DD15" s="0" t="n">
        <f aca="false">IFERROR(IF(ISNUMBER(INDEX(Registro!$O$227:$O$256,MATCH($A15,Registro!$A$227:$A$256,0))),DD$5,0),0)</f>
        <v>0</v>
      </c>
      <c r="DE15" s="0" t="n">
        <f aca="false">IFERROR(IF(ISNUMBER(INDEX(Registro!$U$227:$U$256,MATCH($A15,Registro!$A$227:$A$256,0))),DE$5,0),0)</f>
        <v>0</v>
      </c>
      <c r="DF15" s="0" t="n">
        <f aca="false">IFERROR(IF(ISNUMBER(INDEX(Registro!$AA$227:$AA$256,MATCH($A15,Registro!$A$227:$A$256,0))),DF$5,0),0)</f>
        <v>0</v>
      </c>
      <c r="DG15" s="0" t="n">
        <f aca="false">IFERROR(IF(ISNUMBER(INDEX(Registro!$I$263:$I$292,MATCH($A15,Registro!$A$263:$A$292,0))),DG$5,0),0)</f>
        <v>0</v>
      </c>
      <c r="DH15" s="0" t="n">
        <f aca="false">IFERROR(IF(ISNUMBER(INDEX(Registro!$O$263:$O$292,MATCH($A15,Registro!$A$263:$A$292,0))),DH$5,0),0)</f>
        <v>0</v>
      </c>
      <c r="DI15" s="0" t="n">
        <f aca="false">IFERROR(IF(ISNUMBER(INDEX(Registro!$U$263:$U$292,MATCH($A15,Registro!$A$263:$A$292,0))),DI$5,0),0)</f>
        <v>0</v>
      </c>
      <c r="DJ15" s="0" t="n">
        <f aca="false">IFERROR(IF(ISNUMBER(INDEX(Registro!$AA$263:$AA$292,MATCH($A15,Registro!$A$263:$A$292,0))),DJ$5,0),0)</f>
        <v>0</v>
      </c>
      <c r="DK15" s="0" t="n">
        <f aca="false">IFERROR(IF(ISNUMBER(INDEX(Registro!$I$299:$I$328,MATCH($A15,Registro!$A$299:$A$328,0))),DK$5,0),0)</f>
        <v>0</v>
      </c>
      <c r="DL15" s="0" t="n">
        <f aca="false">IFERROR(IF(ISNUMBER(INDEX(Registro!$O$299:$O$328,MATCH($A15,Registro!$A$299:$A$328,0))),DL$5,0),0)</f>
        <v>0</v>
      </c>
      <c r="DM15" s="0" t="n">
        <f aca="false">IFERROR(IF(ISNUMBER(INDEX(Registro!$U$299:$U$328,MATCH($A15,Registro!$A$299:$A$328,0))),DM$5,0),0)</f>
        <v>0</v>
      </c>
      <c r="DN15" s="0" t="n">
        <f aca="false">IFERROR(IF(ISNUMBER(INDEX(Registro!$AA$299:$AA$328,MATCH($A15,Registro!$A$299:$A$328,0))),DN$5,0),0)</f>
        <v>0</v>
      </c>
      <c r="DO15" s="0" t="n">
        <f aca="false">IFERROR(IF(ISNUMBER(INDEX(Registro!$I$335:$I$364,MATCH($A15,Registro!$A$335:$A$364,0))),DO$5,0),0)</f>
        <v>0</v>
      </c>
      <c r="DP15" s="0" t="n">
        <f aca="false">IFERROR(IF(ISNUMBER(INDEX(Registro!$O$335:$O$364,MATCH($A15,Registro!$A$335:$A$364,0))),DP$5,0),0)</f>
        <v>0</v>
      </c>
      <c r="DQ15" s="0" t="n">
        <f aca="false">IFERROR(IF(ISNUMBER(INDEX(Registro!$U$335:$U$364,MATCH($A15,Registro!$A$335:$A$364,0))),DQ$5,0),0)</f>
        <v>0</v>
      </c>
      <c r="DR15" s="0" t="n">
        <f aca="false">IFERROR(IF(ISNUMBER(INDEX(Registro!$AA$335:$AA$364,MATCH($A15,Registro!$A$335:$A$364,0))),DR$5,0),0)</f>
        <v>0</v>
      </c>
      <c r="DS15" s="0" t="n">
        <f aca="false">IFERROR(IF(ISNUMBER(INDEX(Registro!$I$371:$I$400,MATCH($A15,Registro!$A$371:$A$400,0))),DS$5,0),0)</f>
        <v>0</v>
      </c>
      <c r="DT15" s="0" t="n">
        <f aca="false">IFERROR(IF(ISNUMBER(INDEX(Registro!$O$371:$O$400,MATCH($A15,Registro!$A$371:$A$400,0))),DT$5,0),0)</f>
        <v>0</v>
      </c>
      <c r="DU15" s="0" t="n">
        <f aca="false">IFERROR(IF(ISNUMBER(INDEX(Registro!$U$371:$U$400,MATCH($A15,Registro!$A$371:$A$400,0))),DU$5,0),0)</f>
        <v>0</v>
      </c>
      <c r="DV15" s="0" t="n">
        <f aca="false">IFERROR(IF(ISNUMBER(INDEX(Registro!$AA$371:$AA$400,MATCH($A15,Registro!$A$371:$A$400,0))),DV$5,0),0)</f>
        <v>0</v>
      </c>
      <c r="DW15" s="0" t="n">
        <f aca="false">IFERROR(IF(ISNUMBER(INDEX(Registro!$I$407:$I$436,MATCH($A15,Registro!$A$407:$A$436,0))),DW$5,0),0)</f>
        <v>0</v>
      </c>
      <c r="DX15" s="0" t="n">
        <f aca="false">IFERROR(IF(ISNUMBER(INDEX(Registro!$O$407:$O$436,MATCH($A15,Registro!$A$407:$A$436,0))),DX$5,0),0)</f>
        <v>0</v>
      </c>
      <c r="DY15" s="0" t="n">
        <f aca="false">IFERROR(IF(ISNUMBER(INDEX(Registro!$U$407:$U$436,MATCH($A15,Registro!$A$407:$A$436,0))),DY$5,0),0)</f>
        <v>0</v>
      </c>
      <c r="DZ15" s="0" t="n">
        <f aca="false">IFERROR(IF(ISNUMBER(INDEX(Registro!$AA$407:$AA$436,MATCH($A15,Registro!$A$407:$A$436,0))),DZ$5,0),0)</f>
        <v>0</v>
      </c>
      <c r="EA15" s="0" t="n">
        <f aca="false">IFERROR(IF(ISNUMBER(INDEX(Registro!$I$443:$I$472,MATCH($A15,Registro!$A$443:$A$472,0))),EA$5,0),0)</f>
        <v>0</v>
      </c>
      <c r="EB15" s="0" t="n">
        <f aca="false">IFERROR(IF(ISNUMBER(INDEX(Registro!$O$443:$O$472,MATCH($A15,Registro!$A$443:$A$472,0))),EB$5,0),0)</f>
        <v>0</v>
      </c>
      <c r="EC15" s="0" t="n">
        <f aca="false">IFERROR(IF(ISNUMBER(INDEX(Registro!$U$443:$U$472,MATCH($A15,Registro!$A$443:$A$472,0))),EC$5,0),0)</f>
        <v>0</v>
      </c>
      <c r="ED15" s="0" t="n">
        <f aca="false">IFERROR(IF(ISNUMBER(INDEX(Registro!$AA$443:$AA$472,MATCH($A15,Registro!$A$443:$A$472,0))),ED$5,0),0)</f>
        <v>0</v>
      </c>
      <c r="EE15" s="0" t="n">
        <f aca="false">IFERROR(IF(ISNUMBER(INDEX(Registro!$I$479:$I$508,MATCH($A15,Registro!$A$479:$A$508,0))),EE$5,0),0)</f>
        <v>0</v>
      </c>
      <c r="EF15" s="0" t="n">
        <f aca="false">IFERROR(IF(ISNUMBER(INDEX(Registro!$O$479:$O$508,MATCH($A15,Registro!$A$479:$A$508,0))),EF$5,0),0)</f>
        <v>0</v>
      </c>
      <c r="EG15" s="0" t="n">
        <f aca="false">IFERROR(IF(ISNUMBER(INDEX(Registro!$U$479:$U$508,MATCH($A15,Registro!$A$479:$A$508,0))),EG$5,0),0)</f>
        <v>0</v>
      </c>
      <c r="EH15" s="0" t="n">
        <f aca="false">IFERROR(IF(ISNUMBER(INDEX(Registro!$AA$479:$AA$508,MATCH($A15,Registro!$A$479:$A$508,0))),EH$5,0),0)</f>
        <v>0</v>
      </c>
      <c r="EI15" s="0" t="n">
        <f aca="false">IFERROR(IF(ISNUMBER(INDEX(Registro!$I$515:$I$544,MATCH($A15,Registro!$A$515:$A$544,0))),EI$5,0),0)</f>
        <v>0</v>
      </c>
      <c r="EJ15" s="0" t="n">
        <f aca="false">IFERROR(IF(ISNUMBER(INDEX(Registro!$O$515:$O$544,MATCH($A15,Registro!$A$515:$A$544,0))),EJ$5,0),0)</f>
        <v>0</v>
      </c>
      <c r="EK15" s="0" t="n">
        <f aca="false">IFERROR(IF(ISNUMBER(INDEX(Registro!$U$515:$U$544,MATCH($A15,Registro!$A$515:$A$544,0))),EK$5,0),0)</f>
        <v>0</v>
      </c>
      <c r="EL15" s="0" t="n">
        <f aca="false">IFERROR(IF(ISNUMBER(INDEX(Registro!$AA$515:$AA$544,MATCH($A15,Registro!$A$515:$A$544,0))),EL$5,0),0)</f>
        <v>0</v>
      </c>
      <c r="EM15" s="0" t="n">
        <f aca="false">IFERROR(IF(ISNUMBER(INDEX(Registro!$I$551:$I$580,MATCH($A15,Registro!$A$551:$A$580,0))),EM$5,0),0)</f>
        <v>0</v>
      </c>
      <c r="EN15" s="0" t="n">
        <f aca="false">IFERROR(IF(ISNUMBER(INDEX(Registro!$O$551:$O$580,MATCH($A15,Registro!$A$551:$A$580,0))),EN$5,0),0)</f>
        <v>0</v>
      </c>
      <c r="EO15" s="0" t="n">
        <f aca="false">IFERROR(IF(ISNUMBER(INDEX(Registro!$U$551:$U$580,MATCH($A15,Registro!$A$551:$A$580,0))),EO$5,0),0)</f>
        <v>0</v>
      </c>
      <c r="EP15" s="0" t="n">
        <f aca="false">IFERROR(IF(ISNUMBER(INDEX(Registro!$AA$551:$AA$580,MATCH($A15,Registro!$A$551:$A$580,0))),EP$5,0),0)</f>
        <v>0</v>
      </c>
      <c r="EQ15" s="0" t="n">
        <f aca="false">IFERROR(IF(ISNUMBER(INDEX(Registro!$I$587:$I$616,MATCH($A15,Registro!$A$587:$A$616,0))),EQ$5,0),0)</f>
        <v>0</v>
      </c>
      <c r="ER15" s="0" t="n">
        <f aca="false">IFERROR(IF(ISNUMBER(INDEX(Registro!$O$587:$O$616,MATCH($A15,Registro!$A$587:$A$616,0))),ER$5,0),0)</f>
        <v>0</v>
      </c>
      <c r="ES15" s="0" t="n">
        <f aca="false">IFERROR(IF(ISNUMBER(INDEX(Registro!$U$587:$U$616,MATCH($A15,Registro!$A$587:$A$616,0))),ES$5,0),0)</f>
        <v>0</v>
      </c>
      <c r="ET15" s="0" t="n">
        <f aca="false">IFERROR(IF(ISNUMBER(INDEX(Registro!$AA$587:$AA$616,MATCH($A15,Registro!$A$587:$A$616,0))),ET$5,0),0)</f>
        <v>0</v>
      </c>
      <c r="EU15" s="0" t="n">
        <f aca="false">IFERROR(IF(ISNUMBER(INDEX(Registro!$I$623:$I$652,MATCH($A15,Registro!$A$623:$A$652,0))),EU$5,0),0)</f>
        <v>0</v>
      </c>
      <c r="EV15" s="0" t="n">
        <f aca="false">IFERROR(IF(ISNUMBER(INDEX(Registro!$O$623:$O$652,MATCH($A15,Registro!$A$623:$A$652,0))),EV$5,0),0)</f>
        <v>0</v>
      </c>
      <c r="EW15" s="0" t="n">
        <f aca="false">IFERROR(IF(ISNUMBER(INDEX(Registro!$U$623:$U$652,MATCH($A15,Registro!$A$623:$A$652,0))),EW$5,0),0)</f>
        <v>0</v>
      </c>
      <c r="EX15" s="0" t="n">
        <f aca="false">IFERROR(IF(ISNUMBER(INDEX(Registro!$AA$623:$AA$652,MATCH($A15,Registro!$A$623:$A$652,0))),EX$5,0),0)</f>
        <v>0</v>
      </c>
      <c r="EY15" s="0" t="n">
        <f aca="false">IFERROR(IF(ISNUMBER(INDEX(Registro!$I$659:$I$688,MATCH($A15,Registro!$A$659:$A$688,0))),EY$5,0),0)</f>
        <v>0</v>
      </c>
      <c r="EZ15" s="0" t="n">
        <f aca="false">IFERROR(IF(ISNUMBER(INDEX(Registro!$O$659:$O$688,MATCH($A15,Registro!$A$659:$A$688,0))),EZ$5,0),0)</f>
        <v>0</v>
      </c>
      <c r="FA15" s="0" t="n">
        <f aca="false">IFERROR(IF(ISNUMBER(INDEX(Registro!$U$659:$U$688,MATCH($A15,Registro!$A$659:$A$688,0))),FA$5,0),0)</f>
        <v>0</v>
      </c>
      <c r="FB15" s="0" t="n">
        <f aca="false">IFERROR(IF(ISNUMBER(INDEX(Registro!$AA$659:$AA$688,MATCH($A15,Registro!$A$659:$A$688,0))),FB$5,0),0)</f>
        <v>0</v>
      </c>
      <c r="FC15" s="0" t="n">
        <f aca="false">IFERROR(IF(ISNUMBER(INDEX(Registro!$I$695:$I$724,MATCH($A15,Registro!$A$695:$A$724,0))),FC$5,0),0)</f>
        <v>0</v>
      </c>
      <c r="FD15" s="0" t="n">
        <f aca="false">IFERROR(IF(ISNUMBER(INDEX(Registro!$O$695:$O$724,MATCH($A15,Registro!$A$695:$A$724,0))),FD$5,0),0)</f>
        <v>0</v>
      </c>
      <c r="FE15" s="0" t="n">
        <f aca="false">IFERROR(IF(ISNUMBER(INDEX(Registro!$U$695:$U$724,MATCH($A15,Registro!$A$695:$A$724,0))),FE$5,0),0)</f>
        <v>0</v>
      </c>
      <c r="FF15" s="0" t="n">
        <f aca="false">IFERROR(IF(ISNUMBER(INDEX(Registro!$AA$695:$AA$724,MATCH($A15,Registro!$A$695:$A$724,0))),FF$5,0),0)</f>
        <v>0</v>
      </c>
      <c r="FG15" s="0" t="n">
        <f aca="false">IFERROR(IF(AND(INDEX(Registro!$C$11:$C$40,MATCH($A15,Registro!$A$11:$A$40,0))="AS",INDEX(Registro!$D$11:$D$40,MATCH($A15,Registro!$A$11:$A$40,0))&amp;""=""),1,0),0)</f>
        <v>0</v>
      </c>
      <c r="FH15" s="0" t="n">
        <f aca="false">IFERROR(IF(AND(INDEX(Registro!$C$47:$C$76,MATCH($A15,Registro!$A$47:$A$76,0))="AS",INDEX(Registro!$D$47:$D$76,MATCH($A15,Registro!$A$47:$A$76,0))&amp;""=""),1,0),0)</f>
        <v>0</v>
      </c>
      <c r="FI15" s="0" t="n">
        <f aca="false">IFERROR(IF(AND(INDEX(Registro!$C$83:$C$112,MATCH($A15,Registro!$A$83:$A$112,0))="AS",INDEX(Registro!$D$83:$D$112,MATCH($A15,Registro!$A$83:$A$112,0))&amp;""=""),1,0),0)</f>
        <v>0</v>
      </c>
      <c r="FJ15" s="0" t="n">
        <f aca="false">IFERROR(IF(AND(INDEX(Registro!$C$119:$C$148,MATCH($A15,Registro!$A$119:$A$148,0))="AS",INDEX(Registro!$D$119:$D$148,MATCH($A15,Registro!$A$119:$A$148,0))&amp;""=""),1,0),0)</f>
        <v>0</v>
      </c>
      <c r="FK15" s="0" t="n">
        <f aca="false">IFERROR(IF(AND(INDEX(Registro!$C$155:$C$184,MATCH($A15,Registro!$A$155:$A$184,0))="AS",INDEX(Registro!$D$155:$D$184,MATCH($A15,Registro!$A$155:$A$184,0))&amp;""=""),1,0),0)</f>
        <v>0</v>
      </c>
      <c r="FL15" s="0" t="n">
        <f aca="false">IFERROR(IF(AND(INDEX(Registro!$C$191:$C$220,MATCH($A15,Registro!$A$191:$A$220,0))="AS",INDEX(Registro!$D$191:$D$220,MATCH($A15,Registro!$A$191:$A$220,0))&amp;""=""),1,0),0)</f>
        <v>0</v>
      </c>
      <c r="FM15" s="0" t="n">
        <f aca="false">IFERROR(IF(AND(INDEX(Registro!$C$227:$C$256,MATCH($A15,Registro!$A$227:$A$256,0))="AS",INDEX(Registro!$D$227:$D$256,MATCH($A15,Registro!$A$227:$A$256,0))&amp;""=""),1,0),0)</f>
        <v>0</v>
      </c>
      <c r="FN15" s="0" t="n">
        <f aca="false">IFERROR(IF(AND(INDEX(Registro!$C$263:$C$292,MATCH($A15,Registro!$A$263:$A$292,0))="AS",INDEX(Registro!$D$263:$D$292,MATCH($A15,Registro!$A$263:$A$292,0))&amp;""=""),1,0),0)</f>
        <v>0</v>
      </c>
      <c r="FO15" s="0" t="n">
        <f aca="false">IFERROR(IF(AND(INDEX(Registro!$C$299:$C$328,MATCH($A15,Registro!$A$299:$A$328,0))="AS",INDEX(Registro!$D$299:$D$328,MATCH($A15,Registro!$A$299:$A$328,0))&amp;""=""),1,0),0)</f>
        <v>0</v>
      </c>
      <c r="FP15" s="0" t="n">
        <f aca="false">IFERROR(IF(AND(INDEX(Registro!$C$335:$C$364,MATCH($A15,Registro!$A$335:$A$364,0))="AS",INDEX(Registro!$D$335:$D$364,MATCH($A15,Registro!$A$335:$A$364,0))&amp;""=""),1,0),0)</f>
        <v>0</v>
      </c>
      <c r="FQ15" s="0" t="n">
        <f aca="false">IFERROR(IF(AND(INDEX(Registro!$C$371:$C$400,MATCH($A15,Registro!$A$371:$A$400,0))="AS",INDEX(Registro!$D$371:$D$400,MATCH($A15,Registro!$A$371:$A$400,0))&amp;""=""),1,0),0)</f>
        <v>0</v>
      </c>
      <c r="FR15" s="0" t="n">
        <f aca="false">IFERROR(IF(AND(INDEX(Registro!$C$407:$C$436,MATCH($A15,Registro!$A$407:$A$436,0))="AS",INDEX(Registro!$D$407:$D$436,MATCH($A15,Registro!$A$407:$A$436,0))&amp;""=""),1,0),0)</f>
        <v>0</v>
      </c>
      <c r="FS15" s="0" t="n">
        <f aca="false">IFERROR(IF(AND(INDEX(Registro!$C$443:$C$472,MATCH($A15,Registro!$A$443:$A$472,0))="AS",INDEX(Registro!$D$443:$D$472,MATCH($A15,Registro!$A$443:$A$472,0))&amp;""=""),1,0),0)</f>
        <v>0</v>
      </c>
      <c r="FT15" s="0" t="n">
        <f aca="false">IFERROR(IF(AND(INDEX(Registro!$C$479:$C$508,MATCH($A15,Registro!$A$479:$A$508,0))="AS",INDEX(Registro!$D$479:$D$508,MATCH($A15,Registro!$A$479:$A$508,0))&amp;""=""),1,0),0)</f>
        <v>0</v>
      </c>
      <c r="FU15" s="0" t="n">
        <f aca="false">IFERROR(IF(AND(INDEX(Registro!$C$515:$C$544,MATCH($A15,Registro!$A$515:$A$544,0))="AS",INDEX(Registro!$D$515:$D$544,MATCH($A15,Registro!$A$515:$A$544,0))&amp;""=""),1,0),0)</f>
        <v>0</v>
      </c>
      <c r="FV15" s="0" t="n">
        <f aca="false">IFERROR(IF(AND(INDEX(Registro!$C$551:$C$580,MATCH($A15,Registro!$A$551:$A$580,0))="AS",INDEX(Registro!$D$551:$D$580,MATCH($A15,Registro!$A$551:$A$580,0))&amp;""=""),1,0),0)</f>
        <v>0</v>
      </c>
      <c r="FW15" s="0" t="n">
        <f aca="false">IFERROR(IF(AND(INDEX(Registro!$C$587:$C$616,MATCH($A15,Registro!$A$587:$A$616,0))="AS",INDEX(Registro!$D$587:$D$616,MATCH($A15,Registro!$A$587:$A$616,0))&amp;""=""),1,0),0)</f>
        <v>0</v>
      </c>
      <c r="FX15" s="0" t="n">
        <f aca="false">IFERROR(IF(AND(INDEX(Registro!$C$623:$C$652,MATCH($A15,Registro!$A$623:$A$652,0))="AS",INDEX(Registro!$D$623:$D$652,MATCH($A15,Registro!$A$623:$A$652,0))&amp;""=""),1,0),0)</f>
        <v>0</v>
      </c>
      <c r="FY15" s="0" t="n">
        <f aca="false">IFERROR(IF(AND(INDEX(Registro!$C$659:$C$688,MATCH($A15,Registro!$A$659:$A$688,0))="AS",INDEX(Registro!$D$659:$D$688,MATCH($A15,Registro!$A$659:$A$688,0))&amp;""=""),1,0),0)</f>
        <v>0</v>
      </c>
      <c r="FZ15" s="0" t="n">
        <f aca="false">IFERROR(IF(AND(INDEX(Registro!$C$695:$C$724,MATCH($A15,Registro!$A$695:$A$724,0))="AS",INDEX(Registro!$D$695:$D$724,MATCH($A15,Registro!$A$695:$A$724,0))&amp;""=""),1,0),0)</f>
        <v>0</v>
      </c>
    </row>
    <row r="16" customFormat="false" ht="15" hidden="false" customHeight="false" outlineLevel="0" collapsed="false">
      <c r="A16" s="0" t="n">
        <v>10</v>
      </c>
      <c r="C16" s="0" t="n">
        <f aca="false">IFERROR(N(INDEX(Registro!$I$11:$I$40,MATCH($A16,Registro!$A$11:$A$40,0))),0)</f>
        <v>0</v>
      </c>
      <c r="D16" s="0" t="n">
        <f aca="false">IFERROR(N(INDEX(Registro!$O$11:$O$40,MATCH($A16,Registro!$A$11:$A$40,0))),0)</f>
        <v>0</v>
      </c>
      <c r="E16" s="0" t="n">
        <f aca="false">IFERROR(N(INDEX(Registro!$U$11:$U$40,MATCH($A16,Registro!$A$11:$A$40,0))),0)</f>
        <v>0</v>
      </c>
      <c r="F16" s="0" t="n">
        <f aca="false">IFERROR(N(INDEX(Registro!$AA$11:$AA$40,MATCH($A16,Registro!$A$11:$A$40,0))),0)</f>
        <v>0</v>
      </c>
      <c r="G16" s="0" t="n">
        <f aca="false">IFERROR(N(INDEX(Registro!$I$47:$I$76,MATCH($A16,Registro!$A$47:$A$76,0))),0)</f>
        <v>0</v>
      </c>
      <c r="H16" s="0" t="n">
        <f aca="false">IFERROR(N(INDEX(Registro!$O$47:$O$76,MATCH($A16,Registro!$A$47:$A$76,0))),0)</f>
        <v>0</v>
      </c>
      <c r="I16" s="0" t="n">
        <f aca="false">IFERROR(N(INDEX(Registro!$U$47:$U$76,MATCH($A16,Registro!$A$47:$A$76,0))),0)</f>
        <v>0</v>
      </c>
      <c r="J16" s="0" t="n">
        <f aca="false">IFERROR(N(INDEX(Registro!$AA$47:$AA$76,MATCH($A16,Registro!$A$47:$A$76,0))),0)</f>
        <v>0</v>
      </c>
      <c r="K16" s="0" t="n">
        <f aca="false">IFERROR(N(INDEX(Registro!$I$83:$I$112,MATCH($A16,Registro!$A$83:$A$112,0))),0)</f>
        <v>0</v>
      </c>
      <c r="L16" s="0" t="n">
        <f aca="false">IFERROR(N(INDEX(Registro!$O$83:$O$112,MATCH($A16,Registro!$A$83:$A$112,0))),0)</f>
        <v>0</v>
      </c>
      <c r="M16" s="0" t="n">
        <f aca="false">IFERROR(N(INDEX(Registro!$U$83:$U$112,MATCH($A16,Registro!$A$83:$A$112,0))),0)</f>
        <v>0</v>
      </c>
      <c r="N16" s="0" t="n">
        <f aca="false">IFERROR(N(INDEX(Registro!$AA$83:$AA$112,MATCH($A16,Registro!$A$83:$A$112,0))),0)</f>
        <v>0</v>
      </c>
      <c r="O16" s="0" t="n">
        <f aca="false">IFERROR(N(INDEX(Registro!$I$119:$I$148,MATCH($A16,Registro!$A$119:$A$148,0))),0)</f>
        <v>0</v>
      </c>
      <c r="P16" s="0" t="n">
        <f aca="false">IFERROR(N(INDEX(Registro!$O$119:$O$148,MATCH($A16,Registro!$A$119:$A$148,0))),0)</f>
        <v>0</v>
      </c>
      <c r="Q16" s="0" t="n">
        <f aca="false">IFERROR(N(INDEX(Registro!$U$119:$U$148,MATCH($A16,Registro!$A$119:$A$148,0))),0)</f>
        <v>0</v>
      </c>
      <c r="R16" s="0" t="n">
        <f aca="false">IFERROR(N(INDEX(Registro!$AA$119:$AA$148,MATCH($A16,Registro!$A$119:$A$148,0))),0)</f>
        <v>0</v>
      </c>
      <c r="S16" s="0" t="n">
        <f aca="false">IFERROR(N(INDEX(Registro!$I$155:$I$184,MATCH($A16,Registro!$A$155:$A$184,0))),0)</f>
        <v>0</v>
      </c>
      <c r="T16" s="0" t="n">
        <f aca="false">IFERROR(N(INDEX(Registro!$O$155:$O$184,MATCH($A16,Registro!$A$155:$A$184,0))),0)</f>
        <v>0</v>
      </c>
      <c r="U16" s="0" t="n">
        <f aca="false">IFERROR(N(INDEX(Registro!$U$155:$U$184,MATCH($A16,Registro!$A$155:$A$184,0))),0)</f>
        <v>0</v>
      </c>
      <c r="V16" s="0" t="n">
        <f aca="false">IFERROR(N(INDEX(Registro!$AA$155:$AA$184,MATCH($A16,Registro!$A$155:$A$184,0))),0)</f>
        <v>0</v>
      </c>
      <c r="W16" s="0" t="n">
        <f aca="false">IFERROR(N(INDEX(Registro!$I$191:$I$220,MATCH($A16,Registro!$A$191:$A$220,0))),0)</f>
        <v>0</v>
      </c>
      <c r="X16" s="0" t="n">
        <f aca="false">IFERROR(N(INDEX(Registro!$O$191:$O$220,MATCH($A16,Registro!$A$191:$A$220,0))),0)</f>
        <v>0</v>
      </c>
      <c r="Y16" s="0" t="n">
        <f aca="false">IFERROR(N(INDEX(Registro!$U$191:$U$220,MATCH($A16,Registro!$A$191:$A$220,0))),0)</f>
        <v>0</v>
      </c>
      <c r="Z16" s="0" t="n">
        <f aca="false">IFERROR(N(INDEX(Registro!$AA$191:$AA$220,MATCH($A16,Registro!$A$191:$A$220,0))),0)</f>
        <v>0</v>
      </c>
      <c r="AA16" s="0" t="n">
        <f aca="false">IFERROR(N(INDEX(Registro!$I$227:$I$256,MATCH($A16,Registro!$A$227:$A$256,0))),0)</f>
        <v>0</v>
      </c>
      <c r="AB16" s="0" t="n">
        <f aca="false">IFERROR(N(INDEX(Registro!$O$227:$O$256,MATCH($A16,Registro!$A$227:$A$256,0))),0)</f>
        <v>0</v>
      </c>
      <c r="AC16" s="0" t="n">
        <f aca="false">IFERROR(N(INDEX(Registro!$U$227:$U$256,MATCH($A16,Registro!$A$227:$A$256,0))),0)</f>
        <v>0</v>
      </c>
      <c r="AD16" s="0" t="n">
        <f aca="false">IFERROR(N(INDEX(Registro!$AA$227:$AA$256,MATCH($A16,Registro!$A$227:$A$256,0))),0)</f>
        <v>0</v>
      </c>
      <c r="AE16" s="0" t="n">
        <f aca="false">IFERROR(N(INDEX(Registro!$I$263:$I$292,MATCH($A16,Registro!$A$263:$A$292,0))),0)</f>
        <v>0</v>
      </c>
      <c r="AF16" s="0" t="n">
        <f aca="false">IFERROR(N(INDEX(Registro!$O$263:$O$292,MATCH($A16,Registro!$A$263:$A$292,0))),0)</f>
        <v>0</v>
      </c>
      <c r="AG16" s="0" t="n">
        <f aca="false">IFERROR(N(INDEX(Registro!$U$263:$U$292,MATCH($A16,Registro!$A$263:$A$292,0))),0)</f>
        <v>0</v>
      </c>
      <c r="AH16" s="0" t="n">
        <f aca="false">IFERROR(N(INDEX(Registro!$AA$263:$AA$292,MATCH($A16,Registro!$A$263:$A$292,0))),0)</f>
        <v>0</v>
      </c>
      <c r="AI16" s="0" t="n">
        <f aca="false">IFERROR(N(INDEX(Registro!$I$299:$I$328,MATCH($A16,Registro!$A$299:$A$328,0))),0)</f>
        <v>0</v>
      </c>
      <c r="AJ16" s="0" t="n">
        <f aca="false">IFERROR(N(INDEX(Registro!$O$299:$O$328,MATCH($A16,Registro!$A$299:$A$328,0))),0)</f>
        <v>0</v>
      </c>
      <c r="AK16" s="0" t="n">
        <f aca="false">IFERROR(N(INDEX(Registro!$U$299:$U$328,MATCH($A16,Registro!$A$299:$A$328,0))),0)</f>
        <v>0</v>
      </c>
      <c r="AL16" s="0" t="n">
        <f aca="false">IFERROR(N(INDEX(Registro!$AA$299:$AA$328,MATCH($A16,Registro!$A$299:$A$328,0))),0)</f>
        <v>0</v>
      </c>
      <c r="AM16" s="0" t="n">
        <f aca="false">IFERROR(N(INDEX(Registro!$I$335:$I$364,MATCH($A16,Registro!$A$335:$A$364,0))),0)</f>
        <v>0</v>
      </c>
      <c r="AN16" s="0" t="n">
        <f aca="false">IFERROR(N(INDEX(Registro!$O$335:$O$364,MATCH($A16,Registro!$A$335:$A$364,0))),0)</f>
        <v>0</v>
      </c>
      <c r="AO16" s="0" t="n">
        <f aca="false">IFERROR(N(INDEX(Registro!$U$335:$U$364,MATCH($A16,Registro!$A$335:$A$364,0))),0)</f>
        <v>0</v>
      </c>
      <c r="AP16" s="0" t="n">
        <f aca="false">IFERROR(N(INDEX(Registro!$AA$335:$AA$364,MATCH($A16,Registro!$A$335:$A$364,0))),0)</f>
        <v>0</v>
      </c>
      <c r="AQ16" s="0" t="n">
        <f aca="false">IFERROR(N(INDEX(Registro!$I$371:$I$400,MATCH($A16,Registro!$A$371:$A$400,0))),0)</f>
        <v>0</v>
      </c>
      <c r="AR16" s="0" t="n">
        <f aca="false">IFERROR(N(INDEX(Registro!$O$371:$O$400,MATCH($A16,Registro!$A$371:$A$400,0))),0)</f>
        <v>0</v>
      </c>
      <c r="AS16" s="0" t="n">
        <f aca="false">IFERROR(N(INDEX(Registro!$U$371:$U$400,MATCH($A16,Registro!$A$371:$A$400,0))),0)</f>
        <v>0</v>
      </c>
      <c r="AT16" s="0" t="n">
        <f aca="false">IFERROR(N(INDEX(Registro!$AA$371:$AA$400,MATCH($A16,Registro!$A$371:$A$400,0))),0)</f>
        <v>0</v>
      </c>
      <c r="AU16" s="0" t="n">
        <f aca="false">IFERROR(N(INDEX(Registro!$I$407:$I$436,MATCH($A16,Registro!$A$407:$A$436,0))),0)</f>
        <v>0</v>
      </c>
      <c r="AV16" s="0" t="n">
        <f aca="false">IFERROR(N(INDEX(Registro!$O$407:$O$436,MATCH($A16,Registro!$A$407:$A$436,0))),0)</f>
        <v>0</v>
      </c>
      <c r="AW16" s="0" t="n">
        <f aca="false">IFERROR(N(INDEX(Registro!$U$407:$U$436,MATCH($A16,Registro!$A$407:$A$436,0))),0)</f>
        <v>0</v>
      </c>
      <c r="AX16" s="0" t="n">
        <f aca="false">IFERROR(N(INDEX(Registro!$AA$407:$AA$436,MATCH($A16,Registro!$A$407:$A$436,0))),0)</f>
        <v>0</v>
      </c>
      <c r="AY16" s="0" t="n">
        <f aca="false">IFERROR(N(INDEX(Registro!$I$443:$I$472,MATCH($A16,Registro!$A$443:$A$472,0))),0)</f>
        <v>0</v>
      </c>
      <c r="AZ16" s="0" t="n">
        <f aca="false">IFERROR(N(INDEX(Registro!$O$443:$O$472,MATCH($A16,Registro!$A$443:$A$472,0))),0)</f>
        <v>0</v>
      </c>
      <c r="BA16" s="0" t="n">
        <f aca="false">IFERROR(N(INDEX(Registro!$U$443:$U$472,MATCH($A16,Registro!$A$443:$A$472,0))),0)</f>
        <v>0</v>
      </c>
      <c r="BB16" s="0" t="n">
        <f aca="false">IFERROR(N(INDEX(Registro!$AA$443:$AA$472,MATCH($A16,Registro!$A$443:$A$472,0))),0)</f>
        <v>0</v>
      </c>
      <c r="BC16" s="0" t="n">
        <f aca="false">IFERROR(N(INDEX(Registro!$I$479:$I$508,MATCH($A16,Registro!$A$479:$A$508,0))),0)</f>
        <v>0</v>
      </c>
      <c r="BD16" s="0" t="n">
        <f aca="false">IFERROR(N(INDEX(Registro!$O$479:$O$508,MATCH($A16,Registro!$A$479:$A$508,0))),0)</f>
        <v>0</v>
      </c>
      <c r="BE16" s="0" t="n">
        <f aca="false">IFERROR(N(INDEX(Registro!$U$479:$U$508,MATCH($A16,Registro!$A$479:$A$508,0))),0)</f>
        <v>0</v>
      </c>
      <c r="BF16" s="0" t="n">
        <f aca="false">IFERROR(N(INDEX(Registro!$AA$479:$AA$508,MATCH($A16,Registro!$A$479:$A$508,0))),0)</f>
        <v>0</v>
      </c>
      <c r="BG16" s="0" t="n">
        <f aca="false">IFERROR(N(INDEX(Registro!$I$515:$I$544,MATCH($A16,Registro!$A$515:$A$544,0))),0)</f>
        <v>0</v>
      </c>
      <c r="BH16" s="0" t="n">
        <f aca="false">IFERROR(N(INDEX(Registro!$O$515:$O$544,MATCH($A16,Registro!$A$515:$A$544,0))),0)</f>
        <v>0</v>
      </c>
      <c r="BI16" s="0" t="n">
        <f aca="false">IFERROR(N(INDEX(Registro!$U$515:$U$544,MATCH($A16,Registro!$A$515:$A$544,0))),0)</f>
        <v>0</v>
      </c>
      <c r="BJ16" s="0" t="n">
        <f aca="false">IFERROR(N(INDEX(Registro!$AA$515:$AA$544,MATCH($A16,Registro!$A$515:$A$544,0))),0)</f>
        <v>0</v>
      </c>
      <c r="BK16" s="0" t="n">
        <f aca="false">IFERROR(N(INDEX(Registro!$I$551:$I$580,MATCH($A16,Registro!$A$551:$A$580,0))),0)</f>
        <v>0</v>
      </c>
      <c r="BL16" s="0" t="n">
        <f aca="false">IFERROR(N(INDEX(Registro!$O$551:$O$580,MATCH($A16,Registro!$A$551:$A$580,0))),0)</f>
        <v>0</v>
      </c>
      <c r="BM16" s="0" t="n">
        <f aca="false">IFERROR(N(INDEX(Registro!$U$551:$U$580,MATCH($A16,Registro!$A$551:$A$580,0))),0)</f>
        <v>0</v>
      </c>
      <c r="BN16" s="0" t="n">
        <f aca="false">IFERROR(N(INDEX(Registro!$AA$551:$AA$580,MATCH($A16,Registro!$A$551:$A$580,0))),0)</f>
        <v>0</v>
      </c>
      <c r="BO16" s="0" t="n">
        <f aca="false">IFERROR(N(INDEX(Registro!$I$587:$I$616,MATCH($A16,Registro!$A$587:$A$616,0))),0)</f>
        <v>0</v>
      </c>
      <c r="BP16" s="0" t="n">
        <f aca="false">IFERROR(N(INDEX(Registro!$O$587:$O$616,MATCH($A16,Registro!$A$587:$A$616,0))),0)</f>
        <v>0</v>
      </c>
      <c r="BQ16" s="0" t="n">
        <f aca="false">IFERROR(N(INDEX(Registro!$U$587:$U$616,MATCH($A16,Registro!$A$587:$A$616,0))),0)</f>
        <v>0</v>
      </c>
      <c r="BR16" s="0" t="n">
        <f aca="false">IFERROR(N(INDEX(Registro!$AA$587:$AA$616,MATCH($A16,Registro!$A$587:$A$616,0))),0)</f>
        <v>0</v>
      </c>
      <c r="BS16" s="0" t="n">
        <f aca="false">IFERROR(N(INDEX(Registro!$I$623:$I$652,MATCH($A16,Registro!$A$623:$A$652,0))),0)</f>
        <v>0</v>
      </c>
      <c r="BT16" s="0" t="n">
        <f aca="false">IFERROR(N(INDEX(Registro!$O$623:$O$652,MATCH($A16,Registro!$A$623:$A$652,0))),0)</f>
        <v>0</v>
      </c>
      <c r="BU16" s="0" t="n">
        <f aca="false">IFERROR(N(INDEX(Registro!$U$623:$U$652,MATCH($A16,Registro!$A$623:$A$652,0))),0)</f>
        <v>0</v>
      </c>
      <c r="BV16" s="0" t="n">
        <f aca="false">IFERROR(N(INDEX(Registro!$AA$623:$AA$652,MATCH($A16,Registro!$A$623:$A$652,0))),0)</f>
        <v>0</v>
      </c>
      <c r="BW16" s="0" t="n">
        <f aca="false">IFERROR(N(INDEX(Registro!$I$659:$I$688,MATCH($A16,Registro!$A$659:$A$688,0))),0)</f>
        <v>0</v>
      </c>
      <c r="BX16" s="0" t="n">
        <f aca="false">IFERROR(N(INDEX(Registro!$O$659:$O$688,MATCH($A16,Registro!$A$659:$A$688,0))),0)</f>
        <v>0</v>
      </c>
      <c r="BY16" s="0" t="n">
        <f aca="false">IFERROR(N(INDEX(Registro!$U$659:$U$688,MATCH($A16,Registro!$A$659:$A$688,0))),0)</f>
        <v>0</v>
      </c>
      <c r="BZ16" s="0" t="n">
        <f aca="false">IFERROR(N(INDEX(Registro!$AA$659:$AA$688,MATCH($A16,Registro!$A$659:$A$688,0))),0)</f>
        <v>0</v>
      </c>
      <c r="CA16" s="0" t="n">
        <f aca="false">IFERROR(N(INDEX(Registro!$I$695:$I$724,MATCH($A16,Registro!$A$695:$A$724,0))),0)</f>
        <v>0</v>
      </c>
      <c r="CB16" s="0" t="n">
        <f aca="false">IFERROR(N(INDEX(Registro!$O$695:$O$724,MATCH($A16,Registro!$A$695:$A$724,0))),0)</f>
        <v>0</v>
      </c>
      <c r="CC16" s="0" t="n">
        <f aca="false">IFERROR(N(INDEX(Registro!$U$695:$U$724,MATCH($A16,Registro!$A$695:$A$724,0))),0)</f>
        <v>0</v>
      </c>
      <c r="CD16" s="0" t="n">
        <f aca="false">IFERROR(N(INDEX(Registro!$AA$695:$AA$724,MATCH($A16,Registro!$A$695:$A$724,0))),0)</f>
        <v>0</v>
      </c>
      <c r="CE16" s="0" t="n">
        <f aca="false">IFERROR(IF(ISNUMBER(INDEX(Registro!$I$11:$I$40,MATCH($A16,Registro!$A$11:$A$40,0))),CE$5,0),0)</f>
        <v>0</v>
      </c>
      <c r="CF16" s="0" t="n">
        <f aca="false">IFERROR(IF(ISNUMBER(INDEX(Registro!$O$11:$O$40,MATCH($A16,Registro!$A$11:$A$40,0))),CF$5,0),0)</f>
        <v>0</v>
      </c>
      <c r="CG16" s="0" t="n">
        <f aca="false">IFERROR(IF(ISNUMBER(INDEX(Registro!$U$11:$U$40,MATCH($A16,Registro!$A$11:$A$40,0))),CG$5,0),0)</f>
        <v>0</v>
      </c>
      <c r="CH16" s="0" t="n">
        <f aca="false">IFERROR(IF(ISNUMBER(INDEX(Registro!$AA$11:$AA$40,MATCH($A16,Registro!$A$11:$A$40,0))),CH$5,0),0)</f>
        <v>0</v>
      </c>
      <c r="CI16" s="0" t="n">
        <f aca="false">IFERROR(IF(ISNUMBER(INDEX(Registro!$I$47:$I$76,MATCH($A16,Registro!$A$47:$A$76,0))),CI$5,0),0)</f>
        <v>0</v>
      </c>
      <c r="CJ16" s="0" t="n">
        <f aca="false">IFERROR(IF(ISNUMBER(INDEX(Registro!$O$47:$O$76,MATCH($A16,Registro!$A$47:$A$76,0))),CJ$5,0),0)</f>
        <v>0</v>
      </c>
      <c r="CK16" s="0" t="n">
        <f aca="false">IFERROR(IF(ISNUMBER(INDEX(Registro!$U$47:$U$76,MATCH($A16,Registro!$A$47:$A$76,0))),CK$5,0),0)</f>
        <v>0</v>
      </c>
      <c r="CL16" s="0" t="n">
        <f aca="false">IFERROR(IF(ISNUMBER(INDEX(Registro!$AA$47:$AA$76,MATCH($A16,Registro!$A$47:$A$76,0))),CL$5,0),0)</f>
        <v>0</v>
      </c>
      <c r="CM16" s="0" t="n">
        <f aca="false">IFERROR(IF(ISNUMBER(INDEX(Registro!$I$83:$I$112,MATCH($A16,Registro!$A$83:$A$112,0))),CM$5,0),0)</f>
        <v>0</v>
      </c>
      <c r="CN16" s="0" t="n">
        <f aca="false">IFERROR(IF(ISNUMBER(INDEX(Registro!$O$83:$O$112,MATCH($A16,Registro!$A$83:$A$112,0))),CN$5,0),0)</f>
        <v>0</v>
      </c>
      <c r="CO16" s="0" t="n">
        <f aca="false">IFERROR(IF(ISNUMBER(INDEX(Registro!$U$83:$U$112,MATCH($A16,Registro!$A$83:$A$112,0))),CO$5,0),0)</f>
        <v>0</v>
      </c>
      <c r="CP16" s="0" t="n">
        <f aca="false">IFERROR(IF(ISNUMBER(INDEX(Registro!$AA$83:$AA$112,MATCH($A16,Registro!$A$83:$A$112,0))),CP$5,0),0)</f>
        <v>0</v>
      </c>
      <c r="CQ16" s="0" t="n">
        <f aca="false">IFERROR(IF(ISNUMBER(INDEX(Registro!$I$119:$I$148,MATCH($A16,Registro!$A$119:$A$148,0))),CQ$5,0),0)</f>
        <v>0</v>
      </c>
      <c r="CR16" s="0" t="n">
        <f aca="false">IFERROR(IF(ISNUMBER(INDEX(Registro!$O$119:$O$148,MATCH($A16,Registro!$A$119:$A$148,0))),CR$5,0),0)</f>
        <v>0</v>
      </c>
      <c r="CS16" s="0" t="n">
        <f aca="false">IFERROR(IF(ISNUMBER(INDEX(Registro!$U$119:$U$148,MATCH($A16,Registro!$A$119:$A$148,0))),CS$5,0),0)</f>
        <v>0</v>
      </c>
      <c r="CT16" s="0" t="n">
        <f aca="false">IFERROR(IF(ISNUMBER(INDEX(Registro!$AA$119:$AA$148,MATCH($A16,Registro!$A$119:$A$148,0))),CT$5,0),0)</f>
        <v>0</v>
      </c>
      <c r="CU16" s="0" t="n">
        <f aca="false">IFERROR(IF(ISNUMBER(INDEX(Registro!$I$155:$I$184,MATCH($A16,Registro!$A$155:$A$184,0))),CU$5,0),0)</f>
        <v>0</v>
      </c>
      <c r="CV16" s="0" t="n">
        <f aca="false">IFERROR(IF(ISNUMBER(INDEX(Registro!$O$155:$O$184,MATCH($A16,Registro!$A$155:$A$184,0))),CV$5,0),0)</f>
        <v>0</v>
      </c>
      <c r="CW16" s="0" t="n">
        <f aca="false">IFERROR(IF(ISNUMBER(INDEX(Registro!$U$155:$U$184,MATCH($A16,Registro!$A$155:$A$184,0))),CW$5,0),0)</f>
        <v>0</v>
      </c>
      <c r="CX16" s="0" t="n">
        <f aca="false">IFERROR(IF(ISNUMBER(INDEX(Registro!$AA$155:$AA$184,MATCH($A16,Registro!$A$155:$A$184,0))),CX$5,0),0)</f>
        <v>0</v>
      </c>
      <c r="CY16" s="0" t="n">
        <f aca="false">IFERROR(IF(ISNUMBER(INDEX(Registro!$I$191:$I$220,MATCH($A16,Registro!$A$191:$A$220,0))),CY$5,0),0)</f>
        <v>0</v>
      </c>
      <c r="CZ16" s="0" t="n">
        <f aca="false">IFERROR(IF(ISNUMBER(INDEX(Registro!$O$191:$O$220,MATCH($A16,Registro!$A$191:$A$220,0))),CZ$5,0),0)</f>
        <v>0</v>
      </c>
      <c r="DA16" s="0" t="n">
        <f aca="false">IFERROR(IF(ISNUMBER(INDEX(Registro!$U$191:$U$220,MATCH($A16,Registro!$A$191:$A$220,0))),DA$5,0),0)</f>
        <v>0</v>
      </c>
      <c r="DB16" s="0" t="n">
        <f aca="false">IFERROR(IF(ISNUMBER(INDEX(Registro!$AA$191:$AA$220,MATCH($A16,Registro!$A$191:$A$220,0))),DB$5,0),0)</f>
        <v>0</v>
      </c>
      <c r="DC16" s="0" t="n">
        <f aca="false">IFERROR(IF(ISNUMBER(INDEX(Registro!$I$227:$I$256,MATCH($A16,Registro!$A$227:$A$256,0))),DC$5,0),0)</f>
        <v>0</v>
      </c>
      <c r="DD16" s="0" t="n">
        <f aca="false">IFERROR(IF(ISNUMBER(INDEX(Registro!$O$227:$O$256,MATCH($A16,Registro!$A$227:$A$256,0))),DD$5,0),0)</f>
        <v>0</v>
      </c>
      <c r="DE16" s="0" t="n">
        <f aca="false">IFERROR(IF(ISNUMBER(INDEX(Registro!$U$227:$U$256,MATCH($A16,Registro!$A$227:$A$256,0))),DE$5,0),0)</f>
        <v>0</v>
      </c>
      <c r="DF16" s="0" t="n">
        <f aca="false">IFERROR(IF(ISNUMBER(INDEX(Registro!$AA$227:$AA$256,MATCH($A16,Registro!$A$227:$A$256,0))),DF$5,0),0)</f>
        <v>0</v>
      </c>
      <c r="DG16" s="0" t="n">
        <f aca="false">IFERROR(IF(ISNUMBER(INDEX(Registro!$I$263:$I$292,MATCH($A16,Registro!$A$263:$A$292,0))),DG$5,0),0)</f>
        <v>0</v>
      </c>
      <c r="DH16" s="0" t="n">
        <f aca="false">IFERROR(IF(ISNUMBER(INDEX(Registro!$O$263:$O$292,MATCH($A16,Registro!$A$263:$A$292,0))),DH$5,0),0)</f>
        <v>0</v>
      </c>
      <c r="DI16" s="0" t="n">
        <f aca="false">IFERROR(IF(ISNUMBER(INDEX(Registro!$U$263:$U$292,MATCH($A16,Registro!$A$263:$A$292,0))),DI$5,0),0)</f>
        <v>0</v>
      </c>
      <c r="DJ16" s="0" t="n">
        <f aca="false">IFERROR(IF(ISNUMBER(INDEX(Registro!$AA$263:$AA$292,MATCH($A16,Registro!$A$263:$A$292,0))),DJ$5,0),0)</f>
        <v>0</v>
      </c>
      <c r="DK16" s="0" t="n">
        <f aca="false">IFERROR(IF(ISNUMBER(INDEX(Registro!$I$299:$I$328,MATCH($A16,Registro!$A$299:$A$328,0))),DK$5,0),0)</f>
        <v>0</v>
      </c>
      <c r="DL16" s="0" t="n">
        <f aca="false">IFERROR(IF(ISNUMBER(INDEX(Registro!$O$299:$O$328,MATCH($A16,Registro!$A$299:$A$328,0))),DL$5,0),0)</f>
        <v>0</v>
      </c>
      <c r="DM16" s="0" t="n">
        <f aca="false">IFERROR(IF(ISNUMBER(INDEX(Registro!$U$299:$U$328,MATCH($A16,Registro!$A$299:$A$328,0))),DM$5,0),0)</f>
        <v>0</v>
      </c>
      <c r="DN16" s="0" t="n">
        <f aca="false">IFERROR(IF(ISNUMBER(INDEX(Registro!$AA$299:$AA$328,MATCH($A16,Registro!$A$299:$A$328,0))),DN$5,0),0)</f>
        <v>0</v>
      </c>
      <c r="DO16" s="0" t="n">
        <f aca="false">IFERROR(IF(ISNUMBER(INDEX(Registro!$I$335:$I$364,MATCH($A16,Registro!$A$335:$A$364,0))),DO$5,0),0)</f>
        <v>0</v>
      </c>
      <c r="DP16" s="0" t="n">
        <f aca="false">IFERROR(IF(ISNUMBER(INDEX(Registro!$O$335:$O$364,MATCH($A16,Registro!$A$335:$A$364,0))),DP$5,0),0)</f>
        <v>0</v>
      </c>
      <c r="DQ16" s="0" t="n">
        <f aca="false">IFERROR(IF(ISNUMBER(INDEX(Registro!$U$335:$U$364,MATCH($A16,Registro!$A$335:$A$364,0))),DQ$5,0),0)</f>
        <v>0</v>
      </c>
      <c r="DR16" s="0" t="n">
        <f aca="false">IFERROR(IF(ISNUMBER(INDEX(Registro!$AA$335:$AA$364,MATCH($A16,Registro!$A$335:$A$364,0))),DR$5,0),0)</f>
        <v>0</v>
      </c>
      <c r="DS16" s="0" t="n">
        <f aca="false">IFERROR(IF(ISNUMBER(INDEX(Registro!$I$371:$I$400,MATCH($A16,Registro!$A$371:$A$400,0))),DS$5,0),0)</f>
        <v>0</v>
      </c>
      <c r="DT16" s="0" t="n">
        <f aca="false">IFERROR(IF(ISNUMBER(INDEX(Registro!$O$371:$O$400,MATCH($A16,Registro!$A$371:$A$400,0))),DT$5,0),0)</f>
        <v>0</v>
      </c>
      <c r="DU16" s="0" t="n">
        <f aca="false">IFERROR(IF(ISNUMBER(INDEX(Registro!$U$371:$U$400,MATCH($A16,Registro!$A$371:$A$400,0))),DU$5,0),0)</f>
        <v>0</v>
      </c>
      <c r="DV16" s="0" t="n">
        <f aca="false">IFERROR(IF(ISNUMBER(INDEX(Registro!$AA$371:$AA$400,MATCH($A16,Registro!$A$371:$A$400,0))),DV$5,0),0)</f>
        <v>0</v>
      </c>
      <c r="DW16" s="0" t="n">
        <f aca="false">IFERROR(IF(ISNUMBER(INDEX(Registro!$I$407:$I$436,MATCH($A16,Registro!$A$407:$A$436,0))),DW$5,0),0)</f>
        <v>0</v>
      </c>
      <c r="DX16" s="0" t="n">
        <f aca="false">IFERROR(IF(ISNUMBER(INDEX(Registro!$O$407:$O$436,MATCH($A16,Registro!$A$407:$A$436,0))),DX$5,0),0)</f>
        <v>0</v>
      </c>
      <c r="DY16" s="0" t="n">
        <f aca="false">IFERROR(IF(ISNUMBER(INDEX(Registro!$U$407:$U$436,MATCH($A16,Registro!$A$407:$A$436,0))),DY$5,0),0)</f>
        <v>0</v>
      </c>
      <c r="DZ16" s="0" t="n">
        <f aca="false">IFERROR(IF(ISNUMBER(INDEX(Registro!$AA$407:$AA$436,MATCH($A16,Registro!$A$407:$A$436,0))),DZ$5,0),0)</f>
        <v>0</v>
      </c>
      <c r="EA16" s="0" t="n">
        <f aca="false">IFERROR(IF(ISNUMBER(INDEX(Registro!$I$443:$I$472,MATCH($A16,Registro!$A$443:$A$472,0))),EA$5,0),0)</f>
        <v>0</v>
      </c>
      <c r="EB16" s="0" t="n">
        <f aca="false">IFERROR(IF(ISNUMBER(INDEX(Registro!$O$443:$O$472,MATCH($A16,Registro!$A$443:$A$472,0))),EB$5,0),0)</f>
        <v>0</v>
      </c>
      <c r="EC16" s="0" t="n">
        <f aca="false">IFERROR(IF(ISNUMBER(INDEX(Registro!$U$443:$U$472,MATCH($A16,Registro!$A$443:$A$472,0))),EC$5,0),0)</f>
        <v>0</v>
      </c>
      <c r="ED16" s="0" t="n">
        <f aca="false">IFERROR(IF(ISNUMBER(INDEX(Registro!$AA$443:$AA$472,MATCH($A16,Registro!$A$443:$A$472,0))),ED$5,0),0)</f>
        <v>0</v>
      </c>
      <c r="EE16" s="0" t="n">
        <f aca="false">IFERROR(IF(ISNUMBER(INDEX(Registro!$I$479:$I$508,MATCH($A16,Registro!$A$479:$A$508,0))),EE$5,0),0)</f>
        <v>0</v>
      </c>
      <c r="EF16" s="0" t="n">
        <f aca="false">IFERROR(IF(ISNUMBER(INDEX(Registro!$O$479:$O$508,MATCH($A16,Registro!$A$479:$A$508,0))),EF$5,0),0)</f>
        <v>0</v>
      </c>
      <c r="EG16" s="0" t="n">
        <f aca="false">IFERROR(IF(ISNUMBER(INDEX(Registro!$U$479:$U$508,MATCH($A16,Registro!$A$479:$A$508,0))),EG$5,0),0)</f>
        <v>0</v>
      </c>
      <c r="EH16" s="0" t="n">
        <f aca="false">IFERROR(IF(ISNUMBER(INDEX(Registro!$AA$479:$AA$508,MATCH($A16,Registro!$A$479:$A$508,0))),EH$5,0),0)</f>
        <v>0</v>
      </c>
      <c r="EI16" s="0" t="n">
        <f aca="false">IFERROR(IF(ISNUMBER(INDEX(Registro!$I$515:$I$544,MATCH($A16,Registro!$A$515:$A$544,0))),EI$5,0),0)</f>
        <v>0</v>
      </c>
      <c r="EJ16" s="0" t="n">
        <f aca="false">IFERROR(IF(ISNUMBER(INDEX(Registro!$O$515:$O$544,MATCH($A16,Registro!$A$515:$A$544,0))),EJ$5,0),0)</f>
        <v>0</v>
      </c>
      <c r="EK16" s="0" t="n">
        <f aca="false">IFERROR(IF(ISNUMBER(INDEX(Registro!$U$515:$U$544,MATCH($A16,Registro!$A$515:$A$544,0))),EK$5,0),0)</f>
        <v>0</v>
      </c>
      <c r="EL16" s="0" t="n">
        <f aca="false">IFERROR(IF(ISNUMBER(INDEX(Registro!$AA$515:$AA$544,MATCH($A16,Registro!$A$515:$A$544,0))),EL$5,0),0)</f>
        <v>0</v>
      </c>
      <c r="EM16" s="0" t="n">
        <f aca="false">IFERROR(IF(ISNUMBER(INDEX(Registro!$I$551:$I$580,MATCH($A16,Registro!$A$551:$A$580,0))),EM$5,0),0)</f>
        <v>0</v>
      </c>
      <c r="EN16" s="0" t="n">
        <f aca="false">IFERROR(IF(ISNUMBER(INDEX(Registro!$O$551:$O$580,MATCH($A16,Registro!$A$551:$A$580,0))),EN$5,0),0)</f>
        <v>0</v>
      </c>
      <c r="EO16" s="0" t="n">
        <f aca="false">IFERROR(IF(ISNUMBER(INDEX(Registro!$U$551:$U$580,MATCH($A16,Registro!$A$551:$A$580,0))),EO$5,0),0)</f>
        <v>0</v>
      </c>
      <c r="EP16" s="0" t="n">
        <f aca="false">IFERROR(IF(ISNUMBER(INDEX(Registro!$AA$551:$AA$580,MATCH($A16,Registro!$A$551:$A$580,0))),EP$5,0),0)</f>
        <v>0</v>
      </c>
      <c r="EQ16" s="0" t="n">
        <f aca="false">IFERROR(IF(ISNUMBER(INDEX(Registro!$I$587:$I$616,MATCH($A16,Registro!$A$587:$A$616,0))),EQ$5,0),0)</f>
        <v>0</v>
      </c>
      <c r="ER16" s="0" t="n">
        <f aca="false">IFERROR(IF(ISNUMBER(INDEX(Registro!$O$587:$O$616,MATCH($A16,Registro!$A$587:$A$616,0))),ER$5,0),0)</f>
        <v>0</v>
      </c>
      <c r="ES16" s="0" t="n">
        <f aca="false">IFERROR(IF(ISNUMBER(INDEX(Registro!$U$587:$U$616,MATCH($A16,Registro!$A$587:$A$616,0))),ES$5,0),0)</f>
        <v>0</v>
      </c>
      <c r="ET16" s="0" t="n">
        <f aca="false">IFERROR(IF(ISNUMBER(INDEX(Registro!$AA$587:$AA$616,MATCH($A16,Registro!$A$587:$A$616,0))),ET$5,0),0)</f>
        <v>0</v>
      </c>
      <c r="EU16" s="0" t="n">
        <f aca="false">IFERROR(IF(ISNUMBER(INDEX(Registro!$I$623:$I$652,MATCH($A16,Registro!$A$623:$A$652,0))),EU$5,0),0)</f>
        <v>0</v>
      </c>
      <c r="EV16" s="0" t="n">
        <f aca="false">IFERROR(IF(ISNUMBER(INDEX(Registro!$O$623:$O$652,MATCH($A16,Registro!$A$623:$A$652,0))),EV$5,0),0)</f>
        <v>0</v>
      </c>
      <c r="EW16" s="0" t="n">
        <f aca="false">IFERROR(IF(ISNUMBER(INDEX(Registro!$U$623:$U$652,MATCH($A16,Registro!$A$623:$A$652,0))),EW$5,0),0)</f>
        <v>0</v>
      </c>
      <c r="EX16" s="0" t="n">
        <f aca="false">IFERROR(IF(ISNUMBER(INDEX(Registro!$AA$623:$AA$652,MATCH($A16,Registro!$A$623:$A$652,0))),EX$5,0),0)</f>
        <v>0</v>
      </c>
      <c r="EY16" s="0" t="n">
        <f aca="false">IFERROR(IF(ISNUMBER(INDEX(Registro!$I$659:$I$688,MATCH($A16,Registro!$A$659:$A$688,0))),EY$5,0),0)</f>
        <v>0</v>
      </c>
      <c r="EZ16" s="0" t="n">
        <f aca="false">IFERROR(IF(ISNUMBER(INDEX(Registro!$O$659:$O$688,MATCH($A16,Registro!$A$659:$A$688,0))),EZ$5,0),0)</f>
        <v>0</v>
      </c>
      <c r="FA16" s="0" t="n">
        <f aca="false">IFERROR(IF(ISNUMBER(INDEX(Registro!$U$659:$U$688,MATCH($A16,Registro!$A$659:$A$688,0))),FA$5,0),0)</f>
        <v>0</v>
      </c>
      <c r="FB16" s="0" t="n">
        <f aca="false">IFERROR(IF(ISNUMBER(INDEX(Registro!$AA$659:$AA$688,MATCH($A16,Registro!$A$659:$A$688,0))),FB$5,0),0)</f>
        <v>0</v>
      </c>
      <c r="FC16" s="0" t="n">
        <f aca="false">IFERROR(IF(ISNUMBER(INDEX(Registro!$I$695:$I$724,MATCH($A16,Registro!$A$695:$A$724,0))),FC$5,0),0)</f>
        <v>0</v>
      </c>
      <c r="FD16" s="0" t="n">
        <f aca="false">IFERROR(IF(ISNUMBER(INDEX(Registro!$O$695:$O$724,MATCH($A16,Registro!$A$695:$A$724,0))),FD$5,0),0)</f>
        <v>0</v>
      </c>
      <c r="FE16" s="0" t="n">
        <f aca="false">IFERROR(IF(ISNUMBER(INDEX(Registro!$U$695:$U$724,MATCH($A16,Registro!$A$695:$A$724,0))),FE$5,0),0)</f>
        <v>0</v>
      </c>
      <c r="FF16" s="0" t="n">
        <f aca="false">IFERROR(IF(ISNUMBER(INDEX(Registro!$AA$695:$AA$724,MATCH($A16,Registro!$A$695:$A$724,0))),FF$5,0),0)</f>
        <v>0</v>
      </c>
      <c r="FG16" s="0" t="n">
        <f aca="false">IFERROR(IF(AND(INDEX(Registro!$C$11:$C$40,MATCH($A16,Registro!$A$11:$A$40,0))="AS",INDEX(Registro!$D$11:$D$40,MATCH($A16,Registro!$A$11:$A$40,0))&amp;""=""),1,0),0)</f>
        <v>0</v>
      </c>
      <c r="FH16" s="0" t="n">
        <f aca="false">IFERROR(IF(AND(INDEX(Registro!$C$47:$C$76,MATCH($A16,Registro!$A$47:$A$76,0))="AS",INDEX(Registro!$D$47:$D$76,MATCH($A16,Registro!$A$47:$A$76,0))&amp;""=""),1,0),0)</f>
        <v>0</v>
      </c>
      <c r="FI16" s="0" t="n">
        <f aca="false">IFERROR(IF(AND(INDEX(Registro!$C$83:$C$112,MATCH($A16,Registro!$A$83:$A$112,0))="AS",INDEX(Registro!$D$83:$D$112,MATCH($A16,Registro!$A$83:$A$112,0))&amp;""=""),1,0),0)</f>
        <v>0</v>
      </c>
      <c r="FJ16" s="0" t="n">
        <f aca="false">IFERROR(IF(AND(INDEX(Registro!$C$119:$C$148,MATCH($A16,Registro!$A$119:$A$148,0))="AS",INDEX(Registro!$D$119:$D$148,MATCH($A16,Registro!$A$119:$A$148,0))&amp;""=""),1,0),0)</f>
        <v>0</v>
      </c>
      <c r="FK16" s="0" t="n">
        <f aca="false">IFERROR(IF(AND(INDEX(Registro!$C$155:$C$184,MATCH($A16,Registro!$A$155:$A$184,0))="AS",INDEX(Registro!$D$155:$D$184,MATCH($A16,Registro!$A$155:$A$184,0))&amp;""=""),1,0),0)</f>
        <v>0</v>
      </c>
      <c r="FL16" s="0" t="n">
        <f aca="false">IFERROR(IF(AND(INDEX(Registro!$C$191:$C$220,MATCH($A16,Registro!$A$191:$A$220,0))="AS",INDEX(Registro!$D$191:$D$220,MATCH($A16,Registro!$A$191:$A$220,0))&amp;""=""),1,0),0)</f>
        <v>0</v>
      </c>
      <c r="FM16" s="0" t="n">
        <f aca="false">IFERROR(IF(AND(INDEX(Registro!$C$227:$C$256,MATCH($A16,Registro!$A$227:$A$256,0))="AS",INDEX(Registro!$D$227:$D$256,MATCH($A16,Registro!$A$227:$A$256,0))&amp;""=""),1,0),0)</f>
        <v>0</v>
      </c>
      <c r="FN16" s="0" t="n">
        <f aca="false">IFERROR(IF(AND(INDEX(Registro!$C$263:$C$292,MATCH($A16,Registro!$A$263:$A$292,0))="AS",INDEX(Registro!$D$263:$D$292,MATCH($A16,Registro!$A$263:$A$292,0))&amp;""=""),1,0),0)</f>
        <v>0</v>
      </c>
      <c r="FO16" s="0" t="n">
        <f aca="false">IFERROR(IF(AND(INDEX(Registro!$C$299:$C$328,MATCH($A16,Registro!$A$299:$A$328,0))="AS",INDEX(Registro!$D$299:$D$328,MATCH($A16,Registro!$A$299:$A$328,0))&amp;""=""),1,0),0)</f>
        <v>0</v>
      </c>
      <c r="FP16" s="0" t="n">
        <f aca="false">IFERROR(IF(AND(INDEX(Registro!$C$335:$C$364,MATCH($A16,Registro!$A$335:$A$364,0))="AS",INDEX(Registro!$D$335:$D$364,MATCH($A16,Registro!$A$335:$A$364,0))&amp;""=""),1,0),0)</f>
        <v>0</v>
      </c>
      <c r="FQ16" s="0" t="n">
        <f aca="false">IFERROR(IF(AND(INDEX(Registro!$C$371:$C$400,MATCH($A16,Registro!$A$371:$A$400,0))="AS",INDEX(Registro!$D$371:$D$400,MATCH($A16,Registro!$A$371:$A$400,0))&amp;""=""),1,0),0)</f>
        <v>0</v>
      </c>
      <c r="FR16" s="0" t="n">
        <f aca="false">IFERROR(IF(AND(INDEX(Registro!$C$407:$C$436,MATCH($A16,Registro!$A$407:$A$436,0))="AS",INDEX(Registro!$D$407:$D$436,MATCH($A16,Registro!$A$407:$A$436,0))&amp;""=""),1,0),0)</f>
        <v>0</v>
      </c>
      <c r="FS16" s="0" t="n">
        <f aca="false">IFERROR(IF(AND(INDEX(Registro!$C$443:$C$472,MATCH($A16,Registro!$A$443:$A$472,0))="AS",INDEX(Registro!$D$443:$D$472,MATCH($A16,Registro!$A$443:$A$472,0))&amp;""=""),1,0),0)</f>
        <v>0</v>
      </c>
      <c r="FT16" s="0" t="n">
        <f aca="false">IFERROR(IF(AND(INDEX(Registro!$C$479:$C$508,MATCH($A16,Registro!$A$479:$A$508,0))="AS",INDEX(Registro!$D$479:$D$508,MATCH($A16,Registro!$A$479:$A$508,0))&amp;""=""),1,0),0)</f>
        <v>0</v>
      </c>
      <c r="FU16" s="0" t="n">
        <f aca="false">IFERROR(IF(AND(INDEX(Registro!$C$515:$C$544,MATCH($A16,Registro!$A$515:$A$544,0))="AS",INDEX(Registro!$D$515:$D$544,MATCH($A16,Registro!$A$515:$A$544,0))&amp;""=""),1,0),0)</f>
        <v>0</v>
      </c>
      <c r="FV16" s="0" t="n">
        <f aca="false">IFERROR(IF(AND(INDEX(Registro!$C$551:$C$580,MATCH($A16,Registro!$A$551:$A$580,0))="AS",INDEX(Registro!$D$551:$D$580,MATCH($A16,Registro!$A$551:$A$580,0))&amp;""=""),1,0),0)</f>
        <v>0</v>
      </c>
      <c r="FW16" s="0" t="n">
        <f aca="false">IFERROR(IF(AND(INDEX(Registro!$C$587:$C$616,MATCH($A16,Registro!$A$587:$A$616,0))="AS",INDEX(Registro!$D$587:$D$616,MATCH($A16,Registro!$A$587:$A$616,0))&amp;""=""),1,0),0)</f>
        <v>0</v>
      </c>
      <c r="FX16" s="0" t="n">
        <f aca="false">IFERROR(IF(AND(INDEX(Registro!$C$623:$C$652,MATCH($A16,Registro!$A$623:$A$652,0))="AS",INDEX(Registro!$D$623:$D$652,MATCH($A16,Registro!$A$623:$A$652,0))&amp;""=""),1,0),0)</f>
        <v>0</v>
      </c>
      <c r="FY16" s="0" t="n">
        <f aca="false">IFERROR(IF(AND(INDEX(Registro!$C$659:$C$688,MATCH($A16,Registro!$A$659:$A$688,0))="AS",INDEX(Registro!$D$659:$D$688,MATCH($A16,Registro!$A$659:$A$688,0))&amp;""=""),1,0),0)</f>
        <v>0</v>
      </c>
      <c r="FZ16" s="0" t="n">
        <f aca="false">IFERROR(IF(AND(INDEX(Registro!$C$695:$C$724,MATCH($A16,Registro!$A$695:$A$724,0))="AS",INDEX(Registro!$D$695:$D$724,MATCH($A16,Registro!$A$695:$A$724,0))&amp;""=""),1,0),0)</f>
        <v>0</v>
      </c>
    </row>
    <row r="17" customFormat="false" ht="15" hidden="false" customHeight="false" outlineLevel="0" collapsed="false">
      <c r="A17" s="0" t="n">
        <v>11</v>
      </c>
      <c r="C17" s="0" t="n">
        <f aca="false">IFERROR(N(INDEX(Registro!$I$11:$I$40,MATCH($A17,Registro!$A$11:$A$40,0))),0)</f>
        <v>0</v>
      </c>
      <c r="D17" s="0" t="n">
        <f aca="false">IFERROR(N(INDEX(Registro!$O$11:$O$40,MATCH($A17,Registro!$A$11:$A$40,0))),0)</f>
        <v>0</v>
      </c>
      <c r="E17" s="0" t="n">
        <f aca="false">IFERROR(N(INDEX(Registro!$U$11:$U$40,MATCH($A17,Registro!$A$11:$A$40,0))),0)</f>
        <v>0</v>
      </c>
      <c r="F17" s="0" t="n">
        <f aca="false">IFERROR(N(INDEX(Registro!$AA$11:$AA$40,MATCH($A17,Registro!$A$11:$A$40,0))),0)</f>
        <v>0</v>
      </c>
      <c r="G17" s="0" t="n">
        <f aca="false">IFERROR(N(INDEX(Registro!$I$47:$I$76,MATCH($A17,Registro!$A$47:$A$76,0))),0)</f>
        <v>0</v>
      </c>
      <c r="H17" s="0" t="n">
        <f aca="false">IFERROR(N(INDEX(Registro!$O$47:$O$76,MATCH($A17,Registro!$A$47:$A$76,0))),0)</f>
        <v>0</v>
      </c>
      <c r="I17" s="0" t="n">
        <f aca="false">IFERROR(N(INDEX(Registro!$U$47:$U$76,MATCH($A17,Registro!$A$47:$A$76,0))),0)</f>
        <v>0</v>
      </c>
      <c r="J17" s="0" t="n">
        <f aca="false">IFERROR(N(INDEX(Registro!$AA$47:$AA$76,MATCH($A17,Registro!$A$47:$A$76,0))),0)</f>
        <v>0</v>
      </c>
      <c r="K17" s="0" t="n">
        <f aca="false">IFERROR(N(INDEX(Registro!$I$83:$I$112,MATCH($A17,Registro!$A$83:$A$112,0))),0)</f>
        <v>0</v>
      </c>
      <c r="L17" s="0" t="n">
        <f aca="false">IFERROR(N(INDEX(Registro!$O$83:$O$112,MATCH($A17,Registro!$A$83:$A$112,0))),0)</f>
        <v>0</v>
      </c>
      <c r="M17" s="0" t="n">
        <f aca="false">IFERROR(N(INDEX(Registro!$U$83:$U$112,MATCH($A17,Registro!$A$83:$A$112,0))),0)</f>
        <v>0</v>
      </c>
      <c r="N17" s="0" t="n">
        <f aca="false">IFERROR(N(INDEX(Registro!$AA$83:$AA$112,MATCH($A17,Registro!$A$83:$A$112,0))),0)</f>
        <v>0</v>
      </c>
      <c r="O17" s="0" t="n">
        <f aca="false">IFERROR(N(INDEX(Registro!$I$119:$I$148,MATCH($A17,Registro!$A$119:$A$148,0))),0)</f>
        <v>0</v>
      </c>
      <c r="P17" s="0" t="n">
        <f aca="false">IFERROR(N(INDEX(Registro!$O$119:$O$148,MATCH($A17,Registro!$A$119:$A$148,0))),0)</f>
        <v>0</v>
      </c>
      <c r="Q17" s="0" t="n">
        <f aca="false">IFERROR(N(INDEX(Registro!$U$119:$U$148,MATCH($A17,Registro!$A$119:$A$148,0))),0)</f>
        <v>0</v>
      </c>
      <c r="R17" s="0" t="n">
        <f aca="false">IFERROR(N(INDEX(Registro!$AA$119:$AA$148,MATCH($A17,Registro!$A$119:$A$148,0))),0)</f>
        <v>0</v>
      </c>
      <c r="S17" s="0" t="n">
        <f aca="false">IFERROR(N(INDEX(Registro!$I$155:$I$184,MATCH($A17,Registro!$A$155:$A$184,0))),0)</f>
        <v>0</v>
      </c>
      <c r="T17" s="0" t="n">
        <f aca="false">IFERROR(N(INDEX(Registro!$O$155:$O$184,MATCH($A17,Registro!$A$155:$A$184,0))),0)</f>
        <v>0</v>
      </c>
      <c r="U17" s="0" t="n">
        <f aca="false">IFERROR(N(INDEX(Registro!$U$155:$U$184,MATCH($A17,Registro!$A$155:$A$184,0))),0)</f>
        <v>0</v>
      </c>
      <c r="V17" s="0" t="n">
        <f aca="false">IFERROR(N(INDEX(Registro!$AA$155:$AA$184,MATCH($A17,Registro!$A$155:$A$184,0))),0)</f>
        <v>0</v>
      </c>
      <c r="W17" s="0" t="n">
        <f aca="false">IFERROR(N(INDEX(Registro!$I$191:$I$220,MATCH($A17,Registro!$A$191:$A$220,0))),0)</f>
        <v>0</v>
      </c>
      <c r="X17" s="0" t="n">
        <f aca="false">IFERROR(N(INDEX(Registro!$O$191:$O$220,MATCH($A17,Registro!$A$191:$A$220,0))),0)</f>
        <v>0</v>
      </c>
      <c r="Y17" s="0" t="n">
        <f aca="false">IFERROR(N(INDEX(Registro!$U$191:$U$220,MATCH($A17,Registro!$A$191:$A$220,0))),0)</f>
        <v>0</v>
      </c>
      <c r="Z17" s="0" t="n">
        <f aca="false">IFERROR(N(INDEX(Registro!$AA$191:$AA$220,MATCH($A17,Registro!$A$191:$A$220,0))),0)</f>
        <v>0</v>
      </c>
      <c r="AA17" s="0" t="n">
        <f aca="false">IFERROR(N(INDEX(Registro!$I$227:$I$256,MATCH($A17,Registro!$A$227:$A$256,0))),0)</f>
        <v>0</v>
      </c>
      <c r="AB17" s="0" t="n">
        <f aca="false">IFERROR(N(INDEX(Registro!$O$227:$O$256,MATCH($A17,Registro!$A$227:$A$256,0))),0)</f>
        <v>0</v>
      </c>
      <c r="AC17" s="0" t="n">
        <f aca="false">IFERROR(N(INDEX(Registro!$U$227:$U$256,MATCH($A17,Registro!$A$227:$A$256,0))),0)</f>
        <v>0</v>
      </c>
      <c r="AD17" s="0" t="n">
        <f aca="false">IFERROR(N(INDEX(Registro!$AA$227:$AA$256,MATCH($A17,Registro!$A$227:$A$256,0))),0)</f>
        <v>0</v>
      </c>
      <c r="AE17" s="0" t="n">
        <f aca="false">IFERROR(N(INDEX(Registro!$I$263:$I$292,MATCH($A17,Registro!$A$263:$A$292,0))),0)</f>
        <v>0</v>
      </c>
      <c r="AF17" s="0" t="n">
        <f aca="false">IFERROR(N(INDEX(Registro!$O$263:$O$292,MATCH($A17,Registro!$A$263:$A$292,0))),0)</f>
        <v>0</v>
      </c>
      <c r="AG17" s="0" t="n">
        <f aca="false">IFERROR(N(INDEX(Registro!$U$263:$U$292,MATCH($A17,Registro!$A$263:$A$292,0))),0)</f>
        <v>0</v>
      </c>
      <c r="AH17" s="0" t="n">
        <f aca="false">IFERROR(N(INDEX(Registro!$AA$263:$AA$292,MATCH($A17,Registro!$A$263:$A$292,0))),0)</f>
        <v>0</v>
      </c>
      <c r="AI17" s="0" t="n">
        <f aca="false">IFERROR(N(INDEX(Registro!$I$299:$I$328,MATCH($A17,Registro!$A$299:$A$328,0))),0)</f>
        <v>0</v>
      </c>
      <c r="AJ17" s="0" t="n">
        <f aca="false">IFERROR(N(INDEX(Registro!$O$299:$O$328,MATCH($A17,Registro!$A$299:$A$328,0))),0)</f>
        <v>0</v>
      </c>
      <c r="AK17" s="0" t="n">
        <f aca="false">IFERROR(N(INDEX(Registro!$U$299:$U$328,MATCH($A17,Registro!$A$299:$A$328,0))),0)</f>
        <v>0</v>
      </c>
      <c r="AL17" s="0" t="n">
        <f aca="false">IFERROR(N(INDEX(Registro!$AA$299:$AA$328,MATCH($A17,Registro!$A$299:$A$328,0))),0)</f>
        <v>0</v>
      </c>
      <c r="AM17" s="0" t="n">
        <f aca="false">IFERROR(N(INDEX(Registro!$I$335:$I$364,MATCH($A17,Registro!$A$335:$A$364,0))),0)</f>
        <v>0</v>
      </c>
      <c r="AN17" s="0" t="n">
        <f aca="false">IFERROR(N(INDEX(Registro!$O$335:$O$364,MATCH($A17,Registro!$A$335:$A$364,0))),0)</f>
        <v>0</v>
      </c>
      <c r="AO17" s="0" t="n">
        <f aca="false">IFERROR(N(INDEX(Registro!$U$335:$U$364,MATCH($A17,Registro!$A$335:$A$364,0))),0)</f>
        <v>0</v>
      </c>
      <c r="AP17" s="0" t="n">
        <f aca="false">IFERROR(N(INDEX(Registro!$AA$335:$AA$364,MATCH($A17,Registro!$A$335:$A$364,0))),0)</f>
        <v>0</v>
      </c>
      <c r="AQ17" s="0" t="n">
        <f aca="false">IFERROR(N(INDEX(Registro!$I$371:$I$400,MATCH($A17,Registro!$A$371:$A$400,0))),0)</f>
        <v>0</v>
      </c>
      <c r="AR17" s="0" t="n">
        <f aca="false">IFERROR(N(INDEX(Registro!$O$371:$O$400,MATCH($A17,Registro!$A$371:$A$400,0))),0)</f>
        <v>0</v>
      </c>
      <c r="AS17" s="0" t="n">
        <f aca="false">IFERROR(N(INDEX(Registro!$U$371:$U$400,MATCH($A17,Registro!$A$371:$A$400,0))),0)</f>
        <v>0</v>
      </c>
      <c r="AT17" s="0" t="n">
        <f aca="false">IFERROR(N(INDEX(Registro!$AA$371:$AA$400,MATCH($A17,Registro!$A$371:$A$400,0))),0)</f>
        <v>0</v>
      </c>
      <c r="AU17" s="0" t="n">
        <f aca="false">IFERROR(N(INDEX(Registro!$I$407:$I$436,MATCH($A17,Registro!$A$407:$A$436,0))),0)</f>
        <v>0</v>
      </c>
      <c r="AV17" s="0" t="n">
        <f aca="false">IFERROR(N(INDEX(Registro!$O$407:$O$436,MATCH($A17,Registro!$A$407:$A$436,0))),0)</f>
        <v>0</v>
      </c>
      <c r="AW17" s="0" t="n">
        <f aca="false">IFERROR(N(INDEX(Registro!$U$407:$U$436,MATCH($A17,Registro!$A$407:$A$436,0))),0)</f>
        <v>0</v>
      </c>
      <c r="AX17" s="0" t="n">
        <f aca="false">IFERROR(N(INDEX(Registro!$AA$407:$AA$436,MATCH($A17,Registro!$A$407:$A$436,0))),0)</f>
        <v>0</v>
      </c>
      <c r="AY17" s="0" t="n">
        <f aca="false">IFERROR(N(INDEX(Registro!$I$443:$I$472,MATCH($A17,Registro!$A$443:$A$472,0))),0)</f>
        <v>0</v>
      </c>
      <c r="AZ17" s="0" t="n">
        <f aca="false">IFERROR(N(INDEX(Registro!$O$443:$O$472,MATCH($A17,Registro!$A$443:$A$472,0))),0)</f>
        <v>0</v>
      </c>
      <c r="BA17" s="0" t="n">
        <f aca="false">IFERROR(N(INDEX(Registro!$U$443:$U$472,MATCH($A17,Registro!$A$443:$A$472,0))),0)</f>
        <v>0</v>
      </c>
      <c r="BB17" s="0" t="n">
        <f aca="false">IFERROR(N(INDEX(Registro!$AA$443:$AA$472,MATCH($A17,Registro!$A$443:$A$472,0))),0)</f>
        <v>0</v>
      </c>
      <c r="BC17" s="0" t="n">
        <f aca="false">IFERROR(N(INDEX(Registro!$I$479:$I$508,MATCH($A17,Registro!$A$479:$A$508,0))),0)</f>
        <v>0</v>
      </c>
      <c r="BD17" s="0" t="n">
        <f aca="false">IFERROR(N(INDEX(Registro!$O$479:$O$508,MATCH($A17,Registro!$A$479:$A$508,0))),0)</f>
        <v>0</v>
      </c>
      <c r="BE17" s="0" t="n">
        <f aca="false">IFERROR(N(INDEX(Registro!$U$479:$U$508,MATCH($A17,Registro!$A$479:$A$508,0))),0)</f>
        <v>0</v>
      </c>
      <c r="BF17" s="0" t="n">
        <f aca="false">IFERROR(N(INDEX(Registro!$AA$479:$AA$508,MATCH($A17,Registro!$A$479:$A$508,0))),0)</f>
        <v>0</v>
      </c>
      <c r="BG17" s="0" t="n">
        <f aca="false">IFERROR(N(INDEX(Registro!$I$515:$I$544,MATCH($A17,Registro!$A$515:$A$544,0))),0)</f>
        <v>0</v>
      </c>
      <c r="BH17" s="0" t="n">
        <f aca="false">IFERROR(N(INDEX(Registro!$O$515:$O$544,MATCH($A17,Registro!$A$515:$A$544,0))),0)</f>
        <v>0</v>
      </c>
      <c r="BI17" s="0" t="n">
        <f aca="false">IFERROR(N(INDEX(Registro!$U$515:$U$544,MATCH($A17,Registro!$A$515:$A$544,0))),0)</f>
        <v>0</v>
      </c>
      <c r="BJ17" s="0" t="n">
        <f aca="false">IFERROR(N(INDEX(Registro!$AA$515:$AA$544,MATCH($A17,Registro!$A$515:$A$544,0))),0)</f>
        <v>0</v>
      </c>
      <c r="BK17" s="0" t="n">
        <f aca="false">IFERROR(N(INDEX(Registro!$I$551:$I$580,MATCH($A17,Registro!$A$551:$A$580,0))),0)</f>
        <v>0</v>
      </c>
      <c r="BL17" s="0" t="n">
        <f aca="false">IFERROR(N(INDEX(Registro!$O$551:$O$580,MATCH($A17,Registro!$A$551:$A$580,0))),0)</f>
        <v>0</v>
      </c>
      <c r="BM17" s="0" t="n">
        <f aca="false">IFERROR(N(INDEX(Registro!$U$551:$U$580,MATCH($A17,Registro!$A$551:$A$580,0))),0)</f>
        <v>0</v>
      </c>
      <c r="BN17" s="0" t="n">
        <f aca="false">IFERROR(N(INDEX(Registro!$AA$551:$AA$580,MATCH($A17,Registro!$A$551:$A$580,0))),0)</f>
        <v>0</v>
      </c>
      <c r="BO17" s="0" t="n">
        <f aca="false">IFERROR(N(INDEX(Registro!$I$587:$I$616,MATCH($A17,Registro!$A$587:$A$616,0))),0)</f>
        <v>0</v>
      </c>
      <c r="BP17" s="0" t="n">
        <f aca="false">IFERROR(N(INDEX(Registro!$O$587:$O$616,MATCH($A17,Registro!$A$587:$A$616,0))),0)</f>
        <v>0</v>
      </c>
      <c r="BQ17" s="0" t="n">
        <f aca="false">IFERROR(N(INDEX(Registro!$U$587:$U$616,MATCH($A17,Registro!$A$587:$A$616,0))),0)</f>
        <v>0</v>
      </c>
      <c r="BR17" s="0" t="n">
        <f aca="false">IFERROR(N(INDEX(Registro!$AA$587:$AA$616,MATCH($A17,Registro!$A$587:$A$616,0))),0)</f>
        <v>0</v>
      </c>
      <c r="BS17" s="0" t="n">
        <f aca="false">IFERROR(N(INDEX(Registro!$I$623:$I$652,MATCH($A17,Registro!$A$623:$A$652,0))),0)</f>
        <v>0</v>
      </c>
      <c r="BT17" s="0" t="n">
        <f aca="false">IFERROR(N(INDEX(Registro!$O$623:$O$652,MATCH($A17,Registro!$A$623:$A$652,0))),0)</f>
        <v>0</v>
      </c>
      <c r="BU17" s="0" t="n">
        <f aca="false">IFERROR(N(INDEX(Registro!$U$623:$U$652,MATCH($A17,Registro!$A$623:$A$652,0))),0)</f>
        <v>0</v>
      </c>
      <c r="BV17" s="0" t="n">
        <f aca="false">IFERROR(N(INDEX(Registro!$AA$623:$AA$652,MATCH($A17,Registro!$A$623:$A$652,0))),0)</f>
        <v>0</v>
      </c>
      <c r="BW17" s="0" t="n">
        <f aca="false">IFERROR(N(INDEX(Registro!$I$659:$I$688,MATCH($A17,Registro!$A$659:$A$688,0))),0)</f>
        <v>0</v>
      </c>
      <c r="BX17" s="0" t="n">
        <f aca="false">IFERROR(N(INDEX(Registro!$O$659:$O$688,MATCH($A17,Registro!$A$659:$A$688,0))),0)</f>
        <v>0</v>
      </c>
      <c r="BY17" s="0" t="n">
        <f aca="false">IFERROR(N(INDEX(Registro!$U$659:$U$688,MATCH($A17,Registro!$A$659:$A$688,0))),0)</f>
        <v>0</v>
      </c>
      <c r="BZ17" s="0" t="n">
        <f aca="false">IFERROR(N(INDEX(Registro!$AA$659:$AA$688,MATCH($A17,Registro!$A$659:$A$688,0))),0)</f>
        <v>0</v>
      </c>
      <c r="CA17" s="0" t="n">
        <f aca="false">IFERROR(N(INDEX(Registro!$I$695:$I$724,MATCH($A17,Registro!$A$695:$A$724,0))),0)</f>
        <v>0</v>
      </c>
      <c r="CB17" s="0" t="n">
        <f aca="false">IFERROR(N(INDEX(Registro!$O$695:$O$724,MATCH($A17,Registro!$A$695:$A$724,0))),0)</f>
        <v>0</v>
      </c>
      <c r="CC17" s="0" t="n">
        <f aca="false">IFERROR(N(INDEX(Registro!$U$695:$U$724,MATCH($A17,Registro!$A$695:$A$724,0))),0)</f>
        <v>0</v>
      </c>
      <c r="CD17" s="0" t="n">
        <f aca="false">IFERROR(N(INDEX(Registro!$AA$695:$AA$724,MATCH($A17,Registro!$A$695:$A$724,0))),0)</f>
        <v>0</v>
      </c>
      <c r="CE17" s="0" t="n">
        <f aca="false">IFERROR(IF(ISNUMBER(INDEX(Registro!$I$11:$I$40,MATCH($A17,Registro!$A$11:$A$40,0))),CE$5,0),0)</f>
        <v>0</v>
      </c>
      <c r="CF17" s="0" t="n">
        <f aca="false">IFERROR(IF(ISNUMBER(INDEX(Registro!$O$11:$O$40,MATCH($A17,Registro!$A$11:$A$40,0))),CF$5,0),0)</f>
        <v>0</v>
      </c>
      <c r="CG17" s="0" t="n">
        <f aca="false">IFERROR(IF(ISNUMBER(INDEX(Registro!$U$11:$U$40,MATCH($A17,Registro!$A$11:$A$40,0))),CG$5,0),0)</f>
        <v>0</v>
      </c>
      <c r="CH17" s="0" t="n">
        <f aca="false">IFERROR(IF(ISNUMBER(INDEX(Registro!$AA$11:$AA$40,MATCH($A17,Registro!$A$11:$A$40,0))),CH$5,0),0)</f>
        <v>0</v>
      </c>
      <c r="CI17" s="0" t="n">
        <f aca="false">IFERROR(IF(ISNUMBER(INDEX(Registro!$I$47:$I$76,MATCH($A17,Registro!$A$47:$A$76,0))),CI$5,0),0)</f>
        <v>0</v>
      </c>
      <c r="CJ17" s="0" t="n">
        <f aca="false">IFERROR(IF(ISNUMBER(INDEX(Registro!$O$47:$O$76,MATCH($A17,Registro!$A$47:$A$76,0))),CJ$5,0),0)</f>
        <v>0</v>
      </c>
      <c r="CK17" s="0" t="n">
        <f aca="false">IFERROR(IF(ISNUMBER(INDEX(Registro!$U$47:$U$76,MATCH($A17,Registro!$A$47:$A$76,0))),CK$5,0),0)</f>
        <v>0</v>
      </c>
      <c r="CL17" s="0" t="n">
        <f aca="false">IFERROR(IF(ISNUMBER(INDEX(Registro!$AA$47:$AA$76,MATCH($A17,Registro!$A$47:$A$76,0))),CL$5,0),0)</f>
        <v>0</v>
      </c>
      <c r="CM17" s="0" t="n">
        <f aca="false">IFERROR(IF(ISNUMBER(INDEX(Registro!$I$83:$I$112,MATCH($A17,Registro!$A$83:$A$112,0))),CM$5,0),0)</f>
        <v>0</v>
      </c>
      <c r="CN17" s="0" t="n">
        <f aca="false">IFERROR(IF(ISNUMBER(INDEX(Registro!$O$83:$O$112,MATCH($A17,Registro!$A$83:$A$112,0))),CN$5,0),0)</f>
        <v>0</v>
      </c>
      <c r="CO17" s="0" t="n">
        <f aca="false">IFERROR(IF(ISNUMBER(INDEX(Registro!$U$83:$U$112,MATCH($A17,Registro!$A$83:$A$112,0))),CO$5,0),0)</f>
        <v>0</v>
      </c>
      <c r="CP17" s="0" t="n">
        <f aca="false">IFERROR(IF(ISNUMBER(INDEX(Registro!$AA$83:$AA$112,MATCH($A17,Registro!$A$83:$A$112,0))),CP$5,0),0)</f>
        <v>0</v>
      </c>
      <c r="CQ17" s="0" t="n">
        <f aca="false">IFERROR(IF(ISNUMBER(INDEX(Registro!$I$119:$I$148,MATCH($A17,Registro!$A$119:$A$148,0))),CQ$5,0),0)</f>
        <v>0</v>
      </c>
      <c r="CR17" s="0" t="n">
        <f aca="false">IFERROR(IF(ISNUMBER(INDEX(Registro!$O$119:$O$148,MATCH($A17,Registro!$A$119:$A$148,0))),CR$5,0),0)</f>
        <v>0</v>
      </c>
      <c r="CS17" s="0" t="n">
        <f aca="false">IFERROR(IF(ISNUMBER(INDEX(Registro!$U$119:$U$148,MATCH($A17,Registro!$A$119:$A$148,0))),CS$5,0),0)</f>
        <v>0</v>
      </c>
      <c r="CT17" s="0" t="n">
        <f aca="false">IFERROR(IF(ISNUMBER(INDEX(Registro!$AA$119:$AA$148,MATCH($A17,Registro!$A$119:$A$148,0))),CT$5,0),0)</f>
        <v>0</v>
      </c>
      <c r="CU17" s="0" t="n">
        <f aca="false">IFERROR(IF(ISNUMBER(INDEX(Registro!$I$155:$I$184,MATCH($A17,Registro!$A$155:$A$184,0))),CU$5,0),0)</f>
        <v>0</v>
      </c>
      <c r="CV17" s="0" t="n">
        <f aca="false">IFERROR(IF(ISNUMBER(INDEX(Registro!$O$155:$O$184,MATCH($A17,Registro!$A$155:$A$184,0))),CV$5,0),0)</f>
        <v>0</v>
      </c>
      <c r="CW17" s="0" t="n">
        <f aca="false">IFERROR(IF(ISNUMBER(INDEX(Registro!$U$155:$U$184,MATCH($A17,Registro!$A$155:$A$184,0))),CW$5,0),0)</f>
        <v>0</v>
      </c>
      <c r="CX17" s="0" t="n">
        <f aca="false">IFERROR(IF(ISNUMBER(INDEX(Registro!$AA$155:$AA$184,MATCH($A17,Registro!$A$155:$A$184,0))),CX$5,0),0)</f>
        <v>0</v>
      </c>
      <c r="CY17" s="0" t="n">
        <f aca="false">IFERROR(IF(ISNUMBER(INDEX(Registro!$I$191:$I$220,MATCH($A17,Registro!$A$191:$A$220,0))),CY$5,0),0)</f>
        <v>0</v>
      </c>
      <c r="CZ17" s="0" t="n">
        <f aca="false">IFERROR(IF(ISNUMBER(INDEX(Registro!$O$191:$O$220,MATCH($A17,Registro!$A$191:$A$220,0))),CZ$5,0),0)</f>
        <v>0</v>
      </c>
      <c r="DA17" s="0" t="n">
        <f aca="false">IFERROR(IF(ISNUMBER(INDEX(Registro!$U$191:$U$220,MATCH($A17,Registro!$A$191:$A$220,0))),DA$5,0),0)</f>
        <v>0</v>
      </c>
      <c r="DB17" s="0" t="n">
        <f aca="false">IFERROR(IF(ISNUMBER(INDEX(Registro!$AA$191:$AA$220,MATCH($A17,Registro!$A$191:$A$220,0))),DB$5,0),0)</f>
        <v>0</v>
      </c>
      <c r="DC17" s="0" t="n">
        <f aca="false">IFERROR(IF(ISNUMBER(INDEX(Registro!$I$227:$I$256,MATCH($A17,Registro!$A$227:$A$256,0))),DC$5,0),0)</f>
        <v>0</v>
      </c>
      <c r="DD17" s="0" t="n">
        <f aca="false">IFERROR(IF(ISNUMBER(INDEX(Registro!$O$227:$O$256,MATCH($A17,Registro!$A$227:$A$256,0))),DD$5,0),0)</f>
        <v>0</v>
      </c>
      <c r="DE17" s="0" t="n">
        <f aca="false">IFERROR(IF(ISNUMBER(INDEX(Registro!$U$227:$U$256,MATCH($A17,Registro!$A$227:$A$256,0))),DE$5,0),0)</f>
        <v>0</v>
      </c>
      <c r="DF17" s="0" t="n">
        <f aca="false">IFERROR(IF(ISNUMBER(INDEX(Registro!$AA$227:$AA$256,MATCH($A17,Registro!$A$227:$A$256,0))),DF$5,0),0)</f>
        <v>0</v>
      </c>
      <c r="DG17" s="0" t="n">
        <f aca="false">IFERROR(IF(ISNUMBER(INDEX(Registro!$I$263:$I$292,MATCH($A17,Registro!$A$263:$A$292,0))),DG$5,0),0)</f>
        <v>0</v>
      </c>
      <c r="DH17" s="0" t="n">
        <f aca="false">IFERROR(IF(ISNUMBER(INDEX(Registro!$O$263:$O$292,MATCH($A17,Registro!$A$263:$A$292,0))),DH$5,0),0)</f>
        <v>0</v>
      </c>
      <c r="DI17" s="0" t="n">
        <f aca="false">IFERROR(IF(ISNUMBER(INDEX(Registro!$U$263:$U$292,MATCH($A17,Registro!$A$263:$A$292,0))),DI$5,0),0)</f>
        <v>0</v>
      </c>
      <c r="DJ17" s="0" t="n">
        <f aca="false">IFERROR(IF(ISNUMBER(INDEX(Registro!$AA$263:$AA$292,MATCH($A17,Registro!$A$263:$A$292,0))),DJ$5,0),0)</f>
        <v>0</v>
      </c>
      <c r="DK17" s="0" t="n">
        <f aca="false">IFERROR(IF(ISNUMBER(INDEX(Registro!$I$299:$I$328,MATCH($A17,Registro!$A$299:$A$328,0))),DK$5,0),0)</f>
        <v>0</v>
      </c>
      <c r="DL17" s="0" t="n">
        <f aca="false">IFERROR(IF(ISNUMBER(INDEX(Registro!$O$299:$O$328,MATCH($A17,Registro!$A$299:$A$328,0))),DL$5,0),0)</f>
        <v>0</v>
      </c>
      <c r="DM17" s="0" t="n">
        <f aca="false">IFERROR(IF(ISNUMBER(INDEX(Registro!$U$299:$U$328,MATCH($A17,Registro!$A$299:$A$328,0))),DM$5,0),0)</f>
        <v>0</v>
      </c>
      <c r="DN17" s="0" t="n">
        <f aca="false">IFERROR(IF(ISNUMBER(INDEX(Registro!$AA$299:$AA$328,MATCH($A17,Registro!$A$299:$A$328,0))),DN$5,0),0)</f>
        <v>0</v>
      </c>
      <c r="DO17" s="0" t="n">
        <f aca="false">IFERROR(IF(ISNUMBER(INDEX(Registro!$I$335:$I$364,MATCH($A17,Registro!$A$335:$A$364,0))),DO$5,0),0)</f>
        <v>0</v>
      </c>
      <c r="DP17" s="0" t="n">
        <f aca="false">IFERROR(IF(ISNUMBER(INDEX(Registro!$O$335:$O$364,MATCH($A17,Registro!$A$335:$A$364,0))),DP$5,0),0)</f>
        <v>0</v>
      </c>
      <c r="DQ17" s="0" t="n">
        <f aca="false">IFERROR(IF(ISNUMBER(INDEX(Registro!$U$335:$U$364,MATCH($A17,Registro!$A$335:$A$364,0))),DQ$5,0),0)</f>
        <v>0</v>
      </c>
      <c r="DR17" s="0" t="n">
        <f aca="false">IFERROR(IF(ISNUMBER(INDEX(Registro!$AA$335:$AA$364,MATCH($A17,Registro!$A$335:$A$364,0))),DR$5,0),0)</f>
        <v>0</v>
      </c>
      <c r="DS17" s="0" t="n">
        <f aca="false">IFERROR(IF(ISNUMBER(INDEX(Registro!$I$371:$I$400,MATCH($A17,Registro!$A$371:$A$400,0))),DS$5,0),0)</f>
        <v>0</v>
      </c>
      <c r="DT17" s="0" t="n">
        <f aca="false">IFERROR(IF(ISNUMBER(INDEX(Registro!$O$371:$O$400,MATCH($A17,Registro!$A$371:$A$400,0))),DT$5,0),0)</f>
        <v>0</v>
      </c>
      <c r="DU17" s="0" t="n">
        <f aca="false">IFERROR(IF(ISNUMBER(INDEX(Registro!$U$371:$U$400,MATCH($A17,Registro!$A$371:$A$400,0))),DU$5,0),0)</f>
        <v>0</v>
      </c>
      <c r="DV17" s="0" t="n">
        <f aca="false">IFERROR(IF(ISNUMBER(INDEX(Registro!$AA$371:$AA$400,MATCH($A17,Registro!$A$371:$A$400,0))),DV$5,0),0)</f>
        <v>0</v>
      </c>
      <c r="DW17" s="0" t="n">
        <f aca="false">IFERROR(IF(ISNUMBER(INDEX(Registro!$I$407:$I$436,MATCH($A17,Registro!$A$407:$A$436,0))),DW$5,0),0)</f>
        <v>0</v>
      </c>
      <c r="DX17" s="0" t="n">
        <f aca="false">IFERROR(IF(ISNUMBER(INDEX(Registro!$O$407:$O$436,MATCH($A17,Registro!$A$407:$A$436,0))),DX$5,0),0)</f>
        <v>0</v>
      </c>
      <c r="DY17" s="0" t="n">
        <f aca="false">IFERROR(IF(ISNUMBER(INDEX(Registro!$U$407:$U$436,MATCH($A17,Registro!$A$407:$A$436,0))),DY$5,0),0)</f>
        <v>0</v>
      </c>
      <c r="DZ17" s="0" t="n">
        <f aca="false">IFERROR(IF(ISNUMBER(INDEX(Registro!$AA$407:$AA$436,MATCH($A17,Registro!$A$407:$A$436,0))),DZ$5,0),0)</f>
        <v>0</v>
      </c>
      <c r="EA17" s="0" t="n">
        <f aca="false">IFERROR(IF(ISNUMBER(INDEX(Registro!$I$443:$I$472,MATCH($A17,Registro!$A$443:$A$472,0))),EA$5,0),0)</f>
        <v>0</v>
      </c>
      <c r="EB17" s="0" t="n">
        <f aca="false">IFERROR(IF(ISNUMBER(INDEX(Registro!$O$443:$O$472,MATCH($A17,Registro!$A$443:$A$472,0))),EB$5,0),0)</f>
        <v>0</v>
      </c>
      <c r="EC17" s="0" t="n">
        <f aca="false">IFERROR(IF(ISNUMBER(INDEX(Registro!$U$443:$U$472,MATCH($A17,Registro!$A$443:$A$472,0))),EC$5,0),0)</f>
        <v>0</v>
      </c>
      <c r="ED17" s="0" t="n">
        <f aca="false">IFERROR(IF(ISNUMBER(INDEX(Registro!$AA$443:$AA$472,MATCH($A17,Registro!$A$443:$A$472,0))),ED$5,0),0)</f>
        <v>0</v>
      </c>
      <c r="EE17" s="0" t="n">
        <f aca="false">IFERROR(IF(ISNUMBER(INDEX(Registro!$I$479:$I$508,MATCH($A17,Registro!$A$479:$A$508,0))),EE$5,0),0)</f>
        <v>0</v>
      </c>
      <c r="EF17" s="0" t="n">
        <f aca="false">IFERROR(IF(ISNUMBER(INDEX(Registro!$O$479:$O$508,MATCH($A17,Registro!$A$479:$A$508,0))),EF$5,0),0)</f>
        <v>0</v>
      </c>
      <c r="EG17" s="0" t="n">
        <f aca="false">IFERROR(IF(ISNUMBER(INDEX(Registro!$U$479:$U$508,MATCH($A17,Registro!$A$479:$A$508,0))),EG$5,0),0)</f>
        <v>0</v>
      </c>
      <c r="EH17" s="0" t="n">
        <f aca="false">IFERROR(IF(ISNUMBER(INDEX(Registro!$AA$479:$AA$508,MATCH($A17,Registro!$A$479:$A$508,0))),EH$5,0),0)</f>
        <v>0</v>
      </c>
      <c r="EI17" s="0" t="n">
        <f aca="false">IFERROR(IF(ISNUMBER(INDEX(Registro!$I$515:$I$544,MATCH($A17,Registro!$A$515:$A$544,0))),EI$5,0),0)</f>
        <v>0</v>
      </c>
      <c r="EJ17" s="0" t="n">
        <f aca="false">IFERROR(IF(ISNUMBER(INDEX(Registro!$O$515:$O$544,MATCH($A17,Registro!$A$515:$A$544,0))),EJ$5,0),0)</f>
        <v>0</v>
      </c>
      <c r="EK17" s="0" t="n">
        <f aca="false">IFERROR(IF(ISNUMBER(INDEX(Registro!$U$515:$U$544,MATCH($A17,Registro!$A$515:$A$544,0))),EK$5,0),0)</f>
        <v>0</v>
      </c>
      <c r="EL17" s="0" t="n">
        <f aca="false">IFERROR(IF(ISNUMBER(INDEX(Registro!$AA$515:$AA$544,MATCH($A17,Registro!$A$515:$A$544,0))),EL$5,0),0)</f>
        <v>0</v>
      </c>
      <c r="EM17" s="0" t="n">
        <f aca="false">IFERROR(IF(ISNUMBER(INDEX(Registro!$I$551:$I$580,MATCH($A17,Registro!$A$551:$A$580,0))),EM$5,0),0)</f>
        <v>0</v>
      </c>
      <c r="EN17" s="0" t="n">
        <f aca="false">IFERROR(IF(ISNUMBER(INDEX(Registro!$O$551:$O$580,MATCH($A17,Registro!$A$551:$A$580,0))),EN$5,0),0)</f>
        <v>0</v>
      </c>
      <c r="EO17" s="0" t="n">
        <f aca="false">IFERROR(IF(ISNUMBER(INDEX(Registro!$U$551:$U$580,MATCH($A17,Registro!$A$551:$A$580,0))),EO$5,0),0)</f>
        <v>0</v>
      </c>
      <c r="EP17" s="0" t="n">
        <f aca="false">IFERROR(IF(ISNUMBER(INDEX(Registro!$AA$551:$AA$580,MATCH($A17,Registro!$A$551:$A$580,0))),EP$5,0),0)</f>
        <v>0</v>
      </c>
      <c r="EQ17" s="0" t="n">
        <f aca="false">IFERROR(IF(ISNUMBER(INDEX(Registro!$I$587:$I$616,MATCH($A17,Registro!$A$587:$A$616,0))),EQ$5,0),0)</f>
        <v>0</v>
      </c>
      <c r="ER17" s="0" t="n">
        <f aca="false">IFERROR(IF(ISNUMBER(INDEX(Registro!$O$587:$O$616,MATCH($A17,Registro!$A$587:$A$616,0))),ER$5,0),0)</f>
        <v>0</v>
      </c>
      <c r="ES17" s="0" t="n">
        <f aca="false">IFERROR(IF(ISNUMBER(INDEX(Registro!$U$587:$U$616,MATCH($A17,Registro!$A$587:$A$616,0))),ES$5,0),0)</f>
        <v>0</v>
      </c>
      <c r="ET17" s="0" t="n">
        <f aca="false">IFERROR(IF(ISNUMBER(INDEX(Registro!$AA$587:$AA$616,MATCH($A17,Registro!$A$587:$A$616,0))),ET$5,0),0)</f>
        <v>0</v>
      </c>
      <c r="EU17" s="0" t="n">
        <f aca="false">IFERROR(IF(ISNUMBER(INDEX(Registro!$I$623:$I$652,MATCH($A17,Registro!$A$623:$A$652,0))),EU$5,0),0)</f>
        <v>0</v>
      </c>
      <c r="EV17" s="0" t="n">
        <f aca="false">IFERROR(IF(ISNUMBER(INDEX(Registro!$O$623:$O$652,MATCH($A17,Registro!$A$623:$A$652,0))),EV$5,0),0)</f>
        <v>0</v>
      </c>
      <c r="EW17" s="0" t="n">
        <f aca="false">IFERROR(IF(ISNUMBER(INDEX(Registro!$U$623:$U$652,MATCH($A17,Registro!$A$623:$A$652,0))),EW$5,0),0)</f>
        <v>0</v>
      </c>
      <c r="EX17" s="0" t="n">
        <f aca="false">IFERROR(IF(ISNUMBER(INDEX(Registro!$AA$623:$AA$652,MATCH($A17,Registro!$A$623:$A$652,0))),EX$5,0),0)</f>
        <v>0</v>
      </c>
      <c r="EY17" s="0" t="n">
        <f aca="false">IFERROR(IF(ISNUMBER(INDEX(Registro!$I$659:$I$688,MATCH($A17,Registro!$A$659:$A$688,0))),EY$5,0),0)</f>
        <v>0</v>
      </c>
      <c r="EZ17" s="0" t="n">
        <f aca="false">IFERROR(IF(ISNUMBER(INDEX(Registro!$O$659:$O$688,MATCH($A17,Registro!$A$659:$A$688,0))),EZ$5,0),0)</f>
        <v>0</v>
      </c>
      <c r="FA17" s="0" t="n">
        <f aca="false">IFERROR(IF(ISNUMBER(INDEX(Registro!$U$659:$U$688,MATCH($A17,Registro!$A$659:$A$688,0))),FA$5,0),0)</f>
        <v>0</v>
      </c>
      <c r="FB17" s="0" t="n">
        <f aca="false">IFERROR(IF(ISNUMBER(INDEX(Registro!$AA$659:$AA$688,MATCH($A17,Registro!$A$659:$A$688,0))),FB$5,0),0)</f>
        <v>0</v>
      </c>
      <c r="FC17" s="0" t="n">
        <f aca="false">IFERROR(IF(ISNUMBER(INDEX(Registro!$I$695:$I$724,MATCH($A17,Registro!$A$695:$A$724,0))),FC$5,0),0)</f>
        <v>0</v>
      </c>
      <c r="FD17" s="0" t="n">
        <f aca="false">IFERROR(IF(ISNUMBER(INDEX(Registro!$O$695:$O$724,MATCH($A17,Registro!$A$695:$A$724,0))),FD$5,0),0)</f>
        <v>0</v>
      </c>
      <c r="FE17" s="0" t="n">
        <f aca="false">IFERROR(IF(ISNUMBER(INDEX(Registro!$U$695:$U$724,MATCH($A17,Registro!$A$695:$A$724,0))),FE$5,0),0)</f>
        <v>0</v>
      </c>
      <c r="FF17" s="0" t="n">
        <f aca="false">IFERROR(IF(ISNUMBER(INDEX(Registro!$AA$695:$AA$724,MATCH($A17,Registro!$A$695:$A$724,0))),FF$5,0),0)</f>
        <v>0</v>
      </c>
      <c r="FG17" s="0" t="n">
        <f aca="false">IFERROR(IF(AND(INDEX(Registro!$C$11:$C$40,MATCH($A17,Registro!$A$11:$A$40,0))="AS",INDEX(Registro!$D$11:$D$40,MATCH($A17,Registro!$A$11:$A$40,0))&amp;""=""),1,0),0)</f>
        <v>0</v>
      </c>
      <c r="FH17" s="0" t="n">
        <f aca="false">IFERROR(IF(AND(INDEX(Registro!$C$47:$C$76,MATCH($A17,Registro!$A$47:$A$76,0))="AS",INDEX(Registro!$D$47:$D$76,MATCH($A17,Registro!$A$47:$A$76,0))&amp;""=""),1,0),0)</f>
        <v>0</v>
      </c>
      <c r="FI17" s="0" t="n">
        <f aca="false">IFERROR(IF(AND(INDEX(Registro!$C$83:$C$112,MATCH($A17,Registro!$A$83:$A$112,0))="AS",INDEX(Registro!$D$83:$D$112,MATCH($A17,Registro!$A$83:$A$112,0))&amp;""=""),1,0),0)</f>
        <v>0</v>
      </c>
      <c r="FJ17" s="0" t="n">
        <f aca="false">IFERROR(IF(AND(INDEX(Registro!$C$119:$C$148,MATCH($A17,Registro!$A$119:$A$148,0))="AS",INDEX(Registro!$D$119:$D$148,MATCH($A17,Registro!$A$119:$A$148,0))&amp;""=""),1,0),0)</f>
        <v>0</v>
      </c>
      <c r="FK17" s="0" t="n">
        <f aca="false">IFERROR(IF(AND(INDEX(Registro!$C$155:$C$184,MATCH($A17,Registro!$A$155:$A$184,0))="AS",INDEX(Registro!$D$155:$D$184,MATCH($A17,Registro!$A$155:$A$184,0))&amp;""=""),1,0),0)</f>
        <v>0</v>
      </c>
      <c r="FL17" s="0" t="n">
        <f aca="false">IFERROR(IF(AND(INDEX(Registro!$C$191:$C$220,MATCH($A17,Registro!$A$191:$A$220,0))="AS",INDEX(Registro!$D$191:$D$220,MATCH($A17,Registro!$A$191:$A$220,0))&amp;""=""),1,0),0)</f>
        <v>0</v>
      </c>
      <c r="FM17" s="0" t="n">
        <f aca="false">IFERROR(IF(AND(INDEX(Registro!$C$227:$C$256,MATCH($A17,Registro!$A$227:$A$256,0))="AS",INDEX(Registro!$D$227:$D$256,MATCH($A17,Registro!$A$227:$A$256,0))&amp;""=""),1,0),0)</f>
        <v>0</v>
      </c>
      <c r="FN17" s="0" t="n">
        <f aca="false">IFERROR(IF(AND(INDEX(Registro!$C$263:$C$292,MATCH($A17,Registro!$A$263:$A$292,0))="AS",INDEX(Registro!$D$263:$D$292,MATCH($A17,Registro!$A$263:$A$292,0))&amp;""=""),1,0),0)</f>
        <v>0</v>
      </c>
      <c r="FO17" s="0" t="n">
        <f aca="false">IFERROR(IF(AND(INDEX(Registro!$C$299:$C$328,MATCH($A17,Registro!$A$299:$A$328,0))="AS",INDEX(Registro!$D$299:$D$328,MATCH($A17,Registro!$A$299:$A$328,0))&amp;""=""),1,0),0)</f>
        <v>0</v>
      </c>
      <c r="FP17" s="0" t="n">
        <f aca="false">IFERROR(IF(AND(INDEX(Registro!$C$335:$C$364,MATCH($A17,Registro!$A$335:$A$364,0))="AS",INDEX(Registro!$D$335:$D$364,MATCH($A17,Registro!$A$335:$A$364,0))&amp;""=""),1,0),0)</f>
        <v>0</v>
      </c>
      <c r="FQ17" s="0" t="n">
        <f aca="false">IFERROR(IF(AND(INDEX(Registro!$C$371:$C$400,MATCH($A17,Registro!$A$371:$A$400,0))="AS",INDEX(Registro!$D$371:$D$400,MATCH($A17,Registro!$A$371:$A$400,0))&amp;""=""),1,0),0)</f>
        <v>0</v>
      </c>
      <c r="FR17" s="0" t="n">
        <f aca="false">IFERROR(IF(AND(INDEX(Registro!$C$407:$C$436,MATCH($A17,Registro!$A$407:$A$436,0))="AS",INDEX(Registro!$D$407:$D$436,MATCH($A17,Registro!$A$407:$A$436,0))&amp;""=""),1,0),0)</f>
        <v>0</v>
      </c>
      <c r="FS17" s="0" t="n">
        <f aca="false">IFERROR(IF(AND(INDEX(Registro!$C$443:$C$472,MATCH($A17,Registro!$A$443:$A$472,0))="AS",INDEX(Registro!$D$443:$D$472,MATCH($A17,Registro!$A$443:$A$472,0))&amp;""=""),1,0),0)</f>
        <v>0</v>
      </c>
      <c r="FT17" s="0" t="n">
        <f aca="false">IFERROR(IF(AND(INDEX(Registro!$C$479:$C$508,MATCH($A17,Registro!$A$479:$A$508,0))="AS",INDEX(Registro!$D$479:$D$508,MATCH($A17,Registro!$A$479:$A$508,0))&amp;""=""),1,0),0)</f>
        <v>0</v>
      </c>
      <c r="FU17" s="0" t="n">
        <f aca="false">IFERROR(IF(AND(INDEX(Registro!$C$515:$C$544,MATCH($A17,Registro!$A$515:$A$544,0))="AS",INDEX(Registro!$D$515:$D$544,MATCH($A17,Registro!$A$515:$A$544,0))&amp;""=""),1,0),0)</f>
        <v>0</v>
      </c>
      <c r="FV17" s="0" t="n">
        <f aca="false">IFERROR(IF(AND(INDEX(Registro!$C$551:$C$580,MATCH($A17,Registro!$A$551:$A$580,0))="AS",INDEX(Registro!$D$551:$D$580,MATCH($A17,Registro!$A$551:$A$580,0))&amp;""=""),1,0),0)</f>
        <v>0</v>
      </c>
      <c r="FW17" s="0" t="n">
        <f aca="false">IFERROR(IF(AND(INDEX(Registro!$C$587:$C$616,MATCH($A17,Registro!$A$587:$A$616,0))="AS",INDEX(Registro!$D$587:$D$616,MATCH($A17,Registro!$A$587:$A$616,0))&amp;""=""),1,0),0)</f>
        <v>0</v>
      </c>
      <c r="FX17" s="0" t="n">
        <f aca="false">IFERROR(IF(AND(INDEX(Registro!$C$623:$C$652,MATCH($A17,Registro!$A$623:$A$652,0))="AS",INDEX(Registro!$D$623:$D$652,MATCH($A17,Registro!$A$623:$A$652,0))&amp;""=""),1,0),0)</f>
        <v>0</v>
      </c>
      <c r="FY17" s="0" t="n">
        <f aca="false">IFERROR(IF(AND(INDEX(Registro!$C$659:$C$688,MATCH($A17,Registro!$A$659:$A$688,0))="AS",INDEX(Registro!$D$659:$D$688,MATCH($A17,Registro!$A$659:$A$688,0))&amp;""=""),1,0),0)</f>
        <v>0</v>
      </c>
      <c r="FZ17" s="0" t="n">
        <f aca="false">IFERROR(IF(AND(INDEX(Registro!$C$695:$C$724,MATCH($A17,Registro!$A$695:$A$724,0))="AS",INDEX(Registro!$D$695:$D$724,MATCH($A17,Registro!$A$695:$A$724,0))&amp;""=""),1,0),0)</f>
        <v>0</v>
      </c>
    </row>
    <row r="18" customFormat="false" ht="15" hidden="false" customHeight="false" outlineLevel="0" collapsed="false">
      <c r="A18" s="0" t="n">
        <v>12</v>
      </c>
      <c r="C18" s="0" t="n">
        <f aca="false">IFERROR(N(INDEX(Registro!$I$11:$I$40,MATCH($A18,Registro!$A$11:$A$40,0))),0)</f>
        <v>0</v>
      </c>
      <c r="D18" s="0" t="n">
        <f aca="false">IFERROR(N(INDEX(Registro!$O$11:$O$40,MATCH($A18,Registro!$A$11:$A$40,0))),0)</f>
        <v>0</v>
      </c>
      <c r="E18" s="0" t="n">
        <f aca="false">IFERROR(N(INDEX(Registro!$U$11:$U$40,MATCH($A18,Registro!$A$11:$A$40,0))),0)</f>
        <v>0</v>
      </c>
      <c r="F18" s="0" t="n">
        <f aca="false">IFERROR(N(INDEX(Registro!$AA$11:$AA$40,MATCH($A18,Registro!$A$11:$A$40,0))),0)</f>
        <v>0</v>
      </c>
      <c r="G18" s="0" t="n">
        <f aca="false">IFERROR(N(INDEX(Registro!$I$47:$I$76,MATCH($A18,Registro!$A$47:$A$76,0))),0)</f>
        <v>0</v>
      </c>
      <c r="H18" s="0" t="n">
        <f aca="false">IFERROR(N(INDEX(Registro!$O$47:$O$76,MATCH($A18,Registro!$A$47:$A$76,0))),0)</f>
        <v>0</v>
      </c>
      <c r="I18" s="0" t="n">
        <f aca="false">IFERROR(N(INDEX(Registro!$U$47:$U$76,MATCH($A18,Registro!$A$47:$A$76,0))),0)</f>
        <v>0</v>
      </c>
      <c r="J18" s="0" t="n">
        <f aca="false">IFERROR(N(INDEX(Registro!$AA$47:$AA$76,MATCH($A18,Registro!$A$47:$A$76,0))),0)</f>
        <v>0</v>
      </c>
      <c r="K18" s="0" t="n">
        <f aca="false">IFERROR(N(INDEX(Registro!$I$83:$I$112,MATCH($A18,Registro!$A$83:$A$112,0))),0)</f>
        <v>0</v>
      </c>
      <c r="L18" s="0" t="n">
        <f aca="false">IFERROR(N(INDEX(Registro!$O$83:$O$112,MATCH($A18,Registro!$A$83:$A$112,0))),0)</f>
        <v>0</v>
      </c>
      <c r="M18" s="0" t="n">
        <f aca="false">IFERROR(N(INDEX(Registro!$U$83:$U$112,MATCH($A18,Registro!$A$83:$A$112,0))),0)</f>
        <v>0</v>
      </c>
      <c r="N18" s="0" t="n">
        <f aca="false">IFERROR(N(INDEX(Registro!$AA$83:$AA$112,MATCH($A18,Registro!$A$83:$A$112,0))),0)</f>
        <v>0</v>
      </c>
      <c r="O18" s="0" t="n">
        <f aca="false">IFERROR(N(INDEX(Registro!$I$119:$I$148,MATCH($A18,Registro!$A$119:$A$148,0))),0)</f>
        <v>0</v>
      </c>
      <c r="P18" s="0" t="n">
        <f aca="false">IFERROR(N(INDEX(Registro!$O$119:$O$148,MATCH($A18,Registro!$A$119:$A$148,0))),0)</f>
        <v>0</v>
      </c>
      <c r="Q18" s="0" t="n">
        <f aca="false">IFERROR(N(INDEX(Registro!$U$119:$U$148,MATCH($A18,Registro!$A$119:$A$148,0))),0)</f>
        <v>0</v>
      </c>
      <c r="R18" s="0" t="n">
        <f aca="false">IFERROR(N(INDEX(Registro!$AA$119:$AA$148,MATCH($A18,Registro!$A$119:$A$148,0))),0)</f>
        <v>0</v>
      </c>
      <c r="S18" s="0" t="n">
        <f aca="false">IFERROR(N(INDEX(Registro!$I$155:$I$184,MATCH($A18,Registro!$A$155:$A$184,0))),0)</f>
        <v>0</v>
      </c>
      <c r="T18" s="0" t="n">
        <f aca="false">IFERROR(N(INDEX(Registro!$O$155:$O$184,MATCH($A18,Registro!$A$155:$A$184,0))),0)</f>
        <v>0</v>
      </c>
      <c r="U18" s="0" t="n">
        <f aca="false">IFERROR(N(INDEX(Registro!$U$155:$U$184,MATCH($A18,Registro!$A$155:$A$184,0))),0)</f>
        <v>0</v>
      </c>
      <c r="V18" s="0" t="n">
        <f aca="false">IFERROR(N(INDEX(Registro!$AA$155:$AA$184,MATCH($A18,Registro!$A$155:$A$184,0))),0)</f>
        <v>0</v>
      </c>
      <c r="W18" s="0" t="n">
        <f aca="false">IFERROR(N(INDEX(Registro!$I$191:$I$220,MATCH($A18,Registro!$A$191:$A$220,0))),0)</f>
        <v>0</v>
      </c>
      <c r="X18" s="0" t="n">
        <f aca="false">IFERROR(N(INDEX(Registro!$O$191:$O$220,MATCH($A18,Registro!$A$191:$A$220,0))),0)</f>
        <v>0</v>
      </c>
      <c r="Y18" s="0" t="n">
        <f aca="false">IFERROR(N(INDEX(Registro!$U$191:$U$220,MATCH($A18,Registro!$A$191:$A$220,0))),0)</f>
        <v>0</v>
      </c>
      <c r="Z18" s="0" t="n">
        <f aca="false">IFERROR(N(INDEX(Registro!$AA$191:$AA$220,MATCH($A18,Registro!$A$191:$A$220,0))),0)</f>
        <v>0</v>
      </c>
      <c r="AA18" s="0" t="n">
        <f aca="false">IFERROR(N(INDEX(Registro!$I$227:$I$256,MATCH($A18,Registro!$A$227:$A$256,0))),0)</f>
        <v>0</v>
      </c>
      <c r="AB18" s="0" t="n">
        <f aca="false">IFERROR(N(INDEX(Registro!$O$227:$O$256,MATCH($A18,Registro!$A$227:$A$256,0))),0)</f>
        <v>0</v>
      </c>
      <c r="AC18" s="0" t="n">
        <f aca="false">IFERROR(N(INDEX(Registro!$U$227:$U$256,MATCH($A18,Registro!$A$227:$A$256,0))),0)</f>
        <v>0</v>
      </c>
      <c r="AD18" s="0" t="n">
        <f aca="false">IFERROR(N(INDEX(Registro!$AA$227:$AA$256,MATCH($A18,Registro!$A$227:$A$256,0))),0)</f>
        <v>0</v>
      </c>
      <c r="AE18" s="0" t="n">
        <f aca="false">IFERROR(N(INDEX(Registro!$I$263:$I$292,MATCH($A18,Registro!$A$263:$A$292,0))),0)</f>
        <v>0</v>
      </c>
      <c r="AF18" s="0" t="n">
        <f aca="false">IFERROR(N(INDEX(Registro!$O$263:$O$292,MATCH($A18,Registro!$A$263:$A$292,0))),0)</f>
        <v>0</v>
      </c>
      <c r="AG18" s="0" t="n">
        <f aca="false">IFERROR(N(INDEX(Registro!$U$263:$U$292,MATCH($A18,Registro!$A$263:$A$292,0))),0)</f>
        <v>0</v>
      </c>
      <c r="AH18" s="0" t="n">
        <f aca="false">IFERROR(N(INDEX(Registro!$AA$263:$AA$292,MATCH($A18,Registro!$A$263:$A$292,0))),0)</f>
        <v>0</v>
      </c>
      <c r="AI18" s="0" t="n">
        <f aca="false">IFERROR(N(INDEX(Registro!$I$299:$I$328,MATCH($A18,Registro!$A$299:$A$328,0))),0)</f>
        <v>0</v>
      </c>
      <c r="AJ18" s="0" t="n">
        <f aca="false">IFERROR(N(INDEX(Registro!$O$299:$O$328,MATCH($A18,Registro!$A$299:$A$328,0))),0)</f>
        <v>0</v>
      </c>
      <c r="AK18" s="0" t="n">
        <f aca="false">IFERROR(N(INDEX(Registro!$U$299:$U$328,MATCH($A18,Registro!$A$299:$A$328,0))),0)</f>
        <v>0</v>
      </c>
      <c r="AL18" s="0" t="n">
        <f aca="false">IFERROR(N(INDEX(Registro!$AA$299:$AA$328,MATCH($A18,Registro!$A$299:$A$328,0))),0)</f>
        <v>0</v>
      </c>
      <c r="AM18" s="0" t="n">
        <f aca="false">IFERROR(N(INDEX(Registro!$I$335:$I$364,MATCH($A18,Registro!$A$335:$A$364,0))),0)</f>
        <v>0</v>
      </c>
      <c r="AN18" s="0" t="n">
        <f aca="false">IFERROR(N(INDEX(Registro!$O$335:$O$364,MATCH($A18,Registro!$A$335:$A$364,0))),0)</f>
        <v>0</v>
      </c>
      <c r="AO18" s="0" t="n">
        <f aca="false">IFERROR(N(INDEX(Registro!$U$335:$U$364,MATCH($A18,Registro!$A$335:$A$364,0))),0)</f>
        <v>0</v>
      </c>
      <c r="AP18" s="0" t="n">
        <f aca="false">IFERROR(N(INDEX(Registro!$AA$335:$AA$364,MATCH($A18,Registro!$A$335:$A$364,0))),0)</f>
        <v>0</v>
      </c>
      <c r="AQ18" s="0" t="n">
        <f aca="false">IFERROR(N(INDEX(Registro!$I$371:$I$400,MATCH($A18,Registro!$A$371:$A$400,0))),0)</f>
        <v>0</v>
      </c>
      <c r="AR18" s="0" t="n">
        <f aca="false">IFERROR(N(INDEX(Registro!$O$371:$O$400,MATCH($A18,Registro!$A$371:$A$400,0))),0)</f>
        <v>0</v>
      </c>
      <c r="AS18" s="0" t="n">
        <f aca="false">IFERROR(N(INDEX(Registro!$U$371:$U$400,MATCH($A18,Registro!$A$371:$A$400,0))),0)</f>
        <v>0</v>
      </c>
      <c r="AT18" s="0" t="n">
        <f aca="false">IFERROR(N(INDEX(Registro!$AA$371:$AA$400,MATCH($A18,Registro!$A$371:$A$400,0))),0)</f>
        <v>0</v>
      </c>
      <c r="AU18" s="0" t="n">
        <f aca="false">IFERROR(N(INDEX(Registro!$I$407:$I$436,MATCH($A18,Registro!$A$407:$A$436,0))),0)</f>
        <v>0</v>
      </c>
      <c r="AV18" s="0" t="n">
        <f aca="false">IFERROR(N(INDEX(Registro!$O$407:$O$436,MATCH($A18,Registro!$A$407:$A$436,0))),0)</f>
        <v>0</v>
      </c>
      <c r="AW18" s="0" t="n">
        <f aca="false">IFERROR(N(INDEX(Registro!$U$407:$U$436,MATCH($A18,Registro!$A$407:$A$436,0))),0)</f>
        <v>0</v>
      </c>
      <c r="AX18" s="0" t="n">
        <f aca="false">IFERROR(N(INDEX(Registro!$AA$407:$AA$436,MATCH($A18,Registro!$A$407:$A$436,0))),0)</f>
        <v>0</v>
      </c>
      <c r="AY18" s="0" t="n">
        <f aca="false">IFERROR(N(INDEX(Registro!$I$443:$I$472,MATCH($A18,Registro!$A$443:$A$472,0))),0)</f>
        <v>0</v>
      </c>
      <c r="AZ18" s="0" t="n">
        <f aca="false">IFERROR(N(INDEX(Registro!$O$443:$O$472,MATCH($A18,Registro!$A$443:$A$472,0))),0)</f>
        <v>0</v>
      </c>
      <c r="BA18" s="0" t="n">
        <f aca="false">IFERROR(N(INDEX(Registro!$U$443:$U$472,MATCH($A18,Registro!$A$443:$A$472,0))),0)</f>
        <v>0</v>
      </c>
      <c r="BB18" s="0" t="n">
        <f aca="false">IFERROR(N(INDEX(Registro!$AA$443:$AA$472,MATCH($A18,Registro!$A$443:$A$472,0))),0)</f>
        <v>0</v>
      </c>
      <c r="BC18" s="0" t="n">
        <f aca="false">IFERROR(N(INDEX(Registro!$I$479:$I$508,MATCH($A18,Registro!$A$479:$A$508,0))),0)</f>
        <v>0</v>
      </c>
      <c r="BD18" s="0" t="n">
        <f aca="false">IFERROR(N(INDEX(Registro!$O$479:$O$508,MATCH($A18,Registro!$A$479:$A$508,0))),0)</f>
        <v>0</v>
      </c>
      <c r="BE18" s="0" t="n">
        <f aca="false">IFERROR(N(INDEX(Registro!$U$479:$U$508,MATCH($A18,Registro!$A$479:$A$508,0))),0)</f>
        <v>0</v>
      </c>
      <c r="BF18" s="0" t="n">
        <f aca="false">IFERROR(N(INDEX(Registro!$AA$479:$AA$508,MATCH($A18,Registro!$A$479:$A$508,0))),0)</f>
        <v>0</v>
      </c>
      <c r="BG18" s="0" t="n">
        <f aca="false">IFERROR(N(INDEX(Registro!$I$515:$I$544,MATCH($A18,Registro!$A$515:$A$544,0))),0)</f>
        <v>0</v>
      </c>
      <c r="BH18" s="0" t="n">
        <f aca="false">IFERROR(N(INDEX(Registro!$O$515:$O$544,MATCH($A18,Registro!$A$515:$A$544,0))),0)</f>
        <v>0</v>
      </c>
      <c r="BI18" s="0" t="n">
        <f aca="false">IFERROR(N(INDEX(Registro!$U$515:$U$544,MATCH($A18,Registro!$A$515:$A$544,0))),0)</f>
        <v>0</v>
      </c>
      <c r="BJ18" s="0" t="n">
        <f aca="false">IFERROR(N(INDEX(Registro!$AA$515:$AA$544,MATCH($A18,Registro!$A$515:$A$544,0))),0)</f>
        <v>0</v>
      </c>
      <c r="BK18" s="0" t="n">
        <f aca="false">IFERROR(N(INDEX(Registro!$I$551:$I$580,MATCH($A18,Registro!$A$551:$A$580,0))),0)</f>
        <v>0</v>
      </c>
      <c r="BL18" s="0" t="n">
        <f aca="false">IFERROR(N(INDEX(Registro!$O$551:$O$580,MATCH($A18,Registro!$A$551:$A$580,0))),0)</f>
        <v>0</v>
      </c>
      <c r="BM18" s="0" t="n">
        <f aca="false">IFERROR(N(INDEX(Registro!$U$551:$U$580,MATCH($A18,Registro!$A$551:$A$580,0))),0)</f>
        <v>0</v>
      </c>
      <c r="BN18" s="0" t="n">
        <f aca="false">IFERROR(N(INDEX(Registro!$AA$551:$AA$580,MATCH($A18,Registro!$A$551:$A$580,0))),0)</f>
        <v>0</v>
      </c>
      <c r="BO18" s="0" t="n">
        <f aca="false">IFERROR(N(INDEX(Registro!$I$587:$I$616,MATCH($A18,Registro!$A$587:$A$616,0))),0)</f>
        <v>0</v>
      </c>
      <c r="BP18" s="0" t="n">
        <f aca="false">IFERROR(N(INDEX(Registro!$O$587:$O$616,MATCH($A18,Registro!$A$587:$A$616,0))),0)</f>
        <v>0</v>
      </c>
      <c r="BQ18" s="0" t="n">
        <f aca="false">IFERROR(N(INDEX(Registro!$U$587:$U$616,MATCH($A18,Registro!$A$587:$A$616,0))),0)</f>
        <v>0</v>
      </c>
      <c r="BR18" s="0" t="n">
        <f aca="false">IFERROR(N(INDEX(Registro!$AA$587:$AA$616,MATCH($A18,Registro!$A$587:$A$616,0))),0)</f>
        <v>0</v>
      </c>
      <c r="BS18" s="0" t="n">
        <f aca="false">IFERROR(N(INDEX(Registro!$I$623:$I$652,MATCH($A18,Registro!$A$623:$A$652,0))),0)</f>
        <v>0</v>
      </c>
      <c r="BT18" s="0" t="n">
        <f aca="false">IFERROR(N(INDEX(Registro!$O$623:$O$652,MATCH($A18,Registro!$A$623:$A$652,0))),0)</f>
        <v>0</v>
      </c>
      <c r="BU18" s="0" t="n">
        <f aca="false">IFERROR(N(INDEX(Registro!$U$623:$U$652,MATCH($A18,Registro!$A$623:$A$652,0))),0)</f>
        <v>0</v>
      </c>
      <c r="BV18" s="0" t="n">
        <f aca="false">IFERROR(N(INDEX(Registro!$AA$623:$AA$652,MATCH($A18,Registro!$A$623:$A$652,0))),0)</f>
        <v>0</v>
      </c>
      <c r="BW18" s="0" t="n">
        <f aca="false">IFERROR(N(INDEX(Registro!$I$659:$I$688,MATCH($A18,Registro!$A$659:$A$688,0))),0)</f>
        <v>0</v>
      </c>
      <c r="BX18" s="0" t="n">
        <f aca="false">IFERROR(N(INDEX(Registro!$O$659:$O$688,MATCH($A18,Registro!$A$659:$A$688,0))),0)</f>
        <v>0</v>
      </c>
      <c r="BY18" s="0" t="n">
        <f aca="false">IFERROR(N(INDEX(Registro!$U$659:$U$688,MATCH($A18,Registro!$A$659:$A$688,0))),0)</f>
        <v>0</v>
      </c>
      <c r="BZ18" s="0" t="n">
        <f aca="false">IFERROR(N(INDEX(Registro!$AA$659:$AA$688,MATCH($A18,Registro!$A$659:$A$688,0))),0)</f>
        <v>0</v>
      </c>
      <c r="CA18" s="0" t="n">
        <f aca="false">IFERROR(N(INDEX(Registro!$I$695:$I$724,MATCH($A18,Registro!$A$695:$A$724,0))),0)</f>
        <v>0</v>
      </c>
      <c r="CB18" s="0" t="n">
        <f aca="false">IFERROR(N(INDEX(Registro!$O$695:$O$724,MATCH($A18,Registro!$A$695:$A$724,0))),0)</f>
        <v>0</v>
      </c>
      <c r="CC18" s="0" t="n">
        <f aca="false">IFERROR(N(INDEX(Registro!$U$695:$U$724,MATCH($A18,Registro!$A$695:$A$724,0))),0)</f>
        <v>0</v>
      </c>
      <c r="CD18" s="0" t="n">
        <f aca="false">IFERROR(N(INDEX(Registro!$AA$695:$AA$724,MATCH($A18,Registro!$A$695:$A$724,0))),0)</f>
        <v>0</v>
      </c>
      <c r="CE18" s="0" t="n">
        <f aca="false">IFERROR(IF(ISNUMBER(INDEX(Registro!$I$11:$I$40,MATCH($A18,Registro!$A$11:$A$40,0))),CE$5,0),0)</f>
        <v>0</v>
      </c>
      <c r="CF18" s="0" t="n">
        <f aca="false">IFERROR(IF(ISNUMBER(INDEX(Registro!$O$11:$O$40,MATCH($A18,Registro!$A$11:$A$40,0))),CF$5,0),0)</f>
        <v>0</v>
      </c>
      <c r="CG18" s="0" t="n">
        <f aca="false">IFERROR(IF(ISNUMBER(INDEX(Registro!$U$11:$U$40,MATCH($A18,Registro!$A$11:$A$40,0))),CG$5,0),0)</f>
        <v>0</v>
      </c>
      <c r="CH18" s="0" t="n">
        <f aca="false">IFERROR(IF(ISNUMBER(INDEX(Registro!$AA$11:$AA$40,MATCH($A18,Registro!$A$11:$A$40,0))),CH$5,0),0)</f>
        <v>0</v>
      </c>
      <c r="CI18" s="0" t="n">
        <f aca="false">IFERROR(IF(ISNUMBER(INDEX(Registro!$I$47:$I$76,MATCH($A18,Registro!$A$47:$A$76,0))),CI$5,0),0)</f>
        <v>0</v>
      </c>
      <c r="CJ18" s="0" t="n">
        <f aca="false">IFERROR(IF(ISNUMBER(INDEX(Registro!$O$47:$O$76,MATCH($A18,Registro!$A$47:$A$76,0))),CJ$5,0),0)</f>
        <v>0</v>
      </c>
      <c r="CK18" s="0" t="n">
        <f aca="false">IFERROR(IF(ISNUMBER(INDEX(Registro!$U$47:$U$76,MATCH($A18,Registro!$A$47:$A$76,0))),CK$5,0),0)</f>
        <v>0</v>
      </c>
      <c r="CL18" s="0" t="n">
        <f aca="false">IFERROR(IF(ISNUMBER(INDEX(Registro!$AA$47:$AA$76,MATCH($A18,Registro!$A$47:$A$76,0))),CL$5,0),0)</f>
        <v>0</v>
      </c>
      <c r="CM18" s="0" t="n">
        <f aca="false">IFERROR(IF(ISNUMBER(INDEX(Registro!$I$83:$I$112,MATCH($A18,Registro!$A$83:$A$112,0))),CM$5,0),0)</f>
        <v>0</v>
      </c>
      <c r="CN18" s="0" t="n">
        <f aca="false">IFERROR(IF(ISNUMBER(INDEX(Registro!$O$83:$O$112,MATCH($A18,Registro!$A$83:$A$112,0))),CN$5,0),0)</f>
        <v>0</v>
      </c>
      <c r="CO18" s="0" t="n">
        <f aca="false">IFERROR(IF(ISNUMBER(INDEX(Registro!$U$83:$U$112,MATCH($A18,Registro!$A$83:$A$112,0))),CO$5,0),0)</f>
        <v>0</v>
      </c>
      <c r="CP18" s="0" t="n">
        <f aca="false">IFERROR(IF(ISNUMBER(INDEX(Registro!$AA$83:$AA$112,MATCH($A18,Registro!$A$83:$A$112,0))),CP$5,0),0)</f>
        <v>0</v>
      </c>
      <c r="CQ18" s="0" t="n">
        <f aca="false">IFERROR(IF(ISNUMBER(INDEX(Registro!$I$119:$I$148,MATCH($A18,Registro!$A$119:$A$148,0))),CQ$5,0),0)</f>
        <v>0</v>
      </c>
      <c r="CR18" s="0" t="n">
        <f aca="false">IFERROR(IF(ISNUMBER(INDEX(Registro!$O$119:$O$148,MATCH($A18,Registro!$A$119:$A$148,0))),CR$5,0),0)</f>
        <v>0</v>
      </c>
      <c r="CS18" s="0" t="n">
        <f aca="false">IFERROR(IF(ISNUMBER(INDEX(Registro!$U$119:$U$148,MATCH($A18,Registro!$A$119:$A$148,0))),CS$5,0),0)</f>
        <v>0</v>
      </c>
      <c r="CT18" s="0" t="n">
        <f aca="false">IFERROR(IF(ISNUMBER(INDEX(Registro!$AA$119:$AA$148,MATCH($A18,Registro!$A$119:$A$148,0))),CT$5,0),0)</f>
        <v>0</v>
      </c>
      <c r="CU18" s="0" t="n">
        <f aca="false">IFERROR(IF(ISNUMBER(INDEX(Registro!$I$155:$I$184,MATCH($A18,Registro!$A$155:$A$184,0))),CU$5,0),0)</f>
        <v>0</v>
      </c>
      <c r="CV18" s="0" t="n">
        <f aca="false">IFERROR(IF(ISNUMBER(INDEX(Registro!$O$155:$O$184,MATCH($A18,Registro!$A$155:$A$184,0))),CV$5,0),0)</f>
        <v>0</v>
      </c>
      <c r="CW18" s="0" t="n">
        <f aca="false">IFERROR(IF(ISNUMBER(INDEX(Registro!$U$155:$U$184,MATCH($A18,Registro!$A$155:$A$184,0))),CW$5,0),0)</f>
        <v>0</v>
      </c>
      <c r="CX18" s="0" t="n">
        <f aca="false">IFERROR(IF(ISNUMBER(INDEX(Registro!$AA$155:$AA$184,MATCH($A18,Registro!$A$155:$A$184,0))),CX$5,0),0)</f>
        <v>0</v>
      </c>
      <c r="CY18" s="0" t="n">
        <f aca="false">IFERROR(IF(ISNUMBER(INDEX(Registro!$I$191:$I$220,MATCH($A18,Registro!$A$191:$A$220,0))),CY$5,0),0)</f>
        <v>0</v>
      </c>
      <c r="CZ18" s="0" t="n">
        <f aca="false">IFERROR(IF(ISNUMBER(INDEX(Registro!$O$191:$O$220,MATCH($A18,Registro!$A$191:$A$220,0))),CZ$5,0),0)</f>
        <v>0</v>
      </c>
      <c r="DA18" s="0" t="n">
        <f aca="false">IFERROR(IF(ISNUMBER(INDEX(Registro!$U$191:$U$220,MATCH($A18,Registro!$A$191:$A$220,0))),DA$5,0),0)</f>
        <v>0</v>
      </c>
      <c r="DB18" s="0" t="n">
        <f aca="false">IFERROR(IF(ISNUMBER(INDEX(Registro!$AA$191:$AA$220,MATCH($A18,Registro!$A$191:$A$220,0))),DB$5,0),0)</f>
        <v>0</v>
      </c>
      <c r="DC18" s="0" t="n">
        <f aca="false">IFERROR(IF(ISNUMBER(INDEX(Registro!$I$227:$I$256,MATCH($A18,Registro!$A$227:$A$256,0))),DC$5,0),0)</f>
        <v>0</v>
      </c>
      <c r="DD18" s="0" t="n">
        <f aca="false">IFERROR(IF(ISNUMBER(INDEX(Registro!$O$227:$O$256,MATCH($A18,Registro!$A$227:$A$256,0))),DD$5,0),0)</f>
        <v>0</v>
      </c>
      <c r="DE18" s="0" t="n">
        <f aca="false">IFERROR(IF(ISNUMBER(INDEX(Registro!$U$227:$U$256,MATCH($A18,Registro!$A$227:$A$256,0))),DE$5,0),0)</f>
        <v>0</v>
      </c>
      <c r="DF18" s="0" t="n">
        <f aca="false">IFERROR(IF(ISNUMBER(INDEX(Registro!$AA$227:$AA$256,MATCH($A18,Registro!$A$227:$A$256,0))),DF$5,0),0)</f>
        <v>0</v>
      </c>
      <c r="DG18" s="0" t="n">
        <f aca="false">IFERROR(IF(ISNUMBER(INDEX(Registro!$I$263:$I$292,MATCH($A18,Registro!$A$263:$A$292,0))),DG$5,0),0)</f>
        <v>0</v>
      </c>
      <c r="DH18" s="0" t="n">
        <f aca="false">IFERROR(IF(ISNUMBER(INDEX(Registro!$O$263:$O$292,MATCH($A18,Registro!$A$263:$A$292,0))),DH$5,0),0)</f>
        <v>0</v>
      </c>
      <c r="DI18" s="0" t="n">
        <f aca="false">IFERROR(IF(ISNUMBER(INDEX(Registro!$U$263:$U$292,MATCH($A18,Registro!$A$263:$A$292,0))),DI$5,0),0)</f>
        <v>0</v>
      </c>
      <c r="DJ18" s="0" t="n">
        <f aca="false">IFERROR(IF(ISNUMBER(INDEX(Registro!$AA$263:$AA$292,MATCH($A18,Registro!$A$263:$A$292,0))),DJ$5,0),0)</f>
        <v>0</v>
      </c>
      <c r="DK18" s="0" t="n">
        <f aca="false">IFERROR(IF(ISNUMBER(INDEX(Registro!$I$299:$I$328,MATCH($A18,Registro!$A$299:$A$328,0))),DK$5,0),0)</f>
        <v>0</v>
      </c>
      <c r="DL18" s="0" t="n">
        <f aca="false">IFERROR(IF(ISNUMBER(INDEX(Registro!$O$299:$O$328,MATCH($A18,Registro!$A$299:$A$328,0))),DL$5,0),0)</f>
        <v>0</v>
      </c>
      <c r="DM18" s="0" t="n">
        <f aca="false">IFERROR(IF(ISNUMBER(INDEX(Registro!$U$299:$U$328,MATCH($A18,Registro!$A$299:$A$328,0))),DM$5,0),0)</f>
        <v>0</v>
      </c>
      <c r="DN18" s="0" t="n">
        <f aca="false">IFERROR(IF(ISNUMBER(INDEX(Registro!$AA$299:$AA$328,MATCH($A18,Registro!$A$299:$A$328,0))),DN$5,0),0)</f>
        <v>0</v>
      </c>
      <c r="DO18" s="0" t="n">
        <f aca="false">IFERROR(IF(ISNUMBER(INDEX(Registro!$I$335:$I$364,MATCH($A18,Registro!$A$335:$A$364,0))),DO$5,0),0)</f>
        <v>0</v>
      </c>
      <c r="DP18" s="0" t="n">
        <f aca="false">IFERROR(IF(ISNUMBER(INDEX(Registro!$O$335:$O$364,MATCH($A18,Registro!$A$335:$A$364,0))),DP$5,0),0)</f>
        <v>0</v>
      </c>
      <c r="DQ18" s="0" t="n">
        <f aca="false">IFERROR(IF(ISNUMBER(INDEX(Registro!$U$335:$U$364,MATCH($A18,Registro!$A$335:$A$364,0))),DQ$5,0),0)</f>
        <v>0</v>
      </c>
      <c r="DR18" s="0" t="n">
        <f aca="false">IFERROR(IF(ISNUMBER(INDEX(Registro!$AA$335:$AA$364,MATCH($A18,Registro!$A$335:$A$364,0))),DR$5,0),0)</f>
        <v>0</v>
      </c>
      <c r="DS18" s="0" t="n">
        <f aca="false">IFERROR(IF(ISNUMBER(INDEX(Registro!$I$371:$I$400,MATCH($A18,Registro!$A$371:$A$400,0))),DS$5,0),0)</f>
        <v>0</v>
      </c>
      <c r="DT18" s="0" t="n">
        <f aca="false">IFERROR(IF(ISNUMBER(INDEX(Registro!$O$371:$O$400,MATCH($A18,Registro!$A$371:$A$400,0))),DT$5,0),0)</f>
        <v>0</v>
      </c>
      <c r="DU18" s="0" t="n">
        <f aca="false">IFERROR(IF(ISNUMBER(INDEX(Registro!$U$371:$U$400,MATCH($A18,Registro!$A$371:$A$400,0))),DU$5,0),0)</f>
        <v>0</v>
      </c>
      <c r="DV18" s="0" t="n">
        <f aca="false">IFERROR(IF(ISNUMBER(INDEX(Registro!$AA$371:$AA$400,MATCH($A18,Registro!$A$371:$A$400,0))),DV$5,0),0)</f>
        <v>0</v>
      </c>
      <c r="DW18" s="0" t="n">
        <f aca="false">IFERROR(IF(ISNUMBER(INDEX(Registro!$I$407:$I$436,MATCH($A18,Registro!$A$407:$A$436,0))),DW$5,0),0)</f>
        <v>0</v>
      </c>
      <c r="DX18" s="0" t="n">
        <f aca="false">IFERROR(IF(ISNUMBER(INDEX(Registro!$O$407:$O$436,MATCH($A18,Registro!$A$407:$A$436,0))),DX$5,0),0)</f>
        <v>0</v>
      </c>
      <c r="DY18" s="0" t="n">
        <f aca="false">IFERROR(IF(ISNUMBER(INDEX(Registro!$U$407:$U$436,MATCH($A18,Registro!$A$407:$A$436,0))),DY$5,0),0)</f>
        <v>0</v>
      </c>
      <c r="DZ18" s="0" t="n">
        <f aca="false">IFERROR(IF(ISNUMBER(INDEX(Registro!$AA$407:$AA$436,MATCH($A18,Registro!$A$407:$A$436,0))),DZ$5,0),0)</f>
        <v>0</v>
      </c>
      <c r="EA18" s="0" t="n">
        <f aca="false">IFERROR(IF(ISNUMBER(INDEX(Registro!$I$443:$I$472,MATCH($A18,Registro!$A$443:$A$472,0))),EA$5,0),0)</f>
        <v>0</v>
      </c>
      <c r="EB18" s="0" t="n">
        <f aca="false">IFERROR(IF(ISNUMBER(INDEX(Registro!$O$443:$O$472,MATCH($A18,Registro!$A$443:$A$472,0))),EB$5,0),0)</f>
        <v>0</v>
      </c>
      <c r="EC18" s="0" t="n">
        <f aca="false">IFERROR(IF(ISNUMBER(INDEX(Registro!$U$443:$U$472,MATCH($A18,Registro!$A$443:$A$472,0))),EC$5,0),0)</f>
        <v>0</v>
      </c>
      <c r="ED18" s="0" t="n">
        <f aca="false">IFERROR(IF(ISNUMBER(INDEX(Registro!$AA$443:$AA$472,MATCH($A18,Registro!$A$443:$A$472,0))),ED$5,0),0)</f>
        <v>0</v>
      </c>
      <c r="EE18" s="0" t="n">
        <f aca="false">IFERROR(IF(ISNUMBER(INDEX(Registro!$I$479:$I$508,MATCH($A18,Registro!$A$479:$A$508,0))),EE$5,0),0)</f>
        <v>0</v>
      </c>
      <c r="EF18" s="0" t="n">
        <f aca="false">IFERROR(IF(ISNUMBER(INDEX(Registro!$O$479:$O$508,MATCH($A18,Registro!$A$479:$A$508,0))),EF$5,0),0)</f>
        <v>0</v>
      </c>
      <c r="EG18" s="0" t="n">
        <f aca="false">IFERROR(IF(ISNUMBER(INDEX(Registro!$U$479:$U$508,MATCH($A18,Registro!$A$479:$A$508,0))),EG$5,0),0)</f>
        <v>0</v>
      </c>
      <c r="EH18" s="0" t="n">
        <f aca="false">IFERROR(IF(ISNUMBER(INDEX(Registro!$AA$479:$AA$508,MATCH($A18,Registro!$A$479:$A$508,0))),EH$5,0),0)</f>
        <v>0</v>
      </c>
      <c r="EI18" s="0" t="n">
        <f aca="false">IFERROR(IF(ISNUMBER(INDEX(Registro!$I$515:$I$544,MATCH($A18,Registro!$A$515:$A$544,0))),EI$5,0),0)</f>
        <v>0</v>
      </c>
      <c r="EJ18" s="0" t="n">
        <f aca="false">IFERROR(IF(ISNUMBER(INDEX(Registro!$O$515:$O$544,MATCH($A18,Registro!$A$515:$A$544,0))),EJ$5,0),0)</f>
        <v>0</v>
      </c>
      <c r="EK18" s="0" t="n">
        <f aca="false">IFERROR(IF(ISNUMBER(INDEX(Registro!$U$515:$U$544,MATCH($A18,Registro!$A$515:$A$544,0))),EK$5,0),0)</f>
        <v>0</v>
      </c>
      <c r="EL18" s="0" t="n">
        <f aca="false">IFERROR(IF(ISNUMBER(INDEX(Registro!$AA$515:$AA$544,MATCH($A18,Registro!$A$515:$A$544,0))),EL$5,0),0)</f>
        <v>0</v>
      </c>
      <c r="EM18" s="0" t="n">
        <f aca="false">IFERROR(IF(ISNUMBER(INDEX(Registro!$I$551:$I$580,MATCH($A18,Registro!$A$551:$A$580,0))),EM$5,0),0)</f>
        <v>0</v>
      </c>
      <c r="EN18" s="0" t="n">
        <f aca="false">IFERROR(IF(ISNUMBER(INDEX(Registro!$O$551:$O$580,MATCH($A18,Registro!$A$551:$A$580,0))),EN$5,0),0)</f>
        <v>0</v>
      </c>
      <c r="EO18" s="0" t="n">
        <f aca="false">IFERROR(IF(ISNUMBER(INDEX(Registro!$U$551:$U$580,MATCH($A18,Registro!$A$551:$A$580,0))),EO$5,0),0)</f>
        <v>0</v>
      </c>
      <c r="EP18" s="0" t="n">
        <f aca="false">IFERROR(IF(ISNUMBER(INDEX(Registro!$AA$551:$AA$580,MATCH($A18,Registro!$A$551:$A$580,0))),EP$5,0),0)</f>
        <v>0</v>
      </c>
      <c r="EQ18" s="0" t="n">
        <f aca="false">IFERROR(IF(ISNUMBER(INDEX(Registro!$I$587:$I$616,MATCH($A18,Registro!$A$587:$A$616,0))),EQ$5,0),0)</f>
        <v>0</v>
      </c>
      <c r="ER18" s="0" t="n">
        <f aca="false">IFERROR(IF(ISNUMBER(INDEX(Registro!$O$587:$O$616,MATCH($A18,Registro!$A$587:$A$616,0))),ER$5,0),0)</f>
        <v>0</v>
      </c>
      <c r="ES18" s="0" t="n">
        <f aca="false">IFERROR(IF(ISNUMBER(INDEX(Registro!$U$587:$U$616,MATCH($A18,Registro!$A$587:$A$616,0))),ES$5,0),0)</f>
        <v>0</v>
      </c>
      <c r="ET18" s="0" t="n">
        <f aca="false">IFERROR(IF(ISNUMBER(INDEX(Registro!$AA$587:$AA$616,MATCH($A18,Registro!$A$587:$A$616,0))),ET$5,0),0)</f>
        <v>0</v>
      </c>
      <c r="EU18" s="0" t="n">
        <f aca="false">IFERROR(IF(ISNUMBER(INDEX(Registro!$I$623:$I$652,MATCH($A18,Registro!$A$623:$A$652,0))),EU$5,0),0)</f>
        <v>0</v>
      </c>
      <c r="EV18" s="0" t="n">
        <f aca="false">IFERROR(IF(ISNUMBER(INDEX(Registro!$O$623:$O$652,MATCH($A18,Registro!$A$623:$A$652,0))),EV$5,0),0)</f>
        <v>0</v>
      </c>
      <c r="EW18" s="0" t="n">
        <f aca="false">IFERROR(IF(ISNUMBER(INDEX(Registro!$U$623:$U$652,MATCH($A18,Registro!$A$623:$A$652,0))),EW$5,0),0)</f>
        <v>0</v>
      </c>
      <c r="EX18" s="0" t="n">
        <f aca="false">IFERROR(IF(ISNUMBER(INDEX(Registro!$AA$623:$AA$652,MATCH($A18,Registro!$A$623:$A$652,0))),EX$5,0),0)</f>
        <v>0</v>
      </c>
      <c r="EY18" s="0" t="n">
        <f aca="false">IFERROR(IF(ISNUMBER(INDEX(Registro!$I$659:$I$688,MATCH($A18,Registro!$A$659:$A$688,0))),EY$5,0),0)</f>
        <v>0</v>
      </c>
      <c r="EZ18" s="0" t="n">
        <f aca="false">IFERROR(IF(ISNUMBER(INDEX(Registro!$O$659:$O$688,MATCH($A18,Registro!$A$659:$A$688,0))),EZ$5,0),0)</f>
        <v>0</v>
      </c>
      <c r="FA18" s="0" t="n">
        <f aca="false">IFERROR(IF(ISNUMBER(INDEX(Registro!$U$659:$U$688,MATCH($A18,Registro!$A$659:$A$688,0))),FA$5,0),0)</f>
        <v>0</v>
      </c>
      <c r="FB18" s="0" t="n">
        <f aca="false">IFERROR(IF(ISNUMBER(INDEX(Registro!$AA$659:$AA$688,MATCH($A18,Registro!$A$659:$A$688,0))),FB$5,0),0)</f>
        <v>0</v>
      </c>
      <c r="FC18" s="0" t="n">
        <f aca="false">IFERROR(IF(ISNUMBER(INDEX(Registro!$I$695:$I$724,MATCH($A18,Registro!$A$695:$A$724,0))),FC$5,0),0)</f>
        <v>0</v>
      </c>
      <c r="FD18" s="0" t="n">
        <f aca="false">IFERROR(IF(ISNUMBER(INDEX(Registro!$O$695:$O$724,MATCH($A18,Registro!$A$695:$A$724,0))),FD$5,0),0)</f>
        <v>0</v>
      </c>
      <c r="FE18" s="0" t="n">
        <f aca="false">IFERROR(IF(ISNUMBER(INDEX(Registro!$U$695:$U$724,MATCH($A18,Registro!$A$695:$A$724,0))),FE$5,0),0)</f>
        <v>0</v>
      </c>
      <c r="FF18" s="0" t="n">
        <f aca="false">IFERROR(IF(ISNUMBER(INDEX(Registro!$AA$695:$AA$724,MATCH($A18,Registro!$A$695:$A$724,0))),FF$5,0),0)</f>
        <v>0</v>
      </c>
      <c r="FG18" s="0" t="n">
        <f aca="false">IFERROR(IF(AND(INDEX(Registro!$C$11:$C$40,MATCH($A18,Registro!$A$11:$A$40,0))="AS",INDEX(Registro!$D$11:$D$40,MATCH($A18,Registro!$A$11:$A$40,0))&amp;""=""),1,0),0)</f>
        <v>0</v>
      </c>
      <c r="FH18" s="0" t="n">
        <f aca="false">IFERROR(IF(AND(INDEX(Registro!$C$47:$C$76,MATCH($A18,Registro!$A$47:$A$76,0))="AS",INDEX(Registro!$D$47:$D$76,MATCH($A18,Registro!$A$47:$A$76,0))&amp;""=""),1,0),0)</f>
        <v>0</v>
      </c>
      <c r="FI18" s="0" t="n">
        <f aca="false">IFERROR(IF(AND(INDEX(Registro!$C$83:$C$112,MATCH($A18,Registro!$A$83:$A$112,0))="AS",INDEX(Registro!$D$83:$D$112,MATCH($A18,Registro!$A$83:$A$112,0))&amp;""=""),1,0),0)</f>
        <v>0</v>
      </c>
      <c r="FJ18" s="0" t="n">
        <f aca="false">IFERROR(IF(AND(INDEX(Registro!$C$119:$C$148,MATCH($A18,Registro!$A$119:$A$148,0))="AS",INDEX(Registro!$D$119:$D$148,MATCH($A18,Registro!$A$119:$A$148,0))&amp;""=""),1,0),0)</f>
        <v>0</v>
      </c>
      <c r="FK18" s="0" t="n">
        <f aca="false">IFERROR(IF(AND(INDEX(Registro!$C$155:$C$184,MATCH($A18,Registro!$A$155:$A$184,0))="AS",INDEX(Registro!$D$155:$D$184,MATCH($A18,Registro!$A$155:$A$184,0))&amp;""=""),1,0),0)</f>
        <v>0</v>
      </c>
      <c r="FL18" s="0" t="n">
        <f aca="false">IFERROR(IF(AND(INDEX(Registro!$C$191:$C$220,MATCH($A18,Registro!$A$191:$A$220,0))="AS",INDEX(Registro!$D$191:$D$220,MATCH($A18,Registro!$A$191:$A$220,0))&amp;""=""),1,0),0)</f>
        <v>0</v>
      </c>
      <c r="FM18" s="0" t="n">
        <f aca="false">IFERROR(IF(AND(INDEX(Registro!$C$227:$C$256,MATCH($A18,Registro!$A$227:$A$256,0))="AS",INDEX(Registro!$D$227:$D$256,MATCH($A18,Registro!$A$227:$A$256,0))&amp;""=""),1,0),0)</f>
        <v>0</v>
      </c>
      <c r="FN18" s="0" t="n">
        <f aca="false">IFERROR(IF(AND(INDEX(Registro!$C$263:$C$292,MATCH($A18,Registro!$A$263:$A$292,0))="AS",INDEX(Registro!$D$263:$D$292,MATCH($A18,Registro!$A$263:$A$292,0))&amp;""=""),1,0),0)</f>
        <v>0</v>
      </c>
      <c r="FO18" s="0" t="n">
        <f aca="false">IFERROR(IF(AND(INDEX(Registro!$C$299:$C$328,MATCH($A18,Registro!$A$299:$A$328,0))="AS",INDEX(Registro!$D$299:$D$328,MATCH($A18,Registro!$A$299:$A$328,0))&amp;""=""),1,0),0)</f>
        <v>0</v>
      </c>
      <c r="FP18" s="0" t="n">
        <f aca="false">IFERROR(IF(AND(INDEX(Registro!$C$335:$C$364,MATCH($A18,Registro!$A$335:$A$364,0))="AS",INDEX(Registro!$D$335:$D$364,MATCH($A18,Registro!$A$335:$A$364,0))&amp;""=""),1,0),0)</f>
        <v>0</v>
      </c>
      <c r="FQ18" s="0" t="n">
        <f aca="false">IFERROR(IF(AND(INDEX(Registro!$C$371:$C$400,MATCH($A18,Registro!$A$371:$A$400,0))="AS",INDEX(Registro!$D$371:$D$400,MATCH($A18,Registro!$A$371:$A$400,0))&amp;""=""),1,0),0)</f>
        <v>0</v>
      </c>
      <c r="FR18" s="0" t="n">
        <f aca="false">IFERROR(IF(AND(INDEX(Registro!$C$407:$C$436,MATCH($A18,Registro!$A$407:$A$436,0))="AS",INDEX(Registro!$D$407:$D$436,MATCH($A18,Registro!$A$407:$A$436,0))&amp;""=""),1,0),0)</f>
        <v>0</v>
      </c>
      <c r="FS18" s="0" t="n">
        <f aca="false">IFERROR(IF(AND(INDEX(Registro!$C$443:$C$472,MATCH($A18,Registro!$A$443:$A$472,0))="AS",INDEX(Registro!$D$443:$D$472,MATCH($A18,Registro!$A$443:$A$472,0))&amp;""=""),1,0),0)</f>
        <v>0</v>
      </c>
      <c r="FT18" s="0" t="n">
        <f aca="false">IFERROR(IF(AND(INDEX(Registro!$C$479:$C$508,MATCH($A18,Registro!$A$479:$A$508,0))="AS",INDEX(Registro!$D$479:$D$508,MATCH($A18,Registro!$A$479:$A$508,0))&amp;""=""),1,0),0)</f>
        <v>0</v>
      </c>
      <c r="FU18" s="0" t="n">
        <f aca="false">IFERROR(IF(AND(INDEX(Registro!$C$515:$C$544,MATCH($A18,Registro!$A$515:$A$544,0))="AS",INDEX(Registro!$D$515:$D$544,MATCH($A18,Registro!$A$515:$A$544,0))&amp;""=""),1,0),0)</f>
        <v>0</v>
      </c>
      <c r="FV18" s="0" t="n">
        <f aca="false">IFERROR(IF(AND(INDEX(Registro!$C$551:$C$580,MATCH($A18,Registro!$A$551:$A$580,0))="AS",INDEX(Registro!$D$551:$D$580,MATCH($A18,Registro!$A$551:$A$580,0))&amp;""=""),1,0),0)</f>
        <v>0</v>
      </c>
      <c r="FW18" s="0" t="n">
        <f aca="false">IFERROR(IF(AND(INDEX(Registro!$C$587:$C$616,MATCH($A18,Registro!$A$587:$A$616,0))="AS",INDEX(Registro!$D$587:$D$616,MATCH($A18,Registro!$A$587:$A$616,0))&amp;""=""),1,0),0)</f>
        <v>0</v>
      </c>
      <c r="FX18" s="0" t="n">
        <f aca="false">IFERROR(IF(AND(INDEX(Registro!$C$623:$C$652,MATCH($A18,Registro!$A$623:$A$652,0))="AS",INDEX(Registro!$D$623:$D$652,MATCH($A18,Registro!$A$623:$A$652,0))&amp;""=""),1,0),0)</f>
        <v>0</v>
      </c>
      <c r="FY18" s="0" t="n">
        <f aca="false">IFERROR(IF(AND(INDEX(Registro!$C$659:$C$688,MATCH($A18,Registro!$A$659:$A$688,0))="AS",INDEX(Registro!$D$659:$D$688,MATCH($A18,Registro!$A$659:$A$688,0))&amp;""=""),1,0),0)</f>
        <v>0</v>
      </c>
      <c r="FZ18" s="0" t="n">
        <f aca="false">IFERROR(IF(AND(INDEX(Registro!$C$695:$C$724,MATCH($A18,Registro!$A$695:$A$724,0))="AS",INDEX(Registro!$D$695:$D$724,MATCH($A18,Registro!$A$695:$A$724,0))&amp;""=""),1,0),0)</f>
        <v>0</v>
      </c>
    </row>
    <row r="19" customFormat="false" ht="15" hidden="false" customHeight="false" outlineLevel="0" collapsed="false">
      <c r="A19" s="0" t="n">
        <v>13</v>
      </c>
      <c r="C19" s="0" t="n">
        <f aca="false">IFERROR(N(INDEX(Registro!$I$11:$I$40,MATCH($A19,Registro!$A$11:$A$40,0))),0)</f>
        <v>0</v>
      </c>
      <c r="D19" s="0" t="n">
        <f aca="false">IFERROR(N(INDEX(Registro!$O$11:$O$40,MATCH($A19,Registro!$A$11:$A$40,0))),0)</f>
        <v>0</v>
      </c>
      <c r="E19" s="0" t="n">
        <f aca="false">IFERROR(N(INDEX(Registro!$U$11:$U$40,MATCH($A19,Registro!$A$11:$A$40,0))),0)</f>
        <v>0</v>
      </c>
      <c r="F19" s="0" t="n">
        <f aca="false">IFERROR(N(INDEX(Registro!$AA$11:$AA$40,MATCH($A19,Registro!$A$11:$A$40,0))),0)</f>
        <v>0</v>
      </c>
      <c r="G19" s="0" t="n">
        <f aca="false">IFERROR(N(INDEX(Registro!$I$47:$I$76,MATCH($A19,Registro!$A$47:$A$76,0))),0)</f>
        <v>0</v>
      </c>
      <c r="H19" s="0" t="n">
        <f aca="false">IFERROR(N(INDEX(Registro!$O$47:$O$76,MATCH($A19,Registro!$A$47:$A$76,0))),0)</f>
        <v>0</v>
      </c>
      <c r="I19" s="0" t="n">
        <f aca="false">IFERROR(N(INDEX(Registro!$U$47:$U$76,MATCH($A19,Registro!$A$47:$A$76,0))),0)</f>
        <v>0</v>
      </c>
      <c r="J19" s="0" t="n">
        <f aca="false">IFERROR(N(INDEX(Registro!$AA$47:$AA$76,MATCH($A19,Registro!$A$47:$A$76,0))),0)</f>
        <v>0</v>
      </c>
      <c r="K19" s="0" t="n">
        <f aca="false">IFERROR(N(INDEX(Registro!$I$83:$I$112,MATCH($A19,Registro!$A$83:$A$112,0))),0)</f>
        <v>0</v>
      </c>
      <c r="L19" s="0" t="n">
        <f aca="false">IFERROR(N(INDEX(Registro!$O$83:$O$112,MATCH($A19,Registro!$A$83:$A$112,0))),0)</f>
        <v>0</v>
      </c>
      <c r="M19" s="0" t="n">
        <f aca="false">IFERROR(N(INDEX(Registro!$U$83:$U$112,MATCH($A19,Registro!$A$83:$A$112,0))),0)</f>
        <v>0</v>
      </c>
      <c r="N19" s="0" t="n">
        <f aca="false">IFERROR(N(INDEX(Registro!$AA$83:$AA$112,MATCH($A19,Registro!$A$83:$A$112,0))),0)</f>
        <v>0</v>
      </c>
      <c r="O19" s="0" t="n">
        <f aca="false">IFERROR(N(INDEX(Registro!$I$119:$I$148,MATCH($A19,Registro!$A$119:$A$148,0))),0)</f>
        <v>0</v>
      </c>
      <c r="P19" s="0" t="n">
        <f aca="false">IFERROR(N(INDEX(Registro!$O$119:$O$148,MATCH($A19,Registro!$A$119:$A$148,0))),0)</f>
        <v>0</v>
      </c>
      <c r="Q19" s="0" t="n">
        <f aca="false">IFERROR(N(INDEX(Registro!$U$119:$U$148,MATCH($A19,Registro!$A$119:$A$148,0))),0)</f>
        <v>0</v>
      </c>
      <c r="R19" s="0" t="n">
        <f aca="false">IFERROR(N(INDEX(Registro!$AA$119:$AA$148,MATCH($A19,Registro!$A$119:$A$148,0))),0)</f>
        <v>0</v>
      </c>
      <c r="S19" s="0" t="n">
        <f aca="false">IFERROR(N(INDEX(Registro!$I$155:$I$184,MATCH($A19,Registro!$A$155:$A$184,0))),0)</f>
        <v>0</v>
      </c>
      <c r="T19" s="0" t="n">
        <f aca="false">IFERROR(N(INDEX(Registro!$O$155:$O$184,MATCH($A19,Registro!$A$155:$A$184,0))),0)</f>
        <v>0</v>
      </c>
      <c r="U19" s="0" t="n">
        <f aca="false">IFERROR(N(INDEX(Registro!$U$155:$U$184,MATCH($A19,Registro!$A$155:$A$184,0))),0)</f>
        <v>0</v>
      </c>
      <c r="V19" s="0" t="n">
        <f aca="false">IFERROR(N(INDEX(Registro!$AA$155:$AA$184,MATCH($A19,Registro!$A$155:$A$184,0))),0)</f>
        <v>0</v>
      </c>
      <c r="W19" s="0" t="n">
        <f aca="false">IFERROR(N(INDEX(Registro!$I$191:$I$220,MATCH($A19,Registro!$A$191:$A$220,0))),0)</f>
        <v>0</v>
      </c>
      <c r="X19" s="0" t="n">
        <f aca="false">IFERROR(N(INDEX(Registro!$O$191:$O$220,MATCH($A19,Registro!$A$191:$A$220,0))),0)</f>
        <v>0</v>
      </c>
      <c r="Y19" s="0" t="n">
        <f aca="false">IFERROR(N(INDEX(Registro!$U$191:$U$220,MATCH($A19,Registro!$A$191:$A$220,0))),0)</f>
        <v>0</v>
      </c>
      <c r="Z19" s="0" t="n">
        <f aca="false">IFERROR(N(INDEX(Registro!$AA$191:$AA$220,MATCH($A19,Registro!$A$191:$A$220,0))),0)</f>
        <v>0</v>
      </c>
      <c r="AA19" s="0" t="n">
        <f aca="false">IFERROR(N(INDEX(Registro!$I$227:$I$256,MATCH($A19,Registro!$A$227:$A$256,0))),0)</f>
        <v>0</v>
      </c>
      <c r="AB19" s="0" t="n">
        <f aca="false">IFERROR(N(INDEX(Registro!$O$227:$O$256,MATCH($A19,Registro!$A$227:$A$256,0))),0)</f>
        <v>0</v>
      </c>
      <c r="AC19" s="0" t="n">
        <f aca="false">IFERROR(N(INDEX(Registro!$U$227:$U$256,MATCH($A19,Registro!$A$227:$A$256,0))),0)</f>
        <v>0</v>
      </c>
      <c r="AD19" s="0" t="n">
        <f aca="false">IFERROR(N(INDEX(Registro!$AA$227:$AA$256,MATCH($A19,Registro!$A$227:$A$256,0))),0)</f>
        <v>0</v>
      </c>
      <c r="AE19" s="0" t="n">
        <f aca="false">IFERROR(N(INDEX(Registro!$I$263:$I$292,MATCH($A19,Registro!$A$263:$A$292,0))),0)</f>
        <v>0</v>
      </c>
      <c r="AF19" s="0" t="n">
        <f aca="false">IFERROR(N(INDEX(Registro!$O$263:$O$292,MATCH($A19,Registro!$A$263:$A$292,0))),0)</f>
        <v>0</v>
      </c>
      <c r="AG19" s="0" t="n">
        <f aca="false">IFERROR(N(INDEX(Registro!$U$263:$U$292,MATCH($A19,Registro!$A$263:$A$292,0))),0)</f>
        <v>0</v>
      </c>
      <c r="AH19" s="0" t="n">
        <f aca="false">IFERROR(N(INDEX(Registro!$AA$263:$AA$292,MATCH($A19,Registro!$A$263:$A$292,0))),0)</f>
        <v>0</v>
      </c>
      <c r="AI19" s="0" t="n">
        <f aca="false">IFERROR(N(INDEX(Registro!$I$299:$I$328,MATCH($A19,Registro!$A$299:$A$328,0))),0)</f>
        <v>0</v>
      </c>
      <c r="AJ19" s="0" t="n">
        <f aca="false">IFERROR(N(INDEX(Registro!$O$299:$O$328,MATCH($A19,Registro!$A$299:$A$328,0))),0)</f>
        <v>0</v>
      </c>
      <c r="AK19" s="0" t="n">
        <f aca="false">IFERROR(N(INDEX(Registro!$U$299:$U$328,MATCH($A19,Registro!$A$299:$A$328,0))),0)</f>
        <v>0</v>
      </c>
      <c r="AL19" s="0" t="n">
        <f aca="false">IFERROR(N(INDEX(Registro!$AA$299:$AA$328,MATCH($A19,Registro!$A$299:$A$328,0))),0)</f>
        <v>0</v>
      </c>
      <c r="AM19" s="0" t="n">
        <f aca="false">IFERROR(N(INDEX(Registro!$I$335:$I$364,MATCH($A19,Registro!$A$335:$A$364,0))),0)</f>
        <v>0</v>
      </c>
      <c r="AN19" s="0" t="n">
        <f aca="false">IFERROR(N(INDEX(Registro!$O$335:$O$364,MATCH($A19,Registro!$A$335:$A$364,0))),0)</f>
        <v>0</v>
      </c>
      <c r="AO19" s="0" t="n">
        <f aca="false">IFERROR(N(INDEX(Registro!$U$335:$U$364,MATCH($A19,Registro!$A$335:$A$364,0))),0)</f>
        <v>0</v>
      </c>
      <c r="AP19" s="0" t="n">
        <f aca="false">IFERROR(N(INDEX(Registro!$AA$335:$AA$364,MATCH($A19,Registro!$A$335:$A$364,0))),0)</f>
        <v>0</v>
      </c>
      <c r="AQ19" s="0" t="n">
        <f aca="false">IFERROR(N(INDEX(Registro!$I$371:$I$400,MATCH($A19,Registro!$A$371:$A$400,0))),0)</f>
        <v>0</v>
      </c>
      <c r="AR19" s="0" t="n">
        <f aca="false">IFERROR(N(INDEX(Registro!$O$371:$O$400,MATCH($A19,Registro!$A$371:$A$400,0))),0)</f>
        <v>0</v>
      </c>
      <c r="AS19" s="0" t="n">
        <f aca="false">IFERROR(N(INDEX(Registro!$U$371:$U$400,MATCH($A19,Registro!$A$371:$A$400,0))),0)</f>
        <v>0</v>
      </c>
      <c r="AT19" s="0" t="n">
        <f aca="false">IFERROR(N(INDEX(Registro!$AA$371:$AA$400,MATCH($A19,Registro!$A$371:$A$400,0))),0)</f>
        <v>0</v>
      </c>
      <c r="AU19" s="0" t="n">
        <f aca="false">IFERROR(N(INDEX(Registro!$I$407:$I$436,MATCH($A19,Registro!$A$407:$A$436,0))),0)</f>
        <v>0</v>
      </c>
      <c r="AV19" s="0" t="n">
        <f aca="false">IFERROR(N(INDEX(Registro!$O$407:$O$436,MATCH($A19,Registro!$A$407:$A$436,0))),0)</f>
        <v>0</v>
      </c>
      <c r="AW19" s="0" t="n">
        <f aca="false">IFERROR(N(INDEX(Registro!$U$407:$U$436,MATCH($A19,Registro!$A$407:$A$436,0))),0)</f>
        <v>0</v>
      </c>
      <c r="AX19" s="0" t="n">
        <f aca="false">IFERROR(N(INDEX(Registro!$AA$407:$AA$436,MATCH($A19,Registro!$A$407:$A$436,0))),0)</f>
        <v>0</v>
      </c>
      <c r="AY19" s="0" t="n">
        <f aca="false">IFERROR(N(INDEX(Registro!$I$443:$I$472,MATCH($A19,Registro!$A$443:$A$472,0))),0)</f>
        <v>0</v>
      </c>
      <c r="AZ19" s="0" t="n">
        <f aca="false">IFERROR(N(INDEX(Registro!$O$443:$O$472,MATCH($A19,Registro!$A$443:$A$472,0))),0)</f>
        <v>0</v>
      </c>
      <c r="BA19" s="0" t="n">
        <f aca="false">IFERROR(N(INDEX(Registro!$U$443:$U$472,MATCH($A19,Registro!$A$443:$A$472,0))),0)</f>
        <v>0</v>
      </c>
      <c r="BB19" s="0" t="n">
        <f aca="false">IFERROR(N(INDEX(Registro!$AA$443:$AA$472,MATCH($A19,Registro!$A$443:$A$472,0))),0)</f>
        <v>0</v>
      </c>
      <c r="BC19" s="0" t="n">
        <f aca="false">IFERROR(N(INDEX(Registro!$I$479:$I$508,MATCH($A19,Registro!$A$479:$A$508,0))),0)</f>
        <v>0</v>
      </c>
      <c r="BD19" s="0" t="n">
        <f aca="false">IFERROR(N(INDEX(Registro!$O$479:$O$508,MATCH($A19,Registro!$A$479:$A$508,0))),0)</f>
        <v>0</v>
      </c>
      <c r="BE19" s="0" t="n">
        <f aca="false">IFERROR(N(INDEX(Registro!$U$479:$U$508,MATCH($A19,Registro!$A$479:$A$508,0))),0)</f>
        <v>0</v>
      </c>
      <c r="BF19" s="0" t="n">
        <f aca="false">IFERROR(N(INDEX(Registro!$AA$479:$AA$508,MATCH($A19,Registro!$A$479:$A$508,0))),0)</f>
        <v>0</v>
      </c>
      <c r="BG19" s="0" t="n">
        <f aca="false">IFERROR(N(INDEX(Registro!$I$515:$I$544,MATCH($A19,Registro!$A$515:$A$544,0))),0)</f>
        <v>0</v>
      </c>
      <c r="BH19" s="0" t="n">
        <f aca="false">IFERROR(N(INDEX(Registro!$O$515:$O$544,MATCH($A19,Registro!$A$515:$A$544,0))),0)</f>
        <v>0</v>
      </c>
      <c r="BI19" s="0" t="n">
        <f aca="false">IFERROR(N(INDEX(Registro!$U$515:$U$544,MATCH($A19,Registro!$A$515:$A$544,0))),0)</f>
        <v>0</v>
      </c>
      <c r="BJ19" s="0" t="n">
        <f aca="false">IFERROR(N(INDEX(Registro!$AA$515:$AA$544,MATCH($A19,Registro!$A$515:$A$544,0))),0)</f>
        <v>0</v>
      </c>
      <c r="BK19" s="0" t="n">
        <f aca="false">IFERROR(N(INDEX(Registro!$I$551:$I$580,MATCH($A19,Registro!$A$551:$A$580,0))),0)</f>
        <v>0</v>
      </c>
      <c r="BL19" s="0" t="n">
        <f aca="false">IFERROR(N(INDEX(Registro!$O$551:$O$580,MATCH($A19,Registro!$A$551:$A$580,0))),0)</f>
        <v>0</v>
      </c>
      <c r="BM19" s="0" t="n">
        <f aca="false">IFERROR(N(INDEX(Registro!$U$551:$U$580,MATCH($A19,Registro!$A$551:$A$580,0))),0)</f>
        <v>0</v>
      </c>
      <c r="BN19" s="0" t="n">
        <f aca="false">IFERROR(N(INDEX(Registro!$AA$551:$AA$580,MATCH($A19,Registro!$A$551:$A$580,0))),0)</f>
        <v>0</v>
      </c>
      <c r="BO19" s="0" t="n">
        <f aca="false">IFERROR(N(INDEX(Registro!$I$587:$I$616,MATCH($A19,Registro!$A$587:$A$616,0))),0)</f>
        <v>0</v>
      </c>
      <c r="BP19" s="0" t="n">
        <f aca="false">IFERROR(N(INDEX(Registro!$O$587:$O$616,MATCH($A19,Registro!$A$587:$A$616,0))),0)</f>
        <v>0</v>
      </c>
      <c r="BQ19" s="0" t="n">
        <f aca="false">IFERROR(N(INDEX(Registro!$U$587:$U$616,MATCH($A19,Registro!$A$587:$A$616,0))),0)</f>
        <v>0</v>
      </c>
      <c r="BR19" s="0" t="n">
        <f aca="false">IFERROR(N(INDEX(Registro!$AA$587:$AA$616,MATCH($A19,Registro!$A$587:$A$616,0))),0)</f>
        <v>0</v>
      </c>
      <c r="BS19" s="0" t="n">
        <f aca="false">IFERROR(N(INDEX(Registro!$I$623:$I$652,MATCH($A19,Registro!$A$623:$A$652,0))),0)</f>
        <v>0</v>
      </c>
      <c r="BT19" s="0" t="n">
        <f aca="false">IFERROR(N(INDEX(Registro!$O$623:$O$652,MATCH($A19,Registro!$A$623:$A$652,0))),0)</f>
        <v>0</v>
      </c>
      <c r="BU19" s="0" t="n">
        <f aca="false">IFERROR(N(INDEX(Registro!$U$623:$U$652,MATCH($A19,Registro!$A$623:$A$652,0))),0)</f>
        <v>0</v>
      </c>
      <c r="BV19" s="0" t="n">
        <f aca="false">IFERROR(N(INDEX(Registro!$AA$623:$AA$652,MATCH($A19,Registro!$A$623:$A$652,0))),0)</f>
        <v>0</v>
      </c>
      <c r="BW19" s="0" t="n">
        <f aca="false">IFERROR(N(INDEX(Registro!$I$659:$I$688,MATCH($A19,Registro!$A$659:$A$688,0))),0)</f>
        <v>0</v>
      </c>
      <c r="BX19" s="0" t="n">
        <f aca="false">IFERROR(N(INDEX(Registro!$O$659:$O$688,MATCH($A19,Registro!$A$659:$A$688,0))),0)</f>
        <v>0</v>
      </c>
      <c r="BY19" s="0" t="n">
        <f aca="false">IFERROR(N(INDEX(Registro!$U$659:$U$688,MATCH($A19,Registro!$A$659:$A$688,0))),0)</f>
        <v>0</v>
      </c>
      <c r="BZ19" s="0" t="n">
        <f aca="false">IFERROR(N(INDEX(Registro!$AA$659:$AA$688,MATCH($A19,Registro!$A$659:$A$688,0))),0)</f>
        <v>0</v>
      </c>
      <c r="CA19" s="0" t="n">
        <f aca="false">IFERROR(N(INDEX(Registro!$I$695:$I$724,MATCH($A19,Registro!$A$695:$A$724,0))),0)</f>
        <v>0</v>
      </c>
      <c r="CB19" s="0" t="n">
        <f aca="false">IFERROR(N(INDEX(Registro!$O$695:$O$724,MATCH($A19,Registro!$A$695:$A$724,0))),0)</f>
        <v>0</v>
      </c>
      <c r="CC19" s="0" t="n">
        <f aca="false">IFERROR(N(INDEX(Registro!$U$695:$U$724,MATCH($A19,Registro!$A$695:$A$724,0))),0)</f>
        <v>0</v>
      </c>
      <c r="CD19" s="0" t="n">
        <f aca="false">IFERROR(N(INDEX(Registro!$AA$695:$AA$724,MATCH($A19,Registro!$A$695:$A$724,0))),0)</f>
        <v>0</v>
      </c>
      <c r="CE19" s="0" t="n">
        <f aca="false">IFERROR(IF(ISNUMBER(INDEX(Registro!$I$11:$I$40,MATCH($A19,Registro!$A$11:$A$40,0))),CE$5,0),0)</f>
        <v>0</v>
      </c>
      <c r="CF19" s="0" t="n">
        <f aca="false">IFERROR(IF(ISNUMBER(INDEX(Registro!$O$11:$O$40,MATCH($A19,Registro!$A$11:$A$40,0))),CF$5,0),0)</f>
        <v>0</v>
      </c>
      <c r="CG19" s="0" t="n">
        <f aca="false">IFERROR(IF(ISNUMBER(INDEX(Registro!$U$11:$U$40,MATCH($A19,Registro!$A$11:$A$40,0))),CG$5,0),0)</f>
        <v>0</v>
      </c>
      <c r="CH19" s="0" t="n">
        <f aca="false">IFERROR(IF(ISNUMBER(INDEX(Registro!$AA$11:$AA$40,MATCH($A19,Registro!$A$11:$A$40,0))),CH$5,0),0)</f>
        <v>0</v>
      </c>
      <c r="CI19" s="0" t="n">
        <f aca="false">IFERROR(IF(ISNUMBER(INDEX(Registro!$I$47:$I$76,MATCH($A19,Registro!$A$47:$A$76,0))),CI$5,0),0)</f>
        <v>0</v>
      </c>
      <c r="CJ19" s="0" t="n">
        <f aca="false">IFERROR(IF(ISNUMBER(INDEX(Registro!$O$47:$O$76,MATCH($A19,Registro!$A$47:$A$76,0))),CJ$5,0),0)</f>
        <v>0</v>
      </c>
      <c r="CK19" s="0" t="n">
        <f aca="false">IFERROR(IF(ISNUMBER(INDEX(Registro!$U$47:$U$76,MATCH($A19,Registro!$A$47:$A$76,0))),CK$5,0),0)</f>
        <v>0</v>
      </c>
      <c r="CL19" s="0" t="n">
        <f aca="false">IFERROR(IF(ISNUMBER(INDEX(Registro!$AA$47:$AA$76,MATCH($A19,Registro!$A$47:$A$76,0))),CL$5,0),0)</f>
        <v>0</v>
      </c>
      <c r="CM19" s="0" t="n">
        <f aca="false">IFERROR(IF(ISNUMBER(INDEX(Registro!$I$83:$I$112,MATCH($A19,Registro!$A$83:$A$112,0))),CM$5,0),0)</f>
        <v>0</v>
      </c>
      <c r="CN19" s="0" t="n">
        <f aca="false">IFERROR(IF(ISNUMBER(INDEX(Registro!$O$83:$O$112,MATCH($A19,Registro!$A$83:$A$112,0))),CN$5,0),0)</f>
        <v>0</v>
      </c>
      <c r="CO19" s="0" t="n">
        <f aca="false">IFERROR(IF(ISNUMBER(INDEX(Registro!$U$83:$U$112,MATCH($A19,Registro!$A$83:$A$112,0))),CO$5,0),0)</f>
        <v>0</v>
      </c>
      <c r="CP19" s="0" t="n">
        <f aca="false">IFERROR(IF(ISNUMBER(INDEX(Registro!$AA$83:$AA$112,MATCH($A19,Registro!$A$83:$A$112,0))),CP$5,0),0)</f>
        <v>0</v>
      </c>
      <c r="CQ19" s="0" t="n">
        <f aca="false">IFERROR(IF(ISNUMBER(INDEX(Registro!$I$119:$I$148,MATCH($A19,Registro!$A$119:$A$148,0))),CQ$5,0),0)</f>
        <v>0</v>
      </c>
      <c r="CR19" s="0" t="n">
        <f aca="false">IFERROR(IF(ISNUMBER(INDEX(Registro!$O$119:$O$148,MATCH($A19,Registro!$A$119:$A$148,0))),CR$5,0),0)</f>
        <v>0</v>
      </c>
      <c r="CS19" s="0" t="n">
        <f aca="false">IFERROR(IF(ISNUMBER(INDEX(Registro!$U$119:$U$148,MATCH($A19,Registro!$A$119:$A$148,0))),CS$5,0),0)</f>
        <v>0</v>
      </c>
      <c r="CT19" s="0" t="n">
        <f aca="false">IFERROR(IF(ISNUMBER(INDEX(Registro!$AA$119:$AA$148,MATCH($A19,Registro!$A$119:$A$148,0))),CT$5,0),0)</f>
        <v>0</v>
      </c>
      <c r="CU19" s="0" t="n">
        <f aca="false">IFERROR(IF(ISNUMBER(INDEX(Registro!$I$155:$I$184,MATCH($A19,Registro!$A$155:$A$184,0))),CU$5,0),0)</f>
        <v>0</v>
      </c>
      <c r="CV19" s="0" t="n">
        <f aca="false">IFERROR(IF(ISNUMBER(INDEX(Registro!$O$155:$O$184,MATCH($A19,Registro!$A$155:$A$184,0))),CV$5,0),0)</f>
        <v>0</v>
      </c>
      <c r="CW19" s="0" t="n">
        <f aca="false">IFERROR(IF(ISNUMBER(INDEX(Registro!$U$155:$U$184,MATCH($A19,Registro!$A$155:$A$184,0))),CW$5,0),0)</f>
        <v>0</v>
      </c>
      <c r="CX19" s="0" t="n">
        <f aca="false">IFERROR(IF(ISNUMBER(INDEX(Registro!$AA$155:$AA$184,MATCH($A19,Registro!$A$155:$A$184,0))),CX$5,0),0)</f>
        <v>0</v>
      </c>
      <c r="CY19" s="0" t="n">
        <f aca="false">IFERROR(IF(ISNUMBER(INDEX(Registro!$I$191:$I$220,MATCH($A19,Registro!$A$191:$A$220,0))),CY$5,0),0)</f>
        <v>0</v>
      </c>
      <c r="CZ19" s="0" t="n">
        <f aca="false">IFERROR(IF(ISNUMBER(INDEX(Registro!$O$191:$O$220,MATCH($A19,Registro!$A$191:$A$220,0))),CZ$5,0),0)</f>
        <v>0</v>
      </c>
      <c r="DA19" s="0" t="n">
        <f aca="false">IFERROR(IF(ISNUMBER(INDEX(Registro!$U$191:$U$220,MATCH($A19,Registro!$A$191:$A$220,0))),DA$5,0),0)</f>
        <v>0</v>
      </c>
      <c r="DB19" s="0" t="n">
        <f aca="false">IFERROR(IF(ISNUMBER(INDEX(Registro!$AA$191:$AA$220,MATCH($A19,Registro!$A$191:$A$220,0))),DB$5,0),0)</f>
        <v>0</v>
      </c>
      <c r="DC19" s="0" t="n">
        <f aca="false">IFERROR(IF(ISNUMBER(INDEX(Registro!$I$227:$I$256,MATCH($A19,Registro!$A$227:$A$256,0))),DC$5,0),0)</f>
        <v>0</v>
      </c>
      <c r="DD19" s="0" t="n">
        <f aca="false">IFERROR(IF(ISNUMBER(INDEX(Registro!$O$227:$O$256,MATCH($A19,Registro!$A$227:$A$256,0))),DD$5,0),0)</f>
        <v>0</v>
      </c>
      <c r="DE19" s="0" t="n">
        <f aca="false">IFERROR(IF(ISNUMBER(INDEX(Registro!$U$227:$U$256,MATCH($A19,Registro!$A$227:$A$256,0))),DE$5,0),0)</f>
        <v>0</v>
      </c>
      <c r="DF19" s="0" t="n">
        <f aca="false">IFERROR(IF(ISNUMBER(INDEX(Registro!$AA$227:$AA$256,MATCH($A19,Registro!$A$227:$A$256,0))),DF$5,0),0)</f>
        <v>0</v>
      </c>
      <c r="DG19" s="0" t="n">
        <f aca="false">IFERROR(IF(ISNUMBER(INDEX(Registro!$I$263:$I$292,MATCH($A19,Registro!$A$263:$A$292,0))),DG$5,0),0)</f>
        <v>0</v>
      </c>
      <c r="DH19" s="0" t="n">
        <f aca="false">IFERROR(IF(ISNUMBER(INDEX(Registro!$O$263:$O$292,MATCH($A19,Registro!$A$263:$A$292,0))),DH$5,0),0)</f>
        <v>0</v>
      </c>
      <c r="DI19" s="0" t="n">
        <f aca="false">IFERROR(IF(ISNUMBER(INDEX(Registro!$U$263:$U$292,MATCH($A19,Registro!$A$263:$A$292,0))),DI$5,0),0)</f>
        <v>0</v>
      </c>
      <c r="DJ19" s="0" t="n">
        <f aca="false">IFERROR(IF(ISNUMBER(INDEX(Registro!$AA$263:$AA$292,MATCH($A19,Registro!$A$263:$A$292,0))),DJ$5,0),0)</f>
        <v>0</v>
      </c>
      <c r="DK19" s="0" t="n">
        <f aca="false">IFERROR(IF(ISNUMBER(INDEX(Registro!$I$299:$I$328,MATCH($A19,Registro!$A$299:$A$328,0))),DK$5,0),0)</f>
        <v>0</v>
      </c>
      <c r="DL19" s="0" t="n">
        <f aca="false">IFERROR(IF(ISNUMBER(INDEX(Registro!$O$299:$O$328,MATCH($A19,Registro!$A$299:$A$328,0))),DL$5,0),0)</f>
        <v>0</v>
      </c>
      <c r="DM19" s="0" t="n">
        <f aca="false">IFERROR(IF(ISNUMBER(INDEX(Registro!$U$299:$U$328,MATCH($A19,Registro!$A$299:$A$328,0))),DM$5,0),0)</f>
        <v>0</v>
      </c>
      <c r="DN19" s="0" t="n">
        <f aca="false">IFERROR(IF(ISNUMBER(INDEX(Registro!$AA$299:$AA$328,MATCH($A19,Registro!$A$299:$A$328,0))),DN$5,0),0)</f>
        <v>0</v>
      </c>
      <c r="DO19" s="0" t="n">
        <f aca="false">IFERROR(IF(ISNUMBER(INDEX(Registro!$I$335:$I$364,MATCH($A19,Registro!$A$335:$A$364,0))),DO$5,0),0)</f>
        <v>0</v>
      </c>
      <c r="DP19" s="0" t="n">
        <f aca="false">IFERROR(IF(ISNUMBER(INDEX(Registro!$O$335:$O$364,MATCH($A19,Registro!$A$335:$A$364,0))),DP$5,0),0)</f>
        <v>0</v>
      </c>
      <c r="DQ19" s="0" t="n">
        <f aca="false">IFERROR(IF(ISNUMBER(INDEX(Registro!$U$335:$U$364,MATCH($A19,Registro!$A$335:$A$364,0))),DQ$5,0),0)</f>
        <v>0</v>
      </c>
      <c r="DR19" s="0" t="n">
        <f aca="false">IFERROR(IF(ISNUMBER(INDEX(Registro!$AA$335:$AA$364,MATCH($A19,Registro!$A$335:$A$364,0))),DR$5,0),0)</f>
        <v>0</v>
      </c>
      <c r="DS19" s="0" t="n">
        <f aca="false">IFERROR(IF(ISNUMBER(INDEX(Registro!$I$371:$I$400,MATCH($A19,Registro!$A$371:$A$400,0))),DS$5,0),0)</f>
        <v>0</v>
      </c>
      <c r="DT19" s="0" t="n">
        <f aca="false">IFERROR(IF(ISNUMBER(INDEX(Registro!$O$371:$O$400,MATCH($A19,Registro!$A$371:$A$400,0))),DT$5,0),0)</f>
        <v>0</v>
      </c>
      <c r="DU19" s="0" t="n">
        <f aca="false">IFERROR(IF(ISNUMBER(INDEX(Registro!$U$371:$U$400,MATCH($A19,Registro!$A$371:$A$400,0))),DU$5,0),0)</f>
        <v>0</v>
      </c>
      <c r="DV19" s="0" t="n">
        <f aca="false">IFERROR(IF(ISNUMBER(INDEX(Registro!$AA$371:$AA$400,MATCH($A19,Registro!$A$371:$A$400,0))),DV$5,0),0)</f>
        <v>0</v>
      </c>
      <c r="DW19" s="0" t="n">
        <f aca="false">IFERROR(IF(ISNUMBER(INDEX(Registro!$I$407:$I$436,MATCH($A19,Registro!$A$407:$A$436,0))),DW$5,0),0)</f>
        <v>0</v>
      </c>
      <c r="DX19" s="0" t="n">
        <f aca="false">IFERROR(IF(ISNUMBER(INDEX(Registro!$O$407:$O$436,MATCH($A19,Registro!$A$407:$A$436,0))),DX$5,0),0)</f>
        <v>0</v>
      </c>
      <c r="DY19" s="0" t="n">
        <f aca="false">IFERROR(IF(ISNUMBER(INDEX(Registro!$U$407:$U$436,MATCH($A19,Registro!$A$407:$A$436,0))),DY$5,0),0)</f>
        <v>0</v>
      </c>
      <c r="DZ19" s="0" t="n">
        <f aca="false">IFERROR(IF(ISNUMBER(INDEX(Registro!$AA$407:$AA$436,MATCH($A19,Registro!$A$407:$A$436,0))),DZ$5,0),0)</f>
        <v>0</v>
      </c>
      <c r="EA19" s="0" t="n">
        <f aca="false">IFERROR(IF(ISNUMBER(INDEX(Registro!$I$443:$I$472,MATCH($A19,Registro!$A$443:$A$472,0))),EA$5,0),0)</f>
        <v>0</v>
      </c>
      <c r="EB19" s="0" t="n">
        <f aca="false">IFERROR(IF(ISNUMBER(INDEX(Registro!$O$443:$O$472,MATCH($A19,Registro!$A$443:$A$472,0))),EB$5,0),0)</f>
        <v>0</v>
      </c>
      <c r="EC19" s="0" t="n">
        <f aca="false">IFERROR(IF(ISNUMBER(INDEX(Registro!$U$443:$U$472,MATCH($A19,Registro!$A$443:$A$472,0))),EC$5,0),0)</f>
        <v>0</v>
      </c>
      <c r="ED19" s="0" t="n">
        <f aca="false">IFERROR(IF(ISNUMBER(INDEX(Registro!$AA$443:$AA$472,MATCH($A19,Registro!$A$443:$A$472,0))),ED$5,0),0)</f>
        <v>0</v>
      </c>
      <c r="EE19" s="0" t="n">
        <f aca="false">IFERROR(IF(ISNUMBER(INDEX(Registro!$I$479:$I$508,MATCH($A19,Registro!$A$479:$A$508,0))),EE$5,0),0)</f>
        <v>0</v>
      </c>
      <c r="EF19" s="0" t="n">
        <f aca="false">IFERROR(IF(ISNUMBER(INDEX(Registro!$O$479:$O$508,MATCH($A19,Registro!$A$479:$A$508,0))),EF$5,0),0)</f>
        <v>0</v>
      </c>
      <c r="EG19" s="0" t="n">
        <f aca="false">IFERROR(IF(ISNUMBER(INDEX(Registro!$U$479:$U$508,MATCH($A19,Registro!$A$479:$A$508,0))),EG$5,0),0)</f>
        <v>0</v>
      </c>
      <c r="EH19" s="0" t="n">
        <f aca="false">IFERROR(IF(ISNUMBER(INDEX(Registro!$AA$479:$AA$508,MATCH($A19,Registro!$A$479:$A$508,0))),EH$5,0),0)</f>
        <v>0</v>
      </c>
      <c r="EI19" s="0" t="n">
        <f aca="false">IFERROR(IF(ISNUMBER(INDEX(Registro!$I$515:$I$544,MATCH($A19,Registro!$A$515:$A$544,0))),EI$5,0),0)</f>
        <v>0</v>
      </c>
      <c r="EJ19" s="0" t="n">
        <f aca="false">IFERROR(IF(ISNUMBER(INDEX(Registro!$O$515:$O$544,MATCH($A19,Registro!$A$515:$A$544,0))),EJ$5,0),0)</f>
        <v>0</v>
      </c>
      <c r="EK19" s="0" t="n">
        <f aca="false">IFERROR(IF(ISNUMBER(INDEX(Registro!$U$515:$U$544,MATCH($A19,Registro!$A$515:$A$544,0))),EK$5,0),0)</f>
        <v>0</v>
      </c>
      <c r="EL19" s="0" t="n">
        <f aca="false">IFERROR(IF(ISNUMBER(INDEX(Registro!$AA$515:$AA$544,MATCH($A19,Registro!$A$515:$A$544,0))),EL$5,0),0)</f>
        <v>0</v>
      </c>
      <c r="EM19" s="0" t="n">
        <f aca="false">IFERROR(IF(ISNUMBER(INDEX(Registro!$I$551:$I$580,MATCH($A19,Registro!$A$551:$A$580,0))),EM$5,0),0)</f>
        <v>0</v>
      </c>
      <c r="EN19" s="0" t="n">
        <f aca="false">IFERROR(IF(ISNUMBER(INDEX(Registro!$O$551:$O$580,MATCH($A19,Registro!$A$551:$A$580,0))),EN$5,0),0)</f>
        <v>0</v>
      </c>
      <c r="EO19" s="0" t="n">
        <f aca="false">IFERROR(IF(ISNUMBER(INDEX(Registro!$U$551:$U$580,MATCH($A19,Registro!$A$551:$A$580,0))),EO$5,0),0)</f>
        <v>0</v>
      </c>
      <c r="EP19" s="0" t="n">
        <f aca="false">IFERROR(IF(ISNUMBER(INDEX(Registro!$AA$551:$AA$580,MATCH($A19,Registro!$A$551:$A$580,0))),EP$5,0),0)</f>
        <v>0</v>
      </c>
      <c r="EQ19" s="0" t="n">
        <f aca="false">IFERROR(IF(ISNUMBER(INDEX(Registro!$I$587:$I$616,MATCH($A19,Registro!$A$587:$A$616,0))),EQ$5,0),0)</f>
        <v>0</v>
      </c>
      <c r="ER19" s="0" t="n">
        <f aca="false">IFERROR(IF(ISNUMBER(INDEX(Registro!$O$587:$O$616,MATCH($A19,Registro!$A$587:$A$616,0))),ER$5,0),0)</f>
        <v>0</v>
      </c>
      <c r="ES19" s="0" t="n">
        <f aca="false">IFERROR(IF(ISNUMBER(INDEX(Registro!$U$587:$U$616,MATCH($A19,Registro!$A$587:$A$616,0))),ES$5,0),0)</f>
        <v>0</v>
      </c>
      <c r="ET19" s="0" t="n">
        <f aca="false">IFERROR(IF(ISNUMBER(INDEX(Registro!$AA$587:$AA$616,MATCH($A19,Registro!$A$587:$A$616,0))),ET$5,0),0)</f>
        <v>0</v>
      </c>
      <c r="EU19" s="0" t="n">
        <f aca="false">IFERROR(IF(ISNUMBER(INDEX(Registro!$I$623:$I$652,MATCH($A19,Registro!$A$623:$A$652,0))),EU$5,0),0)</f>
        <v>0</v>
      </c>
      <c r="EV19" s="0" t="n">
        <f aca="false">IFERROR(IF(ISNUMBER(INDEX(Registro!$O$623:$O$652,MATCH($A19,Registro!$A$623:$A$652,0))),EV$5,0),0)</f>
        <v>0</v>
      </c>
      <c r="EW19" s="0" t="n">
        <f aca="false">IFERROR(IF(ISNUMBER(INDEX(Registro!$U$623:$U$652,MATCH($A19,Registro!$A$623:$A$652,0))),EW$5,0),0)</f>
        <v>0</v>
      </c>
      <c r="EX19" s="0" t="n">
        <f aca="false">IFERROR(IF(ISNUMBER(INDEX(Registro!$AA$623:$AA$652,MATCH($A19,Registro!$A$623:$A$652,0))),EX$5,0),0)</f>
        <v>0</v>
      </c>
      <c r="EY19" s="0" t="n">
        <f aca="false">IFERROR(IF(ISNUMBER(INDEX(Registro!$I$659:$I$688,MATCH($A19,Registro!$A$659:$A$688,0))),EY$5,0),0)</f>
        <v>0</v>
      </c>
      <c r="EZ19" s="0" t="n">
        <f aca="false">IFERROR(IF(ISNUMBER(INDEX(Registro!$O$659:$O$688,MATCH($A19,Registro!$A$659:$A$688,0))),EZ$5,0),0)</f>
        <v>0</v>
      </c>
      <c r="FA19" s="0" t="n">
        <f aca="false">IFERROR(IF(ISNUMBER(INDEX(Registro!$U$659:$U$688,MATCH($A19,Registro!$A$659:$A$688,0))),FA$5,0),0)</f>
        <v>0</v>
      </c>
      <c r="FB19" s="0" t="n">
        <f aca="false">IFERROR(IF(ISNUMBER(INDEX(Registro!$AA$659:$AA$688,MATCH($A19,Registro!$A$659:$A$688,0))),FB$5,0),0)</f>
        <v>0</v>
      </c>
      <c r="FC19" s="0" t="n">
        <f aca="false">IFERROR(IF(ISNUMBER(INDEX(Registro!$I$695:$I$724,MATCH($A19,Registro!$A$695:$A$724,0))),FC$5,0),0)</f>
        <v>0</v>
      </c>
      <c r="FD19" s="0" t="n">
        <f aca="false">IFERROR(IF(ISNUMBER(INDEX(Registro!$O$695:$O$724,MATCH($A19,Registro!$A$695:$A$724,0))),FD$5,0),0)</f>
        <v>0</v>
      </c>
      <c r="FE19" s="0" t="n">
        <f aca="false">IFERROR(IF(ISNUMBER(INDEX(Registro!$U$695:$U$724,MATCH($A19,Registro!$A$695:$A$724,0))),FE$5,0),0)</f>
        <v>0</v>
      </c>
      <c r="FF19" s="0" t="n">
        <f aca="false">IFERROR(IF(ISNUMBER(INDEX(Registro!$AA$695:$AA$724,MATCH($A19,Registro!$A$695:$A$724,0))),FF$5,0),0)</f>
        <v>0</v>
      </c>
      <c r="FG19" s="0" t="n">
        <f aca="false">IFERROR(IF(AND(INDEX(Registro!$C$11:$C$40,MATCH($A19,Registro!$A$11:$A$40,0))="AS",INDEX(Registro!$D$11:$D$40,MATCH($A19,Registro!$A$11:$A$40,0))&amp;""=""),1,0),0)</f>
        <v>0</v>
      </c>
      <c r="FH19" s="0" t="n">
        <f aca="false">IFERROR(IF(AND(INDEX(Registro!$C$47:$C$76,MATCH($A19,Registro!$A$47:$A$76,0))="AS",INDEX(Registro!$D$47:$D$76,MATCH($A19,Registro!$A$47:$A$76,0))&amp;""=""),1,0),0)</f>
        <v>0</v>
      </c>
      <c r="FI19" s="0" t="n">
        <f aca="false">IFERROR(IF(AND(INDEX(Registro!$C$83:$C$112,MATCH($A19,Registro!$A$83:$A$112,0))="AS",INDEX(Registro!$D$83:$D$112,MATCH($A19,Registro!$A$83:$A$112,0))&amp;""=""),1,0),0)</f>
        <v>0</v>
      </c>
      <c r="FJ19" s="0" t="n">
        <f aca="false">IFERROR(IF(AND(INDEX(Registro!$C$119:$C$148,MATCH($A19,Registro!$A$119:$A$148,0))="AS",INDEX(Registro!$D$119:$D$148,MATCH($A19,Registro!$A$119:$A$148,0))&amp;""=""),1,0),0)</f>
        <v>0</v>
      </c>
      <c r="FK19" s="0" t="n">
        <f aca="false">IFERROR(IF(AND(INDEX(Registro!$C$155:$C$184,MATCH($A19,Registro!$A$155:$A$184,0))="AS",INDEX(Registro!$D$155:$D$184,MATCH($A19,Registro!$A$155:$A$184,0))&amp;""=""),1,0),0)</f>
        <v>0</v>
      </c>
      <c r="FL19" s="0" t="n">
        <f aca="false">IFERROR(IF(AND(INDEX(Registro!$C$191:$C$220,MATCH($A19,Registro!$A$191:$A$220,0))="AS",INDEX(Registro!$D$191:$D$220,MATCH($A19,Registro!$A$191:$A$220,0))&amp;""=""),1,0),0)</f>
        <v>0</v>
      </c>
      <c r="FM19" s="0" t="n">
        <f aca="false">IFERROR(IF(AND(INDEX(Registro!$C$227:$C$256,MATCH($A19,Registro!$A$227:$A$256,0))="AS",INDEX(Registro!$D$227:$D$256,MATCH($A19,Registro!$A$227:$A$256,0))&amp;""=""),1,0),0)</f>
        <v>0</v>
      </c>
      <c r="FN19" s="0" t="n">
        <f aca="false">IFERROR(IF(AND(INDEX(Registro!$C$263:$C$292,MATCH($A19,Registro!$A$263:$A$292,0))="AS",INDEX(Registro!$D$263:$D$292,MATCH($A19,Registro!$A$263:$A$292,0))&amp;""=""),1,0),0)</f>
        <v>0</v>
      </c>
      <c r="FO19" s="0" t="n">
        <f aca="false">IFERROR(IF(AND(INDEX(Registro!$C$299:$C$328,MATCH($A19,Registro!$A$299:$A$328,0))="AS",INDEX(Registro!$D$299:$D$328,MATCH($A19,Registro!$A$299:$A$328,0))&amp;""=""),1,0),0)</f>
        <v>0</v>
      </c>
      <c r="FP19" s="0" t="n">
        <f aca="false">IFERROR(IF(AND(INDEX(Registro!$C$335:$C$364,MATCH($A19,Registro!$A$335:$A$364,0))="AS",INDEX(Registro!$D$335:$D$364,MATCH($A19,Registro!$A$335:$A$364,0))&amp;""=""),1,0),0)</f>
        <v>0</v>
      </c>
      <c r="FQ19" s="0" t="n">
        <f aca="false">IFERROR(IF(AND(INDEX(Registro!$C$371:$C$400,MATCH($A19,Registro!$A$371:$A$400,0))="AS",INDEX(Registro!$D$371:$D$400,MATCH($A19,Registro!$A$371:$A$400,0))&amp;""=""),1,0),0)</f>
        <v>0</v>
      </c>
      <c r="FR19" s="0" t="n">
        <f aca="false">IFERROR(IF(AND(INDEX(Registro!$C$407:$C$436,MATCH($A19,Registro!$A$407:$A$436,0))="AS",INDEX(Registro!$D$407:$D$436,MATCH($A19,Registro!$A$407:$A$436,0))&amp;""=""),1,0),0)</f>
        <v>0</v>
      </c>
      <c r="FS19" s="0" t="n">
        <f aca="false">IFERROR(IF(AND(INDEX(Registro!$C$443:$C$472,MATCH($A19,Registro!$A$443:$A$472,0))="AS",INDEX(Registro!$D$443:$D$472,MATCH($A19,Registro!$A$443:$A$472,0))&amp;""=""),1,0),0)</f>
        <v>0</v>
      </c>
      <c r="FT19" s="0" t="n">
        <f aca="false">IFERROR(IF(AND(INDEX(Registro!$C$479:$C$508,MATCH($A19,Registro!$A$479:$A$508,0))="AS",INDEX(Registro!$D$479:$D$508,MATCH($A19,Registro!$A$479:$A$508,0))&amp;""=""),1,0),0)</f>
        <v>0</v>
      </c>
      <c r="FU19" s="0" t="n">
        <f aca="false">IFERROR(IF(AND(INDEX(Registro!$C$515:$C$544,MATCH($A19,Registro!$A$515:$A$544,0))="AS",INDEX(Registro!$D$515:$D$544,MATCH($A19,Registro!$A$515:$A$544,0))&amp;""=""),1,0),0)</f>
        <v>0</v>
      </c>
      <c r="FV19" s="0" t="n">
        <f aca="false">IFERROR(IF(AND(INDEX(Registro!$C$551:$C$580,MATCH($A19,Registro!$A$551:$A$580,0))="AS",INDEX(Registro!$D$551:$D$580,MATCH($A19,Registro!$A$551:$A$580,0))&amp;""=""),1,0),0)</f>
        <v>0</v>
      </c>
      <c r="FW19" s="0" t="n">
        <f aca="false">IFERROR(IF(AND(INDEX(Registro!$C$587:$C$616,MATCH($A19,Registro!$A$587:$A$616,0))="AS",INDEX(Registro!$D$587:$D$616,MATCH($A19,Registro!$A$587:$A$616,0))&amp;""=""),1,0),0)</f>
        <v>0</v>
      </c>
      <c r="FX19" s="0" t="n">
        <f aca="false">IFERROR(IF(AND(INDEX(Registro!$C$623:$C$652,MATCH($A19,Registro!$A$623:$A$652,0))="AS",INDEX(Registro!$D$623:$D$652,MATCH($A19,Registro!$A$623:$A$652,0))&amp;""=""),1,0),0)</f>
        <v>0</v>
      </c>
      <c r="FY19" s="0" t="n">
        <f aca="false">IFERROR(IF(AND(INDEX(Registro!$C$659:$C$688,MATCH($A19,Registro!$A$659:$A$688,0))="AS",INDEX(Registro!$D$659:$D$688,MATCH($A19,Registro!$A$659:$A$688,0))&amp;""=""),1,0),0)</f>
        <v>0</v>
      </c>
      <c r="FZ19" s="0" t="n">
        <f aca="false">IFERROR(IF(AND(INDEX(Registro!$C$695:$C$724,MATCH($A19,Registro!$A$695:$A$724,0))="AS",INDEX(Registro!$D$695:$D$724,MATCH($A19,Registro!$A$695:$A$724,0))&amp;""=""),1,0),0)</f>
        <v>0</v>
      </c>
    </row>
    <row r="20" customFormat="false" ht="15" hidden="false" customHeight="false" outlineLevel="0" collapsed="false">
      <c r="A20" s="0" t="n">
        <v>14</v>
      </c>
      <c r="C20" s="0" t="n">
        <f aca="false">IFERROR(N(INDEX(Registro!$I$11:$I$40,MATCH($A20,Registro!$A$11:$A$40,0))),0)</f>
        <v>0</v>
      </c>
      <c r="D20" s="0" t="n">
        <f aca="false">IFERROR(N(INDEX(Registro!$O$11:$O$40,MATCH($A20,Registro!$A$11:$A$40,0))),0)</f>
        <v>0</v>
      </c>
      <c r="E20" s="0" t="n">
        <f aca="false">IFERROR(N(INDEX(Registro!$U$11:$U$40,MATCH($A20,Registro!$A$11:$A$40,0))),0)</f>
        <v>0</v>
      </c>
      <c r="F20" s="0" t="n">
        <f aca="false">IFERROR(N(INDEX(Registro!$AA$11:$AA$40,MATCH($A20,Registro!$A$11:$A$40,0))),0)</f>
        <v>0</v>
      </c>
      <c r="G20" s="0" t="n">
        <f aca="false">IFERROR(N(INDEX(Registro!$I$47:$I$76,MATCH($A20,Registro!$A$47:$A$76,0))),0)</f>
        <v>0</v>
      </c>
      <c r="H20" s="0" t="n">
        <f aca="false">IFERROR(N(INDEX(Registro!$O$47:$O$76,MATCH($A20,Registro!$A$47:$A$76,0))),0)</f>
        <v>0</v>
      </c>
      <c r="I20" s="0" t="n">
        <f aca="false">IFERROR(N(INDEX(Registro!$U$47:$U$76,MATCH($A20,Registro!$A$47:$A$76,0))),0)</f>
        <v>0</v>
      </c>
      <c r="J20" s="0" t="n">
        <f aca="false">IFERROR(N(INDEX(Registro!$AA$47:$AA$76,MATCH($A20,Registro!$A$47:$A$76,0))),0)</f>
        <v>0</v>
      </c>
      <c r="K20" s="0" t="n">
        <f aca="false">IFERROR(N(INDEX(Registro!$I$83:$I$112,MATCH($A20,Registro!$A$83:$A$112,0))),0)</f>
        <v>0</v>
      </c>
      <c r="L20" s="0" t="n">
        <f aca="false">IFERROR(N(INDEX(Registro!$O$83:$O$112,MATCH($A20,Registro!$A$83:$A$112,0))),0)</f>
        <v>0</v>
      </c>
      <c r="M20" s="0" t="n">
        <f aca="false">IFERROR(N(INDEX(Registro!$U$83:$U$112,MATCH($A20,Registro!$A$83:$A$112,0))),0)</f>
        <v>0</v>
      </c>
      <c r="N20" s="0" t="n">
        <f aca="false">IFERROR(N(INDEX(Registro!$AA$83:$AA$112,MATCH($A20,Registro!$A$83:$A$112,0))),0)</f>
        <v>0</v>
      </c>
      <c r="O20" s="0" t="n">
        <f aca="false">IFERROR(N(INDEX(Registro!$I$119:$I$148,MATCH($A20,Registro!$A$119:$A$148,0))),0)</f>
        <v>0</v>
      </c>
      <c r="P20" s="0" t="n">
        <f aca="false">IFERROR(N(INDEX(Registro!$O$119:$O$148,MATCH($A20,Registro!$A$119:$A$148,0))),0)</f>
        <v>0</v>
      </c>
      <c r="Q20" s="0" t="n">
        <f aca="false">IFERROR(N(INDEX(Registro!$U$119:$U$148,MATCH($A20,Registro!$A$119:$A$148,0))),0)</f>
        <v>0</v>
      </c>
      <c r="R20" s="0" t="n">
        <f aca="false">IFERROR(N(INDEX(Registro!$AA$119:$AA$148,MATCH($A20,Registro!$A$119:$A$148,0))),0)</f>
        <v>0</v>
      </c>
      <c r="S20" s="0" t="n">
        <f aca="false">IFERROR(N(INDEX(Registro!$I$155:$I$184,MATCH($A20,Registro!$A$155:$A$184,0))),0)</f>
        <v>0</v>
      </c>
      <c r="T20" s="0" t="n">
        <f aca="false">IFERROR(N(INDEX(Registro!$O$155:$O$184,MATCH($A20,Registro!$A$155:$A$184,0))),0)</f>
        <v>0</v>
      </c>
      <c r="U20" s="0" t="n">
        <f aca="false">IFERROR(N(INDEX(Registro!$U$155:$U$184,MATCH($A20,Registro!$A$155:$A$184,0))),0)</f>
        <v>0</v>
      </c>
      <c r="V20" s="0" t="n">
        <f aca="false">IFERROR(N(INDEX(Registro!$AA$155:$AA$184,MATCH($A20,Registro!$A$155:$A$184,0))),0)</f>
        <v>0</v>
      </c>
      <c r="W20" s="0" t="n">
        <f aca="false">IFERROR(N(INDEX(Registro!$I$191:$I$220,MATCH($A20,Registro!$A$191:$A$220,0))),0)</f>
        <v>0</v>
      </c>
      <c r="X20" s="0" t="n">
        <f aca="false">IFERROR(N(INDEX(Registro!$O$191:$O$220,MATCH($A20,Registro!$A$191:$A$220,0))),0)</f>
        <v>0</v>
      </c>
      <c r="Y20" s="0" t="n">
        <f aca="false">IFERROR(N(INDEX(Registro!$U$191:$U$220,MATCH($A20,Registro!$A$191:$A$220,0))),0)</f>
        <v>0</v>
      </c>
      <c r="Z20" s="0" t="n">
        <f aca="false">IFERROR(N(INDEX(Registro!$AA$191:$AA$220,MATCH($A20,Registro!$A$191:$A$220,0))),0)</f>
        <v>0</v>
      </c>
      <c r="AA20" s="0" t="n">
        <f aca="false">IFERROR(N(INDEX(Registro!$I$227:$I$256,MATCH($A20,Registro!$A$227:$A$256,0))),0)</f>
        <v>0</v>
      </c>
      <c r="AB20" s="0" t="n">
        <f aca="false">IFERROR(N(INDEX(Registro!$O$227:$O$256,MATCH($A20,Registro!$A$227:$A$256,0))),0)</f>
        <v>0</v>
      </c>
      <c r="AC20" s="0" t="n">
        <f aca="false">IFERROR(N(INDEX(Registro!$U$227:$U$256,MATCH($A20,Registro!$A$227:$A$256,0))),0)</f>
        <v>0</v>
      </c>
      <c r="AD20" s="0" t="n">
        <f aca="false">IFERROR(N(INDEX(Registro!$AA$227:$AA$256,MATCH($A20,Registro!$A$227:$A$256,0))),0)</f>
        <v>0</v>
      </c>
      <c r="AE20" s="0" t="n">
        <f aca="false">IFERROR(N(INDEX(Registro!$I$263:$I$292,MATCH($A20,Registro!$A$263:$A$292,0))),0)</f>
        <v>0</v>
      </c>
      <c r="AF20" s="0" t="n">
        <f aca="false">IFERROR(N(INDEX(Registro!$O$263:$O$292,MATCH($A20,Registro!$A$263:$A$292,0))),0)</f>
        <v>0</v>
      </c>
      <c r="AG20" s="0" t="n">
        <f aca="false">IFERROR(N(INDEX(Registro!$U$263:$U$292,MATCH($A20,Registro!$A$263:$A$292,0))),0)</f>
        <v>0</v>
      </c>
      <c r="AH20" s="0" t="n">
        <f aca="false">IFERROR(N(INDEX(Registro!$AA$263:$AA$292,MATCH($A20,Registro!$A$263:$A$292,0))),0)</f>
        <v>0</v>
      </c>
      <c r="AI20" s="0" t="n">
        <f aca="false">IFERROR(N(INDEX(Registro!$I$299:$I$328,MATCH($A20,Registro!$A$299:$A$328,0))),0)</f>
        <v>0</v>
      </c>
      <c r="AJ20" s="0" t="n">
        <f aca="false">IFERROR(N(INDEX(Registro!$O$299:$O$328,MATCH($A20,Registro!$A$299:$A$328,0))),0)</f>
        <v>0</v>
      </c>
      <c r="AK20" s="0" t="n">
        <f aca="false">IFERROR(N(INDEX(Registro!$U$299:$U$328,MATCH($A20,Registro!$A$299:$A$328,0))),0)</f>
        <v>0</v>
      </c>
      <c r="AL20" s="0" t="n">
        <f aca="false">IFERROR(N(INDEX(Registro!$AA$299:$AA$328,MATCH($A20,Registro!$A$299:$A$328,0))),0)</f>
        <v>0</v>
      </c>
      <c r="AM20" s="0" t="n">
        <f aca="false">IFERROR(N(INDEX(Registro!$I$335:$I$364,MATCH($A20,Registro!$A$335:$A$364,0))),0)</f>
        <v>0</v>
      </c>
      <c r="AN20" s="0" t="n">
        <f aca="false">IFERROR(N(INDEX(Registro!$O$335:$O$364,MATCH($A20,Registro!$A$335:$A$364,0))),0)</f>
        <v>0</v>
      </c>
      <c r="AO20" s="0" t="n">
        <f aca="false">IFERROR(N(INDEX(Registro!$U$335:$U$364,MATCH($A20,Registro!$A$335:$A$364,0))),0)</f>
        <v>0</v>
      </c>
      <c r="AP20" s="0" t="n">
        <f aca="false">IFERROR(N(INDEX(Registro!$AA$335:$AA$364,MATCH($A20,Registro!$A$335:$A$364,0))),0)</f>
        <v>0</v>
      </c>
      <c r="AQ20" s="0" t="n">
        <f aca="false">IFERROR(N(INDEX(Registro!$I$371:$I$400,MATCH($A20,Registro!$A$371:$A$400,0))),0)</f>
        <v>0</v>
      </c>
      <c r="AR20" s="0" t="n">
        <f aca="false">IFERROR(N(INDEX(Registro!$O$371:$O$400,MATCH($A20,Registro!$A$371:$A$400,0))),0)</f>
        <v>0</v>
      </c>
      <c r="AS20" s="0" t="n">
        <f aca="false">IFERROR(N(INDEX(Registro!$U$371:$U$400,MATCH($A20,Registro!$A$371:$A$400,0))),0)</f>
        <v>0</v>
      </c>
      <c r="AT20" s="0" t="n">
        <f aca="false">IFERROR(N(INDEX(Registro!$AA$371:$AA$400,MATCH($A20,Registro!$A$371:$A$400,0))),0)</f>
        <v>0</v>
      </c>
      <c r="AU20" s="0" t="n">
        <f aca="false">IFERROR(N(INDEX(Registro!$I$407:$I$436,MATCH($A20,Registro!$A$407:$A$436,0))),0)</f>
        <v>0</v>
      </c>
      <c r="AV20" s="0" t="n">
        <f aca="false">IFERROR(N(INDEX(Registro!$O$407:$O$436,MATCH($A20,Registro!$A$407:$A$436,0))),0)</f>
        <v>0</v>
      </c>
      <c r="AW20" s="0" t="n">
        <f aca="false">IFERROR(N(INDEX(Registro!$U$407:$U$436,MATCH($A20,Registro!$A$407:$A$436,0))),0)</f>
        <v>0</v>
      </c>
      <c r="AX20" s="0" t="n">
        <f aca="false">IFERROR(N(INDEX(Registro!$AA$407:$AA$436,MATCH($A20,Registro!$A$407:$A$436,0))),0)</f>
        <v>0</v>
      </c>
      <c r="AY20" s="0" t="n">
        <f aca="false">IFERROR(N(INDEX(Registro!$I$443:$I$472,MATCH($A20,Registro!$A$443:$A$472,0))),0)</f>
        <v>0</v>
      </c>
      <c r="AZ20" s="0" t="n">
        <f aca="false">IFERROR(N(INDEX(Registro!$O$443:$O$472,MATCH($A20,Registro!$A$443:$A$472,0))),0)</f>
        <v>0</v>
      </c>
      <c r="BA20" s="0" t="n">
        <f aca="false">IFERROR(N(INDEX(Registro!$U$443:$U$472,MATCH($A20,Registro!$A$443:$A$472,0))),0)</f>
        <v>0</v>
      </c>
      <c r="BB20" s="0" t="n">
        <f aca="false">IFERROR(N(INDEX(Registro!$AA$443:$AA$472,MATCH($A20,Registro!$A$443:$A$472,0))),0)</f>
        <v>0</v>
      </c>
      <c r="BC20" s="0" t="n">
        <f aca="false">IFERROR(N(INDEX(Registro!$I$479:$I$508,MATCH($A20,Registro!$A$479:$A$508,0))),0)</f>
        <v>0</v>
      </c>
      <c r="BD20" s="0" t="n">
        <f aca="false">IFERROR(N(INDEX(Registro!$O$479:$O$508,MATCH($A20,Registro!$A$479:$A$508,0))),0)</f>
        <v>0</v>
      </c>
      <c r="BE20" s="0" t="n">
        <f aca="false">IFERROR(N(INDEX(Registro!$U$479:$U$508,MATCH($A20,Registro!$A$479:$A$508,0))),0)</f>
        <v>0</v>
      </c>
      <c r="BF20" s="0" t="n">
        <f aca="false">IFERROR(N(INDEX(Registro!$AA$479:$AA$508,MATCH($A20,Registro!$A$479:$A$508,0))),0)</f>
        <v>0</v>
      </c>
      <c r="BG20" s="0" t="n">
        <f aca="false">IFERROR(N(INDEX(Registro!$I$515:$I$544,MATCH($A20,Registro!$A$515:$A$544,0))),0)</f>
        <v>0</v>
      </c>
      <c r="BH20" s="0" t="n">
        <f aca="false">IFERROR(N(INDEX(Registro!$O$515:$O$544,MATCH($A20,Registro!$A$515:$A$544,0))),0)</f>
        <v>0</v>
      </c>
      <c r="BI20" s="0" t="n">
        <f aca="false">IFERROR(N(INDEX(Registro!$U$515:$U$544,MATCH($A20,Registro!$A$515:$A$544,0))),0)</f>
        <v>0</v>
      </c>
      <c r="BJ20" s="0" t="n">
        <f aca="false">IFERROR(N(INDEX(Registro!$AA$515:$AA$544,MATCH($A20,Registro!$A$515:$A$544,0))),0)</f>
        <v>0</v>
      </c>
      <c r="BK20" s="0" t="n">
        <f aca="false">IFERROR(N(INDEX(Registro!$I$551:$I$580,MATCH($A20,Registro!$A$551:$A$580,0))),0)</f>
        <v>0</v>
      </c>
      <c r="BL20" s="0" t="n">
        <f aca="false">IFERROR(N(INDEX(Registro!$O$551:$O$580,MATCH($A20,Registro!$A$551:$A$580,0))),0)</f>
        <v>0</v>
      </c>
      <c r="BM20" s="0" t="n">
        <f aca="false">IFERROR(N(INDEX(Registro!$U$551:$U$580,MATCH($A20,Registro!$A$551:$A$580,0))),0)</f>
        <v>0</v>
      </c>
      <c r="BN20" s="0" t="n">
        <f aca="false">IFERROR(N(INDEX(Registro!$AA$551:$AA$580,MATCH($A20,Registro!$A$551:$A$580,0))),0)</f>
        <v>0</v>
      </c>
      <c r="BO20" s="0" t="n">
        <f aca="false">IFERROR(N(INDEX(Registro!$I$587:$I$616,MATCH($A20,Registro!$A$587:$A$616,0))),0)</f>
        <v>0</v>
      </c>
      <c r="BP20" s="0" t="n">
        <f aca="false">IFERROR(N(INDEX(Registro!$O$587:$O$616,MATCH($A20,Registro!$A$587:$A$616,0))),0)</f>
        <v>0</v>
      </c>
      <c r="BQ20" s="0" t="n">
        <f aca="false">IFERROR(N(INDEX(Registro!$U$587:$U$616,MATCH($A20,Registro!$A$587:$A$616,0))),0)</f>
        <v>0</v>
      </c>
      <c r="BR20" s="0" t="n">
        <f aca="false">IFERROR(N(INDEX(Registro!$AA$587:$AA$616,MATCH($A20,Registro!$A$587:$A$616,0))),0)</f>
        <v>0</v>
      </c>
      <c r="BS20" s="0" t="n">
        <f aca="false">IFERROR(N(INDEX(Registro!$I$623:$I$652,MATCH($A20,Registro!$A$623:$A$652,0))),0)</f>
        <v>0</v>
      </c>
      <c r="BT20" s="0" t="n">
        <f aca="false">IFERROR(N(INDEX(Registro!$O$623:$O$652,MATCH($A20,Registro!$A$623:$A$652,0))),0)</f>
        <v>0</v>
      </c>
      <c r="BU20" s="0" t="n">
        <f aca="false">IFERROR(N(INDEX(Registro!$U$623:$U$652,MATCH($A20,Registro!$A$623:$A$652,0))),0)</f>
        <v>0</v>
      </c>
      <c r="BV20" s="0" t="n">
        <f aca="false">IFERROR(N(INDEX(Registro!$AA$623:$AA$652,MATCH($A20,Registro!$A$623:$A$652,0))),0)</f>
        <v>0</v>
      </c>
      <c r="BW20" s="0" t="n">
        <f aca="false">IFERROR(N(INDEX(Registro!$I$659:$I$688,MATCH($A20,Registro!$A$659:$A$688,0))),0)</f>
        <v>0</v>
      </c>
      <c r="BX20" s="0" t="n">
        <f aca="false">IFERROR(N(INDEX(Registro!$O$659:$O$688,MATCH($A20,Registro!$A$659:$A$688,0))),0)</f>
        <v>0</v>
      </c>
      <c r="BY20" s="0" t="n">
        <f aca="false">IFERROR(N(INDEX(Registro!$U$659:$U$688,MATCH($A20,Registro!$A$659:$A$688,0))),0)</f>
        <v>0</v>
      </c>
      <c r="BZ20" s="0" t="n">
        <f aca="false">IFERROR(N(INDEX(Registro!$AA$659:$AA$688,MATCH($A20,Registro!$A$659:$A$688,0))),0)</f>
        <v>0</v>
      </c>
      <c r="CA20" s="0" t="n">
        <f aca="false">IFERROR(N(INDEX(Registro!$I$695:$I$724,MATCH($A20,Registro!$A$695:$A$724,0))),0)</f>
        <v>0</v>
      </c>
      <c r="CB20" s="0" t="n">
        <f aca="false">IFERROR(N(INDEX(Registro!$O$695:$O$724,MATCH($A20,Registro!$A$695:$A$724,0))),0)</f>
        <v>0</v>
      </c>
      <c r="CC20" s="0" t="n">
        <f aca="false">IFERROR(N(INDEX(Registro!$U$695:$U$724,MATCH($A20,Registro!$A$695:$A$724,0))),0)</f>
        <v>0</v>
      </c>
      <c r="CD20" s="0" t="n">
        <f aca="false">IFERROR(N(INDEX(Registro!$AA$695:$AA$724,MATCH($A20,Registro!$A$695:$A$724,0))),0)</f>
        <v>0</v>
      </c>
      <c r="CE20" s="0" t="n">
        <f aca="false">IFERROR(IF(ISNUMBER(INDEX(Registro!$I$11:$I$40,MATCH($A20,Registro!$A$11:$A$40,0))),CE$5,0),0)</f>
        <v>0</v>
      </c>
      <c r="CF20" s="0" t="n">
        <f aca="false">IFERROR(IF(ISNUMBER(INDEX(Registro!$O$11:$O$40,MATCH($A20,Registro!$A$11:$A$40,0))),CF$5,0),0)</f>
        <v>0</v>
      </c>
      <c r="CG20" s="0" t="n">
        <f aca="false">IFERROR(IF(ISNUMBER(INDEX(Registro!$U$11:$U$40,MATCH($A20,Registro!$A$11:$A$40,0))),CG$5,0),0)</f>
        <v>0</v>
      </c>
      <c r="CH20" s="0" t="n">
        <f aca="false">IFERROR(IF(ISNUMBER(INDEX(Registro!$AA$11:$AA$40,MATCH($A20,Registro!$A$11:$A$40,0))),CH$5,0),0)</f>
        <v>0</v>
      </c>
      <c r="CI20" s="0" t="n">
        <f aca="false">IFERROR(IF(ISNUMBER(INDEX(Registro!$I$47:$I$76,MATCH($A20,Registro!$A$47:$A$76,0))),CI$5,0),0)</f>
        <v>0</v>
      </c>
      <c r="CJ20" s="0" t="n">
        <f aca="false">IFERROR(IF(ISNUMBER(INDEX(Registro!$O$47:$O$76,MATCH($A20,Registro!$A$47:$A$76,0))),CJ$5,0),0)</f>
        <v>0</v>
      </c>
      <c r="CK20" s="0" t="n">
        <f aca="false">IFERROR(IF(ISNUMBER(INDEX(Registro!$U$47:$U$76,MATCH($A20,Registro!$A$47:$A$76,0))),CK$5,0),0)</f>
        <v>0</v>
      </c>
      <c r="CL20" s="0" t="n">
        <f aca="false">IFERROR(IF(ISNUMBER(INDEX(Registro!$AA$47:$AA$76,MATCH($A20,Registro!$A$47:$A$76,0))),CL$5,0),0)</f>
        <v>0</v>
      </c>
      <c r="CM20" s="0" t="n">
        <f aca="false">IFERROR(IF(ISNUMBER(INDEX(Registro!$I$83:$I$112,MATCH($A20,Registro!$A$83:$A$112,0))),CM$5,0),0)</f>
        <v>0</v>
      </c>
      <c r="CN20" s="0" t="n">
        <f aca="false">IFERROR(IF(ISNUMBER(INDEX(Registro!$O$83:$O$112,MATCH($A20,Registro!$A$83:$A$112,0))),CN$5,0),0)</f>
        <v>0</v>
      </c>
      <c r="CO20" s="0" t="n">
        <f aca="false">IFERROR(IF(ISNUMBER(INDEX(Registro!$U$83:$U$112,MATCH($A20,Registro!$A$83:$A$112,0))),CO$5,0),0)</f>
        <v>0</v>
      </c>
      <c r="CP20" s="0" t="n">
        <f aca="false">IFERROR(IF(ISNUMBER(INDEX(Registro!$AA$83:$AA$112,MATCH($A20,Registro!$A$83:$A$112,0))),CP$5,0),0)</f>
        <v>0</v>
      </c>
      <c r="CQ20" s="0" t="n">
        <f aca="false">IFERROR(IF(ISNUMBER(INDEX(Registro!$I$119:$I$148,MATCH($A20,Registro!$A$119:$A$148,0))),CQ$5,0),0)</f>
        <v>0</v>
      </c>
      <c r="CR20" s="0" t="n">
        <f aca="false">IFERROR(IF(ISNUMBER(INDEX(Registro!$O$119:$O$148,MATCH($A20,Registro!$A$119:$A$148,0))),CR$5,0),0)</f>
        <v>0</v>
      </c>
      <c r="CS20" s="0" t="n">
        <f aca="false">IFERROR(IF(ISNUMBER(INDEX(Registro!$U$119:$U$148,MATCH($A20,Registro!$A$119:$A$148,0))),CS$5,0),0)</f>
        <v>0</v>
      </c>
      <c r="CT20" s="0" t="n">
        <f aca="false">IFERROR(IF(ISNUMBER(INDEX(Registro!$AA$119:$AA$148,MATCH($A20,Registro!$A$119:$A$148,0))),CT$5,0),0)</f>
        <v>0</v>
      </c>
      <c r="CU20" s="0" t="n">
        <f aca="false">IFERROR(IF(ISNUMBER(INDEX(Registro!$I$155:$I$184,MATCH($A20,Registro!$A$155:$A$184,0))),CU$5,0),0)</f>
        <v>0</v>
      </c>
      <c r="CV20" s="0" t="n">
        <f aca="false">IFERROR(IF(ISNUMBER(INDEX(Registro!$O$155:$O$184,MATCH($A20,Registro!$A$155:$A$184,0))),CV$5,0),0)</f>
        <v>0</v>
      </c>
      <c r="CW20" s="0" t="n">
        <f aca="false">IFERROR(IF(ISNUMBER(INDEX(Registro!$U$155:$U$184,MATCH($A20,Registro!$A$155:$A$184,0))),CW$5,0),0)</f>
        <v>0</v>
      </c>
      <c r="CX20" s="0" t="n">
        <f aca="false">IFERROR(IF(ISNUMBER(INDEX(Registro!$AA$155:$AA$184,MATCH($A20,Registro!$A$155:$A$184,0))),CX$5,0),0)</f>
        <v>0</v>
      </c>
      <c r="CY20" s="0" t="n">
        <f aca="false">IFERROR(IF(ISNUMBER(INDEX(Registro!$I$191:$I$220,MATCH($A20,Registro!$A$191:$A$220,0))),CY$5,0),0)</f>
        <v>0</v>
      </c>
      <c r="CZ20" s="0" t="n">
        <f aca="false">IFERROR(IF(ISNUMBER(INDEX(Registro!$O$191:$O$220,MATCH($A20,Registro!$A$191:$A$220,0))),CZ$5,0),0)</f>
        <v>0</v>
      </c>
      <c r="DA20" s="0" t="n">
        <f aca="false">IFERROR(IF(ISNUMBER(INDEX(Registro!$U$191:$U$220,MATCH($A20,Registro!$A$191:$A$220,0))),DA$5,0),0)</f>
        <v>0</v>
      </c>
      <c r="DB20" s="0" t="n">
        <f aca="false">IFERROR(IF(ISNUMBER(INDEX(Registro!$AA$191:$AA$220,MATCH($A20,Registro!$A$191:$A$220,0))),DB$5,0),0)</f>
        <v>0</v>
      </c>
      <c r="DC20" s="0" t="n">
        <f aca="false">IFERROR(IF(ISNUMBER(INDEX(Registro!$I$227:$I$256,MATCH($A20,Registro!$A$227:$A$256,0))),DC$5,0),0)</f>
        <v>0</v>
      </c>
      <c r="DD20" s="0" t="n">
        <f aca="false">IFERROR(IF(ISNUMBER(INDEX(Registro!$O$227:$O$256,MATCH($A20,Registro!$A$227:$A$256,0))),DD$5,0),0)</f>
        <v>0</v>
      </c>
      <c r="DE20" s="0" t="n">
        <f aca="false">IFERROR(IF(ISNUMBER(INDEX(Registro!$U$227:$U$256,MATCH($A20,Registro!$A$227:$A$256,0))),DE$5,0),0)</f>
        <v>0</v>
      </c>
      <c r="DF20" s="0" t="n">
        <f aca="false">IFERROR(IF(ISNUMBER(INDEX(Registro!$AA$227:$AA$256,MATCH($A20,Registro!$A$227:$A$256,0))),DF$5,0),0)</f>
        <v>0</v>
      </c>
      <c r="DG20" s="0" t="n">
        <f aca="false">IFERROR(IF(ISNUMBER(INDEX(Registro!$I$263:$I$292,MATCH($A20,Registro!$A$263:$A$292,0))),DG$5,0),0)</f>
        <v>0</v>
      </c>
      <c r="DH20" s="0" t="n">
        <f aca="false">IFERROR(IF(ISNUMBER(INDEX(Registro!$O$263:$O$292,MATCH($A20,Registro!$A$263:$A$292,0))),DH$5,0),0)</f>
        <v>0</v>
      </c>
      <c r="DI20" s="0" t="n">
        <f aca="false">IFERROR(IF(ISNUMBER(INDEX(Registro!$U$263:$U$292,MATCH($A20,Registro!$A$263:$A$292,0))),DI$5,0),0)</f>
        <v>0</v>
      </c>
      <c r="DJ20" s="0" t="n">
        <f aca="false">IFERROR(IF(ISNUMBER(INDEX(Registro!$AA$263:$AA$292,MATCH($A20,Registro!$A$263:$A$292,0))),DJ$5,0),0)</f>
        <v>0</v>
      </c>
      <c r="DK20" s="0" t="n">
        <f aca="false">IFERROR(IF(ISNUMBER(INDEX(Registro!$I$299:$I$328,MATCH($A20,Registro!$A$299:$A$328,0))),DK$5,0),0)</f>
        <v>0</v>
      </c>
      <c r="DL20" s="0" t="n">
        <f aca="false">IFERROR(IF(ISNUMBER(INDEX(Registro!$O$299:$O$328,MATCH($A20,Registro!$A$299:$A$328,0))),DL$5,0),0)</f>
        <v>0</v>
      </c>
      <c r="DM20" s="0" t="n">
        <f aca="false">IFERROR(IF(ISNUMBER(INDEX(Registro!$U$299:$U$328,MATCH($A20,Registro!$A$299:$A$328,0))),DM$5,0),0)</f>
        <v>0</v>
      </c>
      <c r="DN20" s="0" t="n">
        <f aca="false">IFERROR(IF(ISNUMBER(INDEX(Registro!$AA$299:$AA$328,MATCH($A20,Registro!$A$299:$A$328,0))),DN$5,0),0)</f>
        <v>0</v>
      </c>
      <c r="DO20" s="0" t="n">
        <f aca="false">IFERROR(IF(ISNUMBER(INDEX(Registro!$I$335:$I$364,MATCH($A20,Registro!$A$335:$A$364,0))),DO$5,0),0)</f>
        <v>0</v>
      </c>
      <c r="DP20" s="0" t="n">
        <f aca="false">IFERROR(IF(ISNUMBER(INDEX(Registro!$O$335:$O$364,MATCH($A20,Registro!$A$335:$A$364,0))),DP$5,0),0)</f>
        <v>0</v>
      </c>
      <c r="DQ20" s="0" t="n">
        <f aca="false">IFERROR(IF(ISNUMBER(INDEX(Registro!$U$335:$U$364,MATCH($A20,Registro!$A$335:$A$364,0))),DQ$5,0),0)</f>
        <v>0</v>
      </c>
      <c r="DR20" s="0" t="n">
        <f aca="false">IFERROR(IF(ISNUMBER(INDEX(Registro!$AA$335:$AA$364,MATCH($A20,Registro!$A$335:$A$364,0))),DR$5,0),0)</f>
        <v>0</v>
      </c>
      <c r="DS20" s="0" t="n">
        <f aca="false">IFERROR(IF(ISNUMBER(INDEX(Registro!$I$371:$I$400,MATCH($A20,Registro!$A$371:$A$400,0))),DS$5,0),0)</f>
        <v>0</v>
      </c>
      <c r="DT20" s="0" t="n">
        <f aca="false">IFERROR(IF(ISNUMBER(INDEX(Registro!$O$371:$O$400,MATCH($A20,Registro!$A$371:$A$400,0))),DT$5,0),0)</f>
        <v>0</v>
      </c>
      <c r="DU20" s="0" t="n">
        <f aca="false">IFERROR(IF(ISNUMBER(INDEX(Registro!$U$371:$U$400,MATCH($A20,Registro!$A$371:$A$400,0))),DU$5,0),0)</f>
        <v>0</v>
      </c>
      <c r="DV20" s="0" t="n">
        <f aca="false">IFERROR(IF(ISNUMBER(INDEX(Registro!$AA$371:$AA$400,MATCH($A20,Registro!$A$371:$A$400,0))),DV$5,0),0)</f>
        <v>0</v>
      </c>
      <c r="DW20" s="0" t="n">
        <f aca="false">IFERROR(IF(ISNUMBER(INDEX(Registro!$I$407:$I$436,MATCH($A20,Registro!$A$407:$A$436,0))),DW$5,0),0)</f>
        <v>0</v>
      </c>
      <c r="DX20" s="0" t="n">
        <f aca="false">IFERROR(IF(ISNUMBER(INDEX(Registro!$O$407:$O$436,MATCH($A20,Registro!$A$407:$A$436,0))),DX$5,0),0)</f>
        <v>0</v>
      </c>
      <c r="DY20" s="0" t="n">
        <f aca="false">IFERROR(IF(ISNUMBER(INDEX(Registro!$U$407:$U$436,MATCH($A20,Registro!$A$407:$A$436,0))),DY$5,0),0)</f>
        <v>0</v>
      </c>
      <c r="DZ20" s="0" t="n">
        <f aca="false">IFERROR(IF(ISNUMBER(INDEX(Registro!$AA$407:$AA$436,MATCH($A20,Registro!$A$407:$A$436,0))),DZ$5,0),0)</f>
        <v>0</v>
      </c>
      <c r="EA20" s="0" t="n">
        <f aca="false">IFERROR(IF(ISNUMBER(INDEX(Registro!$I$443:$I$472,MATCH($A20,Registro!$A$443:$A$472,0))),EA$5,0),0)</f>
        <v>0</v>
      </c>
      <c r="EB20" s="0" t="n">
        <f aca="false">IFERROR(IF(ISNUMBER(INDEX(Registro!$O$443:$O$472,MATCH($A20,Registro!$A$443:$A$472,0))),EB$5,0),0)</f>
        <v>0</v>
      </c>
      <c r="EC20" s="0" t="n">
        <f aca="false">IFERROR(IF(ISNUMBER(INDEX(Registro!$U$443:$U$472,MATCH($A20,Registro!$A$443:$A$472,0))),EC$5,0),0)</f>
        <v>0</v>
      </c>
      <c r="ED20" s="0" t="n">
        <f aca="false">IFERROR(IF(ISNUMBER(INDEX(Registro!$AA$443:$AA$472,MATCH($A20,Registro!$A$443:$A$472,0))),ED$5,0),0)</f>
        <v>0</v>
      </c>
      <c r="EE20" s="0" t="n">
        <f aca="false">IFERROR(IF(ISNUMBER(INDEX(Registro!$I$479:$I$508,MATCH($A20,Registro!$A$479:$A$508,0))),EE$5,0),0)</f>
        <v>0</v>
      </c>
      <c r="EF20" s="0" t="n">
        <f aca="false">IFERROR(IF(ISNUMBER(INDEX(Registro!$O$479:$O$508,MATCH($A20,Registro!$A$479:$A$508,0))),EF$5,0),0)</f>
        <v>0</v>
      </c>
      <c r="EG20" s="0" t="n">
        <f aca="false">IFERROR(IF(ISNUMBER(INDEX(Registro!$U$479:$U$508,MATCH($A20,Registro!$A$479:$A$508,0))),EG$5,0),0)</f>
        <v>0</v>
      </c>
      <c r="EH20" s="0" t="n">
        <f aca="false">IFERROR(IF(ISNUMBER(INDEX(Registro!$AA$479:$AA$508,MATCH($A20,Registro!$A$479:$A$508,0))),EH$5,0),0)</f>
        <v>0</v>
      </c>
      <c r="EI20" s="0" t="n">
        <f aca="false">IFERROR(IF(ISNUMBER(INDEX(Registro!$I$515:$I$544,MATCH($A20,Registro!$A$515:$A$544,0))),EI$5,0),0)</f>
        <v>0</v>
      </c>
      <c r="EJ20" s="0" t="n">
        <f aca="false">IFERROR(IF(ISNUMBER(INDEX(Registro!$O$515:$O$544,MATCH($A20,Registro!$A$515:$A$544,0))),EJ$5,0),0)</f>
        <v>0</v>
      </c>
      <c r="EK20" s="0" t="n">
        <f aca="false">IFERROR(IF(ISNUMBER(INDEX(Registro!$U$515:$U$544,MATCH($A20,Registro!$A$515:$A$544,0))),EK$5,0),0)</f>
        <v>0</v>
      </c>
      <c r="EL20" s="0" t="n">
        <f aca="false">IFERROR(IF(ISNUMBER(INDEX(Registro!$AA$515:$AA$544,MATCH($A20,Registro!$A$515:$A$544,0))),EL$5,0),0)</f>
        <v>0</v>
      </c>
      <c r="EM20" s="0" t="n">
        <f aca="false">IFERROR(IF(ISNUMBER(INDEX(Registro!$I$551:$I$580,MATCH($A20,Registro!$A$551:$A$580,0))),EM$5,0),0)</f>
        <v>0</v>
      </c>
      <c r="EN20" s="0" t="n">
        <f aca="false">IFERROR(IF(ISNUMBER(INDEX(Registro!$O$551:$O$580,MATCH($A20,Registro!$A$551:$A$580,0))),EN$5,0),0)</f>
        <v>0</v>
      </c>
      <c r="EO20" s="0" t="n">
        <f aca="false">IFERROR(IF(ISNUMBER(INDEX(Registro!$U$551:$U$580,MATCH($A20,Registro!$A$551:$A$580,0))),EO$5,0),0)</f>
        <v>0</v>
      </c>
      <c r="EP20" s="0" t="n">
        <f aca="false">IFERROR(IF(ISNUMBER(INDEX(Registro!$AA$551:$AA$580,MATCH($A20,Registro!$A$551:$A$580,0))),EP$5,0),0)</f>
        <v>0</v>
      </c>
      <c r="EQ20" s="0" t="n">
        <f aca="false">IFERROR(IF(ISNUMBER(INDEX(Registro!$I$587:$I$616,MATCH($A20,Registro!$A$587:$A$616,0))),EQ$5,0),0)</f>
        <v>0</v>
      </c>
      <c r="ER20" s="0" t="n">
        <f aca="false">IFERROR(IF(ISNUMBER(INDEX(Registro!$O$587:$O$616,MATCH($A20,Registro!$A$587:$A$616,0))),ER$5,0),0)</f>
        <v>0</v>
      </c>
      <c r="ES20" s="0" t="n">
        <f aca="false">IFERROR(IF(ISNUMBER(INDEX(Registro!$U$587:$U$616,MATCH($A20,Registro!$A$587:$A$616,0))),ES$5,0),0)</f>
        <v>0</v>
      </c>
      <c r="ET20" s="0" t="n">
        <f aca="false">IFERROR(IF(ISNUMBER(INDEX(Registro!$AA$587:$AA$616,MATCH($A20,Registro!$A$587:$A$616,0))),ET$5,0),0)</f>
        <v>0</v>
      </c>
      <c r="EU20" s="0" t="n">
        <f aca="false">IFERROR(IF(ISNUMBER(INDEX(Registro!$I$623:$I$652,MATCH($A20,Registro!$A$623:$A$652,0))),EU$5,0),0)</f>
        <v>0</v>
      </c>
      <c r="EV20" s="0" t="n">
        <f aca="false">IFERROR(IF(ISNUMBER(INDEX(Registro!$O$623:$O$652,MATCH($A20,Registro!$A$623:$A$652,0))),EV$5,0),0)</f>
        <v>0</v>
      </c>
      <c r="EW20" s="0" t="n">
        <f aca="false">IFERROR(IF(ISNUMBER(INDEX(Registro!$U$623:$U$652,MATCH($A20,Registro!$A$623:$A$652,0))),EW$5,0),0)</f>
        <v>0</v>
      </c>
      <c r="EX20" s="0" t="n">
        <f aca="false">IFERROR(IF(ISNUMBER(INDEX(Registro!$AA$623:$AA$652,MATCH($A20,Registro!$A$623:$A$652,0))),EX$5,0),0)</f>
        <v>0</v>
      </c>
      <c r="EY20" s="0" t="n">
        <f aca="false">IFERROR(IF(ISNUMBER(INDEX(Registro!$I$659:$I$688,MATCH($A20,Registro!$A$659:$A$688,0))),EY$5,0),0)</f>
        <v>0</v>
      </c>
      <c r="EZ20" s="0" t="n">
        <f aca="false">IFERROR(IF(ISNUMBER(INDEX(Registro!$O$659:$O$688,MATCH($A20,Registro!$A$659:$A$688,0))),EZ$5,0),0)</f>
        <v>0</v>
      </c>
      <c r="FA20" s="0" t="n">
        <f aca="false">IFERROR(IF(ISNUMBER(INDEX(Registro!$U$659:$U$688,MATCH($A20,Registro!$A$659:$A$688,0))),FA$5,0),0)</f>
        <v>0</v>
      </c>
      <c r="FB20" s="0" t="n">
        <f aca="false">IFERROR(IF(ISNUMBER(INDEX(Registro!$AA$659:$AA$688,MATCH($A20,Registro!$A$659:$A$688,0))),FB$5,0),0)</f>
        <v>0</v>
      </c>
      <c r="FC20" s="0" t="n">
        <f aca="false">IFERROR(IF(ISNUMBER(INDEX(Registro!$I$695:$I$724,MATCH($A20,Registro!$A$695:$A$724,0))),FC$5,0),0)</f>
        <v>0</v>
      </c>
      <c r="FD20" s="0" t="n">
        <f aca="false">IFERROR(IF(ISNUMBER(INDEX(Registro!$O$695:$O$724,MATCH($A20,Registro!$A$695:$A$724,0))),FD$5,0),0)</f>
        <v>0</v>
      </c>
      <c r="FE20" s="0" t="n">
        <f aca="false">IFERROR(IF(ISNUMBER(INDEX(Registro!$U$695:$U$724,MATCH($A20,Registro!$A$695:$A$724,0))),FE$5,0),0)</f>
        <v>0</v>
      </c>
      <c r="FF20" s="0" t="n">
        <f aca="false">IFERROR(IF(ISNUMBER(INDEX(Registro!$AA$695:$AA$724,MATCH($A20,Registro!$A$695:$A$724,0))),FF$5,0),0)</f>
        <v>0</v>
      </c>
      <c r="FG20" s="0" t="n">
        <f aca="false">IFERROR(IF(AND(INDEX(Registro!$C$11:$C$40,MATCH($A20,Registro!$A$11:$A$40,0))="AS",INDEX(Registro!$D$11:$D$40,MATCH($A20,Registro!$A$11:$A$40,0))&amp;""=""),1,0),0)</f>
        <v>0</v>
      </c>
      <c r="FH20" s="0" t="n">
        <f aca="false">IFERROR(IF(AND(INDEX(Registro!$C$47:$C$76,MATCH($A20,Registro!$A$47:$A$76,0))="AS",INDEX(Registro!$D$47:$D$76,MATCH($A20,Registro!$A$47:$A$76,0))&amp;""=""),1,0),0)</f>
        <v>0</v>
      </c>
      <c r="FI20" s="0" t="n">
        <f aca="false">IFERROR(IF(AND(INDEX(Registro!$C$83:$C$112,MATCH($A20,Registro!$A$83:$A$112,0))="AS",INDEX(Registro!$D$83:$D$112,MATCH($A20,Registro!$A$83:$A$112,0))&amp;""=""),1,0),0)</f>
        <v>0</v>
      </c>
      <c r="FJ20" s="0" t="n">
        <f aca="false">IFERROR(IF(AND(INDEX(Registro!$C$119:$C$148,MATCH($A20,Registro!$A$119:$A$148,0))="AS",INDEX(Registro!$D$119:$D$148,MATCH($A20,Registro!$A$119:$A$148,0))&amp;""=""),1,0),0)</f>
        <v>0</v>
      </c>
      <c r="FK20" s="0" t="n">
        <f aca="false">IFERROR(IF(AND(INDEX(Registro!$C$155:$C$184,MATCH($A20,Registro!$A$155:$A$184,0))="AS",INDEX(Registro!$D$155:$D$184,MATCH($A20,Registro!$A$155:$A$184,0))&amp;""=""),1,0),0)</f>
        <v>0</v>
      </c>
      <c r="FL20" s="0" t="n">
        <f aca="false">IFERROR(IF(AND(INDEX(Registro!$C$191:$C$220,MATCH($A20,Registro!$A$191:$A$220,0))="AS",INDEX(Registro!$D$191:$D$220,MATCH($A20,Registro!$A$191:$A$220,0))&amp;""=""),1,0),0)</f>
        <v>0</v>
      </c>
      <c r="FM20" s="0" t="n">
        <f aca="false">IFERROR(IF(AND(INDEX(Registro!$C$227:$C$256,MATCH($A20,Registro!$A$227:$A$256,0))="AS",INDEX(Registro!$D$227:$D$256,MATCH($A20,Registro!$A$227:$A$256,0))&amp;""=""),1,0),0)</f>
        <v>0</v>
      </c>
      <c r="FN20" s="0" t="n">
        <f aca="false">IFERROR(IF(AND(INDEX(Registro!$C$263:$C$292,MATCH($A20,Registro!$A$263:$A$292,0))="AS",INDEX(Registro!$D$263:$D$292,MATCH($A20,Registro!$A$263:$A$292,0))&amp;""=""),1,0),0)</f>
        <v>0</v>
      </c>
      <c r="FO20" s="0" t="n">
        <f aca="false">IFERROR(IF(AND(INDEX(Registro!$C$299:$C$328,MATCH($A20,Registro!$A$299:$A$328,0))="AS",INDEX(Registro!$D$299:$D$328,MATCH($A20,Registro!$A$299:$A$328,0))&amp;""=""),1,0),0)</f>
        <v>0</v>
      </c>
      <c r="FP20" s="0" t="n">
        <f aca="false">IFERROR(IF(AND(INDEX(Registro!$C$335:$C$364,MATCH($A20,Registro!$A$335:$A$364,0))="AS",INDEX(Registro!$D$335:$D$364,MATCH($A20,Registro!$A$335:$A$364,0))&amp;""=""),1,0),0)</f>
        <v>0</v>
      </c>
      <c r="FQ20" s="0" t="n">
        <f aca="false">IFERROR(IF(AND(INDEX(Registro!$C$371:$C$400,MATCH($A20,Registro!$A$371:$A$400,0))="AS",INDEX(Registro!$D$371:$D$400,MATCH($A20,Registro!$A$371:$A$400,0))&amp;""=""),1,0),0)</f>
        <v>0</v>
      </c>
      <c r="FR20" s="0" t="n">
        <f aca="false">IFERROR(IF(AND(INDEX(Registro!$C$407:$C$436,MATCH($A20,Registro!$A$407:$A$436,0))="AS",INDEX(Registro!$D$407:$D$436,MATCH($A20,Registro!$A$407:$A$436,0))&amp;""=""),1,0),0)</f>
        <v>0</v>
      </c>
      <c r="FS20" s="0" t="n">
        <f aca="false">IFERROR(IF(AND(INDEX(Registro!$C$443:$C$472,MATCH($A20,Registro!$A$443:$A$472,0))="AS",INDEX(Registro!$D$443:$D$472,MATCH($A20,Registro!$A$443:$A$472,0))&amp;""=""),1,0),0)</f>
        <v>0</v>
      </c>
      <c r="FT20" s="0" t="n">
        <f aca="false">IFERROR(IF(AND(INDEX(Registro!$C$479:$C$508,MATCH($A20,Registro!$A$479:$A$508,0))="AS",INDEX(Registro!$D$479:$D$508,MATCH($A20,Registro!$A$479:$A$508,0))&amp;""=""),1,0),0)</f>
        <v>0</v>
      </c>
      <c r="FU20" s="0" t="n">
        <f aca="false">IFERROR(IF(AND(INDEX(Registro!$C$515:$C$544,MATCH($A20,Registro!$A$515:$A$544,0))="AS",INDEX(Registro!$D$515:$D$544,MATCH($A20,Registro!$A$515:$A$544,0))&amp;""=""),1,0),0)</f>
        <v>0</v>
      </c>
      <c r="FV20" s="0" t="n">
        <f aca="false">IFERROR(IF(AND(INDEX(Registro!$C$551:$C$580,MATCH($A20,Registro!$A$551:$A$580,0))="AS",INDEX(Registro!$D$551:$D$580,MATCH($A20,Registro!$A$551:$A$580,0))&amp;""=""),1,0),0)</f>
        <v>0</v>
      </c>
      <c r="FW20" s="0" t="n">
        <f aca="false">IFERROR(IF(AND(INDEX(Registro!$C$587:$C$616,MATCH($A20,Registro!$A$587:$A$616,0))="AS",INDEX(Registro!$D$587:$D$616,MATCH($A20,Registro!$A$587:$A$616,0))&amp;""=""),1,0),0)</f>
        <v>0</v>
      </c>
      <c r="FX20" s="0" t="n">
        <f aca="false">IFERROR(IF(AND(INDEX(Registro!$C$623:$C$652,MATCH($A20,Registro!$A$623:$A$652,0))="AS",INDEX(Registro!$D$623:$D$652,MATCH($A20,Registro!$A$623:$A$652,0))&amp;""=""),1,0),0)</f>
        <v>0</v>
      </c>
      <c r="FY20" s="0" t="n">
        <f aca="false">IFERROR(IF(AND(INDEX(Registro!$C$659:$C$688,MATCH($A20,Registro!$A$659:$A$688,0))="AS",INDEX(Registro!$D$659:$D$688,MATCH($A20,Registro!$A$659:$A$688,0))&amp;""=""),1,0),0)</f>
        <v>0</v>
      </c>
      <c r="FZ20" s="0" t="n">
        <f aca="false">IFERROR(IF(AND(INDEX(Registro!$C$695:$C$724,MATCH($A20,Registro!$A$695:$A$724,0))="AS",INDEX(Registro!$D$695:$D$724,MATCH($A20,Registro!$A$695:$A$724,0))&amp;""=""),1,0),0)</f>
        <v>0</v>
      </c>
    </row>
    <row r="21" customFormat="false" ht="15" hidden="false" customHeight="false" outlineLevel="0" collapsed="false">
      <c r="A21" s="0" t="n">
        <v>15</v>
      </c>
      <c r="C21" s="0" t="n">
        <f aca="false">IFERROR(N(INDEX(Registro!$I$11:$I$40,MATCH($A21,Registro!$A$11:$A$40,0))),0)</f>
        <v>0</v>
      </c>
      <c r="D21" s="0" t="n">
        <f aca="false">IFERROR(N(INDEX(Registro!$O$11:$O$40,MATCH($A21,Registro!$A$11:$A$40,0))),0)</f>
        <v>0</v>
      </c>
      <c r="E21" s="0" t="n">
        <f aca="false">IFERROR(N(INDEX(Registro!$U$11:$U$40,MATCH($A21,Registro!$A$11:$A$40,0))),0)</f>
        <v>0</v>
      </c>
      <c r="F21" s="0" t="n">
        <f aca="false">IFERROR(N(INDEX(Registro!$AA$11:$AA$40,MATCH($A21,Registro!$A$11:$A$40,0))),0)</f>
        <v>0</v>
      </c>
      <c r="G21" s="0" t="n">
        <f aca="false">IFERROR(N(INDEX(Registro!$I$47:$I$76,MATCH($A21,Registro!$A$47:$A$76,0))),0)</f>
        <v>0</v>
      </c>
      <c r="H21" s="0" t="n">
        <f aca="false">IFERROR(N(INDEX(Registro!$O$47:$O$76,MATCH($A21,Registro!$A$47:$A$76,0))),0)</f>
        <v>0</v>
      </c>
      <c r="I21" s="0" t="n">
        <f aca="false">IFERROR(N(INDEX(Registro!$U$47:$U$76,MATCH($A21,Registro!$A$47:$A$76,0))),0)</f>
        <v>0</v>
      </c>
      <c r="J21" s="0" t="n">
        <f aca="false">IFERROR(N(INDEX(Registro!$AA$47:$AA$76,MATCH($A21,Registro!$A$47:$A$76,0))),0)</f>
        <v>0</v>
      </c>
      <c r="K21" s="0" t="n">
        <f aca="false">IFERROR(N(INDEX(Registro!$I$83:$I$112,MATCH($A21,Registro!$A$83:$A$112,0))),0)</f>
        <v>0</v>
      </c>
      <c r="L21" s="0" t="n">
        <f aca="false">IFERROR(N(INDEX(Registro!$O$83:$O$112,MATCH($A21,Registro!$A$83:$A$112,0))),0)</f>
        <v>0</v>
      </c>
      <c r="M21" s="0" t="n">
        <f aca="false">IFERROR(N(INDEX(Registro!$U$83:$U$112,MATCH($A21,Registro!$A$83:$A$112,0))),0)</f>
        <v>0</v>
      </c>
      <c r="N21" s="0" t="n">
        <f aca="false">IFERROR(N(INDEX(Registro!$AA$83:$AA$112,MATCH($A21,Registro!$A$83:$A$112,0))),0)</f>
        <v>0</v>
      </c>
      <c r="O21" s="0" t="n">
        <f aca="false">IFERROR(N(INDEX(Registro!$I$119:$I$148,MATCH($A21,Registro!$A$119:$A$148,0))),0)</f>
        <v>0</v>
      </c>
      <c r="P21" s="0" t="n">
        <f aca="false">IFERROR(N(INDEX(Registro!$O$119:$O$148,MATCH($A21,Registro!$A$119:$A$148,0))),0)</f>
        <v>0</v>
      </c>
      <c r="Q21" s="0" t="n">
        <f aca="false">IFERROR(N(INDEX(Registro!$U$119:$U$148,MATCH($A21,Registro!$A$119:$A$148,0))),0)</f>
        <v>0</v>
      </c>
      <c r="R21" s="0" t="n">
        <f aca="false">IFERROR(N(INDEX(Registro!$AA$119:$AA$148,MATCH($A21,Registro!$A$119:$A$148,0))),0)</f>
        <v>0</v>
      </c>
      <c r="S21" s="0" t="n">
        <f aca="false">IFERROR(N(INDEX(Registro!$I$155:$I$184,MATCH($A21,Registro!$A$155:$A$184,0))),0)</f>
        <v>0</v>
      </c>
      <c r="T21" s="0" t="n">
        <f aca="false">IFERROR(N(INDEX(Registro!$O$155:$O$184,MATCH($A21,Registro!$A$155:$A$184,0))),0)</f>
        <v>0</v>
      </c>
      <c r="U21" s="0" t="n">
        <f aca="false">IFERROR(N(INDEX(Registro!$U$155:$U$184,MATCH($A21,Registro!$A$155:$A$184,0))),0)</f>
        <v>0</v>
      </c>
      <c r="V21" s="0" t="n">
        <f aca="false">IFERROR(N(INDEX(Registro!$AA$155:$AA$184,MATCH($A21,Registro!$A$155:$A$184,0))),0)</f>
        <v>0</v>
      </c>
      <c r="W21" s="0" t="n">
        <f aca="false">IFERROR(N(INDEX(Registro!$I$191:$I$220,MATCH($A21,Registro!$A$191:$A$220,0))),0)</f>
        <v>0</v>
      </c>
      <c r="X21" s="0" t="n">
        <f aca="false">IFERROR(N(INDEX(Registro!$O$191:$O$220,MATCH($A21,Registro!$A$191:$A$220,0))),0)</f>
        <v>0</v>
      </c>
      <c r="Y21" s="0" t="n">
        <f aca="false">IFERROR(N(INDEX(Registro!$U$191:$U$220,MATCH($A21,Registro!$A$191:$A$220,0))),0)</f>
        <v>0</v>
      </c>
      <c r="Z21" s="0" t="n">
        <f aca="false">IFERROR(N(INDEX(Registro!$AA$191:$AA$220,MATCH($A21,Registro!$A$191:$A$220,0))),0)</f>
        <v>0</v>
      </c>
      <c r="AA21" s="0" t="n">
        <f aca="false">IFERROR(N(INDEX(Registro!$I$227:$I$256,MATCH($A21,Registro!$A$227:$A$256,0))),0)</f>
        <v>0</v>
      </c>
      <c r="AB21" s="0" t="n">
        <f aca="false">IFERROR(N(INDEX(Registro!$O$227:$O$256,MATCH($A21,Registro!$A$227:$A$256,0))),0)</f>
        <v>0</v>
      </c>
      <c r="AC21" s="0" t="n">
        <f aca="false">IFERROR(N(INDEX(Registro!$U$227:$U$256,MATCH($A21,Registro!$A$227:$A$256,0))),0)</f>
        <v>0</v>
      </c>
      <c r="AD21" s="0" t="n">
        <f aca="false">IFERROR(N(INDEX(Registro!$AA$227:$AA$256,MATCH($A21,Registro!$A$227:$A$256,0))),0)</f>
        <v>0</v>
      </c>
      <c r="AE21" s="0" t="n">
        <f aca="false">IFERROR(N(INDEX(Registro!$I$263:$I$292,MATCH($A21,Registro!$A$263:$A$292,0))),0)</f>
        <v>0</v>
      </c>
      <c r="AF21" s="0" t="n">
        <f aca="false">IFERROR(N(INDEX(Registro!$O$263:$O$292,MATCH($A21,Registro!$A$263:$A$292,0))),0)</f>
        <v>0</v>
      </c>
      <c r="AG21" s="0" t="n">
        <f aca="false">IFERROR(N(INDEX(Registro!$U$263:$U$292,MATCH($A21,Registro!$A$263:$A$292,0))),0)</f>
        <v>0</v>
      </c>
      <c r="AH21" s="0" t="n">
        <f aca="false">IFERROR(N(INDEX(Registro!$AA$263:$AA$292,MATCH($A21,Registro!$A$263:$A$292,0))),0)</f>
        <v>0</v>
      </c>
      <c r="AI21" s="0" t="n">
        <f aca="false">IFERROR(N(INDEX(Registro!$I$299:$I$328,MATCH($A21,Registro!$A$299:$A$328,0))),0)</f>
        <v>0</v>
      </c>
      <c r="AJ21" s="0" t="n">
        <f aca="false">IFERROR(N(INDEX(Registro!$O$299:$O$328,MATCH($A21,Registro!$A$299:$A$328,0))),0)</f>
        <v>0</v>
      </c>
      <c r="AK21" s="0" t="n">
        <f aca="false">IFERROR(N(INDEX(Registro!$U$299:$U$328,MATCH($A21,Registro!$A$299:$A$328,0))),0)</f>
        <v>0</v>
      </c>
      <c r="AL21" s="0" t="n">
        <f aca="false">IFERROR(N(INDEX(Registro!$AA$299:$AA$328,MATCH($A21,Registro!$A$299:$A$328,0))),0)</f>
        <v>0</v>
      </c>
      <c r="AM21" s="0" t="n">
        <f aca="false">IFERROR(N(INDEX(Registro!$I$335:$I$364,MATCH($A21,Registro!$A$335:$A$364,0))),0)</f>
        <v>0</v>
      </c>
      <c r="AN21" s="0" t="n">
        <f aca="false">IFERROR(N(INDEX(Registro!$O$335:$O$364,MATCH($A21,Registro!$A$335:$A$364,0))),0)</f>
        <v>0</v>
      </c>
      <c r="AO21" s="0" t="n">
        <f aca="false">IFERROR(N(INDEX(Registro!$U$335:$U$364,MATCH($A21,Registro!$A$335:$A$364,0))),0)</f>
        <v>0</v>
      </c>
      <c r="AP21" s="0" t="n">
        <f aca="false">IFERROR(N(INDEX(Registro!$AA$335:$AA$364,MATCH($A21,Registro!$A$335:$A$364,0))),0)</f>
        <v>0</v>
      </c>
      <c r="AQ21" s="0" t="n">
        <f aca="false">IFERROR(N(INDEX(Registro!$I$371:$I$400,MATCH($A21,Registro!$A$371:$A$400,0))),0)</f>
        <v>0</v>
      </c>
      <c r="AR21" s="0" t="n">
        <f aca="false">IFERROR(N(INDEX(Registro!$O$371:$O$400,MATCH($A21,Registro!$A$371:$A$400,0))),0)</f>
        <v>0</v>
      </c>
      <c r="AS21" s="0" t="n">
        <f aca="false">IFERROR(N(INDEX(Registro!$U$371:$U$400,MATCH($A21,Registro!$A$371:$A$400,0))),0)</f>
        <v>0</v>
      </c>
      <c r="AT21" s="0" t="n">
        <f aca="false">IFERROR(N(INDEX(Registro!$AA$371:$AA$400,MATCH($A21,Registro!$A$371:$A$400,0))),0)</f>
        <v>0</v>
      </c>
      <c r="AU21" s="0" t="n">
        <f aca="false">IFERROR(N(INDEX(Registro!$I$407:$I$436,MATCH($A21,Registro!$A$407:$A$436,0))),0)</f>
        <v>0</v>
      </c>
      <c r="AV21" s="0" t="n">
        <f aca="false">IFERROR(N(INDEX(Registro!$O$407:$O$436,MATCH($A21,Registro!$A$407:$A$436,0))),0)</f>
        <v>0</v>
      </c>
      <c r="AW21" s="0" t="n">
        <f aca="false">IFERROR(N(INDEX(Registro!$U$407:$U$436,MATCH($A21,Registro!$A$407:$A$436,0))),0)</f>
        <v>0</v>
      </c>
      <c r="AX21" s="0" t="n">
        <f aca="false">IFERROR(N(INDEX(Registro!$AA$407:$AA$436,MATCH($A21,Registro!$A$407:$A$436,0))),0)</f>
        <v>0</v>
      </c>
      <c r="AY21" s="0" t="n">
        <f aca="false">IFERROR(N(INDEX(Registro!$I$443:$I$472,MATCH($A21,Registro!$A$443:$A$472,0))),0)</f>
        <v>0</v>
      </c>
      <c r="AZ21" s="0" t="n">
        <f aca="false">IFERROR(N(INDEX(Registro!$O$443:$O$472,MATCH($A21,Registro!$A$443:$A$472,0))),0)</f>
        <v>0</v>
      </c>
      <c r="BA21" s="0" t="n">
        <f aca="false">IFERROR(N(INDEX(Registro!$U$443:$U$472,MATCH($A21,Registro!$A$443:$A$472,0))),0)</f>
        <v>0</v>
      </c>
      <c r="BB21" s="0" t="n">
        <f aca="false">IFERROR(N(INDEX(Registro!$AA$443:$AA$472,MATCH($A21,Registro!$A$443:$A$472,0))),0)</f>
        <v>0</v>
      </c>
      <c r="BC21" s="0" t="n">
        <f aca="false">IFERROR(N(INDEX(Registro!$I$479:$I$508,MATCH($A21,Registro!$A$479:$A$508,0))),0)</f>
        <v>0</v>
      </c>
      <c r="BD21" s="0" t="n">
        <f aca="false">IFERROR(N(INDEX(Registro!$O$479:$O$508,MATCH($A21,Registro!$A$479:$A$508,0))),0)</f>
        <v>0</v>
      </c>
      <c r="BE21" s="0" t="n">
        <f aca="false">IFERROR(N(INDEX(Registro!$U$479:$U$508,MATCH($A21,Registro!$A$479:$A$508,0))),0)</f>
        <v>0</v>
      </c>
      <c r="BF21" s="0" t="n">
        <f aca="false">IFERROR(N(INDEX(Registro!$AA$479:$AA$508,MATCH($A21,Registro!$A$479:$A$508,0))),0)</f>
        <v>0</v>
      </c>
      <c r="BG21" s="0" t="n">
        <f aca="false">IFERROR(N(INDEX(Registro!$I$515:$I$544,MATCH($A21,Registro!$A$515:$A$544,0))),0)</f>
        <v>0</v>
      </c>
      <c r="BH21" s="0" t="n">
        <f aca="false">IFERROR(N(INDEX(Registro!$O$515:$O$544,MATCH($A21,Registro!$A$515:$A$544,0))),0)</f>
        <v>0</v>
      </c>
      <c r="BI21" s="0" t="n">
        <f aca="false">IFERROR(N(INDEX(Registro!$U$515:$U$544,MATCH($A21,Registro!$A$515:$A$544,0))),0)</f>
        <v>0</v>
      </c>
      <c r="BJ21" s="0" t="n">
        <f aca="false">IFERROR(N(INDEX(Registro!$AA$515:$AA$544,MATCH($A21,Registro!$A$515:$A$544,0))),0)</f>
        <v>0</v>
      </c>
      <c r="BK21" s="0" t="n">
        <f aca="false">IFERROR(N(INDEX(Registro!$I$551:$I$580,MATCH($A21,Registro!$A$551:$A$580,0))),0)</f>
        <v>0</v>
      </c>
      <c r="BL21" s="0" t="n">
        <f aca="false">IFERROR(N(INDEX(Registro!$O$551:$O$580,MATCH($A21,Registro!$A$551:$A$580,0))),0)</f>
        <v>0</v>
      </c>
      <c r="BM21" s="0" t="n">
        <f aca="false">IFERROR(N(INDEX(Registro!$U$551:$U$580,MATCH($A21,Registro!$A$551:$A$580,0))),0)</f>
        <v>0</v>
      </c>
      <c r="BN21" s="0" t="n">
        <f aca="false">IFERROR(N(INDEX(Registro!$AA$551:$AA$580,MATCH($A21,Registro!$A$551:$A$580,0))),0)</f>
        <v>0</v>
      </c>
      <c r="BO21" s="0" t="n">
        <f aca="false">IFERROR(N(INDEX(Registro!$I$587:$I$616,MATCH($A21,Registro!$A$587:$A$616,0))),0)</f>
        <v>0</v>
      </c>
      <c r="BP21" s="0" t="n">
        <f aca="false">IFERROR(N(INDEX(Registro!$O$587:$O$616,MATCH($A21,Registro!$A$587:$A$616,0))),0)</f>
        <v>0</v>
      </c>
      <c r="BQ21" s="0" t="n">
        <f aca="false">IFERROR(N(INDEX(Registro!$U$587:$U$616,MATCH($A21,Registro!$A$587:$A$616,0))),0)</f>
        <v>0</v>
      </c>
      <c r="BR21" s="0" t="n">
        <f aca="false">IFERROR(N(INDEX(Registro!$AA$587:$AA$616,MATCH($A21,Registro!$A$587:$A$616,0))),0)</f>
        <v>0</v>
      </c>
      <c r="BS21" s="0" t="n">
        <f aca="false">IFERROR(N(INDEX(Registro!$I$623:$I$652,MATCH($A21,Registro!$A$623:$A$652,0))),0)</f>
        <v>0</v>
      </c>
      <c r="BT21" s="0" t="n">
        <f aca="false">IFERROR(N(INDEX(Registro!$O$623:$O$652,MATCH($A21,Registro!$A$623:$A$652,0))),0)</f>
        <v>0</v>
      </c>
      <c r="BU21" s="0" t="n">
        <f aca="false">IFERROR(N(INDEX(Registro!$U$623:$U$652,MATCH($A21,Registro!$A$623:$A$652,0))),0)</f>
        <v>0</v>
      </c>
      <c r="BV21" s="0" t="n">
        <f aca="false">IFERROR(N(INDEX(Registro!$AA$623:$AA$652,MATCH($A21,Registro!$A$623:$A$652,0))),0)</f>
        <v>0</v>
      </c>
      <c r="BW21" s="0" t="n">
        <f aca="false">IFERROR(N(INDEX(Registro!$I$659:$I$688,MATCH($A21,Registro!$A$659:$A$688,0))),0)</f>
        <v>0</v>
      </c>
      <c r="BX21" s="0" t="n">
        <f aca="false">IFERROR(N(INDEX(Registro!$O$659:$O$688,MATCH($A21,Registro!$A$659:$A$688,0))),0)</f>
        <v>0</v>
      </c>
      <c r="BY21" s="0" t="n">
        <f aca="false">IFERROR(N(INDEX(Registro!$U$659:$U$688,MATCH($A21,Registro!$A$659:$A$688,0))),0)</f>
        <v>0</v>
      </c>
      <c r="BZ21" s="0" t="n">
        <f aca="false">IFERROR(N(INDEX(Registro!$AA$659:$AA$688,MATCH($A21,Registro!$A$659:$A$688,0))),0)</f>
        <v>0</v>
      </c>
      <c r="CA21" s="0" t="n">
        <f aca="false">IFERROR(N(INDEX(Registro!$I$695:$I$724,MATCH($A21,Registro!$A$695:$A$724,0))),0)</f>
        <v>0</v>
      </c>
      <c r="CB21" s="0" t="n">
        <f aca="false">IFERROR(N(INDEX(Registro!$O$695:$O$724,MATCH($A21,Registro!$A$695:$A$724,0))),0)</f>
        <v>0</v>
      </c>
      <c r="CC21" s="0" t="n">
        <f aca="false">IFERROR(N(INDEX(Registro!$U$695:$U$724,MATCH($A21,Registro!$A$695:$A$724,0))),0)</f>
        <v>0</v>
      </c>
      <c r="CD21" s="0" t="n">
        <f aca="false">IFERROR(N(INDEX(Registro!$AA$695:$AA$724,MATCH($A21,Registro!$A$695:$A$724,0))),0)</f>
        <v>0</v>
      </c>
      <c r="CE21" s="0" t="n">
        <f aca="false">IFERROR(IF(ISNUMBER(INDEX(Registro!$I$11:$I$40,MATCH($A21,Registro!$A$11:$A$40,0))),CE$5,0),0)</f>
        <v>0</v>
      </c>
      <c r="CF21" s="0" t="n">
        <f aca="false">IFERROR(IF(ISNUMBER(INDEX(Registro!$O$11:$O$40,MATCH($A21,Registro!$A$11:$A$40,0))),CF$5,0),0)</f>
        <v>0</v>
      </c>
      <c r="CG21" s="0" t="n">
        <f aca="false">IFERROR(IF(ISNUMBER(INDEX(Registro!$U$11:$U$40,MATCH($A21,Registro!$A$11:$A$40,0))),CG$5,0),0)</f>
        <v>0</v>
      </c>
      <c r="CH21" s="0" t="n">
        <f aca="false">IFERROR(IF(ISNUMBER(INDEX(Registro!$AA$11:$AA$40,MATCH($A21,Registro!$A$11:$A$40,0))),CH$5,0),0)</f>
        <v>0</v>
      </c>
      <c r="CI21" s="0" t="n">
        <f aca="false">IFERROR(IF(ISNUMBER(INDEX(Registro!$I$47:$I$76,MATCH($A21,Registro!$A$47:$A$76,0))),CI$5,0),0)</f>
        <v>0</v>
      </c>
      <c r="CJ21" s="0" t="n">
        <f aca="false">IFERROR(IF(ISNUMBER(INDEX(Registro!$O$47:$O$76,MATCH($A21,Registro!$A$47:$A$76,0))),CJ$5,0),0)</f>
        <v>0</v>
      </c>
      <c r="CK21" s="0" t="n">
        <f aca="false">IFERROR(IF(ISNUMBER(INDEX(Registro!$U$47:$U$76,MATCH($A21,Registro!$A$47:$A$76,0))),CK$5,0),0)</f>
        <v>0</v>
      </c>
      <c r="CL21" s="0" t="n">
        <f aca="false">IFERROR(IF(ISNUMBER(INDEX(Registro!$AA$47:$AA$76,MATCH($A21,Registro!$A$47:$A$76,0))),CL$5,0),0)</f>
        <v>0</v>
      </c>
      <c r="CM21" s="0" t="n">
        <f aca="false">IFERROR(IF(ISNUMBER(INDEX(Registro!$I$83:$I$112,MATCH($A21,Registro!$A$83:$A$112,0))),CM$5,0),0)</f>
        <v>0</v>
      </c>
      <c r="CN21" s="0" t="n">
        <f aca="false">IFERROR(IF(ISNUMBER(INDEX(Registro!$O$83:$O$112,MATCH($A21,Registro!$A$83:$A$112,0))),CN$5,0),0)</f>
        <v>0</v>
      </c>
      <c r="CO21" s="0" t="n">
        <f aca="false">IFERROR(IF(ISNUMBER(INDEX(Registro!$U$83:$U$112,MATCH($A21,Registro!$A$83:$A$112,0))),CO$5,0),0)</f>
        <v>0</v>
      </c>
      <c r="CP21" s="0" t="n">
        <f aca="false">IFERROR(IF(ISNUMBER(INDEX(Registro!$AA$83:$AA$112,MATCH($A21,Registro!$A$83:$A$112,0))),CP$5,0),0)</f>
        <v>0</v>
      </c>
      <c r="CQ21" s="0" t="n">
        <f aca="false">IFERROR(IF(ISNUMBER(INDEX(Registro!$I$119:$I$148,MATCH($A21,Registro!$A$119:$A$148,0))),CQ$5,0),0)</f>
        <v>0</v>
      </c>
      <c r="CR21" s="0" t="n">
        <f aca="false">IFERROR(IF(ISNUMBER(INDEX(Registro!$O$119:$O$148,MATCH($A21,Registro!$A$119:$A$148,0))),CR$5,0),0)</f>
        <v>0</v>
      </c>
      <c r="CS21" s="0" t="n">
        <f aca="false">IFERROR(IF(ISNUMBER(INDEX(Registro!$U$119:$U$148,MATCH($A21,Registro!$A$119:$A$148,0))),CS$5,0),0)</f>
        <v>0</v>
      </c>
      <c r="CT21" s="0" t="n">
        <f aca="false">IFERROR(IF(ISNUMBER(INDEX(Registro!$AA$119:$AA$148,MATCH($A21,Registro!$A$119:$A$148,0))),CT$5,0),0)</f>
        <v>0</v>
      </c>
      <c r="CU21" s="0" t="n">
        <f aca="false">IFERROR(IF(ISNUMBER(INDEX(Registro!$I$155:$I$184,MATCH($A21,Registro!$A$155:$A$184,0))),CU$5,0),0)</f>
        <v>0</v>
      </c>
      <c r="CV21" s="0" t="n">
        <f aca="false">IFERROR(IF(ISNUMBER(INDEX(Registro!$O$155:$O$184,MATCH($A21,Registro!$A$155:$A$184,0))),CV$5,0),0)</f>
        <v>0</v>
      </c>
      <c r="CW21" s="0" t="n">
        <f aca="false">IFERROR(IF(ISNUMBER(INDEX(Registro!$U$155:$U$184,MATCH($A21,Registro!$A$155:$A$184,0))),CW$5,0),0)</f>
        <v>0</v>
      </c>
      <c r="CX21" s="0" t="n">
        <f aca="false">IFERROR(IF(ISNUMBER(INDEX(Registro!$AA$155:$AA$184,MATCH($A21,Registro!$A$155:$A$184,0))),CX$5,0),0)</f>
        <v>0</v>
      </c>
      <c r="CY21" s="0" t="n">
        <f aca="false">IFERROR(IF(ISNUMBER(INDEX(Registro!$I$191:$I$220,MATCH($A21,Registro!$A$191:$A$220,0))),CY$5,0),0)</f>
        <v>0</v>
      </c>
      <c r="CZ21" s="0" t="n">
        <f aca="false">IFERROR(IF(ISNUMBER(INDEX(Registro!$O$191:$O$220,MATCH($A21,Registro!$A$191:$A$220,0))),CZ$5,0),0)</f>
        <v>0</v>
      </c>
      <c r="DA21" s="0" t="n">
        <f aca="false">IFERROR(IF(ISNUMBER(INDEX(Registro!$U$191:$U$220,MATCH($A21,Registro!$A$191:$A$220,0))),DA$5,0),0)</f>
        <v>0</v>
      </c>
      <c r="DB21" s="0" t="n">
        <f aca="false">IFERROR(IF(ISNUMBER(INDEX(Registro!$AA$191:$AA$220,MATCH($A21,Registro!$A$191:$A$220,0))),DB$5,0),0)</f>
        <v>0</v>
      </c>
      <c r="DC21" s="0" t="n">
        <f aca="false">IFERROR(IF(ISNUMBER(INDEX(Registro!$I$227:$I$256,MATCH($A21,Registro!$A$227:$A$256,0))),DC$5,0),0)</f>
        <v>0</v>
      </c>
      <c r="DD21" s="0" t="n">
        <f aca="false">IFERROR(IF(ISNUMBER(INDEX(Registro!$O$227:$O$256,MATCH($A21,Registro!$A$227:$A$256,0))),DD$5,0),0)</f>
        <v>0</v>
      </c>
      <c r="DE21" s="0" t="n">
        <f aca="false">IFERROR(IF(ISNUMBER(INDEX(Registro!$U$227:$U$256,MATCH($A21,Registro!$A$227:$A$256,0))),DE$5,0),0)</f>
        <v>0</v>
      </c>
      <c r="DF21" s="0" t="n">
        <f aca="false">IFERROR(IF(ISNUMBER(INDEX(Registro!$AA$227:$AA$256,MATCH($A21,Registro!$A$227:$A$256,0))),DF$5,0),0)</f>
        <v>0</v>
      </c>
      <c r="DG21" s="0" t="n">
        <f aca="false">IFERROR(IF(ISNUMBER(INDEX(Registro!$I$263:$I$292,MATCH($A21,Registro!$A$263:$A$292,0))),DG$5,0),0)</f>
        <v>0</v>
      </c>
      <c r="DH21" s="0" t="n">
        <f aca="false">IFERROR(IF(ISNUMBER(INDEX(Registro!$O$263:$O$292,MATCH($A21,Registro!$A$263:$A$292,0))),DH$5,0),0)</f>
        <v>0</v>
      </c>
      <c r="DI21" s="0" t="n">
        <f aca="false">IFERROR(IF(ISNUMBER(INDEX(Registro!$U$263:$U$292,MATCH($A21,Registro!$A$263:$A$292,0))),DI$5,0),0)</f>
        <v>0</v>
      </c>
      <c r="DJ21" s="0" t="n">
        <f aca="false">IFERROR(IF(ISNUMBER(INDEX(Registro!$AA$263:$AA$292,MATCH($A21,Registro!$A$263:$A$292,0))),DJ$5,0),0)</f>
        <v>0</v>
      </c>
      <c r="DK21" s="0" t="n">
        <f aca="false">IFERROR(IF(ISNUMBER(INDEX(Registro!$I$299:$I$328,MATCH($A21,Registro!$A$299:$A$328,0))),DK$5,0),0)</f>
        <v>0</v>
      </c>
      <c r="DL21" s="0" t="n">
        <f aca="false">IFERROR(IF(ISNUMBER(INDEX(Registro!$O$299:$O$328,MATCH($A21,Registro!$A$299:$A$328,0))),DL$5,0),0)</f>
        <v>0</v>
      </c>
      <c r="DM21" s="0" t="n">
        <f aca="false">IFERROR(IF(ISNUMBER(INDEX(Registro!$U$299:$U$328,MATCH($A21,Registro!$A$299:$A$328,0))),DM$5,0),0)</f>
        <v>0</v>
      </c>
      <c r="DN21" s="0" t="n">
        <f aca="false">IFERROR(IF(ISNUMBER(INDEX(Registro!$AA$299:$AA$328,MATCH($A21,Registro!$A$299:$A$328,0))),DN$5,0),0)</f>
        <v>0</v>
      </c>
      <c r="DO21" s="0" t="n">
        <f aca="false">IFERROR(IF(ISNUMBER(INDEX(Registro!$I$335:$I$364,MATCH($A21,Registro!$A$335:$A$364,0))),DO$5,0),0)</f>
        <v>0</v>
      </c>
      <c r="DP21" s="0" t="n">
        <f aca="false">IFERROR(IF(ISNUMBER(INDEX(Registro!$O$335:$O$364,MATCH($A21,Registro!$A$335:$A$364,0))),DP$5,0),0)</f>
        <v>0</v>
      </c>
      <c r="DQ21" s="0" t="n">
        <f aca="false">IFERROR(IF(ISNUMBER(INDEX(Registro!$U$335:$U$364,MATCH($A21,Registro!$A$335:$A$364,0))),DQ$5,0),0)</f>
        <v>0</v>
      </c>
      <c r="DR21" s="0" t="n">
        <f aca="false">IFERROR(IF(ISNUMBER(INDEX(Registro!$AA$335:$AA$364,MATCH($A21,Registro!$A$335:$A$364,0))),DR$5,0),0)</f>
        <v>0</v>
      </c>
      <c r="DS21" s="0" t="n">
        <f aca="false">IFERROR(IF(ISNUMBER(INDEX(Registro!$I$371:$I$400,MATCH($A21,Registro!$A$371:$A$400,0))),DS$5,0),0)</f>
        <v>0</v>
      </c>
      <c r="DT21" s="0" t="n">
        <f aca="false">IFERROR(IF(ISNUMBER(INDEX(Registro!$O$371:$O$400,MATCH($A21,Registro!$A$371:$A$400,0))),DT$5,0),0)</f>
        <v>0</v>
      </c>
      <c r="DU21" s="0" t="n">
        <f aca="false">IFERROR(IF(ISNUMBER(INDEX(Registro!$U$371:$U$400,MATCH($A21,Registro!$A$371:$A$400,0))),DU$5,0),0)</f>
        <v>0</v>
      </c>
      <c r="DV21" s="0" t="n">
        <f aca="false">IFERROR(IF(ISNUMBER(INDEX(Registro!$AA$371:$AA$400,MATCH($A21,Registro!$A$371:$A$400,0))),DV$5,0),0)</f>
        <v>0</v>
      </c>
      <c r="DW21" s="0" t="n">
        <f aca="false">IFERROR(IF(ISNUMBER(INDEX(Registro!$I$407:$I$436,MATCH($A21,Registro!$A$407:$A$436,0))),DW$5,0),0)</f>
        <v>0</v>
      </c>
      <c r="DX21" s="0" t="n">
        <f aca="false">IFERROR(IF(ISNUMBER(INDEX(Registro!$O$407:$O$436,MATCH($A21,Registro!$A$407:$A$436,0))),DX$5,0),0)</f>
        <v>0</v>
      </c>
      <c r="DY21" s="0" t="n">
        <f aca="false">IFERROR(IF(ISNUMBER(INDEX(Registro!$U$407:$U$436,MATCH($A21,Registro!$A$407:$A$436,0))),DY$5,0),0)</f>
        <v>0</v>
      </c>
      <c r="DZ21" s="0" t="n">
        <f aca="false">IFERROR(IF(ISNUMBER(INDEX(Registro!$AA$407:$AA$436,MATCH($A21,Registro!$A$407:$A$436,0))),DZ$5,0),0)</f>
        <v>0</v>
      </c>
      <c r="EA21" s="0" t="n">
        <f aca="false">IFERROR(IF(ISNUMBER(INDEX(Registro!$I$443:$I$472,MATCH($A21,Registro!$A$443:$A$472,0))),EA$5,0),0)</f>
        <v>0</v>
      </c>
      <c r="EB21" s="0" t="n">
        <f aca="false">IFERROR(IF(ISNUMBER(INDEX(Registro!$O$443:$O$472,MATCH($A21,Registro!$A$443:$A$472,0))),EB$5,0),0)</f>
        <v>0</v>
      </c>
      <c r="EC21" s="0" t="n">
        <f aca="false">IFERROR(IF(ISNUMBER(INDEX(Registro!$U$443:$U$472,MATCH($A21,Registro!$A$443:$A$472,0))),EC$5,0),0)</f>
        <v>0</v>
      </c>
      <c r="ED21" s="0" t="n">
        <f aca="false">IFERROR(IF(ISNUMBER(INDEX(Registro!$AA$443:$AA$472,MATCH($A21,Registro!$A$443:$A$472,0))),ED$5,0),0)</f>
        <v>0</v>
      </c>
      <c r="EE21" s="0" t="n">
        <f aca="false">IFERROR(IF(ISNUMBER(INDEX(Registro!$I$479:$I$508,MATCH($A21,Registro!$A$479:$A$508,0))),EE$5,0),0)</f>
        <v>0</v>
      </c>
      <c r="EF21" s="0" t="n">
        <f aca="false">IFERROR(IF(ISNUMBER(INDEX(Registro!$O$479:$O$508,MATCH($A21,Registro!$A$479:$A$508,0))),EF$5,0),0)</f>
        <v>0</v>
      </c>
      <c r="EG21" s="0" t="n">
        <f aca="false">IFERROR(IF(ISNUMBER(INDEX(Registro!$U$479:$U$508,MATCH($A21,Registro!$A$479:$A$508,0))),EG$5,0),0)</f>
        <v>0</v>
      </c>
      <c r="EH21" s="0" t="n">
        <f aca="false">IFERROR(IF(ISNUMBER(INDEX(Registro!$AA$479:$AA$508,MATCH($A21,Registro!$A$479:$A$508,0))),EH$5,0),0)</f>
        <v>0</v>
      </c>
      <c r="EI21" s="0" t="n">
        <f aca="false">IFERROR(IF(ISNUMBER(INDEX(Registro!$I$515:$I$544,MATCH($A21,Registro!$A$515:$A$544,0))),EI$5,0),0)</f>
        <v>0</v>
      </c>
      <c r="EJ21" s="0" t="n">
        <f aca="false">IFERROR(IF(ISNUMBER(INDEX(Registro!$O$515:$O$544,MATCH($A21,Registro!$A$515:$A$544,0))),EJ$5,0),0)</f>
        <v>0</v>
      </c>
      <c r="EK21" s="0" t="n">
        <f aca="false">IFERROR(IF(ISNUMBER(INDEX(Registro!$U$515:$U$544,MATCH($A21,Registro!$A$515:$A$544,0))),EK$5,0),0)</f>
        <v>0</v>
      </c>
      <c r="EL21" s="0" t="n">
        <f aca="false">IFERROR(IF(ISNUMBER(INDEX(Registro!$AA$515:$AA$544,MATCH($A21,Registro!$A$515:$A$544,0))),EL$5,0),0)</f>
        <v>0</v>
      </c>
      <c r="EM21" s="0" t="n">
        <f aca="false">IFERROR(IF(ISNUMBER(INDEX(Registro!$I$551:$I$580,MATCH($A21,Registro!$A$551:$A$580,0))),EM$5,0),0)</f>
        <v>0</v>
      </c>
      <c r="EN21" s="0" t="n">
        <f aca="false">IFERROR(IF(ISNUMBER(INDEX(Registro!$O$551:$O$580,MATCH($A21,Registro!$A$551:$A$580,0))),EN$5,0),0)</f>
        <v>0</v>
      </c>
      <c r="EO21" s="0" t="n">
        <f aca="false">IFERROR(IF(ISNUMBER(INDEX(Registro!$U$551:$U$580,MATCH($A21,Registro!$A$551:$A$580,0))),EO$5,0),0)</f>
        <v>0</v>
      </c>
      <c r="EP21" s="0" t="n">
        <f aca="false">IFERROR(IF(ISNUMBER(INDEX(Registro!$AA$551:$AA$580,MATCH($A21,Registro!$A$551:$A$580,0))),EP$5,0),0)</f>
        <v>0</v>
      </c>
      <c r="EQ21" s="0" t="n">
        <f aca="false">IFERROR(IF(ISNUMBER(INDEX(Registro!$I$587:$I$616,MATCH($A21,Registro!$A$587:$A$616,0))),EQ$5,0),0)</f>
        <v>0</v>
      </c>
      <c r="ER21" s="0" t="n">
        <f aca="false">IFERROR(IF(ISNUMBER(INDEX(Registro!$O$587:$O$616,MATCH($A21,Registro!$A$587:$A$616,0))),ER$5,0),0)</f>
        <v>0</v>
      </c>
      <c r="ES21" s="0" t="n">
        <f aca="false">IFERROR(IF(ISNUMBER(INDEX(Registro!$U$587:$U$616,MATCH($A21,Registro!$A$587:$A$616,0))),ES$5,0),0)</f>
        <v>0</v>
      </c>
      <c r="ET21" s="0" t="n">
        <f aca="false">IFERROR(IF(ISNUMBER(INDEX(Registro!$AA$587:$AA$616,MATCH($A21,Registro!$A$587:$A$616,0))),ET$5,0),0)</f>
        <v>0</v>
      </c>
      <c r="EU21" s="0" t="n">
        <f aca="false">IFERROR(IF(ISNUMBER(INDEX(Registro!$I$623:$I$652,MATCH($A21,Registro!$A$623:$A$652,0))),EU$5,0),0)</f>
        <v>0</v>
      </c>
      <c r="EV21" s="0" t="n">
        <f aca="false">IFERROR(IF(ISNUMBER(INDEX(Registro!$O$623:$O$652,MATCH($A21,Registro!$A$623:$A$652,0))),EV$5,0),0)</f>
        <v>0</v>
      </c>
      <c r="EW21" s="0" t="n">
        <f aca="false">IFERROR(IF(ISNUMBER(INDEX(Registro!$U$623:$U$652,MATCH($A21,Registro!$A$623:$A$652,0))),EW$5,0),0)</f>
        <v>0</v>
      </c>
      <c r="EX21" s="0" t="n">
        <f aca="false">IFERROR(IF(ISNUMBER(INDEX(Registro!$AA$623:$AA$652,MATCH($A21,Registro!$A$623:$A$652,0))),EX$5,0),0)</f>
        <v>0</v>
      </c>
      <c r="EY21" s="0" t="n">
        <f aca="false">IFERROR(IF(ISNUMBER(INDEX(Registro!$I$659:$I$688,MATCH($A21,Registro!$A$659:$A$688,0))),EY$5,0),0)</f>
        <v>0</v>
      </c>
      <c r="EZ21" s="0" t="n">
        <f aca="false">IFERROR(IF(ISNUMBER(INDEX(Registro!$O$659:$O$688,MATCH($A21,Registro!$A$659:$A$688,0))),EZ$5,0),0)</f>
        <v>0</v>
      </c>
      <c r="FA21" s="0" t="n">
        <f aca="false">IFERROR(IF(ISNUMBER(INDEX(Registro!$U$659:$U$688,MATCH($A21,Registro!$A$659:$A$688,0))),FA$5,0),0)</f>
        <v>0</v>
      </c>
      <c r="FB21" s="0" t="n">
        <f aca="false">IFERROR(IF(ISNUMBER(INDEX(Registro!$AA$659:$AA$688,MATCH($A21,Registro!$A$659:$A$688,0))),FB$5,0),0)</f>
        <v>0</v>
      </c>
      <c r="FC21" s="0" t="n">
        <f aca="false">IFERROR(IF(ISNUMBER(INDEX(Registro!$I$695:$I$724,MATCH($A21,Registro!$A$695:$A$724,0))),FC$5,0),0)</f>
        <v>0</v>
      </c>
      <c r="FD21" s="0" t="n">
        <f aca="false">IFERROR(IF(ISNUMBER(INDEX(Registro!$O$695:$O$724,MATCH($A21,Registro!$A$695:$A$724,0))),FD$5,0),0)</f>
        <v>0</v>
      </c>
      <c r="FE21" s="0" t="n">
        <f aca="false">IFERROR(IF(ISNUMBER(INDEX(Registro!$U$695:$U$724,MATCH($A21,Registro!$A$695:$A$724,0))),FE$5,0),0)</f>
        <v>0</v>
      </c>
      <c r="FF21" s="0" t="n">
        <f aca="false">IFERROR(IF(ISNUMBER(INDEX(Registro!$AA$695:$AA$724,MATCH($A21,Registro!$A$695:$A$724,0))),FF$5,0),0)</f>
        <v>0</v>
      </c>
      <c r="FG21" s="0" t="n">
        <f aca="false">IFERROR(IF(AND(INDEX(Registro!$C$11:$C$40,MATCH($A21,Registro!$A$11:$A$40,0))="AS",INDEX(Registro!$D$11:$D$40,MATCH($A21,Registro!$A$11:$A$40,0))&amp;""=""),1,0),0)</f>
        <v>0</v>
      </c>
      <c r="FH21" s="0" t="n">
        <f aca="false">IFERROR(IF(AND(INDEX(Registro!$C$47:$C$76,MATCH($A21,Registro!$A$47:$A$76,0))="AS",INDEX(Registro!$D$47:$D$76,MATCH($A21,Registro!$A$47:$A$76,0))&amp;""=""),1,0),0)</f>
        <v>0</v>
      </c>
      <c r="FI21" s="0" t="n">
        <f aca="false">IFERROR(IF(AND(INDEX(Registro!$C$83:$C$112,MATCH($A21,Registro!$A$83:$A$112,0))="AS",INDEX(Registro!$D$83:$D$112,MATCH($A21,Registro!$A$83:$A$112,0))&amp;""=""),1,0),0)</f>
        <v>0</v>
      </c>
      <c r="FJ21" s="0" t="n">
        <f aca="false">IFERROR(IF(AND(INDEX(Registro!$C$119:$C$148,MATCH($A21,Registro!$A$119:$A$148,0))="AS",INDEX(Registro!$D$119:$D$148,MATCH($A21,Registro!$A$119:$A$148,0))&amp;""=""),1,0),0)</f>
        <v>0</v>
      </c>
      <c r="FK21" s="0" t="n">
        <f aca="false">IFERROR(IF(AND(INDEX(Registro!$C$155:$C$184,MATCH($A21,Registro!$A$155:$A$184,0))="AS",INDEX(Registro!$D$155:$D$184,MATCH($A21,Registro!$A$155:$A$184,0))&amp;""=""),1,0),0)</f>
        <v>0</v>
      </c>
      <c r="FL21" s="0" t="n">
        <f aca="false">IFERROR(IF(AND(INDEX(Registro!$C$191:$C$220,MATCH($A21,Registro!$A$191:$A$220,0))="AS",INDEX(Registro!$D$191:$D$220,MATCH($A21,Registro!$A$191:$A$220,0))&amp;""=""),1,0),0)</f>
        <v>0</v>
      </c>
      <c r="FM21" s="0" t="n">
        <f aca="false">IFERROR(IF(AND(INDEX(Registro!$C$227:$C$256,MATCH($A21,Registro!$A$227:$A$256,0))="AS",INDEX(Registro!$D$227:$D$256,MATCH($A21,Registro!$A$227:$A$256,0))&amp;""=""),1,0),0)</f>
        <v>0</v>
      </c>
      <c r="FN21" s="0" t="n">
        <f aca="false">IFERROR(IF(AND(INDEX(Registro!$C$263:$C$292,MATCH($A21,Registro!$A$263:$A$292,0))="AS",INDEX(Registro!$D$263:$D$292,MATCH($A21,Registro!$A$263:$A$292,0))&amp;""=""),1,0),0)</f>
        <v>0</v>
      </c>
      <c r="FO21" s="0" t="n">
        <f aca="false">IFERROR(IF(AND(INDEX(Registro!$C$299:$C$328,MATCH($A21,Registro!$A$299:$A$328,0))="AS",INDEX(Registro!$D$299:$D$328,MATCH($A21,Registro!$A$299:$A$328,0))&amp;""=""),1,0),0)</f>
        <v>0</v>
      </c>
      <c r="FP21" s="0" t="n">
        <f aca="false">IFERROR(IF(AND(INDEX(Registro!$C$335:$C$364,MATCH($A21,Registro!$A$335:$A$364,0))="AS",INDEX(Registro!$D$335:$D$364,MATCH($A21,Registro!$A$335:$A$364,0))&amp;""=""),1,0),0)</f>
        <v>0</v>
      </c>
      <c r="FQ21" s="0" t="n">
        <f aca="false">IFERROR(IF(AND(INDEX(Registro!$C$371:$C$400,MATCH($A21,Registro!$A$371:$A$400,0))="AS",INDEX(Registro!$D$371:$D$400,MATCH($A21,Registro!$A$371:$A$400,0))&amp;""=""),1,0),0)</f>
        <v>0</v>
      </c>
      <c r="FR21" s="0" t="n">
        <f aca="false">IFERROR(IF(AND(INDEX(Registro!$C$407:$C$436,MATCH($A21,Registro!$A$407:$A$436,0))="AS",INDEX(Registro!$D$407:$D$436,MATCH($A21,Registro!$A$407:$A$436,0))&amp;""=""),1,0),0)</f>
        <v>0</v>
      </c>
      <c r="FS21" s="0" t="n">
        <f aca="false">IFERROR(IF(AND(INDEX(Registro!$C$443:$C$472,MATCH($A21,Registro!$A$443:$A$472,0))="AS",INDEX(Registro!$D$443:$D$472,MATCH($A21,Registro!$A$443:$A$472,0))&amp;""=""),1,0),0)</f>
        <v>0</v>
      </c>
      <c r="FT21" s="0" t="n">
        <f aca="false">IFERROR(IF(AND(INDEX(Registro!$C$479:$C$508,MATCH($A21,Registro!$A$479:$A$508,0))="AS",INDEX(Registro!$D$479:$D$508,MATCH($A21,Registro!$A$479:$A$508,0))&amp;""=""),1,0),0)</f>
        <v>0</v>
      </c>
      <c r="FU21" s="0" t="n">
        <f aca="false">IFERROR(IF(AND(INDEX(Registro!$C$515:$C$544,MATCH($A21,Registro!$A$515:$A$544,0))="AS",INDEX(Registro!$D$515:$D$544,MATCH($A21,Registro!$A$515:$A$544,0))&amp;""=""),1,0),0)</f>
        <v>0</v>
      </c>
      <c r="FV21" s="0" t="n">
        <f aca="false">IFERROR(IF(AND(INDEX(Registro!$C$551:$C$580,MATCH($A21,Registro!$A$551:$A$580,0))="AS",INDEX(Registro!$D$551:$D$580,MATCH($A21,Registro!$A$551:$A$580,0))&amp;""=""),1,0),0)</f>
        <v>0</v>
      </c>
      <c r="FW21" s="0" t="n">
        <f aca="false">IFERROR(IF(AND(INDEX(Registro!$C$587:$C$616,MATCH($A21,Registro!$A$587:$A$616,0))="AS",INDEX(Registro!$D$587:$D$616,MATCH($A21,Registro!$A$587:$A$616,0))&amp;""=""),1,0),0)</f>
        <v>0</v>
      </c>
      <c r="FX21" s="0" t="n">
        <f aca="false">IFERROR(IF(AND(INDEX(Registro!$C$623:$C$652,MATCH($A21,Registro!$A$623:$A$652,0))="AS",INDEX(Registro!$D$623:$D$652,MATCH($A21,Registro!$A$623:$A$652,0))&amp;""=""),1,0),0)</f>
        <v>0</v>
      </c>
      <c r="FY21" s="0" t="n">
        <f aca="false">IFERROR(IF(AND(INDEX(Registro!$C$659:$C$688,MATCH($A21,Registro!$A$659:$A$688,0))="AS",INDEX(Registro!$D$659:$D$688,MATCH($A21,Registro!$A$659:$A$688,0))&amp;""=""),1,0),0)</f>
        <v>0</v>
      </c>
      <c r="FZ21" s="0" t="n">
        <f aca="false">IFERROR(IF(AND(INDEX(Registro!$C$695:$C$724,MATCH($A21,Registro!$A$695:$A$724,0))="AS",INDEX(Registro!$D$695:$D$724,MATCH($A21,Registro!$A$695:$A$724,0))&amp;""=""),1,0),0)</f>
        <v>0</v>
      </c>
    </row>
    <row r="22" customFormat="false" ht="15" hidden="false" customHeight="false" outlineLevel="0" collapsed="false">
      <c r="A22" s="0" t="n">
        <v>16</v>
      </c>
      <c r="C22" s="0" t="n">
        <f aca="false">IFERROR(N(INDEX(Registro!$I$11:$I$40,MATCH($A22,Registro!$A$11:$A$40,0))),0)</f>
        <v>0</v>
      </c>
      <c r="D22" s="0" t="n">
        <f aca="false">IFERROR(N(INDEX(Registro!$O$11:$O$40,MATCH($A22,Registro!$A$11:$A$40,0))),0)</f>
        <v>0</v>
      </c>
      <c r="E22" s="0" t="n">
        <f aca="false">IFERROR(N(INDEX(Registro!$U$11:$U$40,MATCH($A22,Registro!$A$11:$A$40,0))),0)</f>
        <v>0</v>
      </c>
      <c r="F22" s="0" t="n">
        <f aca="false">IFERROR(N(INDEX(Registro!$AA$11:$AA$40,MATCH($A22,Registro!$A$11:$A$40,0))),0)</f>
        <v>0</v>
      </c>
      <c r="G22" s="0" t="n">
        <f aca="false">IFERROR(N(INDEX(Registro!$I$47:$I$76,MATCH($A22,Registro!$A$47:$A$76,0))),0)</f>
        <v>0</v>
      </c>
      <c r="H22" s="0" t="n">
        <f aca="false">IFERROR(N(INDEX(Registro!$O$47:$O$76,MATCH($A22,Registro!$A$47:$A$76,0))),0)</f>
        <v>0</v>
      </c>
      <c r="I22" s="0" t="n">
        <f aca="false">IFERROR(N(INDEX(Registro!$U$47:$U$76,MATCH($A22,Registro!$A$47:$A$76,0))),0)</f>
        <v>0</v>
      </c>
      <c r="J22" s="0" t="n">
        <f aca="false">IFERROR(N(INDEX(Registro!$AA$47:$AA$76,MATCH($A22,Registro!$A$47:$A$76,0))),0)</f>
        <v>0</v>
      </c>
      <c r="K22" s="0" t="n">
        <f aca="false">IFERROR(N(INDEX(Registro!$I$83:$I$112,MATCH($A22,Registro!$A$83:$A$112,0))),0)</f>
        <v>0</v>
      </c>
      <c r="L22" s="0" t="n">
        <f aca="false">IFERROR(N(INDEX(Registro!$O$83:$O$112,MATCH($A22,Registro!$A$83:$A$112,0))),0)</f>
        <v>0</v>
      </c>
      <c r="M22" s="0" t="n">
        <f aca="false">IFERROR(N(INDEX(Registro!$U$83:$U$112,MATCH($A22,Registro!$A$83:$A$112,0))),0)</f>
        <v>0</v>
      </c>
      <c r="N22" s="0" t="n">
        <f aca="false">IFERROR(N(INDEX(Registro!$AA$83:$AA$112,MATCH($A22,Registro!$A$83:$A$112,0))),0)</f>
        <v>0</v>
      </c>
      <c r="O22" s="0" t="n">
        <f aca="false">IFERROR(N(INDEX(Registro!$I$119:$I$148,MATCH($A22,Registro!$A$119:$A$148,0))),0)</f>
        <v>0</v>
      </c>
      <c r="P22" s="0" t="n">
        <f aca="false">IFERROR(N(INDEX(Registro!$O$119:$O$148,MATCH($A22,Registro!$A$119:$A$148,0))),0)</f>
        <v>0</v>
      </c>
      <c r="Q22" s="0" t="n">
        <f aca="false">IFERROR(N(INDEX(Registro!$U$119:$U$148,MATCH($A22,Registro!$A$119:$A$148,0))),0)</f>
        <v>0</v>
      </c>
      <c r="R22" s="0" t="n">
        <f aca="false">IFERROR(N(INDEX(Registro!$AA$119:$AA$148,MATCH($A22,Registro!$A$119:$A$148,0))),0)</f>
        <v>0</v>
      </c>
      <c r="S22" s="0" t="n">
        <f aca="false">IFERROR(N(INDEX(Registro!$I$155:$I$184,MATCH($A22,Registro!$A$155:$A$184,0))),0)</f>
        <v>0</v>
      </c>
      <c r="T22" s="0" t="n">
        <f aca="false">IFERROR(N(INDEX(Registro!$O$155:$O$184,MATCH($A22,Registro!$A$155:$A$184,0))),0)</f>
        <v>0</v>
      </c>
      <c r="U22" s="0" t="n">
        <f aca="false">IFERROR(N(INDEX(Registro!$U$155:$U$184,MATCH($A22,Registro!$A$155:$A$184,0))),0)</f>
        <v>0</v>
      </c>
      <c r="V22" s="0" t="n">
        <f aca="false">IFERROR(N(INDEX(Registro!$AA$155:$AA$184,MATCH($A22,Registro!$A$155:$A$184,0))),0)</f>
        <v>0</v>
      </c>
      <c r="W22" s="0" t="n">
        <f aca="false">IFERROR(N(INDEX(Registro!$I$191:$I$220,MATCH($A22,Registro!$A$191:$A$220,0))),0)</f>
        <v>0</v>
      </c>
      <c r="X22" s="0" t="n">
        <f aca="false">IFERROR(N(INDEX(Registro!$O$191:$O$220,MATCH($A22,Registro!$A$191:$A$220,0))),0)</f>
        <v>0</v>
      </c>
      <c r="Y22" s="0" t="n">
        <f aca="false">IFERROR(N(INDEX(Registro!$U$191:$U$220,MATCH($A22,Registro!$A$191:$A$220,0))),0)</f>
        <v>0</v>
      </c>
      <c r="Z22" s="0" t="n">
        <f aca="false">IFERROR(N(INDEX(Registro!$AA$191:$AA$220,MATCH($A22,Registro!$A$191:$A$220,0))),0)</f>
        <v>0</v>
      </c>
      <c r="AA22" s="0" t="n">
        <f aca="false">IFERROR(N(INDEX(Registro!$I$227:$I$256,MATCH($A22,Registro!$A$227:$A$256,0))),0)</f>
        <v>0</v>
      </c>
      <c r="AB22" s="0" t="n">
        <f aca="false">IFERROR(N(INDEX(Registro!$O$227:$O$256,MATCH($A22,Registro!$A$227:$A$256,0))),0)</f>
        <v>0</v>
      </c>
      <c r="AC22" s="0" t="n">
        <f aca="false">IFERROR(N(INDEX(Registro!$U$227:$U$256,MATCH($A22,Registro!$A$227:$A$256,0))),0)</f>
        <v>0</v>
      </c>
      <c r="AD22" s="0" t="n">
        <f aca="false">IFERROR(N(INDEX(Registro!$AA$227:$AA$256,MATCH($A22,Registro!$A$227:$A$256,0))),0)</f>
        <v>0</v>
      </c>
      <c r="AE22" s="0" t="n">
        <f aca="false">IFERROR(N(INDEX(Registro!$I$263:$I$292,MATCH($A22,Registro!$A$263:$A$292,0))),0)</f>
        <v>0</v>
      </c>
      <c r="AF22" s="0" t="n">
        <f aca="false">IFERROR(N(INDEX(Registro!$O$263:$O$292,MATCH($A22,Registro!$A$263:$A$292,0))),0)</f>
        <v>0</v>
      </c>
      <c r="AG22" s="0" t="n">
        <f aca="false">IFERROR(N(INDEX(Registro!$U$263:$U$292,MATCH($A22,Registro!$A$263:$A$292,0))),0)</f>
        <v>0</v>
      </c>
      <c r="AH22" s="0" t="n">
        <f aca="false">IFERROR(N(INDEX(Registro!$AA$263:$AA$292,MATCH($A22,Registro!$A$263:$A$292,0))),0)</f>
        <v>0</v>
      </c>
      <c r="AI22" s="0" t="n">
        <f aca="false">IFERROR(N(INDEX(Registro!$I$299:$I$328,MATCH($A22,Registro!$A$299:$A$328,0))),0)</f>
        <v>0</v>
      </c>
      <c r="AJ22" s="0" t="n">
        <f aca="false">IFERROR(N(INDEX(Registro!$O$299:$O$328,MATCH($A22,Registro!$A$299:$A$328,0))),0)</f>
        <v>0</v>
      </c>
      <c r="AK22" s="0" t="n">
        <f aca="false">IFERROR(N(INDEX(Registro!$U$299:$U$328,MATCH($A22,Registro!$A$299:$A$328,0))),0)</f>
        <v>0</v>
      </c>
      <c r="AL22" s="0" t="n">
        <f aca="false">IFERROR(N(INDEX(Registro!$AA$299:$AA$328,MATCH($A22,Registro!$A$299:$A$328,0))),0)</f>
        <v>0</v>
      </c>
      <c r="AM22" s="0" t="n">
        <f aca="false">IFERROR(N(INDEX(Registro!$I$335:$I$364,MATCH($A22,Registro!$A$335:$A$364,0))),0)</f>
        <v>0</v>
      </c>
      <c r="AN22" s="0" t="n">
        <f aca="false">IFERROR(N(INDEX(Registro!$O$335:$O$364,MATCH($A22,Registro!$A$335:$A$364,0))),0)</f>
        <v>0</v>
      </c>
      <c r="AO22" s="0" t="n">
        <f aca="false">IFERROR(N(INDEX(Registro!$U$335:$U$364,MATCH($A22,Registro!$A$335:$A$364,0))),0)</f>
        <v>0</v>
      </c>
      <c r="AP22" s="0" t="n">
        <f aca="false">IFERROR(N(INDEX(Registro!$AA$335:$AA$364,MATCH($A22,Registro!$A$335:$A$364,0))),0)</f>
        <v>0</v>
      </c>
      <c r="AQ22" s="0" t="n">
        <f aca="false">IFERROR(N(INDEX(Registro!$I$371:$I$400,MATCH($A22,Registro!$A$371:$A$400,0))),0)</f>
        <v>0</v>
      </c>
      <c r="AR22" s="0" t="n">
        <f aca="false">IFERROR(N(INDEX(Registro!$O$371:$O$400,MATCH($A22,Registro!$A$371:$A$400,0))),0)</f>
        <v>0</v>
      </c>
      <c r="AS22" s="0" t="n">
        <f aca="false">IFERROR(N(INDEX(Registro!$U$371:$U$400,MATCH($A22,Registro!$A$371:$A$400,0))),0)</f>
        <v>0</v>
      </c>
      <c r="AT22" s="0" t="n">
        <f aca="false">IFERROR(N(INDEX(Registro!$AA$371:$AA$400,MATCH($A22,Registro!$A$371:$A$400,0))),0)</f>
        <v>0</v>
      </c>
      <c r="AU22" s="0" t="n">
        <f aca="false">IFERROR(N(INDEX(Registro!$I$407:$I$436,MATCH($A22,Registro!$A$407:$A$436,0))),0)</f>
        <v>0</v>
      </c>
      <c r="AV22" s="0" t="n">
        <f aca="false">IFERROR(N(INDEX(Registro!$O$407:$O$436,MATCH($A22,Registro!$A$407:$A$436,0))),0)</f>
        <v>0</v>
      </c>
      <c r="AW22" s="0" t="n">
        <f aca="false">IFERROR(N(INDEX(Registro!$U$407:$U$436,MATCH($A22,Registro!$A$407:$A$436,0))),0)</f>
        <v>0</v>
      </c>
      <c r="AX22" s="0" t="n">
        <f aca="false">IFERROR(N(INDEX(Registro!$AA$407:$AA$436,MATCH($A22,Registro!$A$407:$A$436,0))),0)</f>
        <v>0</v>
      </c>
      <c r="AY22" s="0" t="n">
        <f aca="false">IFERROR(N(INDEX(Registro!$I$443:$I$472,MATCH($A22,Registro!$A$443:$A$472,0))),0)</f>
        <v>0</v>
      </c>
      <c r="AZ22" s="0" t="n">
        <f aca="false">IFERROR(N(INDEX(Registro!$O$443:$O$472,MATCH($A22,Registro!$A$443:$A$472,0))),0)</f>
        <v>0</v>
      </c>
      <c r="BA22" s="0" t="n">
        <f aca="false">IFERROR(N(INDEX(Registro!$U$443:$U$472,MATCH($A22,Registro!$A$443:$A$472,0))),0)</f>
        <v>0</v>
      </c>
      <c r="BB22" s="0" t="n">
        <f aca="false">IFERROR(N(INDEX(Registro!$AA$443:$AA$472,MATCH($A22,Registro!$A$443:$A$472,0))),0)</f>
        <v>0</v>
      </c>
      <c r="BC22" s="0" t="n">
        <f aca="false">IFERROR(N(INDEX(Registro!$I$479:$I$508,MATCH($A22,Registro!$A$479:$A$508,0))),0)</f>
        <v>0</v>
      </c>
      <c r="BD22" s="0" t="n">
        <f aca="false">IFERROR(N(INDEX(Registro!$O$479:$O$508,MATCH($A22,Registro!$A$479:$A$508,0))),0)</f>
        <v>0</v>
      </c>
      <c r="BE22" s="0" t="n">
        <f aca="false">IFERROR(N(INDEX(Registro!$U$479:$U$508,MATCH($A22,Registro!$A$479:$A$508,0))),0)</f>
        <v>0</v>
      </c>
      <c r="BF22" s="0" t="n">
        <f aca="false">IFERROR(N(INDEX(Registro!$AA$479:$AA$508,MATCH($A22,Registro!$A$479:$A$508,0))),0)</f>
        <v>0</v>
      </c>
      <c r="BG22" s="0" t="n">
        <f aca="false">IFERROR(N(INDEX(Registro!$I$515:$I$544,MATCH($A22,Registro!$A$515:$A$544,0))),0)</f>
        <v>0</v>
      </c>
      <c r="BH22" s="0" t="n">
        <f aca="false">IFERROR(N(INDEX(Registro!$O$515:$O$544,MATCH($A22,Registro!$A$515:$A$544,0))),0)</f>
        <v>0</v>
      </c>
      <c r="BI22" s="0" t="n">
        <f aca="false">IFERROR(N(INDEX(Registro!$U$515:$U$544,MATCH($A22,Registro!$A$515:$A$544,0))),0)</f>
        <v>0</v>
      </c>
      <c r="BJ22" s="0" t="n">
        <f aca="false">IFERROR(N(INDEX(Registro!$AA$515:$AA$544,MATCH($A22,Registro!$A$515:$A$544,0))),0)</f>
        <v>0</v>
      </c>
      <c r="BK22" s="0" t="n">
        <f aca="false">IFERROR(N(INDEX(Registro!$I$551:$I$580,MATCH($A22,Registro!$A$551:$A$580,0))),0)</f>
        <v>0</v>
      </c>
      <c r="BL22" s="0" t="n">
        <f aca="false">IFERROR(N(INDEX(Registro!$O$551:$O$580,MATCH($A22,Registro!$A$551:$A$580,0))),0)</f>
        <v>0</v>
      </c>
      <c r="BM22" s="0" t="n">
        <f aca="false">IFERROR(N(INDEX(Registro!$U$551:$U$580,MATCH($A22,Registro!$A$551:$A$580,0))),0)</f>
        <v>0</v>
      </c>
      <c r="BN22" s="0" t="n">
        <f aca="false">IFERROR(N(INDEX(Registro!$AA$551:$AA$580,MATCH($A22,Registro!$A$551:$A$580,0))),0)</f>
        <v>0</v>
      </c>
      <c r="BO22" s="0" t="n">
        <f aca="false">IFERROR(N(INDEX(Registro!$I$587:$I$616,MATCH($A22,Registro!$A$587:$A$616,0))),0)</f>
        <v>0</v>
      </c>
      <c r="BP22" s="0" t="n">
        <f aca="false">IFERROR(N(INDEX(Registro!$O$587:$O$616,MATCH($A22,Registro!$A$587:$A$616,0))),0)</f>
        <v>0</v>
      </c>
      <c r="BQ22" s="0" t="n">
        <f aca="false">IFERROR(N(INDEX(Registro!$U$587:$U$616,MATCH($A22,Registro!$A$587:$A$616,0))),0)</f>
        <v>0</v>
      </c>
      <c r="BR22" s="0" t="n">
        <f aca="false">IFERROR(N(INDEX(Registro!$AA$587:$AA$616,MATCH($A22,Registro!$A$587:$A$616,0))),0)</f>
        <v>0</v>
      </c>
      <c r="BS22" s="0" t="n">
        <f aca="false">IFERROR(N(INDEX(Registro!$I$623:$I$652,MATCH($A22,Registro!$A$623:$A$652,0))),0)</f>
        <v>0</v>
      </c>
      <c r="BT22" s="0" t="n">
        <f aca="false">IFERROR(N(INDEX(Registro!$O$623:$O$652,MATCH($A22,Registro!$A$623:$A$652,0))),0)</f>
        <v>0</v>
      </c>
      <c r="BU22" s="0" t="n">
        <f aca="false">IFERROR(N(INDEX(Registro!$U$623:$U$652,MATCH($A22,Registro!$A$623:$A$652,0))),0)</f>
        <v>0</v>
      </c>
      <c r="BV22" s="0" t="n">
        <f aca="false">IFERROR(N(INDEX(Registro!$AA$623:$AA$652,MATCH($A22,Registro!$A$623:$A$652,0))),0)</f>
        <v>0</v>
      </c>
      <c r="BW22" s="0" t="n">
        <f aca="false">IFERROR(N(INDEX(Registro!$I$659:$I$688,MATCH($A22,Registro!$A$659:$A$688,0))),0)</f>
        <v>0</v>
      </c>
      <c r="BX22" s="0" t="n">
        <f aca="false">IFERROR(N(INDEX(Registro!$O$659:$O$688,MATCH($A22,Registro!$A$659:$A$688,0))),0)</f>
        <v>0</v>
      </c>
      <c r="BY22" s="0" t="n">
        <f aca="false">IFERROR(N(INDEX(Registro!$U$659:$U$688,MATCH($A22,Registro!$A$659:$A$688,0))),0)</f>
        <v>0</v>
      </c>
      <c r="BZ22" s="0" t="n">
        <f aca="false">IFERROR(N(INDEX(Registro!$AA$659:$AA$688,MATCH($A22,Registro!$A$659:$A$688,0))),0)</f>
        <v>0</v>
      </c>
      <c r="CA22" s="0" t="n">
        <f aca="false">IFERROR(N(INDEX(Registro!$I$695:$I$724,MATCH($A22,Registro!$A$695:$A$724,0))),0)</f>
        <v>0</v>
      </c>
      <c r="CB22" s="0" t="n">
        <f aca="false">IFERROR(N(INDEX(Registro!$O$695:$O$724,MATCH($A22,Registro!$A$695:$A$724,0))),0)</f>
        <v>0</v>
      </c>
      <c r="CC22" s="0" t="n">
        <f aca="false">IFERROR(N(INDEX(Registro!$U$695:$U$724,MATCH($A22,Registro!$A$695:$A$724,0))),0)</f>
        <v>0</v>
      </c>
      <c r="CD22" s="0" t="n">
        <f aca="false">IFERROR(N(INDEX(Registro!$AA$695:$AA$724,MATCH($A22,Registro!$A$695:$A$724,0))),0)</f>
        <v>0</v>
      </c>
      <c r="CE22" s="0" t="n">
        <f aca="false">IFERROR(IF(ISNUMBER(INDEX(Registro!$I$11:$I$40,MATCH($A22,Registro!$A$11:$A$40,0))),CE$5,0),0)</f>
        <v>0</v>
      </c>
      <c r="CF22" s="0" t="n">
        <f aca="false">IFERROR(IF(ISNUMBER(INDEX(Registro!$O$11:$O$40,MATCH($A22,Registro!$A$11:$A$40,0))),CF$5,0),0)</f>
        <v>0</v>
      </c>
      <c r="CG22" s="0" t="n">
        <f aca="false">IFERROR(IF(ISNUMBER(INDEX(Registro!$U$11:$U$40,MATCH($A22,Registro!$A$11:$A$40,0))),CG$5,0),0)</f>
        <v>0</v>
      </c>
      <c r="CH22" s="0" t="n">
        <f aca="false">IFERROR(IF(ISNUMBER(INDEX(Registro!$AA$11:$AA$40,MATCH($A22,Registro!$A$11:$A$40,0))),CH$5,0),0)</f>
        <v>0</v>
      </c>
      <c r="CI22" s="0" t="n">
        <f aca="false">IFERROR(IF(ISNUMBER(INDEX(Registro!$I$47:$I$76,MATCH($A22,Registro!$A$47:$A$76,0))),CI$5,0),0)</f>
        <v>0</v>
      </c>
      <c r="CJ22" s="0" t="n">
        <f aca="false">IFERROR(IF(ISNUMBER(INDEX(Registro!$O$47:$O$76,MATCH($A22,Registro!$A$47:$A$76,0))),CJ$5,0),0)</f>
        <v>0</v>
      </c>
      <c r="CK22" s="0" t="n">
        <f aca="false">IFERROR(IF(ISNUMBER(INDEX(Registro!$U$47:$U$76,MATCH($A22,Registro!$A$47:$A$76,0))),CK$5,0),0)</f>
        <v>0</v>
      </c>
      <c r="CL22" s="0" t="n">
        <f aca="false">IFERROR(IF(ISNUMBER(INDEX(Registro!$AA$47:$AA$76,MATCH($A22,Registro!$A$47:$A$76,0))),CL$5,0),0)</f>
        <v>0</v>
      </c>
      <c r="CM22" s="0" t="n">
        <f aca="false">IFERROR(IF(ISNUMBER(INDEX(Registro!$I$83:$I$112,MATCH($A22,Registro!$A$83:$A$112,0))),CM$5,0),0)</f>
        <v>0</v>
      </c>
      <c r="CN22" s="0" t="n">
        <f aca="false">IFERROR(IF(ISNUMBER(INDEX(Registro!$O$83:$O$112,MATCH($A22,Registro!$A$83:$A$112,0))),CN$5,0),0)</f>
        <v>0</v>
      </c>
      <c r="CO22" s="0" t="n">
        <f aca="false">IFERROR(IF(ISNUMBER(INDEX(Registro!$U$83:$U$112,MATCH($A22,Registro!$A$83:$A$112,0))),CO$5,0),0)</f>
        <v>0</v>
      </c>
      <c r="CP22" s="0" t="n">
        <f aca="false">IFERROR(IF(ISNUMBER(INDEX(Registro!$AA$83:$AA$112,MATCH($A22,Registro!$A$83:$A$112,0))),CP$5,0),0)</f>
        <v>0</v>
      </c>
      <c r="CQ22" s="0" t="n">
        <f aca="false">IFERROR(IF(ISNUMBER(INDEX(Registro!$I$119:$I$148,MATCH($A22,Registro!$A$119:$A$148,0))),CQ$5,0),0)</f>
        <v>0</v>
      </c>
      <c r="CR22" s="0" t="n">
        <f aca="false">IFERROR(IF(ISNUMBER(INDEX(Registro!$O$119:$O$148,MATCH($A22,Registro!$A$119:$A$148,0))),CR$5,0),0)</f>
        <v>0</v>
      </c>
      <c r="CS22" s="0" t="n">
        <f aca="false">IFERROR(IF(ISNUMBER(INDEX(Registro!$U$119:$U$148,MATCH($A22,Registro!$A$119:$A$148,0))),CS$5,0),0)</f>
        <v>0</v>
      </c>
      <c r="CT22" s="0" t="n">
        <f aca="false">IFERROR(IF(ISNUMBER(INDEX(Registro!$AA$119:$AA$148,MATCH($A22,Registro!$A$119:$A$148,0))),CT$5,0),0)</f>
        <v>0</v>
      </c>
      <c r="CU22" s="0" t="n">
        <f aca="false">IFERROR(IF(ISNUMBER(INDEX(Registro!$I$155:$I$184,MATCH($A22,Registro!$A$155:$A$184,0))),CU$5,0),0)</f>
        <v>0</v>
      </c>
      <c r="CV22" s="0" t="n">
        <f aca="false">IFERROR(IF(ISNUMBER(INDEX(Registro!$O$155:$O$184,MATCH($A22,Registro!$A$155:$A$184,0))),CV$5,0),0)</f>
        <v>0</v>
      </c>
      <c r="CW22" s="0" t="n">
        <f aca="false">IFERROR(IF(ISNUMBER(INDEX(Registro!$U$155:$U$184,MATCH($A22,Registro!$A$155:$A$184,0))),CW$5,0),0)</f>
        <v>0</v>
      </c>
      <c r="CX22" s="0" t="n">
        <f aca="false">IFERROR(IF(ISNUMBER(INDEX(Registro!$AA$155:$AA$184,MATCH($A22,Registro!$A$155:$A$184,0))),CX$5,0),0)</f>
        <v>0</v>
      </c>
      <c r="CY22" s="0" t="n">
        <f aca="false">IFERROR(IF(ISNUMBER(INDEX(Registro!$I$191:$I$220,MATCH($A22,Registro!$A$191:$A$220,0))),CY$5,0),0)</f>
        <v>0</v>
      </c>
      <c r="CZ22" s="0" t="n">
        <f aca="false">IFERROR(IF(ISNUMBER(INDEX(Registro!$O$191:$O$220,MATCH($A22,Registro!$A$191:$A$220,0))),CZ$5,0),0)</f>
        <v>0</v>
      </c>
      <c r="DA22" s="0" t="n">
        <f aca="false">IFERROR(IF(ISNUMBER(INDEX(Registro!$U$191:$U$220,MATCH($A22,Registro!$A$191:$A$220,0))),DA$5,0),0)</f>
        <v>0</v>
      </c>
      <c r="DB22" s="0" t="n">
        <f aca="false">IFERROR(IF(ISNUMBER(INDEX(Registro!$AA$191:$AA$220,MATCH($A22,Registro!$A$191:$A$220,0))),DB$5,0),0)</f>
        <v>0</v>
      </c>
      <c r="DC22" s="0" t="n">
        <f aca="false">IFERROR(IF(ISNUMBER(INDEX(Registro!$I$227:$I$256,MATCH($A22,Registro!$A$227:$A$256,0))),DC$5,0),0)</f>
        <v>0</v>
      </c>
      <c r="DD22" s="0" t="n">
        <f aca="false">IFERROR(IF(ISNUMBER(INDEX(Registro!$O$227:$O$256,MATCH($A22,Registro!$A$227:$A$256,0))),DD$5,0),0)</f>
        <v>0</v>
      </c>
      <c r="DE22" s="0" t="n">
        <f aca="false">IFERROR(IF(ISNUMBER(INDEX(Registro!$U$227:$U$256,MATCH($A22,Registro!$A$227:$A$256,0))),DE$5,0),0)</f>
        <v>0</v>
      </c>
      <c r="DF22" s="0" t="n">
        <f aca="false">IFERROR(IF(ISNUMBER(INDEX(Registro!$AA$227:$AA$256,MATCH($A22,Registro!$A$227:$A$256,0))),DF$5,0),0)</f>
        <v>0</v>
      </c>
      <c r="DG22" s="0" t="n">
        <f aca="false">IFERROR(IF(ISNUMBER(INDEX(Registro!$I$263:$I$292,MATCH($A22,Registro!$A$263:$A$292,0))),DG$5,0),0)</f>
        <v>0</v>
      </c>
      <c r="DH22" s="0" t="n">
        <f aca="false">IFERROR(IF(ISNUMBER(INDEX(Registro!$O$263:$O$292,MATCH($A22,Registro!$A$263:$A$292,0))),DH$5,0),0)</f>
        <v>0</v>
      </c>
      <c r="DI22" s="0" t="n">
        <f aca="false">IFERROR(IF(ISNUMBER(INDEX(Registro!$U$263:$U$292,MATCH($A22,Registro!$A$263:$A$292,0))),DI$5,0),0)</f>
        <v>0</v>
      </c>
      <c r="DJ22" s="0" t="n">
        <f aca="false">IFERROR(IF(ISNUMBER(INDEX(Registro!$AA$263:$AA$292,MATCH($A22,Registro!$A$263:$A$292,0))),DJ$5,0),0)</f>
        <v>0</v>
      </c>
      <c r="DK22" s="0" t="n">
        <f aca="false">IFERROR(IF(ISNUMBER(INDEX(Registro!$I$299:$I$328,MATCH($A22,Registro!$A$299:$A$328,0))),DK$5,0),0)</f>
        <v>0</v>
      </c>
      <c r="DL22" s="0" t="n">
        <f aca="false">IFERROR(IF(ISNUMBER(INDEX(Registro!$O$299:$O$328,MATCH($A22,Registro!$A$299:$A$328,0))),DL$5,0),0)</f>
        <v>0</v>
      </c>
      <c r="DM22" s="0" t="n">
        <f aca="false">IFERROR(IF(ISNUMBER(INDEX(Registro!$U$299:$U$328,MATCH($A22,Registro!$A$299:$A$328,0))),DM$5,0),0)</f>
        <v>0</v>
      </c>
      <c r="DN22" s="0" t="n">
        <f aca="false">IFERROR(IF(ISNUMBER(INDEX(Registro!$AA$299:$AA$328,MATCH($A22,Registro!$A$299:$A$328,0))),DN$5,0),0)</f>
        <v>0</v>
      </c>
      <c r="DO22" s="0" t="n">
        <f aca="false">IFERROR(IF(ISNUMBER(INDEX(Registro!$I$335:$I$364,MATCH($A22,Registro!$A$335:$A$364,0))),DO$5,0),0)</f>
        <v>0</v>
      </c>
      <c r="DP22" s="0" t="n">
        <f aca="false">IFERROR(IF(ISNUMBER(INDEX(Registro!$O$335:$O$364,MATCH($A22,Registro!$A$335:$A$364,0))),DP$5,0),0)</f>
        <v>0</v>
      </c>
      <c r="DQ22" s="0" t="n">
        <f aca="false">IFERROR(IF(ISNUMBER(INDEX(Registro!$U$335:$U$364,MATCH($A22,Registro!$A$335:$A$364,0))),DQ$5,0),0)</f>
        <v>0</v>
      </c>
      <c r="DR22" s="0" t="n">
        <f aca="false">IFERROR(IF(ISNUMBER(INDEX(Registro!$AA$335:$AA$364,MATCH($A22,Registro!$A$335:$A$364,0))),DR$5,0),0)</f>
        <v>0</v>
      </c>
      <c r="DS22" s="0" t="n">
        <f aca="false">IFERROR(IF(ISNUMBER(INDEX(Registro!$I$371:$I$400,MATCH($A22,Registro!$A$371:$A$400,0))),DS$5,0),0)</f>
        <v>0</v>
      </c>
      <c r="DT22" s="0" t="n">
        <f aca="false">IFERROR(IF(ISNUMBER(INDEX(Registro!$O$371:$O$400,MATCH($A22,Registro!$A$371:$A$400,0))),DT$5,0),0)</f>
        <v>0</v>
      </c>
      <c r="DU22" s="0" t="n">
        <f aca="false">IFERROR(IF(ISNUMBER(INDEX(Registro!$U$371:$U$400,MATCH($A22,Registro!$A$371:$A$400,0))),DU$5,0),0)</f>
        <v>0</v>
      </c>
      <c r="DV22" s="0" t="n">
        <f aca="false">IFERROR(IF(ISNUMBER(INDEX(Registro!$AA$371:$AA$400,MATCH($A22,Registro!$A$371:$A$400,0))),DV$5,0),0)</f>
        <v>0</v>
      </c>
      <c r="DW22" s="0" t="n">
        <f aca="false">IFERROR(IF(ISNUMBER(INDEX(Registro!$I$407:$I$436,MATCH($A22,Registro!$A$407:$A$436,0))),DW$5,0),0)</f>
        <v>0</v>
      </c>
      <c r="DX22" s="0" t="n">
        <f aca="false">IFERROR(IF(ISNUMBER(INDEX(Registro!$O$407:$O$436,MATCH($A22,Registro!$A$407:$A$436,0))),DX$5,0),0)</f>
        <v>0</v>
      </c>
      <c r="DY22" s="0" t="n">
        <f aca="false">IFERROR(IF(ISNUMBER(INDEX(Registro!$U$407:$U$436,MATCH($A22,Registro!$A$407:$A$436,0))),DY$5,0),0)</f>
        <v>0</v>
      </c>
      <c r="DZ22" s="0" t="n">
        <f aca="false">IFERROR(IF(ISNUMBER(INDEX(Registro!$AA$407:$AA$436,MATCH($A22,Registro!$A$407:$A$436,0))),DZ$5,0),0)</f>
        <v>0</v>
      </c>
      <c r="EA22" s="0" t="n">
        <f aca="false">IFERROR(IF(ISNUMBER(INDEX(Registro!$I$443:$I$472,MATCH($A22,Registro!$A$443:$A$472,0))),EA$5,0),0)</f>
        <v>0</v>
      </c>
      <c r="EB22" s="0" t="n">
        <f aca="false">IFERROR(IF(ISNUMBER(INDEX(Registro!$O$443:$O$472,MATCH($A22,Registro!$A$443:$A$472,0))),EB$5,0),0)</f>
        <v>0</v>
      </c>
      <c r="EC22" s="0" t="n">
        <f aca="false">IFERROR(IF(ISNUMBER(INDEX(Registro!$U$443:$U$472,MATCH($A22,Registro!$A$443:$A$472,0))),EC$5,0),0)</f>
        <v>0</v>
      </c>
      <c r="ED22" s="0" t="n">
        <f aca="false">IFERROR(IF(ISNUMBER(INDEX(Registro!$AA$443:$AA$472,MATCH($A22,Registro!$A$443:$A$472,0))),ED$5,0),0)</f>
        <v>0</v>
      </c>
      <c r="EE22" s="0" t="n">
        <f aca="false">IFERROR(IF(ISNUMBER(INDEX(Registro!$I$479:$I$508,MATCH($A22,Registro!$A$479:$A$508,0))),EE$5,0),0)</f>
        <v>0</v>
      </c>
      <c r="EF22" s="0" t="n">
        <f aca="false">IFERROR(IF(ISNUMBER(INDEX(Registro!$O$479:$O$508,MATCH($A22,Registro!$A$479:$A$508,0))),EF$5,0),0)</f>
        <v>0</v>
      </c>
      <c r="EG22" s="0" t="n">
        <f aca="false">IFERROR(IF(ISNUMBER(INDEX(Registro!$U$479:$U$508,MATCH($A22,Registro!$A$479:$A$508,0))),EG$5,0),0)</f>
        <v>0</v>
      </c>
      <c r="EH22" s="0" t="n">
        <f aca="false">IFERROR(IF(ISNUMBER(INDEX(Registro!$AA$479:$AA$508,MATCH($A22,Registro!$A$479:$A$508,0))),EH$5,0),0)</f>
        <v>0</v>
      </c>
      <c r="EI22" s="0" t="n">
        <f aca="false">IFERROR(IF(ISNUMBER(INDEX(Registro!$I$515:$I$544,MATCH($A22,Registro!$A$515:$A$544,0))),EI$5,0),0)</f>
        <v>0</v>
      </c>
      <c r="EJ22" s="0" t="n">
        <f aca="false">IFERROR(IF(ISNUMBER(INDEX(Registro!$O$515:$O$544,MATCH($A22,Registro!$A$515:$A$544,0))),EJ$5,0),0)</f>
        <v>0</v>
      </c>
      <c r="EK22" s="0" t="n">
        <f aca="false">IFERROR(IF(ISNUMBER(INDEX(Registro!$U$515:$U$544,MATCH($A22,Registro!$A$515:$A$544,0))),EK$5,0),0)</f>
        <v>0</v>
      </c>
      <c r="EL22" s="0" t="n">
        <f aca="false">IFERROR(IF(ISNUMBER(INDEX(Registro!$AA$515:$AA$544,MATCH($A22,Registro!$A$515:$A$544,0))),EL$5,0),0)</f>
        <v>0</v>
      </c>
      <c r="EM22" s="0" t="n">
        <f aca="false">IFERROR(IF(ISNUMBER(INDEX(Registro!$I$551:$I$580,MATCH($A22,Registro!$A$551:$A$580,0))),EM$5,0),0)</f>
        <v>0</v>
      </c>
      <c r="EN22" s="0" t="n">
        <f aca="false">IFERROR(IF(ISNUMBER(INDEX(Registro!$O$551:$O$580,MATCH($A22,Registro!$A$551:$A$580,0))),EN$5,0),0)</f>
        <v>0</v>
      </c>
      <c r="EO22" s="0" t="n">
        <f aca="false">IFERROR(IF(ISNUMBER(INDEX(Registro!$U$551:$U$580,MATCH($A22,Registro!$A$551:$A$580,0))),EO$5,0),0)</f>
        <v>0</v>
      </c>
      <c r="EP22" s="0" t="n">
        <f aca="false">IFERROR(IF(ISNUMBER(INDEX(Registro!$AA$551:$AA$580,MATCH($A22,Registro!$A$551:$A$580,0))),EP$5,0),0)</f>
        <v>0</v>
      </c>
      <c r="EQ22" s="0" t="n">
        <f aca="false">IFERROR(IF(ISNUMBER(INDEX(Registro!$I$587:$I$616,MATCH($A22,Registro!$A$587:$A$616,0))),EQ$5,0),0)</f>
        <v>0</v>
      </c>
      <c r="ER22" s="0" t="n">
        <f aca="false">IFERROR(IF(ISNUMBER(INDEX(Registro!$O$587:$O$616,MATCH($A22,Registro!$A$587:$A$616,0))),ER$5,0),0)</f>
        <v>0</v>
      </c>
      <c r="ES22" s="0" t="n">
        <f aca="false">IFERROR(IF(ISNUMBER(INDEX(Registro!$U$587:$U$616,MATCH($A22,Registro!$A$587:$A$616,0))),ES$5,0),0)</f>
        <v>0</v>
      </c>
      <c r="ET22" s="0" t="n">
        <f aca="false">IFERROR(IF(ISNUMBER(INDEX(Registro!$AA$587:$AA$616,MATCH($A22,Registro!$A$587:$A$616,0))),ET$5,0),0)</f>
        <v>0</v>
      </c>
      <c r="EU22" s="0" t="n">
        <f aca="false">IFERROR(IF(ISNUMBER(INDEX(Registro!$I$623:$I$652,MATCH($A22,Registro!$A$623:$A$652,0))),EU$5,0),0)</f>
        <v>0</v>
      </c>
      <c r="EV22" s="0" t="n">
        <f aca="false">IFERROR(IF(ISNUMBER(INDEX(Registro!$O$623:$O$652,MATCH($A22,Registro!$A$623:$A$652,0))),EV$5,0),0)</f>
        <v>0</v>
      </c>
      <c r="EW22" s="0" t="n">
        <f aca="false">IFERROR(IF(ISNUMBER(INDEX(Registro!$U$623:$U$652,MATCH($A22,Registro!$A$623:$A$652,0))),EW$5,0),0)</f>
        <v>0</v>
      </c>
      <c r="EX22" s="0" t="n">
        <f aca="false">IFERROR(IF(ISNUMBER(INDEX(Registro!$AA$623:$AA$652,MATCH($A22,Registro!$A$623:$A$652,0))),EX$5,0),0)</f>
        <v>0</v>
      </c>
      <c r="EY22" s="0" t="n">
        <f aca="false">IFERROR(IF(ISNUMBER(INDEX(Registro!$I$659:$I$688,MATCH($A22,Registro!$A$659:$A$688,0))),EY$5,0),0)</f>
        <v>0</v>
      </c>
      <c r="EZ22" s="0" t="n">
        <f aca="false">IFERROR(IF(ISNUMBER(INDEX(Registro!$O$659:$O$688,MATCH($A22,Registro!$A$659:$A$688,0))),EZ$5,0),0)</f>
        <v>0</v>
      </c>
      <c r="FA22" s="0" t="n">
        <f aca="false">IFERROR(IF(ISNUMBER(INDEX(Registro!$U$659:$U$688,MATCH($A22,Registro!$A$659:$A$688,0))),FA$5,0),0)</f>
        <v>0</v>
      </c>
      <c r="FB22" s="0" t="n">
        <f aca="false">IFERROR(IF(ISNUMBER(INDEX(Registro!$AA$659:$AA$688,MATCH($A22,Registro!$A$659:$A$688,0))),FB$5,0),0)</f>
        <v>0</v>
      </c>
      <c r="FC22" s="0" t="n">
        <f aca="false">IFERROR(IF(ISNUMBER(INDEX(Registro!$I$695:$I$724,MATCH($A22,Registro!$A$695:$A$724,0))),FC$5,0),0)</f>
        <v>0</v>
      </c>
      <c r="FD22" s="0" t="n">
        <f aca="false">IFERROR(IF(ISNUMBER(INDEX(Registro!$O$695:$O$724,MATCH($A22,Registro!$A$695:$A$724,0))),FD$5,0),0)</f>
        <v>0</v>
      </c>
      <c r="FE22" s="0" t="n">
        <f aca="false">IFERROR(IF(ISNUMBER(INDEX(Registro!$U$695:$U$724,MATCH($A22,Registro!$A$695:$A$724,0))),FE$5,0),0)</f>
        <v>0</v>
      </c>
      <c r="FF22" s="0" t="n">
        <f aca="false">IFERROR(IF(ISNUMBER(INDEX(Registro!$AA$695:$AA$724,MATCH($A22,Registro!$A$695:$A$724,0))),FF$5,0),0)</f>
        <v>0</v>
      </c>
      <c r="FG22" s="0" t="n">
        <f aca="false">IFERROR(IF(AND(INDEX(Registro!$C$11:$C$40,MATCH($A22,Registro!$A$11:$A$40,0))="AS",INDEX(Registro!$D$11:$D$40,MATCH($A22,Registro!$A$11:$A$40,0))&amp;""=""),1,0),0)</f>
        <v>0</v>
      </c>
      <c r="FH22" s="0" t="n">
        <f aca="false">IFERROR(IF(AND(INDEX(Registro!$C$47:$C$76,MATCH($A22,Registro!$A$47:$A$76,0))="AS",INDEX(Registro!$D$47:$D$76,MATCH($A22,Registro!$A$47:$A$76,0))&amp;""=""),1,0),0)</f>
        <v>0</v>
      </c>
      <c r="FI22" s="0" t="n">
        <f aca="false">IFERROR(IF(AND(INDEX(Registro!$C$83:$C$112,MATCH($A22,Registro!$A$83:$A$112,0))="AS",INDEX(Registro!$D$83:$D$112,MATCH($A22,Registro!$A$83:$A$112,0))&amp;""=""),1,0),0)</f>
        <v>0</v>
      </c>
      <c r="FJ22" s="0" t="n">
        <f aca="false">IFERROR(IF(AND(INDEX(Registro!$C$119:$C$148,MATCH($A22,Registro!$A$119:$A$148,0))="AS",INDEX(Registro!$D$119:$D$148,MATCH($A22,Registro!$A$119:$A$148,0))&amp;""=""),1,0),0)</f>
        <v>0</v>
      </c>
      <c r="FK22" s="0" t="n">
        <f aca="false">IFERROR(IF(AND(INDEX(Registro!$C$155:$C$184,MATCH($A22,Registro!$A$155:$A$184,0))="AS",INDEX(Registro!$D$155:$D$184,MATCH($A22,Registro!$A$155:$A$184,0))&amp;""=""),1,0),0)</f>
        <v>0</v>
      </c>
      <c r="FL22" s="0" t="n">
        <f aca="false">IFERROR(IF(AND(INDEX(Registro!$C$191:$C$220,MATCH($A22,Registro!$A$191:$A$220,0))="AS",INDEX(Registro!$D$191:$D$220,MATCH($A22,Registro!$A$191:$A$220,0))&amp;""=""),1,0),0)</f>
        <v>0</v>
      </c>
      <c r="FM22" s="0" t="n">
        <f aca="false">IFERROR(IF(AND(INDEX(Registro!$C$227:$C$256,MATCH($A22,Registro!$A$227:$A$256,0))="AS",INDEX(Registro!$D$227:$D$256,MATCH($A22,Registro!$A$227:$A$256,0))&amp;""=""),1,0),0)</f>
        <v>0</v>
      </c>
      <c r="FN22" s="0" t="n">
        <f aca="false">IFERROR(IF(AND(INDEX(Registro!$C$263:$C$292,MATCH($A22,Registro!$A$263:$A$292,0))="AS",INDEX(Registro!$D$263:$D$292,MATCH($A22,Registro!$A$263:$A$292,0))&amp;""=""),1,0),0)</f>
        <v>0</v>
      </c>
      <c r="FO22" s="0" t="n">
        <f aca="false">IFERROR(IF(AND(INDEX(Registro!$C$299:$C$328,MATCH($A22,Registro!$A$299:$A$328,0))="AS",INDEX(Registro!$D$299:$D$328,MATCH($A22,Registro!$A$299:$A$328,0))&amp;""=""),1,0),0)</f>
        <v>0</v>
      </c>
      <c r="FP22" s="0" t="n">
        <f aca="false">IFERROR(IF(AND(INDEX(Registro!$C$335:$C$364,MATCH($A22,Registro!$A$335:$A$364,0))="AS",INDEX(Registro!$D$335:$D$364,MATCH($A22,Registro!$A$335:$A$364,0))&amp;""=""),1,0),0)</f>
        <v>0</v>
      </c>
      <c r="FQ22" s="0" t="n">
        <f aca="false">IFERROR(IF(AND(INDEX(Registro!$C$371:$C$400,MATCH($A22,Registro!$A$371:$A$400,0))="AS",INDEX(Registro!$D$371:$D$400,MATCH($A22,Registro!$A$371:$A$400,0))&amp;""=""),1,0),0)</f>
        <v>0</v>
      </c>
      <c r="FR22" s="0" t="n">
        <f aca="false">IFERROR(IF(AND(INDEX(Registro!$C$407:$C$436,MATCH($A22,Registro!$A$407:$A$436,0))="AS",INDEX(Registro!$D$407:$D$436,MATCH($A22,Registro!$A$407:$A$436,0))&amp;""=""),1,0),0)</f>
        <v>0</v>
      </c>
      <c r="FS22" s="0" t="n">
        <f aca="false">IFERROR(IF(AND(INDEX(Registro!$C$443:$C$472,MATCH($A22,Registro!$A$443:$A$472,0))="AS",INDEX(Registro!$D$443:$D$472,MATCH($A22,Registro!$A$443:$A$472,0))&amp;""=""),1,0),0)</f>
        <v>0</v>
      </c>
      <c r="FT22" s="0" t="n">
        <f aca="false">IFERROR(IF(AND(INDEX(Registro!$C$479:$C$508,MATCH($A22,Registro!$A$479:$A$508,0))="AS",INDEX(Registro!$D$479:$D$508,MATCH($A22,Registro!$A$479:$A$508,0))&amp;""=""),1,0),0)</f>
        <v>0</v>
      </c>
      <c r="FU22" s="0" t="n">
        <f aca="false">IFERROR(IF(AND(INDEX(Registro!$C$515:$C$544,MATCH($A22,Registro!$A$515:$A$544,0))="AS",INDEX(Registro!$D$515:$D$544,MATCH($A22,Registro!$A$515:$A$544,0))&amp;""=""),1,0),0)</f>
        <v>0</v>
      </c>
      <c r="FV22" s="0" t="n">
        <f aca="false">IFERROR(IF(AND(INDEX(Registro!$C$551:$C$580,MATCH($A22,Registro!$A$551:$A$580,0))="AS",INDEX(Registro!$D$551:$D$580,MATCH($A22,Registro!$A$551:$A$580,0))&amp;""=""),1,0),0)</f>
        <v>0</v>
      </c>
      <c r="FW22" s="0" t="n">
        <f aca="false">IFERROR(IF(AND(INDEX(Registro!$C$587:$C$616,MATCH($A22,Registro!$A$587:$A$616,0))="AS",INDEX(Registro!$D$587:$D$616,MATCH($A22,Registro!$A$587:$A$616,0))&amp;""=""),1,0),0)</f>
        <v>0</v>
      </c>
      <c r="FX22" s="0" t="n">
        <f aca="false">IFERROR(IF(AND(INDEX(Registro!$C$623:$C$652,MATCH($A22,Registro!$A$623:$A$652,0))="AS",INDEX(Registro!$D$623:$D$652,MATCH($A22,Registro!$A$623:$A$652,0))&amp;""=""),1,0),0)</f>
        <v>0</v>
      </c>
      <c r="FY22" s="0" t="n">
        <f aca="false">IFERROR(IF(AND(INDEX(Registro!$C$659:$C$688,MATCH($A22,Registro!$A$659:$A$688,0))="AS",INDEX(Registro!$D$659:$D$688,MATCH($A22,Registro!$A$659:$A$688,0))&amp;""=""),1,0),0)</f>
        <v>0</v>
      </c>
      <c r="FZ22" s="0" t="n">
        <f aca="false">IFERROR(IF(AND(INDEX(Registro!$C$695:$C$724,MATCH($A22,Registro!$A$695:$A$724,0))="AS",INDEX(Registro!$D$695:$D$724,MATCH($A22,Registro!$A$695:$A$724,0))&amp;""=""),1,0),0)</f>
        <v>0</v>
      </c>
    </row>
    <row r="23" customFormat="false" ht="15" hidden="false" customHeight="false" outlineLevel="0" collapsed="false">
      <c r="A23" s="0" t="n">
        <v>17</v>
      </c>
      <c r="C23" s="0" t="n">
        <f aca="false">IFERROR(N(INDEX(Registro!$I$11:$I$40,MATCH($A23,Registro!$A$11:$A$40,0))),0)</f>
        <v>0</v>
      </c>
      <c r="D23" s="0" t="n">
        <f aca="false">IFERROR(N(INDEX(Registro!$O$11:$O$40,MATCH($A23,Registro!$A$11:$A$40,0))),0)</f>
        <v>0</v>
      </c>
      <c r="E23" s="0" t="n">
        <f aca="false">IFERROR(N(INDEX(Registro!$U$11:$U$40,MATCH($A23,Registro!$A$11:$A$40,0))),0)</f>
        <v>0</v>
      </c>
      <c r="F23" s="0" t="n">
        <f aca="false">IFERROR(N(INDEX(Registro!$AA$11:$AA$40,MATCH($A23,Registro!$A$11:$A$40,0))),0)</f>
        <v>0</v>
      </c>
      <c r="G23" s="0" t="n">
        <f aca="false">IFERROR(N(INDEX(Registro!$I$47:$I$76,MATCH($A23,Registro!$A$47:$A$76,0))),0)</f>
        <v>0</v>
      </c>
      <c r="H23" s="0" t="n">
        <f aca="false">IFERROR(N(INDEX(Registro!$O$47:$O$76,MATCH($A23,Registro!$A$47:$A$76,0))),0)</f>
        <v>0</v>
      </c>
      <c r="I23" s="0" t="n">
        <f aca="false">IFERROR(N(INDEX(Registro!$U$47:$U$76,MATCH($A23,Registro!$A$47:$A$76,0))),0)</f>
        <v>0</v>
      </c>
      <c r="J23" s="0" t="n">
        <f aca="false">IFERROR(N(INDEX(Registro!$AA$47:$AA$76,MATCH($A23,Registro!$A$47:$A$76,0))),0)</f>
        <v>0</v>
      </c>
      <c r="K23" s="0" t="n">
        <f aca="false">IFERROR(N(INDEX(Registro!$I$83:$I$112,MATCH($A23,Registro!$A$83:$A$112,0))),0)</f>
        <v>0</v>
      </c>
      <c r="L23" s="0" t="n">
        <f aca="false">IFERROR(N(INDEX(Registro!$O$83:$O$112,MATCH($A23,Registro!$A$83:$A$112,0))),0)</f>
        <v>0</v>
      </c>
      <c r="M23" s="0" t="n">
        <f aca="false">IFERROR(N(INDEX(Registro!$U$83:$U$112,MATCH($A23,Registro!$A$83:$A$112,0))),0)</f>
        <v>0</v>
      </c>
      <c r="N23" s="0" t="n">
        <f aca="false">IFERROR(N(INDEX(Registro!$AA$83:$AA$112,MATCH($A23,Registro!$A$83:$A$112,0))),0)</f>
        <v>0</v>
      </c>
      <c r="O23" s="0" t="n">
        <f aca="false">IFERROR(N(INDEX(Registro!$I$119:$I$148,MATCH($A23,Registro!$A$119:$A$148,0))),0)</f>
        <v>0</v>
      </c>
      <c r="P23" s="0" t="n">
        <f aca="false">IFERROR(N(INDEX(Registro!$O$119:$O$148,MATCH($A23,Registro!$A$119:$A$148,0))),0)</f>
        <v>0</v>
      </c>
      <c r="Q23" s="0" t="n">
        <f aca="false">IFERROR(N(INDEX(Registro!$U$119:$U$148,MATCH($A23,Registro!$A$119:$A$148,0))),0)</f>
        <v>0</v>
      </c>
      <c r="R23" s="0" t="n">
        <f aca="false">IFERROR(N(INDEX(Registro!$AA$119:$AA$148,MATCH($A23,Registro!$A$119:$A$148,0))),0)</f>
        <v>0</v>
      </c>
      <c r="S23" s="0" t="n">
        <f aca="false">IFERROR(N(INDEX(Registro!$I$155:$I$184,MATCH($A23,Registro!$A$155:$A$184,0))),0)</f>
        <v>0</v>
      </c>
      <c r="T23" s="0" t="n">
        <f aca="false">IFERROR(N(INDEX(Registro!$O$155:$O$184,MATCH($A23,Registro!$A$155:$A$184,0))),0)</f>
        <v>0</v>
      </c>
      <c r="U23" s="0" t="n">
        <f aca="false">IFERROR(N(INDEX(Registro!$U$155:$U$184,MATCH($A23,Registro!$A$155:$A$184,0))),0)</f>
        <v>0</v>
      </c>
      <c r="V23" s="0" t="n">
        <f aca="false">IFERROR(N(INDEX(Registro!$AA$155:$AA$184,MATCH($A23,Registro!$A$155:$A$184,0))),0)</f>
        <v>0</v>
      </c>
      <c r="W23" s="0" t="n">
        <f aca="false">IFERROR(N(INDEX(Registro!$I$191:$I$220,MATCH($A23,Registro!$A$191:$A$220,0))),0)</f>
        <v>0</v>
      </c>
      <c r="X23" s="0" t="n">
        <f aca="false">IFERROR(N(INDEX(Registro!$O$191:$O$220,MATCH($A23,Registro!$A$191:$A$220,0))),0)</f>
        <v>0</v>
      </c>
      <c r="Y23" s="0" t="n">
        <f aca="false">IFERROR(N(INDEX(Registro!$U$191:$U$220,MATCH($A23,Registro!$A$191:$A$220,0))),0)</f>
        <v>0</v>
      </c>
      <c r="Z23" s="0" t="n">
        <f aca="false">IFERROR(N(INDEX(Registro!$AA$191:$AA$220,MATCH($A23,Registro!$A$191:$A$220,0))),0)</f>
        <v>0</v>
      </c>
      <c r="AA23" s="0" t="n">
        <f aca="false">IFERROR(N(INDEX(Registro!$I$227:$I$256,MATCH($A23,Registro!$A$227:$A$256,0))),0)</f>
        <v>0</v>
      </c>
      <c r="AB23" s="0" t="n">
        <f aca="false">IFERROR(N(INDEX(Registro!$O$227:$O$256,MATCH($A23,Registro!$A$227:$A$256,0))),0)</f>
        <v>0</v>
      </c>
      <c r="AC23" s="0" t="n">
        <f aca="false">IFERROR(N(INDEX(Registro!$U$227:$U$256,MATCH($A23,Registro!$A$227:$A$256,0))),0)</f>
        <v>0</v>
      </c>
      <c r="AD23" s="0" t="n">
        <f aca="false">IFERROR(N(INDEX(Registro!$AA$227:$AA$256,MATCH($A23,Registro!$A$227:$A$256,0))),0)</f>
        <v>0</v>
      </c>
      <c r="AE23" s="0" t="n">
        <f aca="false">IFERROR(N(INDEX(Registro!$I$263:$I$292,MATCH($A23,Registro!$A$263:$A$292,0))),0)</f>
        <v>0</v>
      </c>
      <c r="AF23" s="0" t="n">
        <f aca="false">IFERROR(N(INDEX(Registro!$O$263:$O$292,MATCH($A23,Registro!$A$263:$A$292,0))),0)</f>
        <v>0</v>
      </c>
      <c r="AG23" s="0" t="n">
        <f aca="false">IFERROR(N(INDEX(Registro!$U$263:$U$292,MATCH($A23,Registro!$A$263:$A$292,0))),0)</f>
        <v>0</v>
      </c>
      <c r="AH23" s="0" t="n">
        <f aca="false">IFERROR(N(INDEX(Registro!$AA$263:$AA$292,MATCH($A23,Registro!$A$263:$A$292,0))),0)</f>
        <v>0</v>
      </c>
      <c r="AI23" s="0" t="n">
        <f aca="false">IFERROR(N(INDEX(Registro!$I$299:$I$328,MATCH($A23,Registro!$A$299:$A$328,0))),0)</f>
        <v>0</v>
      </c>
      <c r="AJ23" s="0" t="n">
        <f aca="false">IFERROR(N(INDEX(Registro!$O$299:$O$328,MATCH($A23,Registro!$A$299:$A$328,0))),0)</f>
        <v>0</v>
      </c>
      <c r="AK23" s="0" t="n">
        <f aca="false">IFERROR(N(INDEX(Registro!$U$299:$U$328,MATCH($A23,Registro!$A$299:$A$328,0))),0)</f>
        <v>0</v>
      </c>
      <c r="AL23" s="0" t="n">
        <f aca="false">IFERROR(N(INDEX(Registro!$AA$299:$AA$328,MATCH($A23,Registro!$A$299:$A$328,0))),0)</f>
        <v>0</v>
      </c>
      <c r="AM23" s="0" t="n">
        <f aca="false">IFERROR(N(INDEX(Registro!$I$335:$I$364,MATCH($A23,Registro!$A$335:$A$364,0))),0)</f>
        <v>0</v>
      </c>
      <c r="AN23" s="0" t="n">
        <f aca="false">IFERROR(N(INDEX(Registro!$O$335:$O$364,MATCH($A23,Registro!$A$335:$A$364,0))),0)</f>
        <v>0</v>
      </c>
      <c r="AO23" s="0" t="n">
        <f aca="false">IFERROR(N(INDEX(Registro!$U$335:$U$364,MATCH($A23,Registro!$A$335:$A$364,0))),0)</f>
        <v>0</v>
      </c>
      <c r="AP23" s="0" t="n">
        <f aca="false">IFERROR(N(INDEX(Registro!$AA$335:$AA$364,MATCH($A23,Registro!$A$335:$A$364,0))),0)</f>
        <v>0</v>
      </c>
      <c r="AQ23" s="0" t="n">
        <f aca="false">IFERROR(N(INDEX(Registro!$I$371:$I$400,MATCH($A23,Registro!$A$371:$A$400,0))),0)</f>
        <v>0</v>
      </c>
      <c r="AR23" s="0" t="n">
        <f aca="false">IFERROR(N(INDEX(Registro!$O$371:$O$400,MATCH($A23,Registro!$A$371:$A$400,0))),0)</f>
        <v>0</v>
      </c>
      <c r="AS23" s="0" t="n">
        <f aca="false">IFERROR(N(INDEX(Registro!$U$371:$U$400,MATCH($A23,Registro!$A$371:$A$400,0))),0)</f>
        <v>0</v>
      </c>
      <c r="AT23" s="0" t="n">
        <f aca="false">IFERROR(N(INDEX(Registro!$AA$371:$AA$400,MATCH($A23,Registro!$A$371:$A$400,0))),0)</f>
        <v>0</v>
      </c>
      <c r="AU23" s="0" t="n">
        <f aca="false">IFERROR(N(INDEX(Registro!$I$407:$I$436,MATCH($A23,Registro!$A$407:$A$436,0))),0)</f>
        <v>0</v>
      </c>
      <c r="AV23" s="0" t="n">
        <f aca="false">IFERROR(N(INDEX(Registro!$O$407:$O$436,MATCH($A23,Registro!$A$407:$A$436,0))),0)</f>
        <v>0</v>
      </c>
      <c r="AW23" s="0" t="n">
        <f aca="false">IFERROR(N(INDEX(Registro!$U$407:$U$436,MATCH($A23,Registro!$A$407:$A$436,0))),0)</f>
        <v>0</v>
      </c>
      <c r="AX23" s="0" t="n">
        <f aca="false">IFERROR(N(INDEX(Registro!$AA$407:$AA$436,MATCH($A23,Registro!$A$407:$A$436,0))),0)</f>
        <v>0</v>
      </c>
      <c r="AY23" s="0" t="n">
        <f aca="false">IFERROR(N(INDEX(Registro!$I$443:$I$472,MATCH($A23,Registro!$A$443:$A$472,0))),0)</f>
        <v>0</v>
      </c>
      <c r="AZ23" s="0" t="n">
        <f aca="false">IFERROR(N(INDEX(Registro!$O$443:$O$472,MATCH($A23,Registro!$A$443:$A$472,0))),0)</f>
        <v>0</v>
      </c>
      <c r="BA23" s="0" t="n">
        <f aca="false">IFERROR(N(INDEX(Registro!$U$443:$U$472,MATCH($A23,Registro!$A$443:$A$472,0))),0)</f>
        <v>0</v>
      </c>
      <c r="BB23" s="0" t="n">
        <f aca="false">IFERROR(N(INDEX(Registro!$AA$443:$AA$472,MATCH($A23,Registro!$A$443:$A$472,0))),0)</f>
        <v>0</v>
      </c>
      <c r="BC23" s="0" t="n">
        <f aca="false">IFERROR(N(INDEX(Registro!$I$479:$I$508,MATCH($A23,Registro!$A$479:$A$508,0))),0)</f>
        <v>0</v>
      </c>
      <c r="BD23" s="0" t="n">
        <f aca="false">IFERROR(N(INDEX(Registro!$O$479:$O$508,MATCH($A23,Registro!$A$479:$A$508,0))),0)</f>
        <v>0</v>
      </c>
      <c r="BE23" s="0" t="n">
        <f aca="false">IFERROR(N(INDEX(Registro!$U$479:$U$508,MATCH($A23,Registro!$A$479:$A$508,0))),0)</f>
        <v>0</v>
      </c>
      <c r="BF23" s="0" t="n">
        <f aca="false">IFERROR(N(INDEX(Registro!$AA$479:$AA$508,MATCH($A23,Registro!$A$479:$A$508,0))),0)</f>
        <v>0</v>
      </c>
      <c r="BG23" s="0" t="n">
        <f aca="false">IFERROR(N(INDEX(Registro!$I$515:$I$544,MATCH($A23,Registro!$A$515:$A$544,0))),0)</f>
        <v>0</v>
      </c>
      <c r="BH23" s="0" t="n">
        <f aca="false">IFERROR(N(INDEX(Registro!$O$515:$O$544,MATCH($A23,Registro!$A$515:$A$544,0))),0)</f>
        <v>0</v>
      </c>
      <c r="BI23" s="0" t="n">
        <f aca="false">IFERROR(N(INDEX(Registro!$U$515:$U$544,MATCH($A23,Registro!$A$515:$A$544,0))),0)</f>
        <v>0</v>
      </c>
      <c r="BJ23" s="0" t="n">
        <f aca="false">IFERROR(N(INDEX(Registro!$AA$515:$AA$544,MATCH($A23,Registro!$A$515:$A$544,0))),0)</f>
        <v>0</v>
      </c>
      <c r="BK23" s="0" t="n">
        <f aca="false">IFERROR(N(INDEX(Registro!$I$551:$I$580,MATCH($A23,Registro!$A$551:$A$580,0))),0)</f>
        <v>0</v>
      </c>
      <c r="BL23" s="0" t="n">
        <f aca="false">IFERROR(N(INDEX(Registro!$O$551:$O$580,MATCH($A23,Registro!$A$551:$A$580,0))),0)</f>
        <v>0</v>
      </c>
      <c r="BM23" s="0" t="n">
        <f aca="false">IFERROR(N(INDEX(Registro!$U$551:$U$580,MATCH($A23,Registro!$A$551:$A$580,0))),0)</f>
        <v>0</v>
      </c>
      <c r="BN23" s="0" t="n">
        <f aca="false">IFERROR(N(INDEX(Registro!$AA$551:$AA$580,MATCH($A23,Registro!$A$551:$A$580,0))),0)</f>
        <v>0</v>
      </c>
      <c r="BO23" s="0" t="n">
        <f aca="false">IFERROR(N(INDEX(Registro!$I$587:$I$616,MATCH($A23,Registro!$A$587:$A$616,0))),0)</f>
        <v>0</v>
      </c>
      <c r="BP23" s="0" t="n">
        <f aca="false">IFERROR(N(INDEX(Registro!$O$587:$O$616,MATCH($A23,Registro!$A$587:$A$616,0))),0)</f>
        <v>0</v>
      </c>
      <c r="BQ23" s="0" t="n">
        <f aca="false">IFERROR(N(INDEX(Registro!$U$587:$U$616,MATCH($A23,Registro!$A$587:$A$616,0))),0)</f>
        <v>0</v>
      </c>
      <c r="BR23" s="0" t="n">
        <f aca="false">IFERROR(N(INDEX(Registro!$AA$587:$AA$616,MATCH($A23,Registro!$A$587:$A$616,0))),0)</f>
        <v>0</v>
      </c>
      <c r="BS23" s="0" t="n">
        <f aca="false">IFERROR(N(INDEX(Registro!$I$623:$I$652,MATCH($A23,Registro!$A$623:$A$652,0))),0)</f>
        <v>0</v>
      </c>
      <c r="BT23" s="0" t="n">
        <f aca="false">IFERROR(N(INDEX(Registro!$O$623:$O$652,MATCH($A23,Registro!$A$623:$A$652,0))),0)</f>
        <v>0</v>
      </c>
      <c r="BU23" s="0" t="n">
        <f aca="false">IFERROR(N(INDEX(Registro!$U$623:$U$652,MATCH($A23,Registro!$A$623:$A$652,0))),0)</f>
        <v>0</v>
      </c>
      <c r="BV23" s="0" t="n">
        <f aca="false">IFERROR(N(INDEX(Registro!$AA$623:$AA$652,MATCH($A23,Registro!$A$623:$A$652,0))),0)</f>
        <v>0</v>
      </c>
      <c r="BW23" s="0" t="n">
        <f aca="false">IFERROR(N(INDEX(Registro!$I$659:$I$688,MATCH($A23,Registro!$A$659:$A$688,0))),0)</f>
        <v>0</v>
      </c>
      <c r="BX23" s="0" t="n">
        <f aca="false">IFERROR(N(INDEX(Registro!$O$659:$O$688,MATCH($A23,Registro!$A$659:$A$688,0))),0)</f>
        <v>0</v>
      </c>
      <c r="BY23" s="0" t="n">
        <f aca="false">IFERROR(N(INDEX(Registro!$U$659:$U$688,MATCH($A23,Registro!$A$659:$A$688,0))),0)</f>
        <v>0</v>
      </c>
      <c r="BZ23" s="0" t="n">
        <f aca="false">IFERROR(N(INDEX(Registro!$AA$659:$AA$688,MATCH($A23,Registro!$A$659:$A$688,0))),0)</f>
        <v>0</v>
      </c>
      <c r="CA23" s="0" t="n">
        <f aca="false">IFERROR(N(INDEX(Registro!$I$695:$I$724,MATCH($A23,Registro!$A$695:$A$724,0))),0)</f>
        <v>0</v>
      </c>
      <c r="CB23" s="0" t="n">
        <f aca="false">IFERROR(N(INDEX(Registro!$O$695:$O$724,MATCH($A23,Registro!$A$695:$A$724,0))),0)</f>
        <v>0</v>
      </c>
      <c r="CC23" s="0" t="n">
        <f aca="false">IFERROR(N(INDEX(Registro!$U$695:$U$724,MATCH($A23,Registro!$A$695:$A$724,0))),0)</f>
        <v>0</v>
      </c>
      <c r="CD23" s="0" t="n">
        <f aca="false">IFERROR(N(INDEX(Registro!$AA$695:$AA$724,MATCH($A23,Registro!$A$695:$A$724,0))),0)</f>
        <v>0</v>
      </c>
      <c r="CE23" s="0" t="n">
        <f aca="false">IFERROR(IF(ISNUMBER(INDEX(Registro!$I$11:$I$40,MATCH($A23,Registro!$A$11:$A$40,0))),CE$5,0),0)</f>
        <v>0</v>
      </c>
      <c r="CF23" s="0" t="n">
        <f aca="false">IFERROR(IF(ISNUMBER(INDEX(Registro!$O$11:$O$40,MATCH($A23,Registro!$A$11:$A$40,0))),CF$5,0),0)</f>
        <v>0</v>
      </c>
      <c r="CG23" s="0" t="n">
        <f aca="false">IFERROR(IF(ISNUMBER(INDEX(Registro!$U$11:$U$40,MATCH($A23,Registro!$A$11:$A$40,0))),CG$5,0),0)</f>
        <v>0</v>
      </c>
      <c r="CH23" s="0" t="n">
        <f aca="false">IFERROR(IF(ISNUMBER(INDEX(Registro!$AA$11:$AA$40,MATCH($A23,Registro!$A$11:$A$40,0))),CH$5,0),0)</f>
        <v>0</v>
      </c>
      <c r="CI23" s="0" t="n">
        <f aca="false">IFERROR(IF(ISNUMBER(INDEX(Registro!$I$47:$I$76,MATCH($A23,Registro!$A$47:$A$76,0))),CI$5,0),0)</f>
        <v>0</v>
      </c>
      <c r="CJ23" s="0" t="n">
        <f aca="false">IFERROR(IF(ISNUMBER(INDEX(Registro!$O$47:$O$76,MATCH($A23,Registro!$A$47:$A$76,0))),CJ$5,0),0)</f>
        <v>0</v>
      </c>
      <c r="CK23" s="0" t="n">
        <f aca="false">IFERROR(IF(ISNUMBER(INDEX(Registro!$U$47:$U$76,MATCH($A23,Registro!$A$47:$A$76,0))),CK$5,0),0)</f>
        <v>0</v>
      </c>
      <c r="CL23" s="0" t="n">
        <f aca="false">IFERROR(IF(ISNUMBER(INDEX(Registro!$AA$47:$AA$76,MATCH($A23,Registro!$A$47:$A$76,0))),CL$5,0),0)</f>
        <v>0</v>
      </c>
      <c r="CM23" s="0" t="n">
        <f aca="false">IFERROR(IF(ISNUMBER(INDEX(Registro!$I$83:$I$112,MATCH($A23,Registro!$A$83:$A$112,0))),CM$5,0),0)</f>
        <v>0</v>
      </c>
      <c r="CN23" s="0" t="n">
        <f aca="false">IFERROR(IF(ISNUMBER(INDEX(Registro!$O$83:$O$112,MATCH($A23,Registro!$A$83:$A$112,0))),CN$5,0),0)</f>
        <v>0</v>
      </c>
      <c r="CO23" s="0" t="n">
        <f aca="false">IFERROR(IF(ISNUMBER(INDEX(Registro!$U$83:$U$112,MATCH($A23,Registro!$A$83:$A$112,0))),CO$5,0),0)</f>
        <v>0</v>
      </c>
      <c r="CP23" s="0" t="n">
        <f aca="false">IFERROR(IF(ISNUMBER(INDEX(Registro!$AA$83:$AA$112,MATCH($A23,Registro!$A$83:$A$112,0))),CP$5,0),0)</f>
        <v>0</v>
      </c>
      <c r="CQ23" s="0" t="n">
        <f aca="false">IFERROR(IF(ISNUMBER(INDEX(Registro!$I$119:$I$148,MATCH($A23,Registro!$A$119:$A$148,0))),CQ$5,0),0)</f>
        <v>0</v>
      </c>
      <c r="CR23" s="0" t="n">
        <f aca="false">IFERROR(IF(ISNUMBER(INDEX(Registro!$O$119:$O$148,MATCH($A23,Registro!$A$119:$A$148,0))),CR$5,0),0)</f>
        <v>0</v>
      </c>
      <c r="CS23" s="0" t="n">
        <f aca="false">IFERROR(IF(ISNUMBER(INDEX(Registro!$U$119:$U$148,MATCH($A23,Registro!$A$119:$A$148,0))),CS$5,0),0)</f>
        <v>0</v>
      </c>
      <c r="CT23" s="0" t="n">
        <f aca="false">IFERROR(IF(ISNUMBER(INDEX(Registro!$AA$119:$AA$148,MATCH($A23,Registro!$A$119:$A$148,0))),CT$5,0),0)</f>
        <v>0</v>
      </c>
      <c r="CU23" s="0" t="n">
        <f aca="false">IFERROR(IF(ISNUMBER(INDEX(Registro!$I$155:$I$184,MATCH($A23,Registro!$A$155:$A$184,0))),CU$5,0),0)</f>
        <v>0</v>
      </c>
      <c r="CV23" s="0" t="n">
        <f aca="false">IFERROR(IF(ISNUMBER(INDEX(Registro!$O$155:$O$184,MATCH($A23,Registro!$A$155:$A$184,0))),CV$5,0),0)</f>
        <v>0</v>
      </c>
      <c r="CW23" s="0" t="n">
        <f aca="false">IFERROR(IF(ISNUMBER(INDEX(Registro!$U$155:$U$184,MATCH($A23,Registro!$A$155:$A$184,0))),CW$5,0),0)</f>
        <v>0</v>
      </c>
      <c r="CX23" s="0" t="n">
        <f aca="false">IFERROR(IF(ISNUMBER(INDEX(Registro!$AA$155:$AA$184,MATCH($A23,Registro!$A$155:$A$184,0))),CX$5,0),0)</f>
        <v>0</v>
      </c>
      <c r="CY23" s="0" t="n">
        <f aca="false">IFERROR(IF(ISNUMBER(INDEX(Registro!$I$191:$I$220,MATCH($A23,Registro!$A$191:$A$220,0))),CY$5,0),0)</f>
        <v>0</v>
      </c>
      <c r="CZ23" s="0" t="n">
        <f aca="false">IFERROR(IF(ISNUMBER(INDEX(Registro!$O$191:$O$220,MATCH($A23,Registro!$A$191:$A$220,0))),CZ$5,0),0)</f>
        <v>0</v>
      </c>
      <c r="DA23" s="0" t="n">
        <f aca="false">IFERROR(IF(ISNUMBER(INDEX(Registro!$U$191:$U$220,MATCH($A23,Registro!$A$191:$A$220,0))),DA$5,0),0)</f>
        <v>0</v>
      </c>
      <c r="DB23" s="0" t="n">
        <f aca="false">IFERROR(IF(ISNUMBER(INDEX(Registro!$AA$191:$AA$220,MATCH($A23,Registro!$A$191:$A$220,0))),DB$5,0),0)</f>
        <v>0</v>
      </c>
      <c r="DC23" s="0" t="n">
        <f aca="false">IFERROR(IF(ISNUMBER(INDEX(Registro!$I$227:$I$256,MATCH($A23,Registro!$A$227:$A$256,0))),DC$5,0),0)</f>
        <v>0</v>
      </c>
      <c r="DD23" s="0" t="n">
        <f aca="false">IFERROR(IF(ISNUMBER(INDEX(Registro!$O$227:$O$256,MATCH($A23,Registro!$A$227:$A$256,0))),DD$5,0),0)</f>
        <v>0</v>
      </c>
      <c r="DE23" s="0" t="n">
        <f aca="false">IFERROR(IF(ISNUMBER(INDEX(Registro!$U$227:$U$256,MATCH($A23,Registro!$A$227:$A$256,0))),DE$5,0),0)</f>
        <v>0</v>
      </c>
      <c r="DF23" s="0" t="n">
        <f aca="false">IFERROR(IF(ISNUMBER(INDEX(Registro!$AA$227:$AA$256,MATCH($A23,Registro!$A$227:$A$256,0))),DF$5,0),0)</f>
        <v>0</v>
      </c>
      <c r="DG23" s="0" t="n">
        <f aca="false">IFERROR(IF(ISNUMBER(INDEX(Registro!$I$263:$I$292,MATCH($A23,Registro!$A$263:$A$292,0))),DG$5,0),0)</f>
        <v>0</v>
      </c>
      <c r="DH23" s="0" t="n">
        <f aca="false">IFERROR(IF(ISNUMBER(INDEX(Registro!$O$263:$O$292,MATCH($A23,Registro!$A$263:$A$292,0))),DH$5,0),0)</f>
        <v>0</v>
      </c>
      <c r="DI23" s="0" t="n">
        <f aca="false">IFERROR(IF(ISNUMBER(INDEX(Registro!$U$263:$U$292,MATCH($A23,Registro!$A$263:$A$292,0))),DI$5,0),0)</f>
        <v>0</v>
      </c>
      <c r="DJ23" s="0" t="n">
        <f aca="false">IFERROR(IF(ISNUMBER(INDEX(Registro!$AA$263:$AA$292,MATCH($A23,Registro!$A$263:$A$292,0))),DJ$5,0),0)</f>
        <v>0</v>
      </c>
      <c r="DK23" s="0" t="n">
        <f aca="false">IFERROR(IF(ISNUMBER(INDEX(Registro!$I$299:$I$328,MATCH($A23,Registro!$A$299:$A$328,0))),DK$5,0),0)</f>
        <v>0</v>
      </c>
      <c r="DL23" s="0" t="n">
        <f aca="false">IFERROR(IF(ISNUMBER(INDEX(Registro!$O$299:$O$328,MATCH($A23,Registro!$A$299:$A$328,0))),DL$5,0),0)</f>
        <v>0</v>
      </c>
      <c r="DM23" s="0" t="n">
        <f aca="false">IFERROR(IF(ISNUMBER(INDEX(Registro!$U$299:$U$328,MATCH($A23,Registro!$A$299:$A$328,0))),DM$5,0),0)</f>
        <v>0</v>
      </c>
      <c r="DN23" s="0" t="n">
        <f aca="false">IFERROR(IF(ISNUMBER(INDEX(Registro!$AA$299:$AA$328,MATCH($A23,Registro!$A$299:$A$328,0))),DN$5,0),0)</f>
        <v>0</v>
      </c>
      <c r="DO23" s="0" t="n">
        <f aca="false">IFERROR(IF(ISNUMBER(INDEX(Registro!$I$335:$I$364,MATCH($A23,Registro!$A$335:$A$364,0))),DO$5,0),0)</f>
        <v>0</v>
      </c>
      <c r="DP23" s="0" t="n">
        <f aca="false">IFERROR(IF(ISNUMBER(INDEX(Registro!$O$335:$O$364,MATCH($A23,Registro!$A$335:$A$364,0))),DP$5,0),0)</f>
        <v>0</v>
      </c>
      <c r="DQ23" s="0" t="n">
        <f aca="false">IFERROR(IF(ISNUMBER(INDEX(Registro!$U$335:$U$364,MATCH($A23,Registro!$A$335:$A$364,0))),DQ$5,0),0)</f>
        <v>0</v>
      </c>
      <c r="DR23" s="0" t="n">
        <f aca="false">IFERROR(IF(ISNUMBER(INDEX(Registro!$AA$335:$AA$364,MATCH($A23,Registro!$A$335:$A$364,0))),DR$5,0),0)</f>
        <v>0</v>
      </c>
      <c r="DS23" s="0" t="n">
        <f aca="false">IFERROR(IF(ISNUMBER(INDEX(Registro!$I$371:$I$400,MATCH($A23,Registro!$A$371:$A$400,0))),DS$5,0),0)</f>
        <v>0</v>
      </c>
      <c r="DT23" s="0" t="n">
        <f aca="false">IFERROR(IF(ISNUMBER(INDEX(Registro!$O$371:$O$400,MATCH($A23,Registro!$A$371:$A$400,0))),DT$5,0),0)</f>
        <v>0</v>
      </c>
      <c r="DU23" s="0" t="n">
        <f aca="false">IFERROR(IF(ISNUMBER(INDEX(Registro!$U$371:$U$400,MATCH($A23,Registro!$A$371:$A$400,0))),DU$5,0),0)</f>
        <v>0</v>
      </c>
      <c r="DV23" s="0" t="n">
        <f aca="false">IFERROR(IF(ISNUMBER(INDEX(Registro!$AA$371:$AA$400,MATCH($A23,Registro!$A$371:$A$400,0))),DV$5,0),0)</f>
        <v>0</v>
      </c>
      <c r="DW23" s="0" t="n">
        <f aca="false">IFERROR(IF(ISNUMBER(INDEX(Registro!$I$407:$I$436,MATCH($A23,Registro!$A$407:$A$436,0))),DW$5,0),0)</f>
        <v>0</v>
      </c>
      <c r="DX23" s="0" t="n">
        <f aca="false">IFERROR(IF(ISNUMBER(INDEX(Registro!$O$407:$O$436,MATCH($A23,Registro!$A$407:$A$436,0))),DX$5,0),0)</f>
        <v>0</v>
      </c>
      <c r="DY23" s="0" t="n">
        <f aca="false">IFERROR(IF(ISNUMBER(INDEX(Registro!$U$407:$U$436,MATCH($A23,Registro!$A$407:$A$436,0))),DY$5,0),0)</f>
        <v>0</v>
      </c>
      <c r="DZ23" s="0" t="n">
        <f aca="false">IFERROR(IF(ISNUMBER(INDEX(Registro!$AA$407:$AA$436,MATCH($A23,Registro!$A$407:$A$436,0))),DZ$5,0),0)</f>
        <v>0</v>
      </c>
      <c r="EA23" s="0" t="n">
        <f aca="false">IFERROR(IF(ISNUMBER(INDEX(Registro!$I$443:$I$472,MATCH($A23,Registro!$A$443:$A$472,0))),EA$5,0),0)</f>
        <v>0</v>
      </c>
      <c r="EB23" s="0" t="n">
        <f aca="false">IFERROR(IF(ISNUMBER(INDEX(Registro!$O$443:$O$472,MATCH($A23,Registro!$A$443:$A$472,0))),EB$5,0),0)</f>
        <v>0</v>
      </c>
      <c r="EC23" s="0" t="n">
        <f aca="false">IFERROR(IF(ISNUMBER(INDEX(Registro!$U$443:$U$472,MATCH($A23,Registro!$A$443:$A$472,0))),EC$5,0),0)</f>
        <v>0</v>
      </c>
      <c r="ED23" s="0" t="n">
        <f aca="false">IFERROR(IF(ISNUMBER(INDEX(Registro!$AA$443:$AA$472,MATCH($A23,Registro!$A$443:$A$472,0))),ED$5,0),0)</f>
        <v>0</v>
      </c>
      <c r="EE23" s="0" t="n">
        <f aca="false">IFERROR(IF(ISNUMBER(INDEX(Registro!$I$479:$I$508,MATCH($A23,Registro!$A$479:$A$508,0))),EE$5,0),0)</f>
        <v>0</v>
      </c>
      <c r="EF23" s="0" t="n">
        <f aca="false">IFERROR(IF(ISNUMBER(INDEX(Registro!$O$479:$O$508,MATCH($A23,Registro!$A$479:$A$508,0))),EF$5,0),0)</f>
        <v>0</v>
      </c>
      <c r="EG23" s="0" t="n">
        <f aca="false">IFERROR(IF(ISNUMBER(INDEX(Registro!$U$479:$U$508,MATCH($A23,Registro!$A$479:$A$508,0))),EG$5,0),0)</f>
        <v>0</v>
      </c>
      <c r="EH23" s="0" t="n">
        <f aca="false">IFERROR(IF(ISNUMBER(INDEX(Registro!$AA$479:$AA$508,MATCH($A23,Registro!$A$479:$A$508,0))),EH$5,0),0)</f>
        <v>0</v>
      </c>
      <c r="EI23" s="0" t="n">
        <f aca="false">IFERROR(IF(ISNUMBER(INDEX(Registro!$I$515:$I$544,MATCH($A23,Registro!$A$515:$A$544,0))),EI$5,0),0)</f>
        <v>0</v>
      </c>
      <c r="EJ23" s="0" t="n">
        <f aca="false">IFERROR(IF(ISNUMBER(INDEX(Registro!$O$515:$O$544,MATCH($A23,Registro!$A$515:$A$544,0))),EJ$5,0),0)</f>
        <v>0</v>
      </c>
      <c r="EK23" s="0" t="n">
        <f aca="false">IFERROR(IF(ISNUMBER(INDEX(Registro!$U$515:$U$544,MATCH($A23,Registro!$A$515:$A$544,0))),EK$5,0),0)</f>
        <v>0</v>
      </c>
      <c r="EL23" s="0" t="n">
        <f aca="false">IFERROR(IF(ISNUMBER(INDEX(Registro!$AA$515:$AA$544,MATCH($A23,Registro!$A$515:$A$544,0))),EL$5,0),0)</f>
        <v>0</v>
      </c>
      <c r="EM23" s="0" t="n">
        <f aca="false">IFERROR(IF(ISNUMBER(INDEX(Registro!$I$551:$I$580,MATCH($A23,Registro!$A$551:$A$580,0))),EM$5,0),0)</f>
        <v>0</v>
      </c>
      <c r="EN23" s="0" t="n">
        <f aca="false">IFERROR(IF(ISNUMBER(INDEX(Registro!$O$551:$O$580,MATCH($A23,Registro!$A$551:$A$580,0))),EN$5,0),0)</f>
        <v>0</v>
      </c>
      <c r="EO23" s="0" t="n">
        <f aca="false">IFERROR(IF(ISNUMBER(INDEX(Registro!$U$551:$U$580,MATCH($A23,Registro!$A$551:$A$580,0))),EO$5,0),0)</f>
        <v>0</v>
      </c>
      <c r="EP23" s="0" t="n">
        <f aca="false">IFERROR(IF(ISNUMBER(INDEX(Registro!$AA$551:$AA$580,MATCH($A23,Registro!$A$551:$A$580,0))),EP$5,0),0)</f>
        <v>0</v>
      </c>
      <c r="EQ23" s="0" t="n">
        <f aca="false">IFERROR(IF(ISNUMBER(INDEX(Registro!$I$587:$I$616,MATCH($A23,Registro!$A$587:$A$616,0))),EQ$5,0),0)</f>
        <v>0</v>
      </c>
      <c r="ER23" s="0" t="n">
        <f aca="false">IFERROR(IF(ISNUMBER(INDEX(Registro!$O$587:$O$616,MATCH($A23,Registro!$A$587:$A$616,0))),ER$5,0),0)</f>
        <v>0</v>
      </c>
      <c r="ES23" s="0" t="n">
        <f aca="false">IFERROR(IF(ISNUMBER(INDEX(Registro!$U$587:$U$616,MATCH($A23,Registro!$A$587:$A$616,0))),ES$5,0),0)</f>
        <v>0</v>
      </c>
      <c r="ET23" s="0" t="n">
        <f aca="false">IFERROR(IF(ISNUMBER(INDEX(Registro!$AA$587:$AA$616,MATCH($A23,Registro!$A$587:$A$616,0))),ET$5,0),0)</f>
        <v>0</v>
      </c>
      <c r="EU23" s="0" t="n">
        <f aca="false">IFERROR(IF(ISNUMBER(INDEX(Registro!$I$623:$I$652,MATCH($A23,Registro!$A$623:$A$652,0))),EU$5,0),0)</f>
        <v>0</v>
      </c>
      <c r="EV23" s="0" t="n">
        <f aca="false">IFERROR(IF(ISNUMBER(INDEX(Registro!$O$623:$O$652,MATCH($A23,Registro!$A$623:$A$652,0))),EV$5,0),0)</f>
        <v>0</v>
      </c>
      <c r="EW23" s="0" t="n">
        <f aca="false">IFERROR(IF(ISNUMBER(INDEX(Registro!$U$623:$U$652,MATCH($A23,Registro!$A$623:$A$652,0))),EW$5,0),0)</f>
        <v>0</v>
      </c>
      <c r="EX23" s="0" t="n">
        <f aca="false">IFERROR(IF(ISNUMBER(INDEX(Registro!$AA$623:$AA$652,MATCH($A23,Registro!$A$623:$A$652,0))),EX$5,0),0)</f>
        <v>0</v>
      </c>
      <c r="EY23" s="0" t="n">
        <f aca="false">IFERROR(IF(ISNUMBER(INDEX(Registro!$I$659:$I$688,MATCH($A23,Registro!$A$659:$A$688,0))),EY$5,0),0)</f>
        <v>0</v>
      </c>
      <c r="EZ23" s="0" t="n">
        <f aca="false">IFERROR(IF(ISNUMBER(INDEX(Registro!$O$659:$O$688,MATCH($A23,Registro!$A$659:$A$688,0))),EZ$5,0),0)</f>
        <v>0</v>
      </c>
      <c r="FA23" s="0" t="n">
        <f aca="false">IFERROR(IF(ISNUMBER(INDEX(Registro!$U$659:$U$688,MATCH($A23,Registro!$A$659:$A$688,0))),FA$5,0),0)</f>
        <v>0</v>
      </c>
      <c r="FB23" s="0" t="n">
        <f aca="false">IFERROR(IF(ISNUMBER(INDEX(Registro!$AA$659:$AA$688,MATCH($A23,Registro!$A$659:$A$688,0))),FB$5,0),0)</f>
        <v>0</v>
      </c>
      <c r="FC23" s="0" t="n">
        <f aca="false">IFERROR(IF(ISNUMBER(INDEX(Registro!$I$695:$I$724,MATCH($A23,Registro!$A$695:$A$724,0))),FC$5,0),0)</f>
        <v>0</v>
      </c>
      <c r="FD23" s="0" t="n">
        <f aca="false">IFERROR(IF(ISNUMBER(INDEX(Registro!$O$695:$O$724,MATCH($A23,Registro!$A$695:$A$724,0))),FD$5,0),0)</f>
        <v>0</v>
      </c>
      <c r="FE23" s="0" t="n">
        <f aca="false">IFERROR(IF(ISNUMBER(INDEX(Registro!$U$695:$U$724,MATCH($A23,Registro!$A$695:$A$724,0))),FE$5,0),0)</f>
        <v>0</v>
      </c>
      <c r="FF23" s="0" t="n">
        <f aca="false">IFERROR(IF(ISNUMBER(INDEX(Registro!$AA$695:$AA$724,MATCH($A23,Registro!$A$695:$A$724,0))),FF$5,0),0)</f>
        <v>0</v>
      </c>
      <c r="FG23" s="0" t="n">
        <f aca="false">IFERROR(IF(AND(INDEX(Registro!$C$11:$C$40,MATCH($A23,Registro!$A$11:$A$40,0))="AS",INDEX(Registro!$D$11:$D$40,MATCH($A23,Registro!$A$11:$A$40,0))&amp;""=""),1,0),0)</f>
        <v>0</v>
      </c>
      <c r="FH23" s="0" t="n">
        <f aca="false">IFERROR(IF(AND(INDEX(Registro!$C$47:$C$76,MATCH($A23,Registro!$A$47:$A$76,0))="AS",INDEX(Registro!$D$47:$D$76,MATCH($A23,Registro!$A$47:$A$76,0))&amp;""=""),1,0),0)</f>
        <v>0</v>
      </c>
      <c r="FI23" s="0" t="n">
        <f aca="false">IFERROR(IF(AND(INDEX(Registro!$C$83:$C$112,MATCH($A23,Registro!$A$83:$A$112,0))="AS",INDEX(Registro!$D$83:$D$112,MATCH($A23,Registro!$A$83:$A$112,0))&amp;""=""),1,0),0)</f>
        <v>0</v>
      </c>
      <c r="FJ23" s="0" t="n">
        <f aca="false">IFERROR(IF(AND(INDEX(Registro!$C$119:$C$148,MATCH($A23,Registro!$A$119:$A$148,0))="AS",INDEX(Registro!$D$119:$D$148,MATCH($A23,Registro!$A$119:$A$148,0))&amp;""=""),1,0),0)</f>
        <v>0</v>
      </c>
      <c r="FK23" s="0" t="n">
        <f aca="false">IFERROR(IF(AND(INDEX(Registro!$C$155:$C$184,MATCH($A23,Registro!$A$155:$A$184,0))="AS",INDEX(Registro!$D$155:$D$184,MATCH($A23,Registro!$A$155:$A$184,0))&amp;""=""),1,0),0)</f>
        <v>0</v>
      </c>
      <c r="FL23" s="0" t="n">
        <f aca="false">IFERROR(IF(AND(INDEX(Registro!$C$191:$C$220,MATCH($A23,Registro!$A$191:$A$220,0))="AS",INDEX(Registro!$D$191:$D$220,MATCH($A23,Registro!$A$191:$A$220,0))&amp;""=""),1,0),0)</f>
        <v>0</v>
      </c>
      <c r="FM23" s="0" t="n">
        <f aca="false">IFERROR(IF(AND(INDEX(Registro!$C$227:$C$256,MATCH($A23,Registro!$A$227:$A$256,0))="AS",INDEX(Registro!$D$227:$D$256,MATCH($A23,Registro!$A$227:$A$256,0))&amp;""=""),1,0),0)</f>
        <v>0</v>
      </c>
      <c r="FN23" s="0" t="n">
        <f aca="false">IFERROR(IF(AND(INDEX(Registro!$C$263:$C$292,MATCH($A23,Registro!$A$263:$A$292,0))="AS",INDEX(Registro!$D$263:$D$292,MATCH($A23,Registro!$A$263:$A$292,0))&amp;""=""),1,0),0)</f>
        <v>0</v>
      </c>
      <c r="FO23" s="0" t="n">
        <f aca="false">IFERROR(IF(AND(INDEX(Registro!$C$299:$C$328,MATCH($A23,Registro!$A$299:$A$328,0))="AS",INDEX(Registro!$D$299:$D$328,MATCH($A23,Registro!$A$299:$A$328,0))&amp;""=""),1,0),0)</f>
        <v>0</v>
      </c>
      <c r="FP23" s="0" t="n">
        <f aca="false">IFERROR(IF(AND(INDEX(Registro!$C$335:$C$364,MATCH($A23,Registro!$A$335:$A$364,0))="AS",INDEX(Registro!$D$335:$D$364,MATCH($A23,Registro!$A$335:$A$364,0))&amp;""=""),1,0),0)</f>
        <v>0</v>
      </c>
      <c r="FQ23" s="0" t="n">
        <f aca="false">IFERROR(IF(AND(INDEX(Registro!$C$371:$C$400,MATCH($A23,Registro!$A$371:$A$400,0))="AS",INDEX(Registro!$D$371:$D$400,MATCH($A23,Registro!$A$371:$A$400,0))&amp;""=""),1,0),0)</f>
        <v>0</v>
      </c>
      <c r="FR23" s="0" t="n">
        <f aca="false">IFERROR(IF(AND(INDEX(Registro!$C$407:$C$436,MATCH($A23,Registro!$A$407:$A$436,0))="AS",INDEX(Registro!$D$407:$D$436,MATCH($A23,Registro!$A$407:$A$436,0))&amp;""=""),1,0),0)</f>
        <v>0</v>
      </c>
      <c r="FS23" s="0" t="n">
        <f aca="false">IFERROR(IF(AND(INDEX(Registro!$C$443:$C$472,MATCH($A23,Registro!$A$443:$A$472,0))="AS",INDEX(Registro!$D$443:$D$472,MATCH($A23,Registro!$A$443:$A$472,0))&amp;""=""),1,0),0)</f>
        <v>0</v>
      </c>
      <c r="FT23" s="0" t="n">
        <f aca="false">IFERROR(IF(AND(INDEX(Registro!$C$479:$C$508,MATCH($A23,Registro!$A$479:$A$508,0))="AS",INDEX(Registro!$D$479:$D$508,MATCH($A23,Registro!$A$479:$A$508,0))&amp;""=""),1,0),0)</f>
        <v>0</v>
      </c>
      <c r="FU23" s="0" t="n">
        <f aca="false">IFERROR(IF(AND(INDEX(Registro!$C$515:$C$544,MATCH($A23,Registro!$A$515:$A$544,0))="AS",INDEX(Registro!$D$515:$D$544,MATCH($A23,Registro!$A$515:$A$544,0))&amp;""=""),1,0),0)</f>
        <v>0</v>
      </c>
      <c r="FV23" s="0" t="n">
        <f aca="false">IFERROR(IF(AND(INDEX(Registro!$C$551:$C$580,MATCH($A23,Registro!$A$551:$A$580,0))="AS",INDEX(Registro!$D$551:$D$580,MATCH($A23,Registro!$A$551:$A$580,0))&amp;""=""),1,0),0)</f>
        <v>0</v>
      </c>
      <c r="FW23" s="0" t="n">
        <f aca="false">IFERROR(IF(AND(INDEX(Registro!$C$587:$C$616,MATCH($A23,Registro!$A$587:$A$616,0))="AS",INDEX(Registro!$D$587:$D$616,MATCH($A23,Registro!$A$587:$A$616,0))&amp;""=""),1,0),0)</f>
        <v>0</v>
      </c>
      <c r="FX23" s="0" t="n">
        <f aca="false">IFERROR(IF(AND(INDEX(Registro!$C$623:$C$652,MATCH($A23,Registro!$A$623:$A$652,0))="AS",INDEX(Registro!$D$623:$D$652,MATCH($A23,Registro!$A$623:$A$652,0))&amp;""=""),1,0),0)</f>
        <v>0</v>
      </c>
      <c r="FY23" s="0" t="n">
        <f aca="false">IFERROR(IF(AND(INDEX(Registro!$C$659:$C$688,MATCH($A23,Registro!$A$659:$A$688,0))="AS",INDEX(Registro!$D$659:$D$688,MATCH($A23,Registro!$A$659:$A$688,0))&amp;""=""),1,0),0)</f>
        <v>0</v>
      </c>
      <c r="FZ23" s="0" t="n">
        <f aca="false">IFERROR(IF(AND(INDEX(Registro!$C$695:$C$724,MATCH($A23,Registro!$A$695:$A$724,0))="AS",INDEX(Registro!$D$695:$D$724,MATCH($A23,Registro!$A$695:$A$724,0))&amp;""=""),1,0),0)</f>
        <v>0</v>
      </c>
    </row>
    <row r="24" customFormat="false" ht="15" hidden="false" customHeight="false" outlineLevel="0" collapsed="false">
      <c r="A24" s="0" t="n">
        <v>18</v>
      </c>
      <c r="C24" s="0" t="n">
        <f aca="false">IFERROR(N(INDEX(Registro!$I$11:$I$40,MATCH($A24,Registro!$A$11:$A$40,0))),0)</f>
        <v>0</v>
      </c>
      <c r="D24" s="0" t="n">
        <f aca="false">IFERROR(N(INDEX(Registro!$O$11:$O$40,MATCH($A24,Registro!$A$11:$A$40,0))),0)</f>
        <v>0</v>
      </c>
      <c r="E24" s="0" t="n">
        <f aca="false">IFERROR(N(INDEX(Registro!$U$11:$U$40,MATCH($A24,Registro!$A$11:$A$40,0))),0)</f>
        <v>0</v>
      </c>
      <c r="F24" s="0" t="n">
        <f aca="false">IFERROR(N(INDEX(Registro!$AA$11:$AA$40,MATCH($A24,Registro!$A$11:$A$40,0))),0)</f>
        <v>0</v>
      </c>
      <c r="G24" s="0" t="n">
        <f aca="false">IFERROR(N(INDEX(Registro!$I$47:$I$76,MATCH($A24,Registro!$A$47:$A$76,0))),0)</f>
        <v>0</v>
      </c>
      <c r="H24" s="0" t="n">
        <f aca="false">IFERROR(N(INDEX(Registro!$O$47:$O$76,MATCH($A24,Registro!$A$47:$A$76,0))),0)</f>
        <v>0</v>
      </c>
      <c r="I24" s="0" t="n">
        <f aca="false">IFERROR(N(INDEX(Registro!$U$47:$U$76,MATCH($A24,Registro!$A$47:$A$76,0))),0)</f>
        <v>0</v>
      </c>
      <c r="J24" s="0" t="n">
        <f aca="false">IFERROR(N(INDEX(Registro!$AA$47:$AA$76,MATCH($A24,Registro!$A$47:$A$76,0))),0)</f>
        <v>0</v>
      </c>
      <c r="K24" s="0" t="n">
        <f aca="false">IFERROR(N(INDEX(Registro!$I$83:$I$112,MATCH($A24,Registro!$A$83:$A$112,0))),0)</f>
        <v>0</v>
      </c>
      <c r="L24" s="0" t="n">
        <f aca="false">IFERROR(N(INDEX(Registro!$O$83:$O$112,MATCH($A24,Registro!$A$83:$A$112,0))),0)</f>
        <v>0</v>
      </c>
      <c r="M24" s="0" t="n">
        <f aca="false">IFERROR(N(INDEX(Registro!$U$83:$U$112,MATCH($A24,Registro!$A$83:$A$112,0))),0)</f>
        <v>0</v>
      </c>
      <c r="N24" s="0" t="n">
        <f aca="false">IFERROR(N(INDEX(Registro!$AA$83:$AA$112,MATCH($A24,Registro!$A$83:$A$112,0))),0)</f>
        <v>0</v>
      </c>
      <c r="O24" s="0" t="n">
        <f aca="false">IFERROR(N(INDEX(Registro!$I$119:$I$148,MATCH($A24,Registro!$A$119:$A$148,0))),0)</f>
        <v>0</v>
      </c>
      <c r="P24" s="0" t="n">
        <f aca="false">IFERROR(N(INDEX(Registro!$O$119:$O$148,MATCH($A24,Registro!$A$119:$A$148,0))),0)</f>
        <v>0</v>
      </c>
      <c r="Q24" s="0" t="n">
        <f aca="false">IFERROR(N(INDEX(Registro!$U$119:$U$148,MATCH($A24,Registro!$A$119:$A$148,0))),0)</f>
        <v>0</v>
      </c>
      <c r="R24" s="0" t="n">
        <f aca="false">IFERROR(N(INDEX(Registro!$AA$119:$AA$148,MATCH($A24,Registro!$A$119:$A$148,0))),0)</f>
        <v>0</v>
      </c>
      <c r="S24" s="0" t="n">
        <f aca="false">IFERROR(N(INDEX(Registro!$I$155:$I$184,MATCH($A24,Registro!$A$155:$A$184,0))),0)</f>
        <v>0</v>
      </c>
      <c r="T24" s="0" t="n">
        <f aca="false">IFERROR(N(INDEX(Registro!$O$155:$O$184,MATCH($A24,Registro!$A$155:$A$184,0))),0)</f>
        <v>0</v>
      </c>
      <c r="U24" s="0" t="n">
        <f aca="false">IFERROR(N(INDEX(Registro!$U$155:$U$184,MATCH($A24,Registro!$A$155:$A$184,0))),0)</f>
        <v>0</v>
      </c>
      <c r="V24" s="0" t="n">
        <f aca="false">IFERROR(N(INDEX(Registro!$AA$155:$AA$184,MATCH($A24,Registro!$A$155:$A$184,0))),0)</f>
        <v>0</v>
      </c>
      <c r="W24" s="0" t="n">
        <f aca="false">IFERROR(N(INDEX(Registro!$I$191:$I$220,MATCH($A24,Registro!$A$191:$A$220,0))),0)</f>
        <v>0</v>
      </c>
      <c r="X24" s="0" t="n">
        <f aca="false">IFERROR(N(INDEX(Registro!$O$191:$O$220,MATCH($A24,Registro!$A$191:$A$220,0))),0)</f>
        <v>0</v>
      </c>
      <c r="Y24" s="0" t="n">
        <f aca="false">IFERROR(N(INDEX(Registro!$U$191:$U$220,MATCH($A24,Registro!$A$191:$A$220,0))),0)</f>
        <v>0</v>
      </c>
      <c r="Z24" s="0" t="n">
        <f aca="false">IFERROR(N(INDEX(Registro!$AA$191:$AA$220,MATCH($A24,Registro!$A$191:$A$220,0))),0)</f>
        <v>0</v>
      </c>
      <c r="AA24" s="0" t="n">
        <f aca="false">IFERROR(N(INDEX(Registro!$I$227:$I$256,MATCH($A24,Registro!$A$227:$A$256,0))),0)</f>
        <v>0</v>
      </c>
      <c r="AB24" s="0" t="n">
        <f aca="false">IFERROR(N(INDEX(Registro!$O$227:$O$256,MATCH($A24,Registro!$A$227:$A$256,0))),0)</f>
        <v>0</v>
      </c>
      <c r="AC24" s="0" t="n">
        <f aca="false">IFERROR(N(INDEX(Registro!$U$227:$U$256,MATCH($A24,Registro!$A$227:$A$256,0))),0)</f>
        <v>0</v>
      </c>
      <c r="AD24" s="0" t="n">
        <f aca="false">IFERROR(N(INDEX(Registro!$AA$227:$AA$256,MATCH($A24,Registro!$A$227:$A$256,0))),0)</f>
        <v>0</v>
      </c>
      <c r="AE24" s="0" t="n">
        <f aca="false">IFERROR(N(INDEX(Registro!$I$263:$I$292,MATCH($A24,Registro!$A$263:$A$292,0))),0)</f>
        <v>0</v>
      </c>
      <c r="AF24" s="0" t="n">
        <f aca="false">IFERROR(N(INDEX(Registro!$O$263:$O$292,MATCH($A24,Registro!$A$263:$A$292,0))),0)</f>
        <v>0</v>
      </c>
      <c r="AG24" s="0" t="n">
        <f aca="false">IFERROR(N(INDEX(Registro!$U$263:$U$292,MATCH($A24,Registro!$A$263:$A$292,0))),0)</f>
        <v>0</v>
      </c>
      <c r="AH24" s="0" t="n">
        <f aca="false">IFERROR(N(INDEX(Registro!$AA$263:$AA$292,MATCH($A24,Registro!$A$263:$A$292,0))),0)</f>
        <v>0</v>
      </c>
      <c r="AI24" s="0" t="n">
        <f aca="false">IFERROR(N(INDEX(Registro!$I$299:$I$328,MATCH($A24,Registro!$A$299:$A$328,0))),0)</f>
        <v>0</v>
      </c>
      <c r="AJ24" s="0" t="n">
        <f aca="false">IFERROR(N(INDEX(Registro!$O$299:$O$328,MATCH($A24,Registro!$A$299:$A$328,0))),0)</f>
        <v>0</v>
      </c>
      <c r="AK24" s="0" t="n">
        <f aca="false">IFERROR(N(INDEX(Registro!$U$299:$U$328,MATCH($A24,Registro!$A$299:$A$328,0))),0)</f>
        <v>0</v>
      </c>
      <c r="AL24" s="0" t="n">
        <f aca="false">IFERROR(N(INDEX(Registro!$AA$299:$AA$328,MATCH($A24,Registro!$A$299:$A$328,0))),0)</f>
        <v>0</v>
      </c>
      <c r="AM24" s="0" t="n">
        <f aca="false">IFERROR(N(INDEX(Registro!$I$335:$I$364,MATCH($A24,Registro!$A$335:$A$364,0))),0)</f>
        <v>0</v>
      </c>
      <c r="AN24" s="0" t="n">
        <f aca="false">IFERROR(N(INDEX(Registro!$O$335:$O$364,MATCH($A24,Registro!$A$335:$A$364,0))),0)</f>
        <v>0</v>
      </c>
      <c r="AO24" s="0" t="n">
        <f aca="false">IFERROR(N(INDEX(Registro!$U$335:$U$364,MATCH($A24,Registro!$A$335:$A$364,0))),0)</f>
        <v>0</v>
      </c>
      <c r="AP24" s="0" t="n">
        <f aca="false">IFERROR(N(INDEX(Registro!$AA$335:$AA$364,MATCH($A24,Registro!$A$335:$A$364,0))),0)</f>
        <v>0</v>
      </c>
      <c r="AQ24" s="0" t="n">
        <f aca="false">IFERROR(N(INDEX(Registro!$I$371:$I$400,MATCH($A24,Registro!$A$371:$A$400,0))),0)</f>
        <v>0</v>
      </c>
      <c r="AR24" s="0" t="n">
        <f aca="false">IFERROR(N(INDEX(Registro!$O$371:$O$400,MATCH($A24,Registro!$A$371:$A$400,0))),0)</f>
        <v>0</v>
      </c>
      <c r="AS24" s="0" t="n">
        <f aca="false">IFERROR(N(INDEX(Registro!$U$371:$U$400,MATCH($A24,Registro!$A$371:$A$400,0))),0)</f>
        <v>0</v>
      </c>
      <c r="AT24" s="0" t="n">
        <f aca="false">IFERROR(N(INDEX(Registro!$AA$371:$AA$400,MATCH($A24,Registro!$A$371:$A$400,0))),0)</f>
        <v>0</v>
      </c>
      <c r="AU24" s="0" t="n">
        <f aca="false">IFERROR(N(INDEX(Registro!$I$407:$I$436,MATCH($A24,Registro!$A$407:$A$436,0))),0)</f>
        <v>0</v>
      </c>
      <c r="AV24" s="0" t="n">
        <f aca="false">IFERROR(N(INDEX(Registro!$O$407:$O$436,MATCH($A24,Registro!$A$407:$A$436,0))),0)</f>
        <v>0</v>
      </c>
      <c r="AW24" s="0" t="n">
        <f aca="false">IFERROR(N(INDEX(Registro!$U$407:$U$436,MATCH($A24,Registro!$A$407:$A$436,0))),0)</f>
        <v>0</v>
      </c>
      <c r="AX24" s="0" t="n">
        <f aca="false">IFERROR(N(INDEX(Registro!$AA$407:$AA$436,MATCH($A24,Registro!$A$407:$A$436,0))),0)</f>
        <v>0</v>
      </c>
      <c r="AY24" s="0" t="n">
        <f aca="false">IFERROR(N(INDEX(Registro!$I$443:$I$472,MATCH($A24,Registro!$A$443:$A$472,0))),0)</f>
        <v>0</v>
      </c>
      <c r="AZ24" s="0" t="n">
        <f aca="false">IFERROR(N(INDEX(Registro!$O$443:$O$472,MATCH($A24,Registro!$A$443:$A$472,0))),0)</f>
        <v>0</v>
      </c>
      <c r="BA24" s="0" t="n">
        <f aca="false">IFERROR(N(INDEX(Registro!$U$443:$U$472,MATCH($A24,Registro!$A$443:$A$472,0))),0)</f>
        <v>0</v>
      </c>
      <c r="BB24" s="0" t="n">
        <f aca="false">IFERROR(N(INDEX(Registro!$AA$443:$AA$472,MATCH($A24,Registro!$A$443:$A$472,0))),0)</f>
        <v>0</v>
      </c>
      <c r="BC24" s="0" t="n">
        <f aca="false">IFERROR(N(INDEX(Registro!$I$479:$I$508,MATCH($A24,Registro!$A$479:$A$508,0))),0)</f>
        <v>0</v>
      </c>
      <c r="BD24" s="0" t="n">
        <f aca="false">IFERROR(N(INDEX(Registro!$O$479:$O$508,MATCH($A24,Registro!$A$479:$A$508,0))),0)</f>
        <v>0</v>
      </c>
      <c r="BE24" s="0" t="n">
        <f aca="false">IFERROR(N(INDEX(Registro!$U$479:$U$508,MATCH($A24,Registro!$A$479:$A$508,0))),0)</f>
        <v>0</v>
      </c>
      <c r="BF24" s="0" t="n">
        <f aca="false">IFERROR(N(INDEX(Registro!$AA$479:$AA$508,MATCH($A24,Registro!$A$479:$A$508,0))),0)</f>
        <v>0</v>
      </c>
      <c r="BG24" s="0" t="n">
        <f aca="false">IFERROR(N(INDEX(Registro!$I$515:$I$544,MATCH($A24,Registro!$A$515:$A$544,0))),0)</f>
        <v>0</v>
      </c>
      <c r="BH24" s="0" t="n">
        <f aca="false">IFERROR(N(INDEX(Registro!$O$515:$O$544,MATCH($A24,Registro!$A$515:$A$544,0))),0)</f>
        <v>0</v>
      </c>
      <c r="BI24" s="0" t="n">
        <f aca="false">IFERROR(N(INDEX(Registro!$U$515:$U$544,MATCH($A24,Registro!$A$515:$A$544,0))),0)</f>
        <v>0</v>
      </c>
      <c r="BJ24" s="0" t="n">
        <f aca="false">IFERROR(N(INDEX(Registro!$AA$515:$AA$544,MATCH($A24,Registro!$A$515:$A$544,0))),0)</f>
        <v>0</v>
      </c>
      <c r="BK24" s="0" t="n">
        <f aca="false">IFERROR(N(INDEX(Registro!$I$551:$I$580,MATCH($A24,Registro!$A$551:$A$580,0))),0)</f>
        <v>0</v>
      </c>
      <c r="BL24" s="0" t="n">
        <f aca="false">IFERROR(N(INDEX(Registro!$O$551:$O$580,MATCH($A24,Registro!$A$551:$A$580,0))),0)</f>
        <v>0</v>
      </c>
      <c r="BM24" s="0" t="n">
        <f aca="false">IFERROR(N(INDEX(Registro!$U$551:$U$580,MATCH($A24,Registro!$A$551:$A$580,0))),0)</f>
        <v>0</v>
      </c>
      <c r="BN24" s="0" t="n">
        <f aca="false">IFERROR(N(INDEX(Registro!$AA$551:$AA$580,MATCH($A24,Registro!$A$551:$A$580,0))),0)</f>
        <v>0</v>
      </c>
      <c r="BO24" s="0" t="n">
        <f aca="false">IFERROR(N(INDEX(Registro!$I$587:$I$616,MATCH($A24,Registro!$A$587:$A$616,0))),0)</f>
        <v>0</v>
      </c>
      <c r="BP24" s="0" t="n">
        <f aca="false">IFERROR(N(INDEX(Registro!$O$587:$O$616,MATCH($A24,Registro!$A$587:$A$616,0))),0)</f>
        <v>0</v>
      </c>
      <c r="BQ24" s="0" t="n">
        <f aca="false">IFERROR(N(INDEX(Registro!$U$587:$U$616,MATCH($A24,Registro!$A$587:$A$616,0))),0)</f>
        <v>0</v>
      </c>
      <c r="BR24" s="0" t="n">
        <f aca="false">IFERROR(N(INDEX(Registro!$AA$587:$AA$616,MATCH($A24,Registro!$A$587:$A$616,0))),0)</f>
        <v>0</v>
      </c>
      <c r="BS24" s="0" t="n">
        <f aca="false">IFERROR(N(INDEX(Registro!$I$623:$I$652,MATCH($A24,Registro!$A$623:$A$652,0))),0)</f>
        <v>0</v>
      </c>
      <c r="BT24" s="0" t="n">
        <f aca="false">IFERROR(N(INDEX(Registro!$O$623:$O$652,MATCH($A24,Registro!$A$623:$A$652,0))),0)</f>
        <v>0</v>
      </c>
      <c r="BU24" s="0" t="n">
        <f aca="false">IFERROR(N(INDEX(Registro!$U$623:$U$652,MATCH($A24,Registro!$A$623:$A$652,0))),0)</f>
        <v>0</v>
      </c>
      <c r="BV24" s="0" t="n">
        <f aca="false">IFERROR(N(INDEX(Registro!$AA$623:$AA$652,MATCH($A24,Registro!$A$623:$A$652,0))),0)</f>
        <v>0</v>
      </c>
      <c r="BW24" s="0" t="n">
        <f aca="false">IFERROR(N(INDEX(Registro!$I$659:$I$688,MATCH($A24,Registro!$A$659:$A$688,0))),0)</f>
        <v>0</v>
      </c>
      <c r="BX24" s="0" t="n">
        <f aca="false">IFERROR(N(INDEX(Registro!$O$659:$O$688,MATCH($A24,Registro!$A$659:$A$688,0))),0)</f>
        <v>0</v>
      </c>
      <c r="BY24" s="0" t="n">
        <f aca="false">IFERROR(N(INDEX(Registro!$U$659:$U$688,MATCH($A24,Registro!$A$659:$A$688,0))),0)</f>
        <v>0</v>
      </c>
      <c r="BZ24" s="0" t="n">
        <f aca="false">IFERROR(N(INDEX(Registro!$AA$659:$AA$688,MATCH($A24,Registro!$A$659:$A$688,0))),0)</f>
        <v>0</v>
      </c>
      <c r="CA24" s="0" t="n">
        <f aca="false">IFERROR(N(INDEX(Registro!$I$695:$I$724,MATCH($A24,Registro!$A$695:$A$724,0))),0)</f>
        <v>0</v>
      </c>
      <c r="CB24" s="0" t="n">
        <f aca="false">IFERROR(N(INDEX(Registro!$O$695:$O$724,MATCH($A24,Registro!$A$695:$A$724,0))),0)</f>
        <v>0</v>
      </c>
      <c r="CC24" s="0" t="n">
        <f aca="false">IFERROR(N(INDEX(Registro!$U$695:$U$724,MATCH($A24,Registro!$A$695:$A$724,0))),0)</f>
        <v>0</v>
      </c>
      <c r="CD24" s="0" t="n">
        <f aca="false">IFERROR(N(INDEX(Registro!$AA$695:$AA$724,MATCH($A24,Registro!$A$695:$A$724,0))),0)</f>
        <v>0</v>
      </c>
      <c r="CE24" s="0" t="n">
        <f aca="false">IFERROR(IF(ISNUMBER(INDEX(Registro!$I$11:$I$40,MATCH($A24,Registro!$A$11:$A$40,0))),CE$5,0),0)</f>
        <v>0</v>
      </c>
      <c r="CF24" s="0" t="n">
        <f aca="false">IFERROR(IF(ISNUMBER(INDEX(Registro!$O$11:$O$40,MATCH($A24,Registro!$A$11:$A$40,0))),CF$5,0),0)</f>
        <v>0</v>
      </c>
      <c r="CG24" s="0" t="n">
        <f aca="false">IFERROR(IF(ISNUMBER(INDEX(Registro!$U$11:$U$40,MATCH($A24,Registro!$A$11:$A$40,0))),CG$5,0),0)</f>
        <v>0</v>
      </c>
      <c r="CH24" s="0" t="n">
        <f aca="false">IFERROR(IF(ISNUMBER(INDEX(Registro!$AA$11:$AA$40,MATCH($A24,Registro!$A$11:$A$40,0))),CH$5,0),0)</f>
        <v>0</v>
      </c>
      <c r="CI24" s="0" t="n">
        <f aca="false">IFERROR(IF(ISNUMBER(INDEX(Registro!$I$47:$I$76,MATCH($A24,Registro!$A$47:$A$76,0))),CI$5,0),0)</f>
        <v>0</v>
      </c>
      <c r="CJ24" s="0" t="n">
        <f aca="false">IFERROR(IF(ISNUMBER(INDEX(Registro!$O$47:$O$76,MATCH($A24,Registro!$A$47:$A$76,0))),CJ$5,0),0)</f>
        <v>0</v>
      </c>
      <c r="CK24" s="0" t="n">
        <f aca="false">IFERROR(IF(ISNUMBER(INDEX(Registro!$U$47:$U$76,MATCH($A24,Registro!$A$47:$A$76,0))),CK$5,0),0)</f>
        <v>0</v>
      </c>
      <c r="CL24" s="0" t="n">
        <f aca="false">IFERROR(IF(ISNUMBER(INDEX(Registro!$AA$47:$AA$76,MATCH($A24,Registro!$A$47:$A$76,0))),CL$5,0),0)</f>
        <v>0</v>
      </c>
      <c r="CM24" s="0" t="n">
        <f aca="false">IFERROR(IF(ISNUMBER(INDEX(Registro!$I$83:$I$112,MATCH($A24,Registro!$A$83:$A$112,0))),CM$5,0),0)</f>
        <v>0</v>
      </c>
      <c r="CN24" s="0" t="n">
        <f aca="false">IFERROR(IF(ISNUMBER(INDEX(Registro!$O$83:$O$112,MATCH($A24,Registro!$A$83:$A$112,0))),CN$5,0),0)</f>
        <v>0</v>
      </c>
      <c r="CO24" s="0" t="n">
        <f aca="false">IFERROR(IF(ISNUMBER(INDEX(Registro!$U$83:$U$112,MATCH($A24,Registro!$A$83:$A$112,0))),CO$5,0),0)</f>
        <v>0</v>
      </c>
      <c r="CP24" s="0" t="n">
        <f aca="false">IFERROR(IF(ISNUMBER(INDEX(Registro!$AA$83:$AA$112,MATCH($A24,Registro!$A$83:$A$112,0))),CP$5,0),0)</f>
        <v>0</v>
      </c>
      <c r="CQ24" s="0" t="n">
        <f aca="false">IFERROR(IF(ISNUMBER(INDEX(Registro!$I$119:$I$148,MATCH($A24,Registro!$A$119:$A$148,0))),CQ$5,0),0)</f>
        <v>0</v>
      </c>
      <c r="CR24" s="0" t="n">
        <f aca="false">IFERROR(IF(ISNUMBER(INDEX(Registro!$O$119:$O$148,MATCH($A24,Registro!$A$119:$A$148,0))),CR$5,0),0)</f>
        <v>0</v>
      </c>
      <c r="CS24" s="0" t="n">
        <f aca="false">IFERROR(IF(ISNUMBER(INDEX(Registro!$U$119:$U$148,MATCH($A24,Registro!$A$119:$A$148,0))),CS$5,0),0)</f>
        <v>0</v>
      </c>
      <c r="CT24" s="0" t="n">
        <f aca="false">IFERROR(IF(ISNUMBER(INDEX(Registro!$AA$119:$AA$148,MATCH($A24,Registro!$A$119:$A$148,0))),CT$5,0),0)</f>
        <v>0</v>
      </c>
      <c r="CU24" s="0" t="n">
        <f aca="false">IFERROR(IF(ISNUMBER(INDEX(Registro!$I$155:$I$184,MATCH($A24,Registro!$A$155:$A$184,0))),CU$5,0),0)</f>
        <v>0</v>
      </c>
      <c r="CV24" s="0" t="n">
        <f aca="false">IFERROR(IF(ISNUMBER(INDEX(Registro!$O$155:$O$184,MATCH($A24,Registro!$A$155:$A$184,0))),CV$5,0),0)</f>
        <v>0</v>
      </c>
      <c r="CW24" s="0" t="n">
        <f aca="false">IFERROR(IF(ISNUMBER(INDEX(Registro!$U$155:$U$184,MATCH($A24,Registro!$A$155:$A$184,0))),CW$5,0),0)</f>
        <v>0</v>
      </c>
      <c r="CX24" s="0" t="n">
        <f aca="false">IFERROR(IF(ISNUMBER(INDEX(Registro!$AA$155:$AA$184,MATCH($A24,Registro!$A$155:$A$184,0))),CX$5,0),0)</f>
        <v>0</v>
      </c>
      <c r="CY24" s="0" t="n">
        <f aca="false">IFERROR(IF(ISNUMBER(INDEX(Registro!$I$191:$I$220,MATCH($A24,Registro!$A$191:$A$220,0))),CY$5,0),0)</f>
        <v>0</v>
      </c>
      <c r="CZ24" s="0" t="n">
        <f aca="false">IFERROR(IF(ISNUMBER(INDEX(Registro!$O$191:$O$220,MATCH($A24,Registro!$A$191:$A$220,0))),CZ$5,0),0)</f>
        <v>0</v>
      </c>
      <c r="DA24" s="0" t="n">
        <f aca="false">IFERROR(IF(ISNUMBER(INDEX(Registro!$U$191:$U$220,MATCH($A24,Registro!$A$191:$A$220,0))),DA$5,0),0)</f>
        <v>0</v>
      </c>
      <c r="DB24" s="0" t="n">
        <f aca="false">IFERROR(IF(ISNUMBER(INDEX(Registro!$AA$191:$AA$220,MATCH($A24,Registro!$A$191:$A$220,0))),DB$5,0),0)</f>
        <v>0</v>
      </c>
      <c r="DC24" s="0" t="n">
        <f aca="false">IFERROR(IF(ISNUMBER(INDEX(Registro!$I$227:$I$256,MATCH($A24,Registro!$A$227:$A$256,0))),DC$5,0),0)</f>
        <v>0</v>
      </c>
      <c r="DD24" s="0" t="n">
        <f aca="false">IFERROR(IF(ISNUMBER(INDEX(Registro!$O$227:$O$256,MATCH($A24,Registro!$A$227:$A$256,0))),DD$5,0),0)</f>
        <v>0</v>
      </c>
      <c r="DE24" s="0" t="n">
        <f aca="false">IFERROR(IF(ISNUMBER(INDEX(Registro!$U$227:$U$256,MATCH($A24,Registro!$A$227:$A$256,0))),DE$5,0),0)</f>
        <v>0</v>
      </c>
      <c r="DF24" s="0" t="n">
        <f aca="false">IFERROR(IF(ISNUMBER(INDEX(Registro!$AA$227:$AA$256,MATCH($A24,Registro!$A$227:$A$256,0))),DF$5,0),0)</f>
        <v>0</v>
      </c>
      <c r="DG24" s="0" t="n">
        <f aca="false">IFERROR(IF(ISNUMBER(INDEX(Registro!$I$263:$I$292,MATCH($A24,Registro!$A$263:$A$292,0))),DG$5,0),0)</f>
        <v>0</v>
      </c>
      <c r="DH24" s="0" t="n">
        <f aca="false">IFERROR(IF(ISNUMBER(INDEX(Registro!$O$263:$O$292,MATCH($A24,Registro!$A$263:$A$292,0))),DH$5,0),0)</f>
        <v>0</v>
      </c>
      <c r="DI24" s="0" t="n">
        <f aca="false">IFERROR(IF(ISNUMBER(INDEX(Registro!$U$263:$U$292,MATCH($A24,Registro!$A$263:$A$292,0))),DI$5,0),0)</f>
        <v>0</v>
      </c>
      <c r="DJ24" s="0" t="n">
        <f aca="false">IFERROR(IF(ISNUMBER(INDEX(Registro!$AA$263:$AA$292,MATCH($A24,Registro!$A$263:$A$292,0))),DJ$5,0),0)</f>
        <v>0</v>
      </c>
      <c r="DK24" s="0" t="n">
        <f aca="false">IFERROR(IF(ISNUMBER(INDEX(Registro!$I$299:$I$328,MATCH($A24,Registro!$A$299:$A$328,0))),DK$5,0),0)</f>
        <v>0</v>
      </c>
      <c r="DL24" s="0" t="n">
        <f aca="false">IFERROR(IF(ISNUMBER(INDEX(Registro!$O$299:$O$328,MATCH($A24,Registro!$A$299:$A$328,0))),DL$5,0),0)</f>
        <v>0</v>
      </c>
      <c r="DM24" s="0" t="n">
        <f aca="false">IFERROR(IF(ISNUMBER(INDEX(Registro!$U$299:$U$328,MATCH($A24,Registro!$A$299:$A$328,0))),DM$5,0),0)</f>
        <v>0</v>
      </c>
      <c r="DN24" s="0" t="n">
        <f aca="false">IFERROR(IF(ISNUMBER(INDEX(Registro!$AA$299:$AA$328,MATCH($A24,Registro!$A$299:$A$328,0))),DN$5,0),0)</f>
        <v>0</v>
      </c>
      <c r="DO24" s="0" t="n">
        <f aca="false">IFERROR(IF(ISNUMBER(INDEX(Registro!$I$335:$I$364,MATCH($A24,Registro!$A$335:$A$364,0))),DO$5,0),0)</f>
        <v>0</v>
      </c>
      <c r="DP24" s="0" t="n">
        <f aca="false">IFERROR(IF(ISNUMBER(INDEX(Registro!$O$335:$O$364,MATCH($A24,Registro!$A$335:$A$364,0))),DP$5,0),0)</f>
        <v>0</v>
      </c>
      <c r="DQ24" s="0" t="n">
        <f aca="false">IFERROR(IF(ISNUMBER(INDEX(Registro!$U$335:$U$364,MATCH($A24,Registro!$A$335:$A$364,0))),DQ$5,0),0)</f>
        <v>0</v>
      </c>
      <c r="DR24" s="0" t="n">
        <f aca="false">IFERROR(IF(ISNUMBER(INDEX(Registro!$AA$335:$AA$364,MATCH($A24,Registro!$A$335:$A$364,0))),DR$5,0),0)</f>
        <v>0</v>
      </c>
      <c r="DS24" s="0" t="n">
        <f aca="false">IFERROR(IF(ISNUMBER(INDEX(Registro!$I$371:$I$400,MATCH($A24,Registro!$A$371:$A$400,0))),DS$5,0),0)</f>
        <v>0</v>
      </c>
      <c r="DT24" s="0" t="n">
        <f aca="false">IFERROR(IF(ISNUMBER(INDEX(Registro!$O$371:$O$400,MATCH($A24,Registro!$A$371:$A$400,0))),DT$5,0),0)</f>
        <v>0</v>
      </c>
      <c r="DU24" s="0" t="n">
        <f aca="false">IFERROR(IF(ISNUMBER(INDEX(Registro!$U$371:$U$400,MATCH($A24,Registro!$A$371:$A$400,0))),DU$5,0),0)</f>
        <v>0</v>
      </c>
      <c r="DV24" s="0" t="n">
        <f aca="false">IFERROR(IF(ISNUMBER(INDEX(Registro!$AA$371:$AA$400,MATCH($A24,Registro!$A$371:$A$400,0))),DV$5,0),0)</f>
        <v>0</v>
      </c>
      <c r="DW24" s="0" t="n">
        <f aca="false">IFERROR(IF(ISNUMBER(INDEX(Registro!$I$407:$I$436,MATCH($A24,Registro!$A$407:$A$436,0))),DW$5,0),0)</f>
        <v>0</v>
      </c>
      <c r="DX24" s="0" t="n">
        <f aca="false">IFERROR(IF(ISNUMBER(INDEX(Registro!$O$407:$O$436,MATCH($A24,Registro!$A$407:$A$436,0))),DX$5,0),0)</f>
        <v>0</v>
      </c>
      <c r="DY24" s="0" t="n">
        <f aca="false">IFERROR(IF(ISNUMBER(INDEX(Registro!$U$407:$U$436,MATCH($A24,Registro!$A$407:$A$436,0))),DY$5,0),0)</f>
        <v>0</v>
      </c>
      <c r="DZ24" s="0" t="n">
        <f aca="false">IFERROR(IF(ISNUMBER(INDEX(Registro!$AA$407:$AA$436,MATCH($A24,Registro!$A$407:$A$436,0))),DZ$5,0),0)</f>
        <v>0</v>
      </c>
      <c r="EA24" s="0" t="n">
        <f aca="false">IFERROR(IF(ISNUMBER(INDEX(Registro!$I$443:$I$472,MATCH($A24,Registro!$A$443:$A$472,0))),EA$5,0),0)</f>
        <v>0</v>
      </c>
      <c r="EB24" s="0" t="n">
        <f aca="false">IFERROR(IF(ISNUMBER(INDEX(Registro!$O$443:$O$472,MATCH($A24,Registro!$A$443:$A$472,0))),EB$5,0),0)</f>
        <v>0</v>
      </c>
      <c r="EC24" s="0" t="n">
        <f aca="false">IFERROR(IF(ISNUMBER(INDEX(Registro!$U$443:$U$472,MATCH($A24,Registro!$A$443:$A$472,0))),EC$5,0),0)</f>
        <v>0</v>
      </c>
      <c r="ED24" s="0" t="n">
        <f aca="false">IFERROR(IF(ISNUMBER(INDEX(Registro!$AA$443:$AA$472,MATCH($A24,Registro!$A$443:$A$472,0))),ED$5,0),0)</f>
        <v>0</v>
      </c>
      <c r="EE24" s="0" t="n">
        <f aca="false">IFERROR(IF(ISNUMBER(INDEX(Registro!$I$479:$I$508,MATCH($A24,Registro!$A$479:$A$508,0))),EE$5,0),0)</f>
        <v>0</v>
      </c>
      <c r="EF24" s="0" t="n">
        <f aca="false">IFERROR(IF(ISNUMBER(INDEX(Registro!$O$479:$O$508,MATCH($A24,Registro!$A$479:$A$508,0))),EF$5,0),0)</f>
        <v>0</v>
      </c>
      <c r="EG24" s="0" t="n">
        <f aca="false">IFERROR(IF(ISNUMBER(INDEX(Registro!$U$479:$U$508,MATCH($A24,Registro!$A$479:$A$508,0))),EG$5,0),0)</f>
        <v>0</v>
      </c>
      <c r="EH24" s="0" t="n">
        <f aca="false">IFERROR(IF(ISNUMBER(INDEX(Registro!$AA$479:$AA$508,MATCH($A24,Registro!$A$479:$A$508,0))),EH$5,0),0)</f>
        <v>0</v>
      </c>
      <c r="EI24" s="0" t="n">
        <f aca="false">IFERROR(IF(ISNUMBER(INDEX(Registro!$I$515:$I$544,MATCH($A24,Registro!$A$515:$A$544,0))),EI$5,0),0)</f>
        <v>0</v>
      </c>
      <c r="EJ24" s="0" t="n">
        <f aca="false">IFERROR(IF(ISNUMBER(INDEX(Registro!$O$515:$O$544,MATCH($A24,Registro!$A$515:$A$544,0))),EJ$5,0),0)</f>
        <v>0</v>
      </c>
      <c r="EK24" s="0" t="n">
        <f aca="false">IFERROR(IF(ISNUMBER(INDEX(Registro!$U$515:$U$544,MATCH($A24,Registro!$A$515:$A$544,0))),EK$5,0),0)</f>
        <v>0</v>
      </c>
      <c r="EL24" s="0" t="n">
        <f aca="false">IFERROR(IF(ISNUMBER(INDEX(Registro!$AA$515:$AA$544,MATCH($A24,Registro!$A$515:$A$544,0))),EL$5,0),0)</f>
        <v>0</v>
      </c>
      <c r="EM24" s="0" t="n">
        <f aca="false">IFERROR(IF(ISNUMBER(INDEX(Registro!$I$551:$I$580,MATCH($A24,Registro!$A$551:$A$580,0))),EM$5,0),0)</f>
        <v>0</v>
      </c>
      <c r="EN24" s="0" t="n">
        <f aca="false">IFERROR(IF(ISNUMBER(INDEX(Registro!$O$551:$O$580,MATCH($A24,Registro!$A$551:$A$580,0))),EN$5,0),0)</f>
        <v>0</v>
      </c>
      <c r="EO24" s="0" t="n">
        <f aca="false">IFERROR(IF(ISNUMBER(INDEX(Registro!$U$551:$U$580,MATCH($A24,Registro!$A$551:$A$580,0))),EO$5,0),0)</f>
        <v>0</v>
      </c>
      <c r="EP24" s="0" t="n">
        <f aca="false">IFERROR(IF(ISNUMBER(INDEX(Registro!$AA$551:$AA$580,MATCH($A24,Registro!$A$551:$A$580,0))),EP$5,0),0)</f>
        <v>0</v>
      </c>
      <c r="EQ24" s="0" t="n">
        <f aca="false">IFERROR(IF(ISNUMBER(INDEX(Registro!$I$587:$I$616,MATCH($A24,Registro!$A$587:$A$616,0))),EQ$5,0),0)</f>
        <v>0</v>
      </c>
      <c r="ER24" s="0" t="n">
        <f aca="false">IFERROR(IF(ISNUMBER(INDEX(Registro!$O$587:$O$616,MATCH($A24,Registro!$A$587:$A$616,0))),ER$5,0),0)</f>
        <v>0</v>
      </c>
      <c r="ES24" s="0" t="n">
        <f aca="false">IFERROR(IF(ISNUMBER(INDEX(Registro!$U$587:$U$616,MATCH($A24,Registro!$A$587:$A$616,0))),ES$5,0),0)</f>
        <v>0</v>
      </c>
      <c r="ET24" s="0" t="n">
        <f aca="false">IFERROR(IF(ISNUMBER(INDEX(Registro!$AA$587:$AA$616,MATCH($A24,Registro!$A$587:$A$616,0))),ET$5,0),0)</f>
        <v>0</v>
      </c>
      <c r="EU24" s="0" t="n">
        <f aca="false">IFERROR(IF(ISNUMBER(INDEX(Registro!$I$623:$I$652,MATCH($A24,Registro!$A$623:$A$652,0))),EU$5,0),0)</f>
        <v>0</v>
      </c>
      <c r="EV24" s="0" t="n">
        <f aca="false">IFERROR(IF(ISNUMBER(INDEX(Registro!$O$623:$O$652,MATCH($A24,Registro!$A$623:$A$652,0))),EV$5,0),0)</f>
        <v>0</v>
      </c>
      <c r="EW24" s="0" t="n">
        <f aca="false">IFERROR(IF(ISNUMBER(INDEX(Registro!$U$623:$U$652,MATCH($A24,Registro!$A$623:$A$652,0))),EW$5,0),0)</f>
        <v>0</v>
      </c>
      <c r="EX24" s="0" t="n">
        <f aca="false">IFERROR(IF(ISNUMBER(INDEX(Registro!$AA$623:$AA$652,MATCH($A24,Registro!$A$623:$A$652,0))),EX$5,0),0)</f>
        <v>0</v>
      </c>
      <c r="EY24" s="0" t="n">
        <f aca="false">IFERROR(IF(ISNUMBER(INDEX(Registro!$I$659:$I$688,MATCH($A24,Registro!$A$659:$A$688,0))),EY$5,0),0)</f>
        <v>0</v>
      </c>
      <c r="EZ24" s="0" t="n">
        <f aca="false">IFERROR(IF(ISNUMBER(INDEX(Registro!$O$659:$O$688,MATCH($A24,Registro!$A$659:$A$688,0))),EZ$5,0),0)</f>
        <v>0</v>
      </c>
      <c r="FA24" s="0" t="n">
        <f aca="false">IFERROR(IF(ISNUMBER(INDEX(Registro!$U$659:$U$688,MATCH($A24,Registro!$A$659:$A$688,0))),FA$5,0),0)</f>
        <v>0</v>
      </c>
      <c r="FB24" s="0" t="n">
        <f aca="false">IFERROR(IF(ISNUMBER(INDEX(Registro!$AA$659:$AA$688,MATCH($A24,Registro!$A$659:$A$688,0))),FB$5,0),0)</f>
        <v>0</v>
      </c>
      <c r="FC24" s="0" t="n">
        <f aca="false">IFERROR(IF(ISNUMBER(INDEX(Registro!$I$695:$I$724,MATCH($A24,Registro!$A$695:$A$724,0))),FC$5,0),0)</f>
        <v>0</v>
      </c>
      <c r="FD24" s="0" t="n">
        <f aca="false">IFERROR(IF(ISNUMBER(INDEX(Registro!$O$695:$O$724,MATCH($A24,Registro!$A$695:$A$724,0))),FD$5,0),0)</f>
        <v>0</v>
      </c>
      <c r="FE24" s="0" t="n">
        <f aca="false">IFERROR(IF(ISNUMBER(INDEX(Registro!$U$695:$U$724,MATCH($A24,Registro!$A$695:$A$724,0))),FE$5,0),0)</f>
        <v>0</v>
      </c>
      <c r="FF24" s="0" t="n">
        <f aca="false">IFERROR(IF(ISNUMBER(INDEX(Registro!$AA$695:$AA$724,MATCH($A24,Registro!$A$695:$A$724,0))),FF$5,0),0)</f>
        <v>0</v>
      </c>
      <c r="FG24" s="0" t="n">
        <f aca="false">IFERROR(IF(AND(INDEX(Registro!$C$11:$C$40,MATCH($A24,Registro!$A$11:$A$40,0))="AS",INDEX(Registro!$D$11:$D$40,MATCH($A24,Registro!$A$11:$A$40,0))&amp;""=""),1,0),0)</f>
        <v>0</v>
      </c>
      <c r="FH24" s="0" t="n">
        <f aca="false">IFERROR(IF(AND(INDEX(Registro!$C$47:$C$76,MATCH($A24,Registro!$A$47:$A$76,0))="AS",INDEX(Registro!$D$47:$D$76,MATCH($A24,Registro!$A$47:$A$76,0))&amp;""=""),1,0),0)</f>
        <v>0</v>
      </c>
      <c r="FI24" s="0" t="n">
        <f aca="false">IFERROR(IF(AND(INDEX(Registro!$C$83:$C$112,MATCH($A24,Registro!$A$83:$A$112,0))="AS",INDEX(Registro!$D$83:$D$112,MATCH($A24,Registro!$A$83:$A$112,0))&amp;""=""),1,0),0)</f>
        <v>0</v>
      </c>
      <c r="FJ24" s="0" t="n">
        <f aca="false">IFERROR(IF(AND(INDEX(Registro!$C$119:$C$148,MATCH($A24,Registro!$A$119:$A$148,0))="AS",INDEX(Registro!$D$119:$D$148,MATCH($A24,Registro!$A$119:$A$148,0))&amp;""=""),1,0),0)</f>
        <v>0</v>
      </c>
      <c r="FK24" s="0" t="n">
        <f aca="false">IFERROR(IF(AND(INDEX(Registro!$C$155:$C$184,MATCH($A24,Registro!$A$155:$A$184,0))="AS",INDEX(Registro!$D$155:$D$184,MATCH($A24,Registro!$A$155:$A$184,0))&amp;""=""),1,0),0)</f>
        <v>0</v>
      </c>
      <c r="FL24" s="0" t="n">
        <f aca="false">IFERROR(IF(AND(INDEX(Registro!$C$191:$C$220,MATCH($A24,Registro!$A$191:$A$220,0))="AS",INDEX(Registro!$D$191:$D$220,MATCH($A24,Registro!$A$191:$A$220,0))&amp;""=""),1,0),0)</f>
        <v>0</v>
      </c>
      <c r="FM24" s="0" t="n">
        <f aca="false">IFERROR(IF(AND(INDEX(Registro!$C$227:$C$256,MATCH($A24,Registro!$A$227:$A$256,0))="AS",INDEX(Registro!$D$227:$D$256,MATCH($A24,Registro!$A$227:$A$256,0))&amp;""=""),1,0),0)</f>
        <v>0</v>
      </c>
      <c r="FN24" s="0" t="n">
        <f aca="false">IFERROR(IF(AND(INDEX(Registro!$C$263:$C$292,MATCH($A24,Registro!$A$263:$A$292,0))="AS",INDEX(Registro!$D$263:$D$292,MATCH($A24,Registro!$A$263:$A$292,0))&amp;""=""),1,0),0)</f>
        <v>0</v>
      </c>
      <c r="FO24" s="0" t="n">
        <f aca="false">IFERROR(IF(AND(INDEX(Registro!$C$299:$C$328,MATCH($A24,Registro!$A$299:$A$328,0))="AS",INDEX(Registro!$D$299:$D$328,MATCH($A24,Registro!$A$299:$A$328,0))&amp;""=""),1,0),0)</f>
        <v>0</v>
      </c>
      <c r="FP24" s="0" t="n">
        <f aca="false">IFERROR(IF(AND(INDEX(Registro!$C$335:$C$364,MATCH($A24,Registro!$A$335:$A$364,0))="AS",INDEX(Registro!$D$335:$D$364,MATCH($A24,Registro!$A$335:$A$364,0))&amp;""=""),1,0),0)</f>
        <v>0</v>
      </c>
      <c r="FQ24" s="0" t="n">
        <f aca="false">IFERROR(IF(AND(INDEX(Registro!$C$371:$C$400,MATCH($A24,Registro!$A$371:$A$400,0))="AS",INDEX(Registro!$D$371:$D$400,MATCH($A24,Registro!$A$371:$A$400,0))&amp;""=""),1,0),0)</f>
        <v>0</v>
      </c>
      <c r="FR24" s="0" t="n">
        <f aca="false">IFERROR(IF(AND(INDEX(Registro!$C$407:$C$436,MATCH($A24,Registro!$A$407:$A$436,0))="AS",INDEX(Registro!$D$407:$D$436,MATCH($A24,Registro!$A$407:$A$436,0))&amp;""=""),1,0),0)</f>
        <v>0</v>
      </c>
      <c r="FS24" s="0" t="n">
        <f aca="false">IFERROR(IF(AND(INDEX(Registro!$C$443:$C$472,MATCH($A24,Registro!$A$443:$A$472,0))="AS",INDEX(Registro!$D$443:$D$472,MATCH($A24,Registro!$A$443:$A$472,0))&amp;""=""),1,0),0)</f>
        <v>0</v>
      </c>
      <c r="FT24" s="0" t="n">
        <f aca="false">IFERROR(IF(AND(INDEX(Registro!$C$479:$C$508,MATCH($A24,Registro!$A$479:$A$508,0))="AS",INDEX(Registro!$D$479:$D$508,MATCH($A24,Registro!$A$479:$A$508,0))&amp;""=""),1,0),0)</f>
        <v>0</v>
      </c>
      <c r="FU24" s="0" t="n">
        <f aca="false">IFERROR(IF(AND(INDEX(Registro!$C$515:$C$544,MATCH($A24,Registro!$A$515:$A$544,0))="AS",INDEX(Registro!$D$515:$D$544,MATCH($A24,Registro!$A$515:$A$544,0))&amp;""=""),1,0),0)</f>
        <v>0</v>
      </c>
      <c r="FV24" s="0" t="n">
        <f aca="false">IFERROR(IF(AND(INDEX(Registro!$C$551:$C$580,MATCH($A24,Registro!$A$551:$A$580,0))="AS",INDEX(Registro!$D$551:$D$580,MATCH($A24,Registro!$A$551:$A$580,0))&amp;""=""),1,0),0)</f>
        <v>0</v>
      </c>
      <c r="FW24" s="0" t="n">
        <f aca="false">IFERROR(IF(AND(INDEX(Registro!$C$587:$C$616,MATCH($A24,Registro!$A$587:$A$616,0))="AS",INDEX(Registro!$D$587:$D$616,MATCH($A24,Registro!$A$587:$A$616,0))&amp;""=""),1,0),0)</f>
        <v>0</v>
      </c>
      <c r="FX24" s="0" t="n">
        <f aca="false">IFERROR(IF(AND(INDEX(Registro!$C$623:$C$652,MATCH($A24,Registro!$A$623:$A$652,0))="AS",INDEX(Registro!$D$623:$D$652,MATCH($A24,Registro!$A$623:$A$652,0))&amp;""=""),1,0),0)</f>
        <v>0</v>
      </c>
      <c r="FY24" s="0" t="n">
        <f aca="false">IFERROR(IF(AND(INDEX(Registro!$C$659:$C$688,MATCH($A24,Registro!$A$659:$A$688,0))="AS",INDEX(Registro!$D$659:$D$688,MATCH($A24,Registro!$A$659:$A$688,0))&amp;""=""),1,0),0)</f>
        <v>0</v>
      </c>
      <c r="FZ24" s="0" t="n">
        <f aca="false">IFERROR(IF(AND(INDEX(Registro!$C$695:$C$724,MATCH($A24,Registro!$A$695:$A$724,0))="AS",INDEX(Registro!$D$695:$D$724,MATCH($A24,Registro!$A$695:$A$724,0))&amp;""=""),1,0),0)</f>
        <v>0</v>
      </c>
    </row>
    <row r="25" customFormat="false" ht="15" hidden="false" customHeight="false" outlineLevel="0" collapsed="false">
      <c r="A25" s="0" t="n">
        <v>19</v>
      </c>
      <c r="C25" s="0" t="n">
        <f aca="false">IFERROR(N(INDEX(Registro!$I$11:$I$40,MATCH($A25,Registro!$A$11:$A$40,0))),0)</f>
        <v>0</v>
      </c>
      <c r="D25" s="0" t="n">
        <f aca="false">IFERROR(N(INDEX(Registro!$O$11:$O$40,MATCH($A25,Registro!$A$11:$A$40,0))),0)</f>
        <v>0</v>
      </c>
      <c r="E25" s="0" t="n">
        <f aca="false">IFERROR(N(INDEX(Registro!$U$11:$U$40,MATCH($A25,Registro!$A$11:$A$40,0))),0)</f>
        <v>0</v>
      </c>
      <c r="F25" s="0" t="n">
        <f aca="false">IFERROR(N(INDEX(Registro!$AA$11:$AA$40,MATCH($A25,Registro!$A$11:$A$40,0))),0)</f>
        <v>0</v>
      </c>
      <c r="G25" s="0" t="n">
        <f aca="false">IFERROR(N(INDEX(Registro!$I$47:$I$76,MATCH($A25,Registro!$A$47:$A$76,0))),0)</f>
        <v>0</v>
      </c>
      <c r="H25" s="0" t="n">
        <f aca="false">IFERROR(N(INDEX(Registro!$O$47:$O$76,MATCH($A25,Registro!$A$47:$A$76,0))),0)</f>
        <v>0</v>
      </c>
      <c r="I25" s="0" t="n">
        <f aca="false">IFERROR(N(INDEX(Registro!$U$47:$U$76,MATCH($A25,Registro!$A$47:$A$76,0))),0)</f>
        <v>0</v>
      </c>
      <c r="J25" s="0" t="n">
        <f aca="false">IFERROR(N(INDEX(Registro!$AA$47:$AA$76,MATCH($A25,Registro!$A$47:$A$76,0))),0)</f>
        <v>0</v>
      </c>
      <c r="K25" s="0" t="n">
        <f aca="false">IFERROR(N(INDEX(Registro!$I$83:$I$112,MATCH($A25,Registro!$A$83:$A$112,0))),0)</f>
        <v>0</v>
      </c>
      <c r="L25" s="0" t="n">
        <f aca="false">IFERROR(N(INDEX(Registro!$O$83:$O$112,MATCH($A25,Registro!$A$83:$A$112,0))),0)</f>
        <v>0</v>
      </c>
      <c r="M25" s="0" t="n">
        <f aca="false">IFERROR(N(INDEX(Registro!$U$83:$U$112,MATCH($A25,Registro!$A$83:$A$112,0))),0)</f>
        <v>0</v>
      </c>
      <c r="N25" s="0" t="n">
        <f aca="false">IFERROR(N(INDEX(Registro!$AA$83:$AA$112,MATCH($A25,Registro!$A$83:$A$112,0))),0)</f>
        <v>0</v>
      </c>
      <c r="O25" s="0" t="n">
        <f aca="false">IFERROR(N(INDEX(Registro!$I$119:$I$148,MATCH($A25,Registro!$A$119:$A$148,0))),0)</f>
        <v>0</v>
      </c>
      <c r="P25" s="0" t="n">
        <f aca="false">IFERROR(N(INDEX(Registro!$O$119:$O$148,MATCH($A25,Registro!$A$119:$A$148,0))),0)</f>
        <v>0</v>
      </c>
      <c r="Q25" s="0" t="n">
        <f aca="false">IFERROR(N(INDEX(Registro!$U$119:$U$148,MATCH($A25,Registro!$A$119:$A$148,0))),0)</f>
        <v>0</v>
      </c>
      <c r="R25" s="0" t="n">
        <f aca="false">IFERROR(N(INDEX(Registro!$AA$119:$AA$148,MATCH($A25,Registro!$A$119:$A$148,0))),0)</f>
        <v>0</v>
      </c>
      <c r="S25" s="0" t="n">
        <f aca="false">IFERROR(N(INDEX(Registro!$I$155:$I$184,MATCH($A25,Registro!$A$155:$A$184,0))),0)</f>
        <v>0</v>
      </c>
      <c r="T25" s="0" t="n">
        <f aca="false">IFERROR(N(INDEX(Registro!$O$155:$O$184,MATCH($A25,Registro!$A$155:$A$184,0))),0)</f>
        <v>0</v>
      </c>
      <c r="U25" s="0" t="n">
        <f aca="false">IFERROR(N(INDEX(Registro!$U$155:$U$184,MATCH($A25,Registro!$A$155:$A$184,0))),0)</f>
        <v>0</v>
      </c>
      <c r="V25" s="0" t="n">
        <f aca="false">IFERROR(N(INDEX(Registro!$AA$155:$AA$184,MATCH($A25,Registro!$A$155:$A$184,0))),0)</f>
        <v>0</v>
      </c>
      <c r="W25" s="0" t="n">
        <f aca="false">IFERROR(N(INDEX(Registro!$I$191:$I$220,MATCH($A25,Registro!$A$191:$A$220,0))),0)</f>
        <v>0</v>
      </c>
      <c r="X25" s="0" t="n">
        <f aca="false">IFERROR(N(INDEX(Registro!$O$191:$O$220,MATCH($A25,Registro!$A$191:$A$220,0))),0)</f>
        <v>0</v>
      </c>
      <c r="Y25" s="0" t="n">
        <f aca="false">IFERROR(N(INDEX(Registro!$U$191:$U$220,MATCH($A25,Registro!$A$191:$A$220,0))),0)</f>
        <v>0</v>
      </c>
      <c r="Z25" s="0" t="n">
        <f aca="false">IFERROR(N(INDEX(Registro!$AA$191:$AA$220,MATCH($A25,Registro!$A$191:$A$220,0))),0)</f>
        <v>0</v>
      </c>
      <c r="AA25" s="0" t="n">
        <f aca="false">IFERROR(N(INDEX(Registro!$I$227:$I$256,MATCH($A25,Registro!$A$227:$A$256,0))),0)</f>
        <v>0</v>
      </c>
      <c r="AB25" s="0" t="n">
        <f aca="false">IFERROR(N(INDEX(Registro!$O$227:$O$256,MATCH($A25,Registro!$A$227:$A$256,0))),0)</f>
        <v>0</v>
      </c>
      <c r="AC25" s="0" t="n">
        <f aca="false">IFERROR(N(INDEX(Registro!$U$227:$U$256,MATCH($A25,Registro!$A$227:$A$256,0))),0)</f>
        <v>0</v>
      </c>
      <c r="AD25" s="0" t="n">
        <f aca="false">IFERROR(N(INDEX(Registro!$AA$227:$AA$256,MATCH($A25,Registro!$A$227:$A$256,0))),0)</f>
        <v>0</v>
      </c>
      <c r="AE25" s="0" t="n">
        <f aca="false">IFERROR(N(INDEX(Registro!$I$263:$I$292,MATCH($A25,Registro!$A$263:$A$292,0))),0)</f>
        <v>0</v>
      </c>
      <c r="AF25" s="0" t="n">
        <f aca="false">IFERROR(N(INDEX(Registro!$O$263:$O$292,MATCH($A25,Registro!$A$263:$A$292,0))),0)</f>
        <v>0</v>
      </c>
      <c r="AG25" s="0" t="n">
        <f aca="false">IFERROR(N(INDEX(Registro!$U$263:$U$292,MATCH($A25,Registro!$A$263:$A$292,0))),0)</f>
        <v>0</v>
      </c>
      <c r="AH25" s="0" t="n">
        <f aca="false">IFERROR(N(INDEX(Registro!$AA$263:$AA$292,MATCH($A25,Registro!$A$263:$A$292,0))),0)</f>
        <v>0</v>
      </c>
      <c r="AI25" s="0" t="n">
        <f aca="false">IFERROR(N(INDEX(Registro!$I$299:$I$328,MATCH($A25,Registro!$A$299:$A$328,0))),0)</f>
        <v>0</v>
      </c>
      <c r="AJ25" s="0" t="n">
        <f aca="false">IFERROR(N(INDEX(Registro!$O$299:$O$328,MATCH($A25,Registro!$A$299:$A$328,0))),0)</f>
        <v>0</v>
      </c>
      <c r="AK25" s="0" t="n">
        <f aca="false">IFERROR(N(INDEX(Registro!$U$299:$U$328,MATCH($A25,Registro!$A$299:$A$328,0))),0)</f>
        <v>0</v>
      </c>
      <c r="AL25" s="0" t="n">
        <f aca="false">IFERROR(N(INDEX(Registro!$AA$299:$AA$328,MATCH($A25,Registro!$A$299:$A$328,0))),0)</f>
        <v>0</v>
      </c>
      <c r="AM25" s="0" t="n">
        <f aca="false">IFERROR(N(INDEX(Registro!$I$335:$I$364,MATCH($A25,Registro!$A$335:$A$364,0))),0)</f>
        <v>0</v>
      </c>
      <c r="AN25" s="0" t="n">
        <f aca="false">IFERROR(N(INDEX(Registro!$O$335:$O$364,MATCH($A25,Registro!$A$335:$A$364,0))),0)</f>
        <v>0</v>
      </c>
      <c r="AO25" s="0" t="n">
        <f aca="false">IFERROR(N(INDEX(Registro!$U$335:$U$364,MATCH($A25,Registro!$A$335:$A$364,0))),0)</f>
        <v>0</v>
      </c>
      <c r="AP25" s="0" t="n">
        <f aca="false">IFERROR(N(INDEX(Registro!$AA$335:$AA$364,MATCH($A25,Registro!$A$335:$A$364,0))),0)</f>
        <v>0</v>
      </c>
      <c r="AQ25" s="0" t="n">
        <f aca="false">IFERROR(N(INDEX(Registro!$I$371:$I$400,MATCH($A25,Registro!$A$371:$A$400,0))),0)</f>
        <v>0</v>
      </c>
      <c r="AR25" s="0" t="n">
        <f aca="false">IFERROR(N(INDEX(Registro!$O$371:$O$400,MATCH($A25,Registro!$A$371:$A$400,0))),0)</f>
        <v>0</v>
      </c>
      <c r="AS25" s="0" t="n">
        <f aca="false">IFERROR(N(INDEX(Registro!$U$371:$U$400,MATCH($A25,Registro!$A$371:$A$400,0))),0)</f>
        <v>0</v>
      </c>
      <c r="AT25" s="0" t="n">
        <f aca="false">IFERROR(N(INDEX(Registro!$AA$371:$AA$400,MATCH($A25,Registro!$A$371:$A$400,0))),0)</f>
        <v>0</v>
      </c>
      <c r="AU25" s="0" t="n">
        <f aca="false">IFERROR(N(INDEX(Registro!$I$407:$I$436,MATCH($A25,Registro!$A$407:$A$436,0))),0)</f>
        <v>0</v>
      </c>
      <c r="AV25" s="0" t="n">
        <f aca="false">IFERROR(N(INDEX(Registro!$O$407:$O$436,MATCH($A25,Registro!$A$407:$A$436,0))),0)</f>
        <v>0</v>
      </c>
      <c r="AW25" s="0" t="n">
        <f aca="false">IFERROR(N(INDEX(Registro!$U$407:$U$436,MATCH($A25,Registro!$A$407:$A$436,0))),0)</f>
        <v>0</v>
      </c>
      <c r="AX25" s="0" t="n">
        <f aca="false">IFERROR(N(INDEX(Registro!$AA$407:$AA$436,MATCH($A25,Registro!$A$407:$A$436,0))),0)</f>
        <v>0</v>
      </c>
      <c r="AY25" s="0" t="n">
        <f aca="false">IFERROR(N(INDEX(Registro!$I$443:$I$472,MATCH($A25,Registro!$A$443:$A$472,0))),0)</f>
        <v>0</v>
      </c>
      <c r="AZ25" s="0" t="n">
        <f aca="false">IFERROR(N(INDEX(Registro!$O$443:$O$472,MATCH($A25,Registro!$A$443:$A$472,0))),0)</f>
        <v>0</v>
      </c>
      <c r="BA25" s="0" t="n">
        <f aca="false">IFERROR(N(INDEX(Registro!$U$443:$U$472,MATCH($A25,Registro!$A$443:$A$472,0))),0)</f>
        <v>0</v>
      </c>
      <c r="BB25" s="0" t="n">
        <f aca="false">IFERROR(N(INDEX(Registro!$AA$443:$AA$472,MATCH($A25,Registro!$A$443:$A$472,0))),0)</f>
        <v>0</v>
      </c>
      <c r="BC25" s="0" t="n">
        <f aca="false">IFERROR(N(INDEX(Registro!$I$479:$I$508,MATCH($A25,Registro!$A$479:$A$508,0))),0)</f>
        <v>0</v>
      </c>
      <c r="BD25" s="0" t="n">
        <f aca="false">IFERROR(N(INDEX(Registro!$O$479:$O$508,MATCH($A25,Registro!$A$479:$A$508,0))),0)</f>
        <v>0</v>
      </c>
      <c r="BE25" s="0" t="n">
        <f aca="false">IFERROR(N(INDEX(Registro!$U$479:$U$508,MATCH($A25,Registro!$A$479:$A$508,0))),0)</f>
        <v>0</v>
      </c>
      <c r="BF25" s="0" t="n">
        <f aca="false">IFERROR(N(INDEX(Registro!$AA$479:$AA$508,MATCH($A25,Registro!$A$479:$A$508,0))),0)</f>
        <v>0</v>
      </c>
      <c r="BG25" s="0" t="n">
        <f aca="false">IFERROR(N(INDEX(Registro!$I$515:$I$544,MATCH($A25,Registro!$A$515:$A$544,0))),0)</f>
        <v>0</v>
      </c>
      <c r="BH25" s="0" t="n">
        <f aca="false">IFERROR(N(INDEX(Registro!$O$515:$O$544,MATCH($A25,Registro!$A$515:$A$544,0))),0)</f>
        <v>0</v>
      </c>
      <c r="BI25" s="0" t="n">
        <f aca="false">IFERROR(N(INDEX(Registro!$U$515:$U$544,MATCH($A25,Registro!$A$515:$A$544,0))),0)</f>
        <v>0</v>
      </c>
      <c r="BJ25" s="0" t="n">
        <f aca="false">IFERROR(N(INDEX(Registro!$AA$515:$AA$544,MATCH($A25,Registro!$A$515:$A$544,0))),0)</f>
        <v>0</v>
      </c>
      <c r="BK25" s="0" t="n">
        <f aca="false">IFERROR(N(INDEX(Registro!$I$551:$I$580,MATCH($A25,Registro!$A$551:$A$580,0))),0)</f>
        <v>0</v>
      </c>
      <c r="BL25" s="0" t="n">
        <f aca="false">IFERROR(N(INDEX(Registro!$O$551:$O$580,MATCH($A25,Registro!$A$551:$A$580,0))),0)</f>
        <v>0</v>
      </c>
      <c r="BM25" s="0" t="n">
        <f aca="false">IFERROR(N(INDEX(Registro!$U$551:$U$580,MATCH($A25,Registro!$A$551:$A$580,0))),0)</f>
        <v>0</v>
      </c>
      <c r="BN25" s="0" t="n">
        <f aca="false">IFERROR(N(INDEX(Registro!$AA$551:$AA$580,MATCH($A25,Registro!$A$551:$A$580,0))),0)</f>
        <v>0</v>
      </c>
      <c r="BO25" s="0" t="n">
        <f aca="false">IFERROR(N(INDEX(Registro!$I$587:$I$616,MATCH($A25,Registro!$A$587:$A$616,0))),0)</f>
        <v>0</v>
      </c>
      <c r="BP25" s="0" t="n">
        <f aca="false">IFERROR(N(INDEX(Registro!$O$587:$O$616,MATCH($A25,Registro!$A$587:$A$616,0))),0)</f>
        <v>0</v>
      </c>
      <c r="BQ25" s="0" t="n">
        <f aca="false">IFERROR(N(INDEX(Registro!$U$587:$U$616,MATCH($A25,Registro!$A$587:$A$616,0))),0)</f>
        <v>0</v>
      </c>
      <c r="BR25" s="0" t="n">
        <f aca="false">IFERROR(N(INDEX(Registro!$AA$587:$AA$616,MATCH($A25,Registro!$A$587:$A$616,0))),0)</f>
        <v>0</v>
      </c>
      <c r="BS25" s="0" t="n">
        <f aca="false">IFERROR(N(INDEX(Registro!$I$623:$I$652,MATCH($A25,Registro!$A$623:$A$652,0))),0)</f>
        <v>0</v>
      </c>
      <c r="BT25" s="0" t="n">
        <f aca="false">IFERROR(N(INDEX(Registro!$O$623:$O$652,MATCH($A25,Registro!$A$623:$A$652,0))),0)</f>
        <v>0</v>
      </c>
      <c r="BU25" s="0" t="n">
        <f aca="false">IFERROR(N(INDEX(Registro!$U$623:$U$652,MATCH($A25,Registro!$A$623:$A$652,0))),0)</f>
        <v>0</v>
      </c>
      <c r="BV25" s="0" t="n">
        <f aca="false">IFERROR(N(INDEX(Registro!$AA$623:$AA$652,MATCH($A25,Registro!$A$623:$A$652,0))),0)</f>
        <v>0</v>
      </c>
      <c r="BW25" s="0" t="n">
        <f aca="false">IFERROR(N(INDEX(Registro!$I$659:$I$688,MATCH($A25,Registro!$A$659:$A$688,0))),0)</f>
        <v>0</v>
      </c>
      <c r="BX25" s="0" t="n">
        <f aca="false">IFERROR(N(INDEX(Registro!$O$659:$O$688,MATCH($A25,Registro!$A$659:$A$688,0))),0)</f>
        <v>0</v>
      </c>
      <c r="BY25" s="0" t="n">
        <f aca="false">IFERROR(N(INDEX(Registro!$U$659:$U$688,MATCH($A25,Registro!$A$659:$A$688,0))),0)</f>
        <v>0</v>
      </c>
      <c r="BZ25" s="0" t="n">
        <f aca="false">IFERROR(N(INDEX(Registro!$AA$659:$AA$688,MATCH($A25,Registro!$A$659:$A$688,0))),0)</f>
        <v>0</v>
      </c>
      <c r="CA25" s="0" t="n">
        <f aca="false">IFERROR(N(INDEX(Registro!$I$695:$I$724,MATCH($A25,Registro!$A$695:$A$724,0))),0)</f>
        <v>0</v>
      </c>
      <c r="CB25" s="0" t="n">
        <f aca="false">IFERROR(N(INDEX(Registro!$O$695:$O$724,MATCH($A25,Registro!$A$695:$A$724,0))),0)</f>
        <v>0</v>
      </c>
      <c r="CC25" s="0" t="n">
        <f aca="false">IFERROR(N(INDEX(Registro!$U$695:$U$724,MATCH($A25,Registro!$A$695:$A$724,0))),0)</f>
        <v>0</v>
      </c>
      <c r="CD25" s="0" t="n">
        <f aca="false">IFERROR(N(INDEX(Registro!$AA$695:$AA$724,MATCH($A25,Registro!$A$695:$A$724,0))),0)</f>
        <v>0</v>
      </c>
      <c r="CE25" s="0" t="n">
        <f aca="false">IFERROR(IF(ISNUMBER(INDEX(Registro!$I$11:$I$40,MATCH($A25,Registro!$A$11:$A$40,0))),CE$5,0),0)</f>
        <v>0</v>
      </c>
      <c r="CF25" s="0" t="n">
        <f aca="false">IFERROR(IF(ISNUMBER(INDEX(Registro!$O$11:$O$40,MATCH($A25,Registro!$A$11:$A$40,0))),CF$5,0),0)</f>
        <v>0</v>
      </c>
      <c r="CG25" s="0" t="n">
        <f aca="false">IFERROR(IF(ISNUMBER(INDEX(Registro!$U$11:$U$40,MATCH($A25,Registro!$A$11:$A$40,0))),CG$5,0),0)</f>
        <v>0</v>
      </c>
      <c r="CH25" s="0" t="n">
        <f aca="false">IFERROR(IF(ISNUMBER(INDEX(Registro!$AA$11:$AA$40,MATCH($A25,Registro!$A$11:$A$40,0))),CH$5,0),0)</f>
        <v>0</v>
      </c>
      <c r="CI25" s="0" t="n">
        <f aca="false">IFERROR(IF(ISNUMBER(INDEX(Registro!$I$47:$I$76,MATCH($A25,Registro!$A$47:$A$76,0))),CI$5,0),0)</f>
        <v>0</v>
      </c>
      <c r="CJ25" s="0" t="n">
        <f aca="false">IFERROR(IF(ISNUMBER(INDEX(Registro!$O$47:$O$76,MATCH($A25,Registro!$A$47:$A$76,0))),CJ$5,0),0)</f>
        <v>0</v>
      </c>
      <c r="CK25" s="0" t="n">
        <f aca="false">IFERROR(IF(ISNUMBER(INDEX(Registro!$U$47:$U$76,MATCH($A25,Registro!$A$47:$A$76,0))),CK$5,0),0)</f>
        <v>0</v>
      </c>
      <c r="CL25" s="0" t="n">
        <f aca="false">IFERROR(IF(ISNUMBER(INDEX(Registro!$AA$47:$AA$76,MATCH($A25,Registro!$A$47:$A$76,0))),CL$5,0),0)</f>
        <v>0</v>
      </c>
      <c r="CM25" s="0" t="n">
        <f aca="false">IFERROR(IF(ISNUMBER(INDEX(Registro!$I$83:$I$112,MATCH($A25,Registro!$A$83:$A$112,0))),CM$5,0),0)</f>
        <v>0</v>
      </c>
      <c r="CN25" s="0" t="n">
        <f aca="false">IFERROR(IF(ISNUMBER(INDEX(Registro!$O$83:$O$112,MATCH($A25,Registro!$A$83:$A$112,0))),CN$5,0),0)</f>
        <v>0</v>
      </c>
      <c r="CO25" s="0" t="n">
        <f aca="false">IFERROR(IF(ISNUMBER(INDEX(Registro!$U$83:$U$112,MATCH($A25,Registro!$A$83:$A$112,0))),CO$5,0),0)</f>
        <v>0</v>
      </c>
      <c r="CP25" s="0" t="n">
        <f aca="false">IFERROR(IF(ISNUMBER(INDEX(Registro!$AA$83:$AA$112,MATCH($A25,Registro!$A$83:$A$112,0))),CP$5,0),0)</f>
        <v>0</v>
      </c>
      <c r="CQ25" s="0" t="n">
        <f aca="false">IFERROR(IF(ISNUMBER(INDEX(Registro!$I$119:$I$148,MATCH($A25,Registro!$A$119:$A$148,0))),CQ$5,0),0)</f>
        <v>0</v>
      </c>
      <c r="CR25" s="0" t="n">
        <f aca="false">IFERROR(IF(ISNUMBER(INDEX(Registro!$O$119:$O$148,MATCH($A25,Registro!$A$119:$A$148,0))),CR$5,0),0)</f>
        <v>0</v>
      </c>
      <c r="CS25" s="0" t="n">
        <f aca="false">IFERROR(IF(ISNUMBER(INDEX(Registro!$U$119:$U$148,MATCH($A25,Registro!$A$119:$A$148,0))),CS$5,0),0)</f>
        <v>0</v>
      </c>
      <c r="CT25" s="0" t="n">
        <f aca="false">IFERROR(IF(ISNUMBER(INDEX(Registro!$AA$119:$AA$148,MATCH($A25,Registro!$A$119:$A$148,0))),CT$5,0),0)</f>
        <v>0</v>
      </c>
      <c r="CU25" s="0" t="n">
        <f aca="false">IFERROR(IF(ISNUMBER(INDEX(Registro!$I$155:$I$184,MATCH($A25,Registro!$A$155:$A$184,0))),CU$5,0),0)</f>
        <v>0</v>
      </c>
      <c r="CV25" s="0" t="n">
        <f aca="false">IFERROR(IF(ISNUMBER(INDEX(Registro!$O$155:$O$184,MATCH($A25,Registro!$A$155:$A$184,0))),CV$5,0),0)</f>
        <v>0</v>
      </c>
      <c r="CW25" s="0" t="n">
        <f aca="false">IFERROR(IF(ISNUMBER(INDEX(Registro!$U$155:$U$184,MATCH($A25,Registro!$A$155:$A$184,0))),CW$5,0),0)</f>
        <v>0</v>
      </c>
      <c r="CX25" s="0" t="n">
        <f aca="false">IFERROR(IF(ISNUMBER(INDEX(Registro!$AA$155:$AA$184,MATCH($A25,Registro!$A$155:$A$184,0))),CX$5,0),0)</f>
        <v>0</v>
      </c>
      <c r="CY25" s="0" t="n">
        <f aca="false">IFERROR(IF(ISNUMBER(INDEX(Registro!$I$191:$I$220,MATCH($A25,Registro!$A$191:$A$220,0))),CY$5,0),0)</f>
        <v>0</v>
      </c>
      <c r="CZ25" s="0" t="n">
        <f aca="false">IFERROR(IF(ISNUMBER(INDEX(Registro!$O$191:$O$220,MATCH($A25,Registro!$A$191:$A$220,0))),CZ$5,0),0)</f>
        <v>0</v>
      </c>
      <c r="DA25" s="0" t="n">
        <f aca="false">IFERROR(IF(ISNUMBER(INDEX(Registro!$U$191:$U$220,MATCH($A25,Registro!$A$191:$A$220,0))),DA$5,0),0)</f>
        <v>0</v>
      </c>
      <c r="DB25" s="0" t="n">
        <f aca="false">IFERROR(IF(ISNUMBER(INDEX(Registro!$AA$191:$AA$220,MATCH($A25,Registro!$A$191:$A$220,0))),DB$5,0),0)</f>
        <v>0</v>
      </c>
      <c r="DC25" s="0" t="n">
        <f aca="false">IFERROR(IF(ISNUMBER(INDEX(Registro!$I$227:$I$256,MATCH($A25,Registro!$A$227:$A$256,0))),DC$5,0),0)</f>
        <v>0</v>
      </c>
      <c r="DD25" s="0" t="n">
        <f aca="false">IFERROR(IF(ISNUMBER(INDEX(Registro!$O$227:$O$256,MATCH($A25,Registro!$A$227:$A$256,0))),DD$5,0),0)</f>
        <v>0</v>
      </c>
      <c r="DE25" s="0" t="n">
        <f aca="false">IFERROR(IF(ISNUMBER(INDEX(Registro!$U$227:$U$256,MATCH($A25,Registro!$A$227:$A$256,0))),DE$5,0),0)</f>
        <v>0</v>
      </c>
      <c r="DF25" s="0" t="n">
        <f aca="false">IFERROR(IF(ISNUMBER(INDEX(Registro!$AA$227:$AA$256,MATCH($A25,Registro!$A$227:$A$256,0))),DF$5,0),0)</f>
        <v>0</v>
      </c>
      <c r="DG25" s="0" t="n">
        <f aca="false">IFERROR(IF(ISNUMBER(INDEX(Registro!$I$263:$I$292,MATCH($A25,Registro!$A$263:$A$292,0))),DG$5,0),0)</f>
        <v>0</v>
      </c>
      <c r="DH25" s="0" t="n">
        <f aca="false">IFERROR(IF(ISNUMBER(INDEX(Registro!$O$263:$O$292,MATCH($A25,Registro!$A$263:$A$292,0))),DH$5,0),0)</f>
        <v>0</v>
      </c>
      <c r="DI25" s="0" t="n">
        <f aca="false">IFERROR(IF(ISNUMBER(INDEX(Registro!$U$263:$U$292,MATCH($A25,Registro!$A$263:$A$292,0))),DI$5,0),0)</f>
        <v>0</v>
      </c>
      <c r="DJ25" s="0" t="n">
        <f aca="false">IFERROR(IF(ISNUMBER(INDEX(Registro!$AA$263:$AA$292,MATCH($A25,Registro!$A$263:$A$292,0))),DJ$5,0),0)</f>
        <v>0</v>
      </c>
      <c r="DK25" s="0" t="n">
        <f aca="false">IFERROR(IF(ISNUMBER(INDEX(Registro!$I$299:$I$328,MATCH($A25,Registro!$A$299:$A$328,0))),DK$5,0),0)</f>
        <v>0</v>
      </c>
      <c r="DL25" s="0" t="n">
        <f aca="false">IFERROR(IF(ISNUMBER(INDEX(Registro!$O$299:$O$328,MATCH($A25,Registro!$A$299:$A$328,0))),DL$5,0),0)</f>
        <v>0</v>
      </c>
      <c r="DM25" s="0" t="n">
        <f aca="false">IFERROR(IF(ISNUMBER(INDEX(Registro!$U$299:$U$328,MATCH($A25,Registro!$A$299:$A$328,0))),DM$5,0),0)</f>
        <v>0</v>
      </c>
      <c r="DN25" s="0" t="n">
        <f aca="false">IFERROR(IF(ISNUMBER(INDEX(Registro!$AA$299:$AA$328,MATCH($A25,Registro!$A$299:$A$328,0))),DN$5,0),0)</f>
        <v>0</v>
      </c>
      <c r="DO25" s="0" t="n">
        <f aca="false">IFERROR(IF(ISNUMBER(INDEX(Registro!$I$335:$I$364,MATCH($A25,Registro!$A$335:$A$364,0))),DO$5,0),0)</f>
        <v>0</v>
      </c>
      <c r="DP25" s="0" t="n">
        <f aca="false">IFERROR(IF(ISNUMBER(INDEX(Registro!$O$335:$O$364,MATCH($A25,Registro!$A$335:$A$364,0))),DP$5,0),0)</f>
        <v>0</v>
      </c>
      <c r="DQ25" s="0" t="n">
        <f aca="false">IFERROR(IF(ISNUMBER(INDEX(Registro!$U$335:$U$364,MATCH($A25,Registro!$A$335:$A$364,0))),DQ$5,0),0)</f>
        <v>0</v>
      </c>
      <c r="DR25" s="0" t="n">
        <f aca="false">IFERROR(IF(ISNUMBER(INDEX(Registro!$AA$335:$AA$364,MATCH($A25,Registro!$A$335:$A$364,0))),DR$5,0),0)</f>
        <v>0</v>
      </c>
      <c r="DS25" s="0" t="n">
        <f aca="false">IFERROR(IF(ISNUMBER(INDEX(Registro!$I$371:$I$400,MATCH($A25,Registro!$A$371:$A$400,0))),DS$5,0),0)</f>
        <v>0</v>
      </c>
      <c r="DT25" s="0" t="n">
        <f aca="false">IFERROR(IF(ISNUMBER(INDEX(Registro!$O$371:$O$400,MATCH($A25,Registro!$A$371:$A$400,0))),DT$5,0),0)</f>
        <v>0</v>
      </c>
      <c r="DU25" s="0" t="n">
        <f aca="false">IFERROR(IF(ISNUMBER(INDEX(Registro!$U$371:$U$400,MATCH($A25,Registro!$A$371:$A$400,0))),DU$5,0),0)</f>
        <v>0</v>
      </c>
      <c r="DV25" s="0" t="n">
        <f aca="false">IFERROR(IF(ISNUMBER(INDEX(Registro!$AA$371:$AA$400,MATCH($A25,Registro!$A$371:$A$400,0))),DV$5,0),0)</f>
        <v>0</v>
      </c>
      <c r="DW25" s="0" t="n">
        <f aca="false">IFERROR(IF(ISNUMBER(INDEX(Registro!$I$407:$I$436,MATCH($A25,Registro!$A$407:$A$436,0))),DW$5,0),0)</f>
        <v>0</v>
      </c>
      <c r="DX25" s="0" t="n">
        <f aca="false">IFERROR(IF(ISNUMBER(INDEX(Registro!$O$407:$O$436,MATCH($A25,Registro!$A$407:$A$436,0))),DX$5,0),0)</f>
        <v>0</v>
      </c>
      <c r="DY25" s="0" t="n">
        <f aca="false">IFERROR(IF(ISNUMBER(INDEX(Registro!$U$407:$U$436,MATCH($A25,Registro!$A$407:$A$436,0))),DY$5,0),0)</f>
        <v>0</v>
      </c>
      <c r="DZ25" s="0" t="n">
        <f aca="false">IFERROR(IF(ISNUMBER(INDEX(Registro!$AA$407:$AA$436,MATCH($A25,Registro!$A$407:$A$436,0))),DZ$5,0),0)</f>
        <v>0</v>
      </c>
      <c r="EA25" s="0" t="n">
        <f aca="false">IFERROR(IF(ISNUMBER(INDEX(Registro!$I$443:$I$472,MATCH($A25,Registro!$A$443:$A$472,0))),EA$5,0),0)</f>
        <v>0</v>
      </c>
      <c r="EB25" s="0" t="n">
        <f aca="false">IFERROR(IF(ISNUMBER(INDEX(Registro!$O$443:$O$472,MATCH($A25,Registro!$A$443:$A$472,0))),EB$5,0),0)</f>
        <v>0</v>
      </c>
      <c r="EC25" s="0" t="n">
        <f aca="false">IFERROR(IF(ISNUMBER(INDEX(Registro!$U$443:$U$472,MATCH($A25,Registro!$A$443:$A$472,0))),EC$5,0),0)</f>
        <v>0</v>
      </c>
      <c r="ED25" s="0" t="n">
        <f aca="false">IFERROR(IF(ISNUMBER(INDEX(Registro!$AA$443:$AA$472,MATCH($A25,Registro!$A$443:$A$472,0))),ED$5,0),0)</f>
        <v>0</v>
      </c>
      <c r="EE25" s="0" t="n">
        <f aca="false">IFERROR(IF(ISNUMBER(INDEX(Registro!$I$479:$I$508,MATCH($A25,Registro!$A$479:$A$508,0))),EE$5,0),0)</f>
        <v>0</v>
      </c>
      <c r="EF25" s="0" t="n">
        <f aca="false">IFERROR(IF(ISNUMBER(INDEX(Registro!$O$479:$O$508,MATCH($A25,Registro!$A$479:$A$508,0))),EF$5,0),0)</f>
        <v>0</v>
      </c>
      <c r="EG25" s="0" t="n">
        <f aca="false">IFERROR(IF(ISNUMBER(INDEX(Registro!$U$479:$U$508,MATCH($A25,Registro!$A$479:$A$508,0))),EG$5,0),0)</f>
        <v>0</v>
      </c>
      <c r="EH25" s="0" t="n">
        <f aca="false">IFERROR(IF(ISNUMBER(INDEX(Registro!$AA$479:$AA$508,MATCH($A25,Registro!$A$479:$A$508,0))),EH$5,0),0)</f>
        <v>0</v>
      </c>
      <c r="EI25" s="0" t="n">
        <f aca="false">IFERROR(IF(ISNUMBER(INDEX(Registro!$I$515:$I$544,MATCH($A25,Registro!$A$515:$A$544,0))),EI$5,0),0)</f>
        <v>0</v>
      </c>
      <c r="EJ25" s="0" t="n">
        <f aca="false">IFERROR(IF(ISNUMBER(INDEX(Registro!$O$515:$O$544,MATCH($A25,Registro!$A$515:$A$544,0))),EJ$5,0),0)</f>
        <v>0</v>
      </c>
      <c r="EK25" s="0" t="n">
        <f aca="false">IFERROR(IF(ISNUMBER(INDEX(Registro!$U$515:$U$544,MATCH($A25,Registro!$A$515:$A$544,0))),EK$5,0),0)</f>
        <v>0</v>
      </c>
      <c r="EL25" s="0" t="n">
        <f aca="false">IFERROR(IF(ISNUMBER(INDEX(Registro!$AA$515:$AA$544,MATCH($A25,Registro!$A$515:$A$544,0))),EL$5,0),0)</f>
        <v>0</v>
      </c>
      <c r="EM25" s="0" t="n">
        <f aca="false">IFERROR(IF(ISNUMBER(INDEX(Registro!$I$551:$I$580,MATCH($A25,Registro!$A$551:$A$580,0))),EM$5,0),0)</f>
        <v>0</v>
      </c>
      <c r="EN25" s="0" t="n">
        <f aca="false">IFERROR(IF(ISNUMBER(INDEX(Registro!$O$551:$O$580,MATCH($A25,Registro!$A$551:$A$580,0))),EN$5,0),0)</f>
        <v>0</v>
      </c>
      <c r="EO25" s="0" t="n">
        <f aca="false">IFERROR(IF(ISNUMBER(INDEX(Registro!$U$551:$U$580,MATCH($A25,Registro!$A$551:$A$580,0))),EO$5,0),0)</f>
        <v>0</v>
      </c>
      <c r="EP25" s="0" t="n">
        <f aca="false">IFERROR(IF(ISNUMBER(INDEX(Registro!$AA$551:$AA$580,MATCH($A25,Registro!$A$551:$A$580,0))),EP$5,0),0)</f>
        <v>0</v>
      </c>
      <c r="EQ25" s="0" t="n">
        <f aca="false">IFERROR(IF(ISNUMBER(INDEX(Registro!$I$587:$I$616,MATCH($A25,Registro!$A$587:$A$616,0))),EQ$5,0),0)</f>
        <v>0</v>
      </c>
      <c r="ER25" s="0" t="n">
        <f aca="false">IFERROR(IF(ISNUMBER(INDEX(Registro!$O$587:$O$616,MATCH($A25,Registro!$A$587:$A$616,0))),ER$5,0),0)</f>
        <v>0</v>
      </c>
      <c r="ES25" s="0" t="n">
        <f aca="false">IFERROR(IF(ISNUMBER(INDEX(Registro!$U$587:$U$616,MATCH($A25,Registro!$A$587:$A$616,0))),ES$5,0),0)</f>
        <v>0</v>
      </c>
      <c r="ET25" s="0" t="n">
        <f aca="false">IFERROR(IF(ISNUMBER(INDEX(Registro!$AA$587:$AA$616,MATCH($A25,Registro!$A$587:$A$616,0))),ET$5,0),0)</f>
        <v>0</v>
      </c>
      <c r="EU25" s="0" t="n">
        <f aca="false">IFERROR(IF(ISNUMBER(INDEX(Registro!$I$623:$I$652,MATCH($A25,Registro!$A$623:$A$652,0))),EU$5,0),0)</f>
        <v>0</v>
      </c>
      <c r="EV25" s="0" t="n">
        <f aca="false">IFERROR(IF(ISNUMBER(INDEX(Registro!$O$623:$O$652,MATCH($A25,Registro!$A$623:$A$652,0))),EV$5,0),0)</f>
        <v>0</v>
      </c>
      <c r="EW25" s="0" t="n">
        <f aca="false">IFERROR(IF(ISNUMBER(INDEX(Registro!$U$623:$U$652,MATCH($A25,Registro!$A$623:$A$652,0))),EW$5,0),0)</f>
        <v>0</v>
      </c>
      <c r="EX25" s="0" t="n">
        <f aca="false">IFERROR(IF(ISNUMBER(INDEX(Registro!$AA$623:$AA$652,MATCH($A25,Registro!$A$623:$A$652,0))),EX$5,0),0)</f>
        <v>0</v>
      </c>
      <c r="EY25" s="0" t="n">
        <f aca="false">IFERROR(IF(ISNUMBER(INDEX(Registro!$I$659:$I$688,MATCH($A25,Registro!$A$659:$A$688,0))),EY$5,0),0)</f>
        <v>0</v>
      </c>
      <c r="EZ25" s="0" t="n">
        <f aca="false">IFERROR(IF(ISNUMBER(INDEX(Registro!$O$659:$O$688,MATCH($A25,Registro!$A$659:$A$688,0))),EZ$5,0),0)</f>
        <v>0</v>
      </c>
      <c r="FA25" s="0" t="n">
        <f aca="false">IFERROR(IF(ISNUMBER(INDEX(Registro!$U$659:$U$688,MATCH($A25,Registro!$A$659:$A$688,0))),FA$5,0),0)</f>
        <v>0</v>
      </c>
      <c r="FB25" s="0" t="n">
        <f aca="false">IFERROR(IF(ISNUMBER(INDEX(Registro!$AA$659:$AA$688,MATCH($A25,Registro!$A$659:$A$688,0))),FB$5,0),0)</f>
        <v>0</v>
      </c>
      <c r="FC25" s="0" t="n">
        <f aca="false">IFERROR(IF(ISNUMBER(INDEX(Registro!$I$695:$I$724,MATCH($A25,Registro!$A$695:$A$724,0))),FC$5,0),0)</f>
        <v>0</v>
      </c>
      <c r="FD25" s="0" t="n">
        <f aca="false">IFERROR(IF(ISNUMBER(INDEX(Registro!$O$695:$O$724,MATCH($A25,Registro!$A$695:$A$724,0))),FD$5,0),0)</f>
        <v>0</v>
      </c>
      <c r="FE25" s="0" t="n">
        <f aca="false">IFERROR(IF(ISNUMBER(INDEX(Registro!$U$695:$U$724,MATCH($A25,Registro!$A$695:$A$724,0))),FE$5,0),0)</f>
        <v>0</v>
      </c>
      <c r="FF25" s="0" t="n">
        <f aca="false">IFERROR(IF(ISNUMBER(INDEX(Registro!$AA$695:$AA$724,MATCH($A25,Registro!$A$695:$A$724,0))),FF$5,0),0)</f>
        <v>0</v>
      </c>
      <c r="FG25" s="0" t="n">
        <f aca="false">IFERROR(IF(AND(INDEX(Registro!$C$11:$C$40,MATCH($A25,Registro!$A$11:$A$40,0))="AS",INDEX(Registro!$D$11:$D$40,MATCH($A25,Registro!$A$11:$A$40,0))&amp;""=""),1,0),0)</f>
        <v>0</v>
      </c>
      <c r="FH25" s="0" t="n">
        <f aca="false">IFERROR(IF(AND(INDEX(Registro!$C$47:$C$76,MATCH($A25,Registro!$A$47:$A$76,0))="AS",INDEX(Registro!$D$47:$D$76,MATCH($A25,Registro!$A$47:$A$76,0))&amp;""=""),1,0),0)</f>
        <v>0</v>
      </c>
      <c r="FI25" s="0" t="n">
        <f aca="false">IFERROR(IF(AND(INDEX(Registro!$C$83:$C$112,MATCH($A25,Registro!$A$83:$A$112,0))="AS",INDEX(Registro!$D$83:$D$112,MATCH($A25,Registro!$A$83:$A$112,0))&amp;""=""),1,0),0)</f>
        <v>0</v>
      </c>
      <c r="FJ25" s="0" t="n">
        <f aca="false">IFERROR(IF(AND(INDEX(Registro!$C$119:$C$148,MATCH($A25,Registro!$A$119:$A$148,0))="AS",INDEX(Registro!$D$119:$D$148,MATCH($A25,Registro!$A$119:$A$148,0))&amp;""=""),1,0),0)</f>
        <v>0</v>
      </c>
      <c r="FK25" s="0" t="n">
        <f aca="false">IFERROR(IF(AND(INDEX(Registro!$C$155:$C$184,MATCH($A25,Registro!$A$155:$A$184,0))="AS",INDEX(Registro!$D$155:$D$184,MATCH($A25,Registro!$A$155:$A$184,0))&amp;""=""),1,0),0)</f>
        <v>0</v>
      </c>
      <c r="FL25" s="0" t="n">
        <f aca="false">IFERROR(IF(AND(INDEX(Registro!$C$191:$C$220,MATCH($A25,Registro!$A$191:$A$220,0))="AS",INDEX(Registro!$D$191:$D$220,MATCH($A25,Registro!$A$191:$A$220,0))&amp;""=""),1,0),0)</f>
        <v>0</v>
      </c>
      <c r="FM25" s="0" t="n">
        <f aca="false">IFERROR(IF(AND(INDEX(Registro!$C$227:$C$256,MATCH($A25,Registro!$A$227:$A$256,0))="AS",INDEX(Registro!$D$227:$D$256,MATCH($A25,Registro!$A$227:$A$256,0))&amp;""=""),1,0),0)</f>
        <v>0</v>
      </c>
      <c r="FN25" s="0" t="n">
        <f aca="false">IFERROR(IF(AND(INDEX(Registro!$C$263:$C$292,MATCH($A25,Registro!$A$263:$A$292,0))="AS",INDEX(Registro!$D$263:$D$292,MATCH($A25,Registro!$A$263:$A$292,0))&amp;""=""),1,0),0)</f>
        <v>0</v>
      </c>
      <c r="FO25" s="0" t="n">
        <f aca="false">IFERROR(IF(AND(INDEX(Registro!$C$299:$C$328,MATCH($A25,Registro!$A$299:$A$328,0))="AS",INDEX(Registro!$D$299:$D$328,MATCH($A25,Registro!$A$299:$A$328,0))&amp;""=""),1,0),0)</f>
        <v>0</v>
      </c>
      <c r="FP25" s="0" t="n">
        <f aca="false">IFERROR(IF(AND(INDEX(Registro!$C$335:$C$364,MATCH($A25,Registro!$A$335:$A$364,0))="AS",INDEX(Registro!$D$335:$D$364,MATCH($A25,Registro!$A$335:$A$364,0))&amp;""=""),1,0),0)</f>
        <v>0</v>
      </c>
      <c r="FQ25" s="0" t="n">
        <f aca="false">IFERROR(IF(AND(INDEX(Registro!$C$371:$C$400,MATCH($A25,Registro!$A$371:$A$400,0))="AS",INDEX(Registro!$D$371:$D$400,MATCH($A25,Registro!$A$371:$A$400,0))&amp;""=""),1,0),0)</f>
        <v>0</v>
      </c>
      <c r="FR25" s="0" t="n">
        <f aca="false">IFERROR(IF(AND(INDEX(Registro!$C$407:$C$436,MATCH($A25,Registro!$A$407:$A$436,0))="AS",INDEX(Registro!$D$407:$D$436,MATCH($A25,Registro!$A$407:$A$436,0))&amp;""=""),1,0),0)</f>
        <v>0</v>
      </c>
      <c r="FS25" s="0" t="n">
        <f aca="false">IFERROR(IF(AND(INDEX(Registro!$C$443:$C$472,MATCH($A25,Registro!$A$443:$A$472,0))="AS",INDEX(Registro!$D$443:$D$472,MATCH($A25,Registro!$A$443:$A$472,0))&amp;""=""),1,0),0)</f>
        <v>0</v>
      </c>
      <c r="FT25" s="0" t="n">
        <f aca="false">IFERROR(IF(AND(INDEX(Registro!$C$479:$C$508,MATCH($A25,Registro!$A$479:$A$508,0))="AS",INDEX(Registro!$D$479:$D$508,MATCH($A25,Registro!$A$479:$A$508,0))&amp;""=""),1,0),0)</f>
        <v>0</v>
      </c>
      <c r="FU25" s="0" t="n">
        <f aca="false">IFERROR(IF(AND(INDEX(Registro!$C$515:$C$544,MATCH($A25,Registro!$A$515:$A$544,0))="AS",INDEX(Registro!$D$515:$D$544,MATCH($A25,Registro!$A$515:$A$544,0))&amp;""=""),1,0),0)</f>
        <v>0</v>
      </c>
      <c r="FV25" s="0" t="n">
        <f aca="false">IFERROR(IF(AND(INDEX(Registro!$C$551:$C$580,MATCH($A25,Registro!$A$551:$A$580,0))="AS",INDEX(Registro!$D$551:$D$580,MATCH($A25,Registro!$A$551:$A$580,0))&amp;""=""),1,0),0)</f>
        <v>0</v>
      </c>
      <c r="FW25" s="0" t="n">
        <f aca="false">IFERROR(IF(AND(INDEX(Registro!$C$587:$C$616,MATCH($A25,Registro!$A$587:$A$616,0))="AS",INDEX(Registro!$D$587:$D$616,MATCH($A25,Registro!$A$587:$A$616,0))&amp;""=""),1,0),0)</f>
        <v>0</v>
      </c>
      <c r="FX25" s="0" t="n">
        <f aca="false">IFERROR(IF(AND(INDEX(Registro!$C$623:$C$652,MATCH($A25,Registro!$A$623:$A$652,0))="AS",INDEX(Registro!$D$623:$D$652,MATCH($A25,Registro!$A$623:$A$652,0))&amp;""=""),1,0),0)</f>
        <v>0</v>
      </c>
      <c r="FY25" s="0" t="n">
        <f aca="false">IFERROR(IF(AND(INDEX(Registro!$C$659:$C$688,MATCH($A25,Registro!$A$659:$A$688,0))="AS",INDEX(Registro!$D$659:$D$688,MATCH($A25,Registro!$A$659:$A$688,0))&amp;""=""),1,0),0)</f>
        <v>0</v>
      </c>
      <c r="FZ25" s="0" t="n">
        <f aca="false">IFERROR(IF(AND(INDEX(Registro!$C$695:$C$724,MATCH($A25,Registro!$A$695:$A$724,0))="AS",INDEX(Registro!$D$695:$D$724,MATCH($A25,Registro!$A$695:$A$724,0))&amp;""=""),1,0),0)</f>
        <v>0</v>
      </c>
    </row>
    <row r="26" customFormat="false" ht="15" hidden="false" customHeight="false" outlineLevel="0" collapsed="false">
      <c r="A26" s="0" t="n">
        <v>20</v>
      </c>
      <c r="C26" s="0" t="n">
        <f aca="false">IFERROR(N(INDEX(Registro!$I$11:$I$40,MATCH($A26,Registro!$A$11:$A$40,0))),0)</f>
        <v>0</v>
      </c>
      <c r="D26" s="0" t="n">
        <f aca="false">IFERROR(N(INDEX(Registro!$O$11:$O$40,MATCH($A26,Registro!$A$11:$A$40,0))),0)</f>
        <v>0</v>
      </c>
      <c r="E26" s="0" t="n">
        <f aca="false">IFERROR(N(INDEX(Registro!$U$11:$U$40,MATCH($A26,Registro!$A$11:$A$40,0))),0)</f>
        <v>0</v>
      </c>
      <c r="F26" s="0" t="n">
        <f aca="false">IFERROR(N(INDEX(Registro!$AA$11:$AA$40,MATCH($A26,Registro!$A$11:$A$40,0))),0)</f>
        <v>0</v>
      </c>
      <c r="G26" s="0" t="n">
        <f aca="false">IFERROR(N(INDEX(Registro!$I$47:$I$76,MATCH($A26,Registro!$A$47:$A$76,0))),0)</f>
        <v>0</v>
      </c>
      <c r="H26" s="0" t="n">
        <f aca="false">IFERROR(N(INDEX(Registro!$O$47:$O$76,MATCH($A26,Registro!$A$47:$A$76,0))),0)</f>
        <v>0</v>
      </c>
      <c r="I26" s="0" t="n">
        <f aca="false">IFERROR(N(INDEX(Registro!$U$47:$U$76,MATCH($A26,Registro!$A$47:$A$76,0))),0)</f>
        <v>0</v>
      </c>
      <c r="J26" s="0" t="n">
        <f aca="false">IFERROR(N(INDEX(Registro!$AA$47:$AA$76,MATCH($A26,Registro!$A$47:$A$76,0))),0)</f>
        <v>0</v>
      </c>
      <c r="K26" s="0" t="n">
        <f aca="false">IFERROR(N(INDEX(Registro!$I$83:$I$112,MATCH($A26,Registro!$A$83:$A$112,0))),0)</f>
        <v>0</v>
      </c>
      <c r="L26" s="0" t="n">
        <f aca="false">IFERROR(N(INDEX(Registro!$O$83:$O$112,MATCH($A26,Registro!$A$83:$A$112,0))),0)</f>
        <v>0</v>
      </c>
      <c r="M26" s="0" t="n">
        <f aca="false">IFERROR(N(INDEX(Registro!$U$83:$U$112,MATCH($A26,Registro!$A$83:$A$112,0))),0)</f>
        <v>0</v>
      </c>
      <c r="N26" s="0" t="n">
        <f aca="false">IFERROR(N(INDEX(Registro!$AA$83:$AA$112,MATCH($A26,Registro!$A$83:$A$112,0))),0)</f>
        <v>0</v>
      </c>
      <c r="O26" s="0" t="n">
        <f aca="false">IFERROR(N(INDEX(Registro!$I$119:$I$148,MATCH($A26,Registro!$A$119:$A$148,0))),0)</f>
        <v>0</v>
      </c>
      <c r="P26" s="0" t="n">
        <f aca="false">IFERROR(N(INDEX(Registro!$O$119:$O$148,MATCH($A26,Registro!$A$119:$A$148,0))),0)</f>
        <v>0</v>
      </c>
      <c r="Q26" s="0" t="n">
        <f aca="false">IFERROR(N(INDEX(Registro!$U$119:$U$148,MATCH($A26,Registro!$A$119:$A$148,0))),0)</f>
        <v>0</v>
      </c>
      <c r="R26" s="0" t="n">
        <f aca="false">IFERROR(N(INDEX(Registro!$AA$119:$AA$148,MATCH($A26,Registro!$A$119:$A$148,0))),0)</f>
        <v>0</v>
      </c>
      <c r="S26" s="0" t="n">
        <f aca="false">IFERROR(N(INDEX(Registro!$I$155:$I$184,MATCH($A26,Registro!$A$155:$A$184,0))),0)</f>
        <v>0</v>
      </c>
      <c r="T26" s="0" t="n">
        <f aca="false">IFERROR(N(INDEX(Registro!$O$155:$O$184,MATCH($A26,Registro!$A$155:$A$184,0))),0)</f>
        <v>0</v>
      </c>
      <c r="U26" s="0" t="n">
        <f aca="false">IFERROR(N(INDEX(Registro!$U$155:$U$184,MATCH($A26,Registro!$A$155:$A$184,0))),0)</f>
        <v>0</v>
      </c>
      <c r="V26" s="0" t="n">
        <f aca="false">IFERROR(N(INDEX(Registro!$AA$155:$AA$184,MATCH($A26,Registro!$A$155:$A$184,0))),0)</f>
        <v>0</v>
      </c>
      <c r="W26" s="0" t="n">
        <f aca="false">IFERROR(N(INDEX(Registro!$I$191:$I$220,MATCH($A26,Registro!$A$191:$A$220,0))),0)</f>
        <v>0</v>
      </c>
      <c r="X26" s="0" t="n">
        <f aca="false">IFERROR(N(INDEX(Registro!$O$191:$O$220,MATCH($A26,Registro!$A$191:$A$220,0))),0)</f>
        <v>0</v>
      </c>
      <c r="Y26" s="0" t="n">
        <f aca="false">IFERROR(N(INDEX(Registro!$U$191:$U$220,MATCH($A26,Registro!$A$191:$A$220,0))),0)</f>
        <v>0</v>
      </c>
      <c r="Z26" s="0" t="n">
        <f aca="false">IFERROR(N(INDEX(Registro!$AA$191:$AA$220,MATCH($A26,Registro!$A$191:$A$220,0))),0)</f>
        <v>0</v>
      </c>
      <c r="AA26" s="0" t="n">
        <f aca="false">IFERROR(N(INDEX(Registro!$I$227:$I$256,MATCH($A26,Registro!$A$227:$A$256,0))),0)</f>
        <v>0</v>
      </c>
      <c r="AB26" s="0" t="n">
        <f aca="false">IFERROR(N(INDEX(Registro!$O$227:$O$256,MATCH($A26,Registro!$A$227:$A$256,0))),0)</f>
        <v>0</v>
      </c>
      <c r="AC26" s="0" t="n">
        <f aca="false">IFERROR(N(INDEX(Registro!$U$227:$U$256,MATCH($A26,Registro!$A$227:$A$256,0))),0)</f>
        <v>0</v>
      </c>
      <c r="AD26" s="0" t="n">
        <f aca="false">IFERROR(N(INDEX(Registro!$AA$227:$AA$256,MATCH($A26,Registro!$A$227:$A$256,0))),0)</f>
        <v>0</v>
      </c>
      <c r="AE26" s="0" t="n">
        <f aca="false">IFERROR(N(INDEX(Registro!$I$263:$I$292,MATCH($A26,Registro!$A$263:$A$292,0))),0)</f>
        <v>0</v>
      </c>
      <c r="AF26" s="0" t="n">
        <f aca="false">IFERROR(N(INDEX(Registro!$O$263:$O$292,MATCH($A26,Registro!$A$263:$A$292,0))),0)</f>
        <v>0</v>
      </c>
      <c r="AG26" s="0" t="n">
        <f aca="false">IFERROR(N(INDEX(Registro!$U$263:$U$292,MATCH($A26,Registro!$A$263:$A$292,0))),0)</f>
        <v>0</v>
      </c>
      <c r="AH26" s="0" t="n">
        <f aca="false">IFERROR(N(INDEX(Registro!$AA$263:$AA$292,MATCH($A26,Registro!$A$263:$A$292,0))),0)</f>
        <v>0</v>
      </c>
      <c r="AI26" s="0" t="n">
        <f aca="false">IFERROR(N(INDEX(Registro!$I$299:$I$328,MATCH($A26,Registro!$A$299:$A$328,0))),0)</f>
        <v>0</v>
      </c>
      <c r="AJ26" s="0" t="n">
        <f aca="false">IFERROR(N(INDEX(Registro!$O$299:$O$328,MATCH($A26,Registro!$A$299:$A$328,0))),0)</f>
        <v>0</v>
      </c>
      <c r="AK26" s="0" t="n">
        <f aca="false">IFERROR(N(INDEX(Registro!$U$299:$U$328,MATCH($A26,Registro!$A$299:$A$328,0))),0)</f>
        <v>0</v>
      </c>
      <c r="AL26" s="0" t="n">
        <f aca="false">IFERROR(N(INDEX(Registro!$AA$299:$AA$328,MATCH($A26,Registro!$A$299:$A$328,0))),0)</f>
        <v>0</v>
      </c>
      <c r="AM26" s="0" t="n">
        <f aca="false">IFERROR(N(INDEX(Registro!$I$335:$I$364,MATCH($A26,Registro!$A$335:$A$364,0))),0)</f>
        <v>0</v>
      </c>
      <c r="AN26" s="0" t="n">
        <f aca="false">IFERROR(N(INDEX(Registro!$O$335:$O$364,MATCH($A26,Registro!$A$335:$A$364,0))),0)</f>
        <v>0</v>
      </c>
      <c r="AO26" s="0" t="n">
        <f aca="false">IFERROR(N(INDEX(Registro!$U$335:$U$364,MATCH($A26,Registro!$A$335:$A$364,0))),0)</f>
        <v>0</v>
      </c>
      <c r="AP26" s="0" t="n">
        <f aca="false">IFERROR(N(INDEX(Registro!$AA$335:$AA$364,MATCH($A26,Registro!$A$335:$A$364,0))),0)</f>
        <v>0</v>
      </c>
      <c r="AQ26" s="0" t="n">
        <f aca="false">IFERROR(N(INDEX(Registro!$I$371:$I$400,MATCH($A26,Registro!$A$371:$A$400,0))),0)</f>
        <v>0</v>
      </c>
      <c r="AR26" s="0" t="n">
        <f aca="false">IFERROR(N(INDEX(Registro!$O$371:$O$400,MATCH($A26,Registro!$A$371:$A$400,0))),0)</f>
        <v>0</v>
      </c>
      <c r="AS26" s="0" t="n">
        <f aca="false">IFERROR(N(INDEX(Registro!$U$371:$U$400,MATCH($A26,Registro!$A$371:$A$400,0))),0)</f>
        <v>0</v>
      </c>
      <c r="AT26" s="0" t="n">
        <f aca="false">IFERROR(N(INDEX(Registro!$AA$371:$AA$400,MATCH($A26,Registro!$A$371:$A$400,0))),0)</f>
        <v>0</v>
      </c>
      <c r="AU26" s="0" t="n">
        <f aca="false">IFERROR(N(INDEX(Registro!$I$407:$I$436,MATCH($A26,Registro!$A$407:$A$436,0))),0)</f>
        <v>0</v>
      </c>
      <c r="AV26" s="0" t="n">
        <f aca="false">IFERROR(N(INDEX(Registro!$O$407:$O$436,MATCH($A26,Registro!$A$407:$A$436,0))),0)</f>
        <v>0</v>
      </c>
      <c r="AW26" s="0" t="n">
        <f aca="false">IFERROR(N(INDEX(Registro!$U$407:$U$436,MATCH($A26,Registro!$A$407:$A$436,0))),0)</f>
        <v>0</v>
      </c>
      <c r="AX26" s="0" t="n">
        <f aca="false">IFERROR(N(INDEX(Registro!$AA$407:$AA$436,MATCH($A26,Registro!$A$407:$A$436,0))),0)</f>
        <v>0</v>
      </c>
      <c r="AY26" s="0" t="n">
        <f aca="false">IFERROR(N(INDEX(Registro!$I$443:$I$472,MATCH($A26,Registro!$A$443:$A$472,0))),0)</f>
        <v>0</v>
      </c>
      <c r="AZ26" s="0" t="n">
        <f aca="false">IFERROR(N(INDEX(Registro!$O$443:$O$472,MATCH($A26,Registro!$A$443:$A$472,0))),0)</f>
        <v>0</v>
      </c>
      <c r="BA26" s="0" t="n">
        <f aca="false">IFERROR(N(INDEX(Registro!$U$443:$U$472,MATCH($A26,Registro!$A$443:$A$472,0))),0)</f>
        <v>0</v>
      </c>
      <c r="BB26" s="0" t="n">
        <f aca="false">IFERROR(N(INDEX(Registro!$AA$443:$AA$472,MATCH($A26,Registro!$A$443:$A$472,0))),0)</f>
        <v>0</v>
      </c>
      <c r="BC26" s="0" t="n">
        <f aca="false">IFERROR(N(INDEX(Registro!$I$479:$I$508,MATCH($A26,Registro!$A$479:$A$508,0))),0)</f>
        <v>0</v>
      </c>
      <c r="BD26" s="0" t="n">
        <f aca="false">IFERROR(N(INDEX(Registro!$O$479:$O$508,MATCH($A26,Registro!$A$479:$A$508,0))),0)</f>
        <v>0</v>
      </c>
      <c r="BE26" s="0" t="n">
        <f aca="false">IFERROR(N(INDEX(Registro!$U$479:$U$508,MATCH($A26,Registro!$A$479:$A$508,0))),0)</f>
        <v>0</v>
      </c>
      <c r="BF26" s="0" t="n">
        <f aca="false">IFERROR(N(INDEX(Registro!$AA$479:$AA$508,MATCH($A26,Registro!$A$479:$A$508,0))),0)</f>
        <v>0</v>
      </c>
      <c r="BG26" s="0" t="n">
        <f aca="false">IFERROR(N(INDEX(Registro!$I$515:$I$544,MATCH($A26,Registro!$A$515:$A$544,0))),0)</f>
        <v>0</v>
      </c>
      <c r="BH26" s="0" t="n">
        <f aca="false">IFERROR(N(INDEX(Registro!$O$515:$O$544,MATCH($A26,Registro!$A$515:$A$544,0))),0)</f>
        <v>0</v>
      </c>
      <c r="BI26" s="0" t="n">
        <f aca="false">IFERROR(N(INDEX(Registro!$U$515:$U$544,MATCH($A26,Registro!$A$515:$A$544,0))),0)</f>
        <v>0</v>
      </c>
      <c r="BJ26" s="0" t="n">
        <f aca="false">IFERROR(N(INDEX(Registro!$AA$515:$AA$544,MATCH($A26,Registro!$A$515:$A$544,0))),0)</f>
        <v>0</v>
      </c>
      <c r="BK26" s="0" t="n">
        <f aca="false">IFERROR(N(INDEX(Registro!$I$551:$I$580,MATCH($A26,Registro!$A$551:$A$580,0))),0)</f>
        <v>0</v>
      </c>
      <c r="BL26" s="0" t="n">
        <f aca="false">IFERROR(N(INDEX(Registro!$O$551:$O$580,MATCH($A26,Registro!$A$551:$A$580,0))),0)</f>
        <v>0</v>
      </c>
      <c r="BM26" s="0" t="n">
        <f aca="false">IFERROR(N(INDEX(Registro!$U$551:$U$580,MATCH($A26,Registro!$A$551:$A$580,0))),0)</f>
        <v>0</v>
      </c>
      <c r="BN26" s="0" t="n">
        <f aca="false">IFERROR(N(INDEX(Registro!$AA$551:$AA$580,MATCH($A26,Registro!$A$551:$A$580,0))),0)</f>
        <v>0</v>
      </c>
      <c r="BO26" s="0" t="n">
        <f aca="false">IFERROR(N(INDEX(Registro!$I$587:$I$616,MATCH($A26,Registro!$A$587:$A$616,0))),0)</f>
        <v>0</v>
      </c>
      <c r="BP26" s="0" t="n">
        <f aca="false">IFERROR(N(INDEX(Registro!$O$587:$O$616,MATCH($A26,Registro!$A$587:$A$616,0))),0)</f>
        <v>0</v>
      </c>
      <c r="BQ26" s="0" t="n">
        <f aca="false">IFERROR(N(INDEX(Registro!$U$587:$U$616,MATCH($A26,Registro!$A$587:$A$616,0))),0)</f>
        <v>0</v>
      </c>
      <c r="BR26" s="0" t="n">
        <f aca="false">IFERROR(N(INDEX(Registro!$AA$587:$AA$616,MATCH($A26,Registro!$A$587:$A$616,0))),0)</f>
        <v>0</v>
      </c>
      <c r="BS26" s="0" t="n">
        <f aca="false">IFERROR(N(INDEX(Registro!$I$623:$I$652,MATCH($A26,Registro!$A$623:$A$652,0))),0)</f>
        <v>0</v>
      </c>
      <c r="BT26" s="0" t="n">
        <f aca="false">IFERROR(N(INDEX(Registro!$O$623:$O$652,MATCH($A26,Registro!$A$623:$A$652,0))),0)</f>
        <v>0</v>
      </c>
      <c r="BU26" s="0" t="n">
        <f aca="false">IFERROR(N(INDEX(Registro!$U$623:$U$652,MATCH($A26,Registro!$A$623:$A$652,0))),0)</f>
        <v>0</v>
      </c>
      <c r="BV26" s="0" t="n">
        <f aca="false">IFERROR(N(INDEX(Registro!$AA$623:$AA$652,MATCH($A26,Registro!$A$623:$A$652,0))),0)</f>
        <v>0</v>
      </c>
      <c r="BW26" s="0" t="n">
        <f aca="false">IFERROR(N(INDEX(Registro!$I$659:$I$688,MATCH($A26,Registro!$A$659:$A$688,0))),0)</f>
        <v>0</v>
      </c>
      <c r="BX26" s="0" t="n">
        <f aca="false">IFERROR(N(INDEX(Registro!$O$659:$O$688,MATCH($A26,Registro!$A$659:$A$688,0))),0)</f>
        <v>0</v>
      </c>
      <c r="BY26" s="0" t="n">
        <f aca="false">IFERROR(N(INDEX(Registro!$U$659:$U$688,MATCH($A26,Registro!$A$659:$A$688,0))),0)</f>
        <v>0</v>
      </c>
      <c r="BZ26" s="0" t="n">
        <f aca="false">IFERROR(N(INDEX(Registro!$AA$659:$AA$688,MATCH($A26,Registro!$A$659:$A$688,0))),0)</f>
        <v>0</v>
      </c>
      <c r="CA26" s="0" t="n">
        <f aca="false">IFERROR(N(INDEX(Registro!$I$695:$I$724,MATCH($A26,Registro!$A$695:$A$724,0))),0)</f>
        <v>0</v>
      </c>
      <c r="CB26" s="0" t="n">
        <f aca="false">IFERROR(N(INDEX(Registro!$O$695:$O$724,MATCH($A26,Registro!$A$695:$A$724,0))),0)</f>
        <v>0</v>
      </c>
      <c r="CC26" s="0" t="n">
        <f aca="false">IFERROR(N(INDEX(Registro!$U$695:$U$724,MATCH($A26,Registro!$A$695:$A$724,0))),0)</f>
        <v>0</v>
      </c>
      <c r="CD26" s="0" t="n">
        <f aca="false">IFERROR(N(INDEX(Registro!$AA$695:$AA$724,MATCH($A26,Registro!$A$695:$A$724,0))),0)</f>
        <v>0</v>
      </c>
      <c r="CE26" s="0" t="n">
        <f aca="false">IFERROR(IF(ISNUMBER(INDEX(Registro!$I$11:$I$40,MATCH($A26,Registro!$A$11:$A$40,0))),CE$5,0),0)</f>
        <v>0</v>
      </c>
      <c r="CF26" s="0" t="n">
        <f aca="false">IFERROR(IF(ISNUMBER(INDEX(Registro!$O$11:$O$40,MATCH($A26,Registro!$A$11:$A$40,0))),CF$5,0),0)</f>
        <v>0</v>
      </c>
      <c r="CG26" s="0" t="n">
        <f aca="false">IFERROR(IF(ISNUMBER(INDEX(Registro!$U$11:$U$40,MATCH($A26,Registro!$A$11:$A$40,0))),CG$5,0),0)</f>
        <v>0</v>
      </c>
      <c r="CH26" s="0" t="n">
        <f aca="false">IFERROR(IF(ISNUMBER(INDEX(Registro!$AA$11:$AA$40,MATCH($A26,Registro!$A$11:$A$40,0))),CH$5,0),0)</f>
        <v>0</v>
      </c>
      <c r="CI26" s="0" t="n">
        <f aca="false">IFERROR(IF(ISNUMBER(INDEX(Registro!$I$47:$I$76,MATCH($A26,Registro!$A$47:$A$76,0))),CI$5,0),0)</f>
        <v>0</v>
      </c>
      <c r="CJ26" s="0" t="n">
        <f aca="false">IFERROR(IF(ISNUMBER(INDEX(Registro!$O$47:$O$76,MATCH($A26,Registro!$A$47:$A$76,0))),CJ$5,0),0)</f>
        <v>0</v>
      </c>
      <c r="CK26" s="0" t="n">
        <f aca="false">IFERROR(IF(ISNUMBER(INDEX(Registro!$U$47:$U$76,MATCH($A26,Registro!$A$47:$A$76,0))),CK$5,0),0)</f>
        <v>0</v>
      </c>
      <c r="CL26" s="0" t="n">
        <f aca="false">IFERROR(IF(ISNUMBER(INDEX(Registro!$AA$47:$AA$76,MATCH($A26,Registro!$A$47:$A$76,0))),CL$5,0),0)</f>
        <v>0</v>
      </c>
      <c r="CM26" s="0" t="n">
        <f aca="false">IFERROR(IF(ISNUMBER(INDEX(Registro!$I$83:$I$112,MATCH($A26,Registro!$A$83:$A$112,0))),CM$5,0),0)</f>
        <v>0</v>
      </c>
      <c r="CN26" s="0" t="n">
        <f aca="false">IFERROR(IF(ISNUMBER(INDEX(Registro!$O$83:$O$112,MATCH($A26,Registro!$A$83:$A$112,0))),CN$5,0),0)</f>
        <v>0</v>
      </c>
      <c r="CO26" s="0" t="n">
        <f aca="false">IFERROR(IF(ISNUMBER(INDEX(Registro!$U$83:$U$112,MATCH($A26,Registro!$A$83:$A$112,0))),CO$5,0),0)</f>
        <v>0</v>
      </c>
      <c r="CP26" s="0" t="n">
        <f aca="false">IFERROR(IF(ISNUMBER(INDEX(Registro!$AA$83:$AA$112,MATCH($A26,Registro!$A$83:$A$112,0))),CP$5,0),0)</f>
        <v>0</v>
      </c>
      <c r="CQ26" s="0" t="n">
        <f aca="false">IFERROR(IF(ISNUMBER(INDEX(Registro!$I$119:$I$148,MATCH($A26,Registro!$A$119:$A$148,0))),CQ$5,0),0)</f>
        <v>0</v>
      </c>
      <c r="CR26" s="0" t="n">
        <f aca="false">IFERROR(IF(ISNUMBER(INDEX(Registro!$O$119:$O$148,MATCH($A26,Registro!$A$119:$A$148,0))),CR$5,0),0)</f>
        <v>0</v>
      </c>
      <c r="CS26" s="0" t="n">
        <f aca="false">IFERROR(IF(ISNUMBER(INDEX(Registro!$U$119:$U$148,MATCH($A26,Registro!$A$119:$A$148,0))),CS$5,0),0)</f>
        <v>0</v>
      </c>
      <c r="CT26" s="0" t="n">
        <f aca="false">IFERROR(IF(ISNUMBER(INDEX(Registro!$AA$119:$AA$148,MATCH($A26,Registro!$A$119:$A$148,0))),CT$5,0),0)</f>
        <v>0</v>
      </c>
      <c r="CU26" s="0" t="n">
        <f aca="false">IFERROR(IF(ISNUMBER(INDEX(Registro!$I$155:$I$184,MATCH($A26,Registro!$A$155:$A$184,0))),CU$5,0),0)</f>
        <v>0</v>
      </c>
      <c r="CV26" s="0" t="n">
        <f aca="false">IFERROR(IF(ISNUMBER(INDEX(Registro!$O$155:$O$184,MATCH($A26,Registro!$A$155:$A$184,0))),CV$5,0),0)</f>
        <v>0</v>
      </c>
      <c r="CW26" s="0" t="n">
        <f aca="false">IFERROR(IF(ISNUMBER(INDEX(Registro!$U$155:$U$184,MATCH($A26,Registro!$A$155:$A$184,0))),CW$5,0),0)</f>
        <v>0</v>
      </c>
      <c r="CX26" s="0" t="n">
        <f aca="false">IFERROR(IF(ISNUMBER(INDEX(Registro!$AA$155:$AA$184,MATCH($A26,Registro!$A$155:$A$184,0))),CX$5,0),0)</f>
        <v>0</v>
      </c>
      <c r="CY26" s="0" t="n">
        <f aca="false">IFERROR(IF(ISNUMBER(INDEX(Registro!$I$191:$I$220,MATCH($A26,Registro!$A$191:$A$220,0))),CY$5,0),0)</f>
        <v>0</v>
      </c>
      <c r="CZ26" s="0" t="n">
        <f aca="false">IFERROR(IF(ISNUMBER(INDEX(Registro!$O$191:$O$220,MATCH($A26,Registro!$A$191:$A$220,0))),CZ$5,0),0)</f>
        <v>0</v>
      </c>
      <c r="DA26" s="0" t="n">
        <f aca="false">IFERROR(IF(ISNUMBER(INDEX(Registro!$U$191:$U$220,MATCH($A26,Registro!$A$191:$A$220,0))),DA$5,0),0)</f>
        <v>0</v>
      </c>
      <c r="DB26" s="0" t="n">
        <f aca="false">IFERROR(IF(ISNUMBER(INDEX(Registro!$AA$191:$AA$220,MATCH($A26,Registro!$A$191:$A$220,0))),DB$5,0),0)</f>
        <v>0</v>
      </c>
      <c r="DC26" s="0" t="n">
        <f aca="false">IFERROR(IF(ISNUMBER(INDEX(Registro!$I$227:$I$256,MATCH($A26,Registro!$A$227:$A$256,0))),DC$5,0),0)</f>
        <v>0</v>
      </c>
      <c r="DD26" s="0" t="n">
        <f aca="false">IFERROR(IF(ISNUMBER(INDEX(Registro!$O$227:$O$256,MATCH($A26,Registro!$A$227:$A$256,0))),DD$5,0),0)</f>
        <v>0</v>
      </c>
      <c r="DE26" s="0" t="n">
        <f aca="false">IFERROR(IF(ISNUMBER(INDEX(Registro!$U$227:$U$256,MATCH($A26,Registro!$A$227:$A$256,0))),DE$5,0),0)</f>
        <v>0</v>
      </c>
      <c r="DF26" s="0" t="n">
        <f aca="false">IFERROR(IF(ISNUMBER(INDEX(Registro!$AA$227:$AA$256,MATCH($A26,Registro!$A$227:$A$256,0))),DF$5,0),0)</f>
        <v>0</v>
      </c>
      <c r="DG26" s="0" t="n">
        <f aca="false">IFERROR(IF(ISNUMBER(INDEX(Registro!$I$263:$I$292,MATCH($A26,Registro!$A$263:$A$292,0))),DG$5,0),0)</f>
        <v>0</v>
      </c>
      <c r="DH26" s="0" t="n">
        <f aca="false">IFERROR(IF(ISNUMBER(INDEX(Registro!$O$263:$O$292,MATCH($A26,Registro!$A$263:$A$292,0))),DH$5,0),0)</f>
        <v>0</v>
      </c>
      <c r="DI26" s="0" t="n">
        <f aca="false">IFERROR(IF(ISNUMBER(INDEX(Registro!$U$263:$U$292,MATCH($A26,Registro!$A$263:$A$292,0))),DI$5,0),0)</f>
        <v>0</v>
      </c>
      <c r="DJ26" s="0" t="n">
        <f aca="false">IFERROR(IF(ISNUMBER(INDEX(Registro!$AA$263:$AA$292,MATCH($A26,Registro!$A$263:$A$292,0))),DJ$5,0),0)</f>
        <v>0</v>
      </c>
      <c r="DK26" s="0" t="n">
        <f aca="false">IFERROR(IF(ISNUMBER(INDEX(Registro!$I$299:$I$328,MATCH($A26,Registro!$A$299:$A$328,0))),DK$5,0),0)</f>
        <v>0</v>
      </c>
      <c r="DL26" s="0" t="n">
        <f aca="false">IFERROR(IF(ISNUMBER(INDEX(Registro!$O$299:$O$328,MATCH($A26,Registro!$A$299:$A$328,0))),DL$5,0),0)</f>
        <v>0</v>
      </c>
      <c r="DM26" s="0" t="n">
        <f aca="false">IFERROR(IF(ISNUMBER(INDEX(Registro!$U$299:$U$328,MATCH($A26,Registro!$A$299:$A$328,0))),DM$5,0),0)</f>
        <v>0</v>
      </c>
      <c r="DN26" s="0" t="n">
        <f aca="false">IFERROR(IF(ISNUMBER(INDEX(Registro!$AA$299:$AA$328,MATCH($A26,Registro!$A$299:$A$328,0))),DN$5,0),0)</f>
        <v>0</v>
      </c>
      <c r="DO26" s="0" t="n">
        <f aca="false">IFERROR(IF(ISNUMBER(INDEX(Registro!$I$335:$I$364,MATCH($A26,Registro!$A$335:$A$364,0))),DO$5,0),0)</f>
        <v>0</v>
      </c>
      <c r="DP26" s="0" t="n">
        <f aca="false">IFERROR(IF(ISNUMBER(INDEX(Registro!$O$335:$O$364,MATCH($A26,Registro!$A$335:$A$364,0))),DP$5,0),0)</f>
        <v>0</v>
      </c>
      <c r="DQ26" s="0" t="n">
        <f aca="false">IFERROR(IF(ISNUMBER(INDEX(Registro!$U$335:$U$364,MATCH($A26,Registro!$A$335:$A$364,0))),DQ$5,0),0)</f>
        <v>0</v>
      </c>
      <c r="DR26" s="0" t="n">
        <f aca="false">IFERROR(IF(ISNUMBER(INDEX(Registro!$AA$335:$AA$364,MATCH($A26,Registro!$A$335:$A$364,0))),DR$5,0),0)</f>
        <v>0</v>
      </c>
      <c r="DS26" s="0" t="n">
        <f aca="false">IFERROR(IF(ISNUMBER(INDEX(Registro!$I$371:$I$400,MATCH($A26,Registro!$A$371:$A$400,0))),DS$5,0),0)</f>
        <v>0</v>
      </c>
      <c r="DT26" s="0" t="n">
        <f aca="false">IFERROR(IF(ISNUMBER(INDEX(Registro!$O$371:$O$400,MATCH($A26,Registro!$A$371:$A$400,0))),DT$5,0),0)</f>
        <v>0</v>
      </c>
      <c r="DU26" s="0" t="n">
        <f aca="false">IFERROR(IF(ISNUMBER(INDEX(Registro!$U$371:$U$400,MATCH($A26,Registro!$A$371:$A$400,0))),DU$5,0),0)</f>
        <v>0</v>
      </c>
      <c r="DV26" s="0" t="n">
        <f aca="false">IFERROR(IF(ISNUMBER(INDEX(Registro!$AA$371:$AA$400,MATCH($A26,Registro!$A$371:$A$400,0))),DV$5,0),0)</f>
        <v>0</v>
      </c>
      <c r="DW26" s="0" t="n">
        <f aca="false">IFERROR(IF(ISNUMBER(INDEX(Registro!$I$407:$I$436,MATCH($A26,Registro!$A$407:$A$436,0))),DW$5,0),0)</f>
        <v>0</v>
      </c>
      <c r="DX26" s="0" t="n">
        <f aca="false">IFERROR(IF(ISNUMBER(INDEX(Registro!$O$407:$O$436,MATCH($A26,Registro!$A$407:$A$436,0))),DX$5,0),0)</f>
        <v>0</v>
      </c>
      <c r="DY26" s="0" t="n">
        <f aca="false">IFERROR(IF(ISNUMBER(INDEX(Registro!$U$407:$U$436,MATCH($A26,Registro!$A$407:$A$436,0))),DY$5,0),0)</f>
        <v>0</v>
      </c>
      <c r="DZ26" s="0" t="n">
        <f aca="false">IFERROR(IF(ISNUMBER(INDEX(Registro!$AA$407:$AA$436,MATCH($A26,Registro!$A$407:$A$436,0))),DZ$5,0),0)</f>
        <v>0</v>
      </c>
      <c r="EA26" s="0" t="n">
        <f aca="false">IFERROR(IF(ISNUMBER(INDEX(Registro!$I$443:$I$472,MATCH($A26,Registro!$A$443:$A$472,0))),EA$5,0),0)</f>
        <v>0</v>
      </c>
      <c r="EB26" s="0" t="n">
        <f aca="false">IFERROR(IF(ISNUMBER(INDEX(Registro!$O$443:$O$472,MATCH($A26,Registro!$A$443:$A$472,0))),EB$5,0),0)</f>
        <v>0</v>
      </c>
      <c r="EC26" s="0" t="n">
        <f aca="false">IFERROR(IF(ISNUMBER(INDEX(Registro!$U$443:$U$472,MATCH($A26,Registro!$A$443:$A$472,0))),EC$5,0),0)</f>
        <v>0</v>
      </c>
      <c r="ED26" s="0" t="n">
        <f aca="false">IFERROR(IF(ISNUMBER(INDEX(Registro!$AA$443:$AA$472,MATCH($A26,Registro!$A$443:$A$472,0))),ED$5,0),0)</f>
        <v>0</v>
      </c>
      <c r="EE26" s="0" t="n">
        <f aca="false">IFERROR(IF(ISNUMBER(INDEX(Registro!$I$479:$I$508,MATCH($A26,Registro!$A$479:$A$508,0))),EE$5,0),0)</f>
        <v>0</v>
      </c>
      <c r="EF26" s="0" t="n">
        <f aca="false">IFERROR(IF(ISNUMBER(INDEX(Registro!$O$479:$O$508,MATCH($A26,Registro!$A$479:$A$508,0))),EF$5,0),0)</f>
        <v>0</v>
      </c>
      <c r="EG26" s="0" t="n">
        <f aca="false">IFERROR(IF(ISNUMBER(INDEX(Registro!$U$479:$U$508,MATCH($A26,Registro!$A$479:$A$508,0))),EG$5,0),0)</f>
        <v>0</v>
      </c>
      <c r="EH26" s="0" t="n">
        <f aca="false">IFERROR(IF(ISNUMBER(INDEX(Registro!$AA$479:$AA$508,MATCH($A26,Registro!$A$479:$A$508,0))),EH$5,0),0)</f>
        <v>0</v>
      </c>
      <c r="EI26" s="0" t="n">
        <f aca="false">IFERROR(IF(ISNUMBER(INDEX(Registro!$I$515:$I$544,MATCH($A26,Registro!$A$515:$A$544,0))),EI$5,0),0)</f>
        <v>0</v>
      </c>
      <c r="EJ26" s="0" t="n">
        <f aca="false">IFERROR(IF(ISNUMBER(INDEX(Registro!$O$515:$O$544,MATCH($A26,Registro!$A$515:$A$544,0))),EJ$5,0),0)</f>
        <v>0</v>
      </c>
      <c r="EK26" s="0" t="n">
        <f aca="false">IFERROR(IF(ISNUMBER(INDEX(Registro!$U$515:$U$544,MATCH($A26,Registro!$A$515:$A$544,0))),EK$5,0),0)</f>
        <v>0</v>
      </c>
      <c r="EL26" s="0" t="n">
        <f aca="false">IFERROR(IF(ISNUMBER(INDEX(Registro!$AA$515:$AA$544,MATCH($A26,Registro!$A$515:$A$544,0))),EL$5,0),0)</f>
        <v>0</v>
      </c>
      <c r="EM26" s="0" t="n">
        <f aca="false">IFERROR(IF(ISNUMBER(INDEX(Registro!$I$551:$I$580,MATCH($A26,Registro!$A$551:$A$580,0))),EM$5,0),0)</f>
        <v>0</v>
      </c>
      <c r="EN26" s="0" t="n">
        <f aca="false">IFERROR(IF(ISNUMBER(INDEX(Registro!$O$551:$O$580,MATCH($A26,Registro!$A$551:$A$580,0))),EN$5,0),0)</f>
        <v>0</v>
      </c>
      <c r="EO26" s="0" t="n">
        <f aca="false">IFERROR(IF(ISNUMBER(INDEX(Registro!$U$551:$U$580,MATCH($A26,Registro!$A$551:$A$580,0))),EO$5,0),0)</f>
        <v>0</v>
      </c>
      <c r="EP26" s="0" t="n">
        <f aca="false">IFERROR(IF(ISNUMBER(INDEX(Registro!$AA$551:$AA$580,MATCH($A26,Registro!$A$551:$A$580,0))),EP$5,0),0)</f>
        <v>0</v>
      </c>
      <c r="EQ26" s="0" t="n">
        <f aca="false">IFERROR(IF(ISNUMBER(INDEX(Registro!$I$587:$I$616,MATCH($A26,Registro!$A$587:$A$616,0))),EQ$5,0),0)</f>
        <v>0</v>
      </c>
      <c r="ER26" s="0" t="n">
        <f aca="false">IFERROR(IF(ISNUMBER(INDEX(Registro!$O$587:$O$616,MATCH($A26,Registro!$A$587:$A$616,0))),ER$5,0),0)</f>
        <v>0</v>
      </c>
      <c r="ES26" s="0" t="n">
        <f aca="false">IFERROR(IF(ISNUMBER(INDEX(Registro!$U$587:$U$616,MATCH($A26,Registro!$A$587:$A$616,0))),ES$5,0),0)</f>
        <v>0</v>
      </c>
      <c r="ET26" s="0" t="n">
        <f aca="false">IFERROR(IF(ISNUMBER(INDEX(Registro!$AA$587:$AA$616,MATCH($A26,Registro!$A$587:$A$616,0))),ET$5,0),0)</f>
        <v>0</v>
      </c>
      <c r="EU26" s="0" t="n">
        <f aca="false">IFERROR(IF(ISNUMBER(INDEX(Registro!$I$623:$I$652,MATCH($A26,Registro!$A$623:$A$652,0))),EU$5,0),0)</f>
        <v>0</v>
      </c>
      <c r="EV26" s="0" t="n">
        <f aca="false">IFERROR(IF(ISNUMBER(INDEX(Registro!$O$623:$O$652,MATCH($A26,Registro!$A$623:$A$652,0))),EV$5,0),0)</f>
        <v>0</v>
      </c>
      <c r="EW26" s="0" t="n">
        <f aca="false">IFERROR(IF(ISNUMBER(INDEX(Registro!$U$623:$U$652,MATCH($A26,Registro!$A$623:$A$652,0))),EW$5,0),0)</f>
        <v>0</v>
      </c>
      <c r="EX26" s="0" t="n">
        <f aca="false">IFERROR(IF(ISNUMBER(INDEX(Registro!$AA$623:$AA$652,MATCH($A26,Registro!$A$623:$A$652,0))),EX$5,0),0)</f>
        <v>0</v>
      </c>
      <c r="EY26" s="0" t="n">
        <f aca="false">IFERROR(IF(ISNUMBER(INDEX(Registro!$I$659:$I$688,MATCH($A26,Registro!$A$659:$A$688,0))),EY$5,0),0)</f>
        <v>0</v>
      </c>
      <c r="EZ26" s="0" t="n">
        <f aca="false">IFERROR(IF(ISNUMBER(INDEX(Registro!$O$659:$O$688,MATCH($A26,Registro!$A$659:$A$688,0))),EZ$5,0),0)</f>
        <v>0</v>
      </c>
      <c r="FA26" s="0" t="n">
        <f aca="false">IFERROR(IF(ISNUMBER(INDEX(Registro!$U$659:$U$688,MATCH($A26,Registro!$A$659:$A$688,0))),FA$5,0),0)</f>
        <v>0</v>
      </c>
      <c r="FB26" s="0" t="n">
        <f aca="false">IFERROR(IF(ISNUMBER(INDEX(Registro!$AA$659:$AA$688,MATCH($A26,Registro!$A$659:$A$688,0))),FB$5,0),0)</f>
        <v>0</v>
      </c>
      <c r="FC26" s="0" t="n">
        <f aca="false">IFERROR(IF(ISNUMBER(INDEX(Registro!$I$695:$I$724,MATCH($A26,Registro!$A$695:$A$724,0))),FC$5,0),0)</f>
        <v>0</v>
      </c>
      <c r="FD26" s="0" t="n">
        <f aca="false">IFERROR(IF(ISNUMBER(INDEX(Registro!$O$695:$O$724,MATCH($A26,Registro!$A$695:$A$724,0))),FD$5,0),0)</f>
        <v>0</v>
      </c>
      <c r="FE26" s="0" t="n">
        <f aca="false">IFERROR(IF(ISNUMBER(INDEX(Registro!$U$695:$U$724,MATCH($A26,Registro!$A$695:$A$724,0))),FE$5,0),0)</f>
        <v>0</v>
      </c>
      <c r="FF26" s="0" t="n">
        <f aca="false">IFERROR(IF(ISNUMBER(INDEX(Registro!$AA$695:$AA$724,MATCH($A26,Registro!$A$695:$A$724,0))),FF$5,0),0)</f>
        <v>0</v>
      </c>
      <c r="FG26" s="0" t="n">
        <f aca="false">IFERROR(IF(AND(INDEX(Registro!$C$11:$C$40,MATCH($A26,Registro!$A$11:$A$40,0))="AS",INDEX(Registro!$D$11:$D$40,MATCH($A26,Registro!$A$11:$A$40,0))&amp;""=""),1,0),0)</f>
        <v>0</v>
      </c>
      <c r="FH26" s="0" t="n">
        <f aca="false">IFERROR(IF(AND(INDEX(Registro!$C$47:$C$76,MATCH($A26,Registro!$A$47:$A$76,0))="AS",INDEX(Registro!$D$47:$D$76,MATCH($A26,Registro!$A$47:$A$76,0))&amp;""=""),1,0),0)</f>
        <v>0</v>
      </c>
      <c r="FI26" s="0" t="n">
        <f aca="false">IFERROR(IF(AND(INDEX(Registro!$C$83:$C$112,MATCH($A26,Registro!$A$83:$A$112,0))="AS",INDEX(Registro!$D$83:$D$112,MATCH($A26,Registro!$A$83:$A$112,0))&amp;""=""),1,0),0)</f>
        <v>0</v>
      </c>
      <c r="FJ26" s="0" t="n">
        <f aca="false">IFERROR(IF(AND(INDEX(Registro!$C$119:$C$148,MATCH($A26,Registro!$A$119:$A$148,0))="AS",INDEX(Registro!$D$119:$D$148,MATCH($A26,Registro!$A$119:$A$148,0))&amp;""=""),1,0),0)</f>
        <v>0</v>
      </c>
      <c r="FK26" s="0" t="n">
        <f aca="false">IFERROR(IF(AND(INDEX(Registro!$C$155:$C$184,MATCH($A26,Registro!$A$155:$A$184,0))="AS",INDEX(Registro!$D$155:$D$184,MATCH($A26,Registro!$A$155:$A$184,0))&amp;""=""),1,0),0)</f>
        <v>0</v>
      </c>
      <c r="FL26" s="0" t="n">
        <f aca="false">IFERROR(IF(AND(INDEX(Registro!$C$191:$C$220,MATCH($A26,Registro!$A$191:$A$220,0))="AS",INDEX(Registro!$D$191:$D$220,MATCH($A26,Registro!$A$191:$A$220,0))&amp;""=""),1,0),0)</f>
        <v>0</v>
      </c>
      <c r="FM26" s="0" t="n">
        <f aca="false">IFERROR(IF(AND(INDEX(Registro!$C$227:$C$256,MATCH($A26,Registro!$A$227:$A$256,0))="AS",INDEX(Registro!$D$227:$D$256,MATCH($A26,Registro!$A$227:$A$256,0))&amp;""=""),1,0),0)</f>
        <v>0</v>
      </c>
      <c r="FN26" s="0" t="n">
        <f aca="false">IFERROR(IF(AND(INDEX(Registro!$C$263:$C$292,MATCH($A26,Registro!$A$263:$A$292,0))="AS",INDEX(Registro!$D$263:$D$292,MATCH($A26,Registro!$A$263:$A$292,0))&amp;""=""),1,0),0)</f>
        <v>0</v>
      </c>
      <c r="FO26" s="0" t="n">
        <f aca="false">IFERROR(IF(AND(INDEX(Registro!$C$299:$C$328,MATCH($A26,Registro!$A$299:$A$328,0))="AS",INDEX(Registro!$D$299:$D$328,MATCH($A26,Registro!$A$299:$A$328,0))&amp;""=""),1,0),0)</f>
        <v>0</v>
      </c>
      <c r="FP26" s="0" t="n">
        <f aca="false">IFERROR(IF(AND(INDEX(Registro!$C$335:$C$364,MATCH($A26,Registro!$A$335:$A$364,0))="AS",INDEX(Registro!$D$335:$D$364,MATCH($A26,Registro!$A$335:$A$364,0))&amp;""=""),1,0),0)</f>
        <v>0</v>
      </c>
      <c r="FQ26" s="0" t="n">
        <f aca="false">IFERROR(IF(AND(INDEX(Registro!$C$371:$C$400,MATCH($A26,Registro!$A$371:$A$400,0))="AS",INDEX(Registro!$D$371:$D$400,MATCH($A26,Registro!$A$371:$A$400,0))&amp;""=""),1,0),0)</f>
        <v>0</v>
      </c>
      <c r="FR26" s="0" t="n">
        <f aca="false">IFERROR(IF(AND(INDEX(Registro!$C$407:$C$436,MATCH($A26,Registro!$A$407:$A$436,0))="AS",INDEX(Registro!$D$407:$D$436,MATCH($A26,Registro!$A$407:$A$436,0))&amp;""=""),1,0),0)</f>
        <v>0</v>
      </c>
      <c r="FS26" s="0" t="n">
        <f aca="false">IFERROR(IF(AND(INDEX(Registro!$C$443:$C$472,MATCH($A26,Registro!$A$443:$A$472,0))="AS",INDEX(Registro!$D$443:$D$472,MATCH($A26,Registro!$A$443:$A$472,0))&amp;""=""),1,0),0)</f>
        <v>0</v>
      </c>
      <c r="FT26" s="0" t="n">
        <f aca="false">IFERROR(IF(AND(INDEX(Registro!$C$479:$C$508,MATCH($A26,Registro!$A$479:$A$508,0))="AS",INDEX(Registro!$D$479:$D$508,MATCH($A26,Registro!$A$479:$A$508,0))&amp;""=""),1,0),0)</f>
        <v>0</v>
      </c>
      <c r="FU26" s="0" t="n">
        <f aca="false">IFERROR(IF(AND(INDEX(Registro!$C$515:$C$544,MATCH($A26,Registro!$A$515:$A$544,0))="AS",INDEX(Registro!$D$515:$D$544,MATCH($A26,Registro!$A$515:$A$544,0))&amp;""=""),1,0),0)</f>
        <v>0</v>
      </c>
      <c r="FV26" s="0" t="n">
        <f aca="false">IFERROR(IF(AND(INDEX(Registro!$C$551:$C$580,MATCH($A26,Registro!$A$551:$A$580,0))="AS",INDEX(Registro!$D$551:$D$580,MATCH($A26,Registro!$A$551:$A$580,0))&amp;""=""),1,0),0)</f>
        <v>0</v>
      </c>
      <c r="FW26" s="0" t="n">
        <f aca="false">IFERROR(IF(AND(INDEX(Registro!$C$587:$C$616,MATCH($A26,Registro!$A$587:$A$616,0))="AS",INDEX(Registro!$D$587:$D$616,MATCH($A26,Registro!$A$587:$A$616,0))&amp;""=""),1,0),0)</f>
        <v>0</v>
      </c>
      <c r="FX26" s="0" t="n">
        <f aca="false">IFERROR(IF(AND(INDEX(Registro!$C$623:$C$652,MATCH($A26,Registro!$A$623:$A$652,0))="AS",INDEX(Registro!$D$623:$D$652,MATCH($A26,Registro!$A$623:$A$652,0))&amp;""=""),1,0),0)</f>
        <v>0</v>
      </c>
      <c r="FY26" s="0" t="n">
        <f aca="false">IFERROR(IF(AND(INDEX(Registro!$C$659:$C$688,MATCH($A26,Registro!$A$659:$A$688,0))="AS",INDEX(Registro!$D$659:$D$688,MATCH($A26,Registro!$A$659:$A$688,0))&amp;""=""),1,0),0)</f>
        <v>0</v>
      </c>
      <c r="FZ26" s="0" t="n">
        <f aca="false">IFERROR(IF(AND(INDEX(Registro!$C$695:$C$724,MATCH($A26,Registro!$A$695:$A$724,0))="AS",INDEX(Registro!$D$695:$D$724,MATCH($A26,Registro!$A$695:$A$724,0))&amp;""=""),1,0),0)</f>
        <v>0</v>
      </c>
    </row>
    <row r="27" customFormat="false" ht="15" hidden="false" customHeight="false" outlineLevel="0" collapsed="false">
      <c r="A27" s="0" t="n">
        <v>21</v>
      </c>
      <c r="C27" s="0" t="n">
        <f aca="false">IFERROR(N(INDEX(Registro!$I$11:$I$40,MATCH($A27,Registro!$A$11:$A$40,0))),0)</f>
        <v>0</v>
      </c>
      <c r="D27" s="0" t="n">
        <f aca="false">IFERROR(N(INDEX(Registro!$O$11:$O$40,MATCH($A27,Registro!$A$11:$A$40,0))),0)</f>
        <v>0</v>
      </c>
      <c r="E27" s="0" t="n">
        <f aca="false">IFERROR(N(INDEX(Registro!$U$11:$U$40,MATCH($A27,Registro!$A$11:$A$40,0))),0)</f>
        <v>0</v>
      </c>
      <c r="F27" s="0" t="n">
        <f aca="false">IFERROR(N(INDEX(Registro!$AA$11:$AA$40,MATCH($A27,Registro!$A$11:$A$40,0))),0)</f>
        <v>0</v>
      </c>
      <c r="G27" s="0" t="n">
        <f aca="false">IFERROR(N(INDEX(Registro!$I$47:$I$76,MATCH($A27,Registro!$A$47:$A$76,0))),0)</f>
        <v>0</v>
      </c>
      <c r="H27" s="0" t="n">
        <f aca="false">IFERROR(N(INDEX(Registro!$O$47:$O$76,MATCH($A27,Registro!$A$47:$A$76,0))),0)</f>
        <v>0</v>
      </c>
      <c r="I27" s="0" t="n">
        <f aca="false">IFERROR(N(INDEX(Registro!$U$47:$U$76,MATCH($A27,Registro!$A$47:$A$76,0))),0)</f>
        <v>0</v>
      </c>
      <c r="J27" s="0" t="n">
        <f aca="false">IFERROR(N(INDEX(Registro!$AA$47:$AA$76,MATCH($A27,Registro!$A$47:$A$76,0))),0)</f>
        <v>0</v>
      </c>
      <c r="K27" s="0" t="n">
        <f aca="false">IFERROR(N(INDEX(Registro!$I$83:$I$112,MATCH($A27,Registro!$A$83:$A$112,0))),0)</f>
        <v>0</v>
      </c>
      <c r="L27" s="0" t="n">
        <f aca="false">IFERROR(N(INDEX(Registro!$O$83:$O$112,MATCH($A27,Registro!$A$83:$A$112,0))),0)</f>
        <v>0</v>
      </c>
      <c r="M27" s="0" t="n">
        <f aca="false">IFERROR(N(INDEX(Registro!$U$83:$U$112,MATCH($A27,Registro!$A$83:$A$112,0))),0)</f>
        <v>0</v>
      </c>
      <c r="N27" s="0" t="n">
        <f aca="false">IFERROR(N(INDEX(Registro!$AA$83:$AA$112,MATCH($A27,Registro!$A$83:$A$112,0))),0)</f>
        <v>0</v>
      </c>
      <c r="O27" s="0" t="n">
        <f aca="false">IFERROR(N(INDEX(Registro!$I$119:$I$148,MATCH($A27,Registro!$A$119:$A$148,0))),0)</f>
        <v>0</v>
      </c>
      <c r="P27" s="0" t="n">
        <f aca="false">IFERROR(N(INDEX(Registro!$O$119:$O$148,MATCH($A27,Registro!$A$119:$A$148,0))),0)</f>
        <v>0</v>
      </c>
      <c r="Q27" s="0" t="n">
        <f aca="false">IFERROR(N(INDEX(Registro!$U$119:$U$148,MATCH($A27,Registro!$A$119:$A$148,0))),0)</f>
        <v>0</v>
      </c>
      <c r="R27" s="0" t="n">
        <f aca="false">IFERROR(N(INDEX(Registro!$AA$119:$AA$148,MATCH($A27,Registro!$A$119:$A$148,0))),0)</f>
        <v>0</v>
      </c>
      <c r="S27" s="0" t="n">
        <f aca="false">IFERROR(N(INDEX(Registro!$I$155:$I$184,MATCH($A27,Registro!$A$155:$A$184,0))),0)</f>
        <v>0</v>
      </c>
      <c r="T27" s="0" t="n">
        <f aca="false">IFERROR(N(INDEX(Registro!$O$155:$O$184,MATCH($A27,Registro!$A$155:$A$184,0))),0)</f>
        <v>0</v>
      </c>
      <c r="U27" s="0" t="n">
        <f aca="false">IFERROR(N(INDEX(Registro!$U$155:$U$184,MATCH($A27,Registro!$A$155:$A$184,0))),0)</f>
        <v>0</v>
      </c>
      <c r="V27" s="0" t="n">
        <f aca="false">IFERROR(N(INDEX(Registro!$AA$155:$AA$184,MATCH($A27,Registro!$A$155:$A$184,0))),0)</f>
        <v>0</v>
      </c>
      <c r="W27" s="0" t="n">
        <f aca="false">IFERROR(N(INDEX(Registro!$I$191:$I$220,MATCH($A27,Registro!$A$191:$A$220,0))),0)</f>
        <v>0</v>
      </c>
      <c r="X27" s="0" t="n">
        <f aca="false">IFERROR(N(INDEX(Registro!$O$191:$O$220,MATCH($A27,Registro!$A$191:$A$220,0))),0)</f>
        <v>0</v>
      </c>
      <c r="Y27" s="0" t="n">
        <f aca="false">IFERROR(N(INDEX(Registro!$U$191:$U$220,MATCH($A27,Registro!$A$191:$A$220,0))),0)</f>
        <v>0</v>
      </c>
      <c r="Z27" s="0" t="n">
        <f aca="false">IFERROR(N(INDEX(Registro!$AA$191:$AA$220,MATCH($A27,Registro!$A$191:$A$220,0))),0)</f>
        <v>0</v>
      </c>
      <c r="AA27" s="0" t="n">
        <f aca="false">IFERROR(N(INDEX(Registro!$I$227:$I$256,MATCH($A27,Registro!$A$227:$A$256,0))),0)</f>
        <v>0</v>
      </c>
      <c r="AB27" s="0" t="n">
        <f aca="false">IFERROR(N(INDEX(Registro!$O$227:$O$256,MATCH($A27,Registro!$A$227:$A$256,0))),0)</f>
        <v>0</v>
      </c>
      <c r="AC27" s="0" t="n">
        <f aca="false">IFERROR(N(INDEX(Registro!$U$227:$U$256,MATCH($A27,Registro!$A$227:$A$256,0))),0)</f>
        <v>0</v>
      </c>
      <c r="AD27" s="0" t="n">
        <f aca="false">IFERROR(N(INDEX(Registro!$AA$227:$AA$256,MATCH($A27,Registro!$A$227:$A$256,0))),0)</f>
        <v>0</v>
      </c>
      <c r="AE27" s="0" t="n">
        <f aca="false">IFERROR(N(INDEX(Registro!$I$263:$I$292,MATCH($A27,Registro!$A$263:$A$292,0))),0)</f>
        <v>0</v>
      </c>
      <c r="AF27" s="0" t="n">
        <f aca="false">IFERROR(N(INDEX(Registro!$O$263:$O$292,MATCH($A27,Registro!$A$263:$A$292,0))),0)</f>
        <v>0</v>
      </c>
      <c r="AG27" s="0" t="n">
        <f aca="false">IFERROR(N(INDEX(Registro!$U$263:$U$292,MATCH($A27,Registro!$A$263:$A$292,0))),0)</f>
        <v>0</v>
      </c>
      <c r="AH27" s="0" t="n">
        <f aca="false">IFERROR(N(INDEX(Registro!$AA$263:$AA$292,MATCH($A27,Registro!$A$263:$A$292,0))),0)</f>
        <v>0</v>
      </c>
      <c r="AI27" s="0" t="n">
        <f aca="false">IFERROR(N(INDEX(Registro!$I$299:$I$328,MATCH($A27,Registro!$A$299:$A$328,0))),0)</f>
        <v>0</v>
      </c>
      <c r="AJ27" s="0" t="n">
        <f aca="false">IFERROR(N(INDEX(Registro!$O$299:$O$328,MATCH($A27,Registro!$A$299:$A$328,0))),0)</f>
        <v>0</v>
      </c>
      <c r="AK27" s="0" t="n">
        <f aca="false">IFERROR(N(INDEX(Registro!$U$299:$U$328,MATCH($A27,Registro!$A$299:$A$328,0))),0)</f>
        <v>0</v>
      </c>
      <c r="AL27" s="0" t="n">
        <f aca="false">IFERROR(N(INDEX(Registro!$AA$299:$AA$328,MATCH($A27,Registro!$A$299:$A$328,0))),0)</f>
        <v>0</v>
      </c>
      <c r="AM27" s="0" t="n">
        <f aca="false">IFERROR(N(INDEX(Registro!$I$335:$I$364,MATCH($A27,Registro!$A$335:$A$364,0))),0)</f>
        <v>0</v>
      </c>
      <c r="AN27" s="0" t="n">
        <f aca="false">IFERROR(N(INDEX(Registro!$O$335:$O$364,MATCH($A27,Registro!$A$335:$A$364,0))),0)</f>
        <v>0</v>
      </c>
      <c r="AO27" s="0" t="n">
        <f aca="false">IFERROR(N(INDEX(Registro!$U$335:$U$364,MATCH($A27,Registro!$A$335:$A$364,0))),0)</f>
        <v>0</v>
      </c>
      <c r="AP27" s="0" t="n">
        <f aca="false">IFERROR(N(INDEX(Registro!$AA$335:$AA$364,MATCH($A27,Registro!$A$335:$A$364,0))),0)</f>
        <v>0</v>
      </c>
      <c r="AQ27" s="0" t="n">
        <f aca="false">IFERROR(N(INDEX(Registro!$I$371:$I$400,MATCH($A27,Registro!$A$371:$A$400,0))),0)</f>
        <v>0</v>
      </c>
      <c r="AR27" s="0" t="n">
        <f aca="false">IFERROR(N(INDEX(Registro!$O$371:$O$400,MATCH($A27,Registro!$A$371:$A$400,0))),0)</f>
        <v>0</v>
      </c>
      <c r="AS27" s="0" t="n">
        <f aca="false">IFERROR(N(INDEX(Registro!$U$371:$U$400,MATCH($A27,Registro!$A$371:$A$400,0))),0)</f>
        <v>0</v>
      </c>
      <c r="AT27" s="0" t="n">
        <f aca="false">IFERROR(N(INDEX(Registro!$AA$371:$AA$400,MATCH($A27,Registro!$A$371:$A$400,0))),0)</f>
        <v>0</v>
      </c>
      <c r="AU27" s="0" t="n">
        <f aca="false">IFERROR(N(INDEX(Registro!$I$407:$I$436,MATCH($A27,Registro!$A$407:$A$436,0))),0)</f>
        <v>0</v>
      </c>
      <c r="AV27" s="0" t="n">
        <f aca="false">IFERROR(N(INDEX(Registro!$O$407:$O$436,MATCH($A27,Registro!$A$407:$A$436,0))),0)</f>
        <v>0</v>
      </c>
      <c r="AW27" s="0" t="n">
        <f aca="false">IFERROR(N(INDEX(Registro!$U$407:$U$436,MATCH($A27,Registro!$A$407:$A$436,0))),0)</f>
        <v>0</v>
      </c>
      <c r="AX27" s="0" t="n">
        <f aca="false">IFERROR(N(INDEX(Registro!$AA$407:$AA$436,MATCH($A27,Registro!$A$407:$A$436,0))),0)</f>
        <v>0</v>
      </c>
      <c r="AY27" s="0" t="n">
        <f aca="false">IFERROR(N(INDEX(Registro!$I$443:$I$472,MATCH($A27,Registro!$A$443:$A$472,0))),0)</f>
        <v>0</v>
      </c>
      <c r="AZ27" s="0" t="n">
        <f aca="false">IFERROR(N(INDEX(Registro!$O$443:$O$472,MATCH($A27,Registro!$A$443:$A$472,0))),0)</f>
        <v>0</v>
      </c>
      <c r="BA27" s="0" t="n">
        <f aca="false">IFERROR(N(INDEX(Registro!$U$443:$U$472,MATCH($A27,Registro!$A$443:$A$472,0))),0)</f>
        <v>0</v>
      </c>
      <c r="BB27" s="0" t="n">
        <f aca="false">IFERROR(N(INDEX(Registro!$AA$443:$AA$472,MATCH($A27,Registro!$A$443:$A$472,0))),0)</f>
        <v>0</v>
      </c>
      <c r="BC27" s="0" t="n">
        <f aca="false">IFERROR(N(INDEX(Registro!$I$479:$I$508,MATCH($A27,Registro!$A$479:$A$508,0))),0)</f>
        <v>0</v>
      </c>
      <c r="BD27" s="0" t="n">
        <f aca="false">IFERROR(N(INDEX(Registro!$O$479:$O$508,MATCH($A27,Registro!$A$479:$A$508,0))),0)</f>
        <v>0</v>
      </c>
      <c r="BE27" s="0" t="n">
        <f aca="false">IFERROR(N(INDEX(Registro!$U$479:$U$508,MATCH($A27,Registro!$A$479:$A$508,0))),0)</f>
        <v>0</v>
      </c>
      <c r="BF27" s="0" t="n">
        <f aca="false">IFERROR(N(INDEX(Registro!$AA$479:$AA$508,MATCH($A27,Registro!$A$479:$A$508,0))),0)</f>
        <v>0</v>
      </c>
      <c r="BG27" s="0" t="n">
        <f aca="false">IFERROR(N(INDEX(Registro!$I$515:$I$544,MATCH($A27,Registro!$A$515:$A$544,0))),0)</f>
        <v>0</v>
      </c>
      <c r="BH27" s="0" t="n">
        <f aca="false">IFERROR(N(INDEX(Registro!$O$515:$O$544,MATCH($A27,Registro!$A$515:$A$544,0))),0)</f>
        <v>0</v>
      </c>
      <c r="BI27" s="0" t="n">
        <f aca="false">IFERROR(N(INDEX(Registro!$U$515:$U$544,MATCH($A27,Registro!$A$515:$A$544,0))),0)</f>
        <v>0</v>
      </c>
      <c r="BJ27" s="0" t="n">
        <f aca="false">IFERROR(N(INDEX(Registro!$AA$515:$AA$544,MATCH($A27,Registro!$A$515:$A$544,0))),0)</f>
        <v>0</v>
      </c>
      <c r="BK27" s="0" t="n">
        <f aca="false">IFERROR(N(INDEX(Registro!$I$551:$I$580,MATCH($A27,Registro!$A$551:$A$580,0))),0)</f>
        <v>0</v>
      </c>
      <c r="BL27" s="0" t="n">
        <f aca="false">IFERROR(N(INDEX(Registro!$O$551:$O$580,MATCH($A27,Registro!$A$551:$A$580,0))),0)</f>
        <v>0</v>
      </c>
      <c r="BM27" s="0" t="n">
        <f aca="false">IFERROR(N(INDEX(Registro!$U$551:$U$580,MATCH($A27,Registro!$A$551:$A$580,0))),0)</f>
        <v>0</v>
      </c>
      <c r="BN27" s="0" t="n">
        <f aca="false">IFERROR(N(INDEX(Registro!$AA$551:$AA$580,MATCH($A27,Registro!$A$551:$A$580,0))),0)</f>
        <v>0</v>
      </c>
      <c r="BO27" s="0" t="n">
        <f aca="false">IFERROR(N(INDEX(Registro!$I$587:$I$616,MATCH($A27,Registro!$A$587:$A$616,0))),0)</f>
        <v>0</v>
      </c>
      <c r="BP27" s="0" t="n">
        <f aca="false">IFERROR(N(INDEX(Registro!$O$587:$O$616,MATCH($A27,Registro!$A$587:$A$616,0))),0)</f>
        <v>0</v>
      </c>
      <c r="BQ27" s="0" t="n">
        <f aca="false">IFERROR(N(INDEX(Registro!$U$587:$U$616,MATCH($A27,Registro!$A$587:$A$616,0))),0)</f>
        <v>0</v>
      </c>
      <c r="BR27" s="0" t="n">
        <f aca="false">IFERROR(N(INDEX(Registro!$AA$587:$AA$616,MATCH($A27,Registro!$A$587:$A$616,0))),0)</f>
        <v>0</v>
      </c>
      <c r="BS27" s="0" t="n">
        <f aca="false">IFERROR(N(INDEX(Registro!$I$623:$I$652,MATCH($A27,Registro!$A$623:$A$652,0))),0)</f>
        <v>0</v>
      </c>
      <c r="BT27" s="0" t="n">
        <f aca="false">IFERROR(N(INDEX(Registro!$O$623:$O$652,MATCH($A27,Registro!$A$623:$A$652,0))),0)</f>
        <v>0</v>
      </c>
      <c r="BU27" s="0" t="n">
        <f aca="false">IFERROR(N(INDEX(Registro!$U$623:$U$652,MATCH($A27,Registro!$A$623:$A$652,0))),0)</f>
        <v>0</v>
      </c>
      <c r="BV27" s="0" t="n">
        <f aca="false">IFERROR(N(INDEX(Registro!$AA$623:$AA$652,MATCH($A27,Registro!$A$623:$A$652,0))),0)</f>
        <v>0</v>
      </c>
      <c r="BW27" s="0" t="n">
        <f aca="false">IFERROR(N(INDEX(Registro!$I$659:$I$688,MATCH($A27,Registro!$A$659:$A$688,0))),0)</f>
        <v>0</v>
      </c>
      <c r="BX27" s="0" t="n">
        <f aca="false">IFERROR(N(INDEX(Registro!$O$659:$O$688,MATCH($A27,Registro!$A$659:$A$688,0))),0)</f>
        <v>0</v>
      </c>
      <c r="BY27" s="0" t="n">
        <f aca="false">IFERROR(N(INDEX(Registro!$U$659:$U$688,MATCH($A27,Registro!$A$659:$A$688,0))),0)</f>
        <v>0</v>
      </c>
      <c r="BZ27" s="0" t="n">
        <f aca="false">IFERROR(N(INDEX(Registro!$AA$659:$AA$688,MATCH($A27,Registro!$A$659:$A$688,0))),0)</f>
        <v>0</v>
      </c>
      <c r="CA27" s="0" t="n">
        <f aca="false">IFERROR(N(INDEX(Registro!$I$695:$I$724,MATCH($A27,Registro!$A$695:$A$724,0))),0)</f>
        <v>0</v>
      </c>
      <c r="CB27" s="0" t="n">
        <f aca="false">IFERROR(N(INDEX(Registro!$O$695:$O$724,MATCH($A27,Registro!$A$695:$A$724,0))),0)</f>
        <v>0</v>
      </c>
      <c r="CC27" s="0" t="n">
        <f aca="false">IFERROR(N(INDEX(Registro!$U$695:$U$724,MATCH($A27,Registro!$A$695:$A$724,0))),0)</f>
        <v>0</v>
      </c>
      <c r="CD27" s="0" t="n">
        <f aca="false">IFERROR(N(INDEX(Registro!$AA$695:$AA$724,MATCH($A27,Registro!$A$695:$A$724,0))),0)</f>
        <v>0</v>
      </c>
      <c r="CE27" s="0" t="n">
        <f aca="false">IFERROR(IF(ISNUMBER(INDEX(Registro!$I$11:$I$40,MATCH($A27,Registro!$A$11:$A$40,0))),CE$5,0),0)</f>
        <v>0</v>
      </c>
      <c r="CF27" s="0" t="n">
        <f aca="false">IFERROR(IF(ISNUMBER(INDEX(Registro!$O$11:$O$40,MATCH($A27,Registro!$A$11:$A$40,0))),CF$5,0),0)</f>
        <v>0</v>
      </c>
      <c r="CG27" s="0" t="n">
        <f aca="false">IFERROR(IF(ISNUMBER(INDEX(Registro!$U$11:$U$40,MATCH($A27,Registro!$A$11:$A$40,0))),CG$5,0),0)</f>
        <v>0</v>
      </c>
      <c r="CH27" s="0" t="n">
        <f aca="false">IFERROR(IF(ISNUMBER(INDEX(Registro!$AA$11:$AA$40,MATCH($A27,Registro!$A$11:$A$40,0))),CH$5,0),0)</f>
        <v>0</v>
      </c>
      <c r="CI27" s="0" t="n">
        <f aca="false">IFERROR(IF(ISNUMBER(INDEX(Registro!$I$47:$I$76,MATCH($A27,Registro!$A$47:$A$76,0))),CI$5,0),0)</f>
        <v>0</v>
      </c>
      <c r="CJ27" s="0" t="n">
        <f aca="false">IFERROR(IF(ISNUMBER(INDEX(Registro!$O$47:$O$76,MATCH($A27,Registro!$A$47:$A$76,0))),CJ$5,0),0)</f>
        <v>0</v>
      </c>
      <c r="CK27" s="0" t="n">
        <f aca="false">IFERROR(IF(ISNUMBER(INDEX(Registro!$U$47:$U$76,MATCH($A27,Registro!$A$47:$A$76,0))),CK$5,0),0)</f>
        <v>0</v>
      </c>
      <c r="CL27" s="0" t="n">
        <f aca="false">IFERROR(IF(ISNUMBER(INDEX(Registro!$AA$47:$AA$76,MATCH($A27,Registro!$A$47:$A$76,0))),CL$5,0),0)</f>
        <v>0</v>
      </c>
      <c r="CM27" s="0" t="n">
        <f aca="false">IFERROR(IF(ISNUMBER(INDEX(Registro!$I$83:$I$112,MATCH($A27,Registro!$A$83:$A$112,0))),CM$5,0),0)</f>
        <v>0</v>
      </c>
      <c r="CN27" s="0" t="n">
        <f aca="false">IFERROR(IF(ISNUMBER(INDEX(Registro!$O$83:$O$112,MATCH($A27,Registro!$A$83:$A$112,0))),CN$5,0),0)</f>
        <v>0</v>
      </c>
      <c r="CO27" s="0" t="n">
        <f aca="false">IFERROR(IF(ISNUMBER(INDEX(Registro!$U$83:$U$112,MATCH($A27,Registro!$A$83:$A$112,0))),CO$5,0),0)</f>
        <v>0</v>
      </c>
      <c r="CP27" s="0" t="n">
        <f aca="false">IFERROR(IF(ISNUMBER(INDEX(Registro!$AA$83:$AA$112,MATCH($A27,Registro!$A$83:$A$112,0))),CP$5,0),0)</f>
        <v>0</v>
      </c>
      <c r="CQ27" s="0" t="n">
        <f aca="false">IFERROR(IF(ISNUMBER(INDEX(Registro!$I$119:$I$148,MATCH($A27,Registro!$A$119:$A$148,0))),CQ$5,0),0)</f>
        <v>0</v>
      </c>
      <c r="CR27" s="0" t="n">
        <f aca="false">IFERROR(IF(ISNUMBER(INDEX(Registro!$O$119:$O$148,MATCH($A27,Registro!$A$119:$A$148,0))),CR$5,0),0)</f>
        <v>0</v>
      </c>
      <c r="CS27" s="0" t="n">
        <f aca="false">IFERROR(IF(ISNUMBER(INDEX(Registro!$U$119:$U$148,MATCH($A27,Registro!$A$119:$A$148,0))),CS$5,0),0)</f>
        <v>0</v>
      </c>
      <c r="CT27" s="0" t="n">
        <f aca="false">IFERROR(IF(ISNUMBER(INDEX(Registro!$AA$119:$AA$148,MATCH($A27,Registro!$A$119:$A$148,0))),CT$5,0),0)</f>
        <v>0</v>
      </c>
      <c r="CU27" s="0" t="n">
        <f aca="false">IFERROR(IF(ISNUMBER(INDEX(Registro!$I$155:$I$184,MATCH($A27,Registro!$A$155:$A$184,0))),CU$5,0),0)</f>
        <v>0</v>
      </c>
      <c r="CV27" s="0" t="n">
        <f aca="false">IFERROR(IF(ISNUMBER(INDEX(Registro!$O$155:$O$184,MATCH($A27,Registro!$A$155:$A$184,0))),CV$5,0),0)</f>
        <v>0</v>
      </c>
      <c r="CW27" s="0" t="n">
        <f aca="false">IFERROR(IF(ISNUMBER(INDEX(Registro!$U$155:$U$184,MATCH($A27,Registro!$A$155:$A$184,0))),CW$5,0),0)</f>
        <v>0</v>
      </c>
      <c r="CX27" s="0" t="n">
        <f aca="false">IFERROR(IF(ISNUMBER(INDEX(Registro!$AA$155:$AA$184,MATCH($A27,Registro!$A$155:$A$184,0))),CX$5,0),0)</f>
        <v>0</v>
      </c>
      <c r="CY27" s="0" t="n">
        <f aca="false">IFERROR(IF(ISNUMBER(INDEX(Registro!$I$191:$I$220,MATCH($A27,Registro!$A$191:$A$220,0))),CY$5,0),0)</f>
        <v>0</v>
      </c>
      <c r="CZ27" s="0" t="n">
        <f aca="false">IFERROR(IF(ISNUMBER(INDEX(Registro!$O$191:$O$220,MATCH($A27,Registro!$A$191:$A$220,0))),CZ$5,0),0)</f>
        <v>0</v>
      </c>
      <c r="DA27" s="0" t="n">
        <f aca="false">IFERROR(IF(ISNUMBER(INDEX(Registro!$U$191:$U$220,MATCH($A27,Registro!$A$191:$A$220,0))),DA$5,0),0)</f>
        <v>0</v>
      </c>
      <c r="DB27" s="0" t="n">
        <f aca="false">IFERROR(IF(ISNUMBER(INDEX(Registro!$AA$191:$AA$220,MATCH($A27,Registro!$A$191:$A$220,0))),DB$5,0),0)</f>
        <v>0</v>
      </c>
      <c r="DC27" s="0" t="n">
        <f aca="false">IFERROR(IF(ISNUMBER(INDEX(Registro!$I$227:$I$256,MATCH($A27,Registro!$A$227:$A$256,0))),DC$5,0),0)</f>
        <v>0</v>
      </c>
      <c r="DD27" s="0" t="n">
        <f aca="false">IFERROR(IF(ISNUMBER(INDEX(Registro!$O$227:$O$256,MATCH($A27,Registro!$A$227:$A$256,0))),DD$5,0),0)</f>
        <v>0</v>
      </c>
      <c r="DE27" s="0" t="n">
        <f aca="false">IFERROR(IF(ISNUMBER(INDEX(Registro!$U$227:$U$256,MATCH($A27,Registro!$A$227:$A$256,0))),DE$5,0),0)</f>
        <v>0</v>
      </c>
      <c r="DF27" s="0" t="n">
        <f aca="false">IFERROR(IF(ISNUMBER(INDEX(Registro!$AA$227:$AA$256,MATCH($A27,Registro!$A$227:$A$256,0))),DF$5,0),0)</f>
        <v>0</v>
      </c>
      <c r="DG27" s="0" t="n">
        <f aca="false">IFERROR(IF(ISNUMBER(INDEX(Registro!$I$263:$I$292,MATCH($A27,Registro!$A$263:$A$292,0))),DG$5,0),0)</f>
        <v>0</v>
      </c>
      <c r="DH27" s="0" t="n">
        <f aca="false">IFERROR(IF(ISNUMBER(INDEX(Registro!$O$263:$O$292,MATCH($A27,Registro!$A$263:$A$292,0))),DH$5,0),0)</f>
        <v>0</v>
      </c>
      <c r="DI27" s="0" t="n">
        <f aca="false">IFERROR(IF(ISNUMBER(INDEX(Registro!$U$263:$U$292,MATCH($A27,Registro!$A$263:$A$292,0))),DI$5,0),0)</f>
        <v>0</v>
      </c>
      <c r="DJ27" s="0" t="n">
        <f aca="false">IFERROR(IF(ISNUMBER(INDEX(Registro!$AA$263:$AA$292,MATCH($A27,Registro!$A$263:$A$292,0))),DJ$5,0),0)</f>
        <v>0</v>
      </c>
      <c r="DK27" s="0" t="n">
        <f aca="false">IFERROR(IF(ISNUMBER(INDEX(Registro!$I$299:$I$328,MATCH($A27,Registro!$A$299:$A$328,0))),DK$5,0),0)</f>
        <v>0</v>
      </c>
      <c r="DL27" s="0" t="n">
        <f aca="false">IFERROR(IF(ISNUMBER(INDEX(Registro!$O$299:$O$328,MATCH($A27,Registro!$A$299:$A$328,0))),DL$5,0),0)</f>
        <v>0</v>
      </c>
      <c r="DM27" s="0" t="n">
        <f aca="false">IFERROR(IF(ISNUMBER(INDEX(Registro!$U$299:$U$328,MATCH($A27,Registro!$A$299:$A$328,0))),DM$5,0),0)</f>
        <v>0</v>
      </c>
      <c r="DN27" s="0" t="n">
        <f aca="false">IFERROR(IF(ISNUMBER(INDEX(Registro!$AA$299:$AA$328,MATCH($A27,Registro!$A$299:$A$328,0))),DN$5,0),0)</f>
        <v>0</v>
      </c>
      <c r="DO27" s="0" t="n">
        <f aca="false">IFERROR(IF(ISNUMBER(INDEX(Registro!$I$335:$I$364,MATCH($A27,Registro!$A$335:$A$364,0))),DO$5,0),0)</f>
        <v>0</v>
      </c>
      <c r="DP27" s="0" t="n">
        <f aca="false">IFERROR(IF(ISNUMBER(INDEX(Registro!$O$335:$O$364,MATCH($A27,Registro!$A$335:$A$364,0))),DP$5,0),0)</f>
        <v>0</v>
      </c>
      <c r="DQ27" s="0" t="n">
        <f aca="false">IFERROR(IF(ISNUMBER(INDEX(Registro!$U$335:$U$364,MATCH($A27,Registro!$A$335:$A$364,0))),DQ$5,0),0)</f>
        <v>0</v>
      </c>
      <c r="DR27" s="0" t="n">
        <f aca="false">IFERROR(IF(ISNUMBER(INDEX(Registro!$AA$335:$AA$364,MATCH($A27,Registro!$A$335:$A$364,0))),DR$5,0),0)</f>
        <v>0</v>
      </c>
      <c r="DS27" s="0" t="n">
        <f aca="false">IFERROR(IF(ISNUMBER(INDEX(Registro!$I$371:$I$400,MATCH($A27,Registro!$A$371:$A$400,0))),DS$5,0),0)</f>
        <v>0</v>
      </c>
      <c r="DT27" s="0" t="n">
        <f aca="false">IFERROR(IF(ISNUMBER(INDEX(Registro!$O$371:$O$400,MATCH($A27,Registro!$A$371:$A$400,0))),DT$5,0),0)</f>
        <v>0</v>
      </c>
      <c r="DU27" s="0" t="n">
        <f aca="false">IFERROR(IF(ISNUMBER(INDEX(Registro!$U$371:$U$400,MATCH($A27,Registro!$A$371:$A$400,0))),DU$5,0),0)</f>
        <v>0</v>
      </c>
      <c r="DV27" s="0" t="n">
        <f aca="false">IFERROR(IF(ISNUMBER(INDEX(Registro!$AA$371:$AA$400,MATCH($A27,Registro!$A$371:$A$400,0))),DV$5,0),0)</f>
        <v>0</v>
      </c>
      <c r="DW27" s="0" t="n">
        <f aca="false">IFERROR(IF(ISNUMBER(INDEX(Registro!$I$407:$I$436,MATCH($A27,Registro!$A$407:$A$436,0))),DW$5,0),0)</f>
        <v>0</v>
      </c>
      <c r="DX27" s="0" t="n">
        <f aca="false">IFERROR(IF(ISNUMBER(INDEX(Registro!$O$407:$O$436,MATCH($A27,Registro!$A$407:$A$436,0))),DX$5,0),0)</f>
        <v>0</v>
      </c>
      <c r="DY27" s="0" t="n">
        <f aca="false">IFERROR(IF(ISNUMBER(INDEX(Registro!$U$407:$U$436,MATCH($A27,Registro!$A$407:$A$436,0))),DY$5,0),0)</f>
        <v>0</v>
      </c>
      <c r="DZ27" s="0" t="n">
        <f aca="false">IFERROR(IF(ISNUMBER(INDEX(Registro!$AA$407:$AA$436,MATCH($A27,Registro!$A$407:$A$436,0))),DZ$5,0),0)</f>
        <v>0</v>
      </c>
      <c r="EA27" s="0" t="n">
        <f aca="false">IFERROR(IF(ISNUMBER(INDEX(Registro!$I$443:$I$472,MATCH($A27,Registro!$A$443:$A$472,0))),EA$5,0),0)</f>
        <v>0</v>
      </c>
      <c r="EB27" s="0" t="n">
        <f aca="false">IFERROR(IF(ISNUMBER(INDEX(Registro!$O$443:$O$472,MATCH($A27,Registro!$A$443:$A$472,0))),EB$5,0),0)</f>
        <v>0</v>
      </c>
      <c r="EC27" s="0" t="n">
        <f aca="false">IFERROR(IF(ISNUMBER(INDEX(Registro!$U$443:$U$472,MATCH($A27,Registro!$A$443:$A$472,0))),EC$5,0),0)</f>
        <v>0</v>
      </c>
      <c r="ED27" s="0" t="n">
        <f aca="false">IFERROR(IF(ISNUMBER(INDEX(Registro!$AA$443:$AA$472,MATCH($A27,Registro!$A$443:$A$472,0))),ED$5,0),0)</f>
        <v>0</v>
      </c>
      <c r="EE27" s="0" t="n">
        <f aca="false">IFERROR(IF(ISNUMBER(INDEX(Registro!$I$479:$I$508,MATCH($A27,Registro!$A$479:$A$508,0))),EE$5,0),0)</f>
        <v>0</v>
      </c>
      <c r="EF27" s="0" t="n">
        <f aca="false">IFERROR(IF(ISNUMBER(INDEX(Registro!$O$479:$O$508,MATCH($A27,Registro!$A$479:$A$508,0))),EF$5,0),0)</f>
        <v>0</v>
      </c>
      <c r="EG27" s="0" t="n">
        <f aca="false">IFERROR(IF(ISNUMBER(INDEX(Registro!$U$479:$U$508,MATCH($A27,Registro!$A$479:$A$508,0))),EG$5,0),0)</f>
        <v>0</v>
      </c>
      <c r="EH27" s="0" t="n">
        <f aca="false">IFERROR(IF(ISNUMBER(INDEX(Registro!$AA$479:$AA$508,MATCH($A27,Registro!$A$479:$A$508,0))),EH$5,0),0)</f>
        <v>0</v>
      </c>
      <c r="EI27" s="0" t="n">
        <f aca="false">IFERROR(IF(ISNUMBER(INDEX(Registro!$I$515:$I$544,MATCH($A27,Registro!$A$515:$A$544,0))),EI$5,0),0)</f>
        <v>0</v>
      </c>
      <c r="EJ27" s="0" t="n">
        <f aca="false">IFERROR(IF(ISNUMBER(INDEX(Registro!$O$515:$O$544,MATCH($A27,Registro!$A$515:$A$544,0))),EJ$5,0),0)</f>
        <v>0</v>
      </c>
      <c r="EK27" s="0" t="n">
        <f aca="false">IFERROR(IF(ISNUMBER(INDEX(Registro!$U$515:$U$544,MATCH($A27,Registro!$A$515:$A$544,0))),EK$5,0),0)</f>
        <v>0</v>
      </c>
      <c r="EL27" s="0" t="n">
        <f aca="false">IFERROR(IF(ISNUMBER(INDEX(Registro!$AA$515:$AA$544,MATCH($A27,Registro!$A$515:$A$544,0))),EL$5,0),0)</f>
        <v>0</v>
      </c>
      <c r="EM27" s="0" t="n">
        <f aca="false">IFERROR(IF(ISNUMBER(INDEX(Registro!$I$551:$I$580,MATCH($A27,Registro!$A$551:$A$580,0))),EM$5,0),0)</f>
        <v>0</v>
      </c>
      <c r="EN27" s="0" t="n">
        <f aca="false">IFERROR(IF(ISNUMBER(INDEX(Registro!$O$551:$O$580,MATCH($A27,Registro!$A$551:$A$580,0))),EN$5,0),0)</f>
        <v>0</v>
      </c>
      <c r="EO27" s="0" t="n">
        <f aca="false">IFERROR(IF(ISNUMBER(INDEX(Registro!$U$551:$U$580,MATCH($A27,Registro!$A$551:$A$580,0))),EO$5,0),0)</f>
        <v>0</v>
      </c>
      <c r="EP27" s="0" t="n">
        <f aca="false">IFERROR(IF(ISNUMBER(INDEX(Registro!$AA$551:$AA$580,MATCH($A27,Registro!$A$551:$A$580,0))),EP$5,0),0)</f>
        <v>0</v>
      </c>
      <c r="EQ27" s="0" t="n">
        <f aca="false">IFERROR(IF(ISNUMBER(INDEX(Registro!$I$587:$I$616,MATCH($A27,Registro!$A$587:$A$616,0))),EQ$5,0),0)</f>
        <v>0</v>
      </c>
      <c r="ER27" s="0" t="n">
        <f aca="false">IFERROR(IF(ISNUMBER(INDEX(Registro!$O$587:$O$616,MATCH($A27,Registro!$A$587:$A$616,0))),ER$5,0),0)</f>
        <v>0</v>
      </c>
      <c r="ES27" s="0" t="n">
        <f aca="false">IFERROR(IF(ISNUMBER(INDEX(Registro!$U$587:$U$616,MATCH($A27,Registro!$A$587:$A$616,0))),ES$5,0),0)</f>
        <v>0</v>
      </c>
      <c r="ET27" s="0" t="n">
        <f aca="false">IFERROR(IF(ISNUMBER(INDEX(Registro!$AA$587:$AA$616,MATCH($A27,Registro!$A$587:$A$616,0))),ET$5,0),0)</f>
        <v>0</v>
      </c>
      <c r="EU27" s="0" t="n">
        <f aca="false">IFERROR(IF(ISNUMBER(INDEX(Registro!$I$623:$I$652,MATCH($A27,Registro!$A$623:$A$652,0))),EU$5,0),0)</f>
        <v>0</v>
      </c>
      <c r="EV27" s="0" t="n">
        <f aca="false">IFERROR(IF(ISNUMBER(INDEX(Registro!$O$623:$O$652,MATCH($A27,Registro!$A$623:$A$652,0))),EV$5,0),0)</f>
        <v>0</v>
      </c>
      <c r="EW27" s="0" t="n">
        <f aca="false">IFERROR(IF(ISNUMBER(INDEX(Registro!$U$623:$U$652,MATCH($A27,Registro!$A$623:$A$652,0))),EW$5,0),0)</f>
        <v>0</v>
      </c>
      <c r="EX27" s="0" t="n">
        <f aca="false">IFERROR(IF(ISNUMBER(INDEX(Registro!$AA$623:$AA$652,MATCH($A27,Registro!$A$623:$A$652,0))),EX$5,0),0)</f>
        <v>0</v>
      </c>
      <c r="EY27" s="0" t="n">
        <f aca="false">IFERROR(IF(ISNUMBER(INDEX(Registro!$I$659:$I$688,MATCH($A27,Registro!$A$659:$A$688,0))),EY$5,0),0)</f>
        <v>0</v>
      </c>
      <c r="EZ27" s="0" t="n">
        <f aca="false">IFERROR(IF(ISNUMBER(INDEX(Registro!$O$659:$O$688,MATCH($A27,Registro!$A$659:$A$688,0))),EZ$5,0),0)</f>
        <v>0</v>
      </c>
      <c r="FA27" s="0" t="n">
        <f aca="false">IFERROR(IF(ISNUMBER(INDEX(Registro!$U$659:$U$688,MATCH($A27,Registro!$A$659:$A$688,0))),FA$5,0),0)</f>
        <v>0</v>
      </c>
      <c r="FB27" s="0" t="n">
        <f aca="false">IFERROR(IF(ISNUMBER(INDEX(Registro!$AA$659:$AA$688,MATCH($A27,Registro!$A$659:$A$688,0))),FB$5,0),0)</f>
        <v>0</v>
      </c>
      <c r="FC27" s="0" t="n">
        <f aca="false">IFERROR(IF(ISNUMBER(INDEX(Registro!$I$695:$I$724,MATCH($A27,Registro!$A$695:$A$724,0))),FC$5,0),0)</f>
        <v>0</v>
      </c>
      <c r="FD27" s="0" t="n">
        <f aca="false">IFERROR(IF(ISNUMBER(INDEX(Registro!$O$695:$O$724,MATCH($A27,Registro!$A$695:$A$724,0))),FD$5,0),0)</f>
        <v>0</v>
      </c>
      <c r="FE27" s="0" t="n">
        <f aca="false">IFERROR(IF(ISNUMBER(INDEX(Registro!$U$695:$U$724,MATCH($A27,Registro!$A$695:$A$724,0))),FE$5,0),0)</f>
        <v>0</v>
      </c>
      <c r="FF27" s="0" t="n">
        <f aca="false">IFERROR(IF(ISNUMBER(INDEX(Registro!$AA$695:$AA$724,MATCH($A27,Registro!$A$695:$A$724,0))),FF$5,0),0)</f>
        <v>0</v>
      </c>
      <c r="FG27" s="0" t="n">
        <f aca="false">IFERROR(IF(AND(INDEX(Registro!$C$11:$C$40,MATCH($A27,Registro!$A$11:$A$40,0))="AS",INDEX(Registro!$D$11:$D$40,MATCH($A27,Registro!$A$11:$A$40,0))&amp;""=""),1,0),0)</f>
        <v>0</v>
      </c>
      <c r="FH27" s="0" t="n">
        <f aca="false">IFERROR(IF(AND(INDEX(Registro!$C$47:$C$76,MATCH($A27,Registro!$A$47:$A$76,0))="AS",INDEX(Registro!$D$47:$D$76,MATCH($A27,Registro!$A$47:$A$76,0))&amp;""=""),1,0),0)</f>
        <v>0</v>
      </c>
      <c r="FI27" s="0" t="n">
        <f aca="false">IFERROR(IF(AND(INDEX(Registro!$C$83:$C$112,MATCH($A27,Registro!$A$83:$A$112,0))="AS",INDEX(Registro!$D$83:$D$112,MATCH($A27,Registro!$A$83:$A$112,0))&amp;""=""),1,0),0)</f>
        <v>0</v>
      </c>
      <c r="FJ27" s="0" t="n">
        <f aca="false">IFERROR(IF(AND(INDEX(Registro!$C$119:$C$148,MATCH($A27,Registro!$A$119:$A$148,0))="AS",INDEX(Registro!$D$119:$D$148,MATCH($A27,Registro!$A$119:$A$148,0))&amp;""=""),1,0),0)</f>
        <v>0</v>
      </c>
      <c r="FK27" s="0" t="n">
        <f aca="false">IFERROR(IF(AND(INDEX(Registro!$C$155:$C$184,MATCH($A27,Registro!$A$155:$A$184,0))="AS",INDEX(Registro!$D$155:$D$184,MATCH($A27,Registro!$A$155:$A$184,0))&amp;""=""),1,0),0)</f>
        <v>0</v>
      </c>
      <c r="FL27" s="0" t="n">
        <f aca="false">IFERROR(IF(AND(INDEX(Registro!$C$191:$C$220,MATCH($A27,Registro!$A$191:$A$220,0))="AS",INDEX(Registro!$D$191:$D$220,MATCH($A27,Registro!$A$191:$A$220,0))&amp;""=""),1,0),0)</f>
        <v>0</v>
      </c>
      <c r="FM27" s="0" t="n">
        <f aca="false">IFERROR(IF(AND(INDEX(Registro!$C$227:$C$256,MATCH($A27,Registro!$A$227:$A$256,0))="AS",INDEX(Registro!$D$227:$D$256,MATCH($A27,Registro!$A$227:$A$256,0))&amp;""=""),1,0),0)</f>
        <v>0</v>
      </c>
      <c r="FN27" s="0" t="n">
        <f aca="false">IFERROR(IF(AND(INDEX(Registro!$C$263:$C$292,MATCH($A27,Registro!$A$263:$A$292,0))="AS",INDEX(Registro!$D$263:$D$292,MATCH($A27,Registro!$A$263:$A$292,0))&amp;""=""),1,0),0)</f>
        <v>0</v>
      </c>
      <c r="FO27" s="0" t="n">
        <f aca="false">IFERROR(IF(AND(INDEX(Registro!$C$299:$C$328,MATCH($A27,Registro!$A$299:$A$328,0))="AS",INDEX(Registro!$D$299:$D$328,MATCH($A27,Registro!$A$299:$A$328,0))&amp;""=""),1,0),0)</f>
        <v>0</v>
      </c>
      <c r="FP27" s="0" t="n">
        <f aca="false">IFERROR(IF(AND(INDEX(Registro!$C$335:$C$364,MATCH($A27,Registro!$A$335:$A$364,0))="AS",INDEX(Registro!$D$335:$D$364,MATCH($A27,Registro!$A$335:$A$364,0))&amp;""=""),1,0),0)</f>
        <v>0</v>
      </c>
      <c r="FQ27" s="0" t="n">
        <f aca="false">IFERROR(IF(AND(INDEX(Registro!$C$371:$C$400,MATCH($A27,Registro!$A$371:$A$400,0))="AS",INDEX(Registro!$D$371:$D$400,MATCH($A27,Registro!$A$371:$A$400,0))&amp;""=""),1,0),0)</f>
        <v>0</v>
      </c>
      <c r="FR27" s="0" t="n">
        <f aca="false">IFERROR(IF(AND(INDEX(Registro!$C$407:$C$436,MATCH($A27,Registro!$A$407:$A$436,0))="AS",INDEX(Registro!$D$407:$D$436,MATCH($A27,Registro!$A$407:$A$436,0))&amp;""=""),1,0),0)</f>
        <v>0</v>
      </c>
      <c r="FS27" s="0" t="n">
        <f aca="false">IFERROR(IF(AND(INDEX(Registro!$C$443:$C$472,MATCH($A27,Registro!$A$443:$A$472,0))="AS",INDEX(Registro!$D$443:$D$472,MATCH($A27,Registro!$A$443:$A$472,0))&amp;""=""),1,0),0)</f>
        <v>0</v>
      </c>
      <c r="FT27" s="0" t="n">
        <f aca="false">IFERROR(IF(AND(INDEX(Registro!$C$479:$C$508,MATCH($A27,Registro!$A$479:$A$508,0))="AS",INDEX(Registro!$D$479:$D$508,MATCH($A27,Registro!$A$479:$A$508,0))&amp;""=""),1,0),0)</f>
        <v>0</v>
      </c>
      <c r="FU27" s="0" t="n">
        <f aca="false">IFERROR(IF(AND(INDEX(Registro!$C$515:$C$544,MATCH($A27,Registro!$A$515:$A$544,0))="AS",INDEX(Registro!$D$515:$D$544,MATCH($A27,Registro!$A$515:$A$544,0))&amp;""=""),1,0),0)</f>
        <v>0</v>
      </c>
      <c r="FV27" s="0" t="n">
        <f aca="false">IFERROR(IF(AND(INDEX(Registro!$C$551:$C$580,MATCH($A27,Registro!$A$551:$A$580,0))="AS",INDEX(Registro!$D$551:$D$580,MATCH($A27,Registro!$A$551:$A$580,0))&amp;""=""),1,0),0)</f>
        <v>0</v>
      </c>
      <c r="FW27" s="0" t="n">
        <f aca="false">IFERROR(IF(AND(INDEX(Registro!$C$587:$C$616,MATCH($A27,Registro!$A$587:$A$616,0))="AS",INDEX(Registro!$D$587:$D$616,MATCH($A27,Registro!$A$587:$A$616,0))&amp;""=""),1,0),0)</f>
        <v>0</v>
      </c>
      <c r="FX27" s="0" t="n">
        <f aca="false">IFERROR(IF(AND(INDEX(Registro!$C$623:$C$652,MATCH($A27,Registro!$A$623:$A$652,0))="AS",INDEX(Registro!$D$623:$D$652,MATCH($A27,Registro!$A$623:$A$652,0))&amp;""=""),1,0),0)</f>
        <v>0</v>
      </c>
      <c r="FY27" s="0" t="n">
        <f aca="false">IFERROR(IF(AND(INDEX(Registro!$C$659:$C$688,MATCH($A27,Registro!$A$659:$A$688,0))="AS",INDEX(Registro!$D$659:$D$688,MATCH($A27,Registro!$A$659:$A$688,0))&amp;""=""),1,0),0)</f>
        <v>0</v>
      </c>
      <c r="FZ27" s="0" t="n">
        <f aca="false">IFERROR(IF(AND(INDEX(Registro!$C$695:$C$724,MATCH($A27,Registro!$A$695:$A$724,0))="AS",INDEX(Registro!$D$695:$D$724,MATCH($A27,Registro!$A$695:$A$724,0))&amp;""=""),1,0),0)</f>
        <v>0</v>
      </c>
    </row>
    <row r="28" customFormat="false" ht="15" hidden="false" customHeight="false" outlineLevel="0" collapsed="false">
      <c r="A28" s="0" t="n">
        <v>22</v>
      </c>
      <c r="C28" s="0" t="n">
        <f aca="false">IFERROR(N(INDEX(Registro!$I$11:$I$40,MATCH($A28,Registro!$A$11:$A$40,0))),0)</f>
        <v>0</v>
      </c>
      <c r="D28" s="0" t="n">
        <f aca="false">IFERROR(N(INDEX(Registro!$O$11:$O$40,MATCH($A28,Registro!$A$11:$A$40,0))),0)</f>
        <v>0</v>
      </c>
      <c r="E28" s="0" t="n">
        <f aca="false">IFERROR(N(INDEX(Registro!$U$11:$U$40,MATCH($A28,Registro!$A$11:$A$40,0))),0)</f>
        <v>0</v>
      </c>
      <c r="F28" s="0" t="n">
        <f aca="false">IFERROR(N(INDEX(Registro!$AA$11:$AA$40,MATCH($A28,Registro!$A$11:$A$40,0))),0)</f>
        <v>0</v>
      </c>
      <c r="G28" s="0" t="n">
        <f aca="false">IFERROR(N(INDEX(Registro!$I$47:$I$76,MATCH($A28,Registro!$A$47:$A$76,0))),0)</f>
        <v>0</v>
      </c>
      <c r="H28" s="0" t="n">
        <f aca="false">IFERROR(N(INDEX(Registro!$O$47:$O$76,MATCH($A28,Registro!$A$47:$A$76,0))),0)</f>
        <v>0</v>
      </c>
      <c r="I28" s="0" t="n">
        <f aca="false">IFERROR(N(INDEX(Registro!$U$47:$U$76,MATCH($A28,Registro!$A$47:$A$76,0))),0)</f>
        <v>0</v>
      </c>
      <c r="J28" s="0" t="n">
        <f aca="false">IFERROR(N(INDEX(Registro!$AA$47:$AA$76,MATCH($A28,Registro!$A$47:$A$76,0))),0)</f>
        <v>0</v>
      </c>
      <c r="K28" s="0" t="n">
        <f aca="false">IFERROR(N(INDEX(Registro!$I$83:$I$112,MATCH($A28,Registro!$A$83:$A$112,0))),0)</f>
        <v>0</v>
      </c>
      <c r="L28" s="0" t="n">
        <f aca="false">IFERROR(N(INDEX(Registro!$O$83:$O$112,MATCH($A28,Registro!$A$83:$A$112,0))),0)</f>
        <v>0</v>
      </c>
      <c r="M28" s="0" t="n">
        <f aca="false">IFERROR(N(INDEX(Registro!$U$83:$U$112,MATCH($A28,Registro!$A$83:$A$112,0))),0)</f>
        <v>0</v>
      </c>
      <c r="N28" s="0" t="n">
        <f aca="false">IFERROR(N(INDEX(Registro!$AA$83:$AA$112,MATCH($A28,Registro!$A$83:$A$112,0))),0)</f>
        <v>0</v>
      </c>
      <c r="O28" s="0" t="n">
        <f aca="false">IFERROR(N(INDEX(Registro!$I$119:$I$148,MATCH($A28,Registro!$A$119:$A$148,0))),0)</f>
        <v>0</v>
      </c>
      <c r="P28" s="0" t="n">
        <f aca="false">IFERROR(N(INDEX(Registro!$O$119:$O$148,MATCH($A28,Registro!$A$119:$A$148,0))),0)</f>
        <v>0</v>
      </c>
      <c r="Q28" s="0" t="n">
        <f aca="false">IFERROR(N(INDEX(Registro!$U$119:$U$148,MATCH($A28,Registro!$A$119:$A$148,0))),0)</f>
        <v>0</v>
      </c>
      <c r="R28" s="0" t="n">
        <f aca="false">IFERROR(N(INDEX(Registro!$AA$119:$AA$148,MATCH($A28,Registro!$A$119:$A$148,0))),0)</f>
        <v>0</v>
      </c>
      <c r="S28" s="0" t="n">
        <f aca="false">IFERROR(N(INDEX(Registro!$I$155:$I$184,MATCH($A28,Registro!$A$155:$A$184,0))),0)</f>
        <v>0</v>
      </c>
      <c r="T28" s="0" t="n">
        <f aca="false">IFERROR(N(INDEX(Registro!$O$155:$O$184,MATCH($A28,Registro!$A$155:$A$184,0))),0)</f>
        <v>0</v>
      </c>
      <c r="U28" s="0" t="n">
        <f aca="false">IFERROR(N(INDEX(Registro!$U$155:$U$184,MATCH($A28,Registro!$A$155:$A$184,0))),0)</f>
        <v>0</v>
      </c>
      <c r="V28" s="0" t="n">
        <f aca="false">IFERROR(N(INDEX(Registro!$AA$155:$AA$184,MATCH($A28,Registro!$A$155:$A$184,0))),0)</f>
        <v>0</v>
      </c>
      <c r="W28" s="0" t="n">
        <f aca="false">IFERROR(N(INDEX(Registro!$I$191:$I$220,MATCH($A28,Registro!$A$191:$A$220,0))),0)</f>
        <v>0</v>
      </c>
      <c r="X28" s="0" t="n">
        <f aca="false">IFERROR(N(INDEX(Registro!$O$191:$O$220,MATCH($A28,Registro!$A$191:$A$220,0))),0)</f>
        <v>0</v>
      </c>
      <c r="Y28" s="0" t="n">
        <f aca="false">IFERROR(N(INDEX(Registro!$U$191:$U$220,MATCH($A28,Registro!$A$191:$A$220,0))),0)</f>
        <v>0</v>
      </c>
      <c r="Z28" s="0" t="n">
        <f aca="false">IFERROR(N(INDEX(Registro!$AA$191:$AA$220,MATCH($A28,Registro!$A$191:$A$220,0))),0)</f>
        <v>0</v>
      </c>
      <c r="AA28" s="0" t="n">
        <f aca="false">IFERROR(N(INDEX(Registro!$I$227:$I$256,MATCH($A28,Registro!$A$227:$A$256,0))),0)</f>
        <v>0</v>
      </c>
      <c r="AB28" s="0" t="n">
        <f aca="false">IFERROR(N(INDEX(Registro!$O$227:$O$256,MATCH($A28,Registro!$A$227:$A$256,0))),0)</f>
        <v>0</v>
      </c>
      <c r="AC28" s="0" t="n">
        <f aca="false">IFERROR(N(INDEX(Registro!$U$227:$U$256,MATCH($A28,Registro!$A$227:$A$256,0))),0)</f>
        <v>0</v>
      </c>
      <c r="AD28" s="0" t="n">
        <f aca="false">IFERROR(N(INDEX(Registro!$AA$227:$AA$256,MATCH($A28,Registro!$A$227:$A$256,0))),0)</f>
        <v>0</v>
      </c>
      <c r="AE28" s="0" t="n">
        <f aca="false">IFERROR(N(INDEX(Registro!$I$263:$I$292,MATCH($A28,Registro!$A$263:$A$292,0))),0)</f>
        <v>0</v>
      </c>
      <c r="AF28" s="0" t="n">
        <f aca="false">IFERROR(N(INDEX(Registro!$O$263:$O$292,MATCH($A28,Registro!$A$263:$A$292,0))),0)</f>
        <v>0</v>
      </c>
      <c r="AG28" s="0" t="n">
        <f aca="false">IFERROR(N(INDEX(Registro!$U$263:$U$292,MATCH($A28,Registro!$A$263:$A$292,0))),0)</f>
        <v>0</v>
      </c>
      <c r="AH28" s="0" t="n">
        <f aca="false">IFERROR(N(INDEX(Registro!$AA$263:$AA$292,MATCH($A28,Registro!$A$263:$A$292,0))),0)</f>
        <v>0</v>
      </c>
      <c r="AI28" s="0" t="n">
        <f aca="false">IFERROR(N(INDEX(Registro!$I$299:$I$328,MATCH($A28,Registro!$A$299:$A$328,0))),0)</f>
        <v>0</v>
      </c>
      <c r="AJ28" s="0" t="n">
        <f aca="false">IFERROR(N(INDEX(Registro!$O$299:$O$328,MATCH($A28,Registro!$A$299:$A$328,0))),0)</f>
        <v>0</v>
      </c>
      <c r="AK28" s="0" t="n">
        <f aca="false">IFERROR(N(INDEX(Registro!$U$299:$U$328,MATCH($A28,Registro!$A$299:$A$328,0))),0)</f>
        <v>0</v>
      </c>
      <c r="AL28" s="0" t="n">
        <f aca="false">IFERROR(N(INDEX(Registro!$AA$299:$AA$328,MATCH($A28,Registro!$A$299:$A$328,0))),0)</f>
        <v>0</v>
      </c>
      <c r="AM28" s="0" t="n">
        <f aca="false">IFERROR(N(INDEX(Registro!$I$335:$I$364,MATCH($A28,Registro!$A$335:$A$364,0))),0)</f>
        <v>0</v>
      </c>
      <c r="AN28" s="0" t="n">
        <f aca="false">IFERROR(N(INDEX(Registro!$O$335:$O$364,MATCH($A28,Registro!$A$335:$A$364,0))),0)</f>
        <v>0</v>
      </c>
      <c r="AO28" s="0" t="n">
        <f aca="false">IFERROR(N(INDEX(Registro!$U$335:$U$364,MATCH($A28,Registro!$A$335:$A$364,0))),0)</f>
        <v>0</v>
      </c>
      <c r="AP28" s="0" t="n">
        <f aca="false">IFERROR(N(INDEX(Registro!$AA$335:$AA$364,MATCH($A28,Registro!$A$335:$A$364,0))),0)</f>
        <v>0</v>
      </c>
      <c r="AQ28" s="0" t="n">
        <f aca="false">IFERROR(N(INDEX(Registro!$I$371:$I$400,MATCH($A28,Registro!$A$371:$A$400,0))),0)</f>
        <v>0</v>
      </c>
      <c r="AR28" s="0" t="n">
        <f aca="false">IFERROR(N(INDEX(Registro!$O$371:$O$400,MATCH($A28,Registro!$A$371:$A$400,0))),0)</f>
        <v>0</v>
      </c>
      <c r="AS28" s="0" t="n">
        <f aca="false">IFERROR(N(INDEX(Registro!$U$371:$U$400,MATCH($A28,Registro!$A$371:$A$400,0))),0)</f>
        <v>0</v>
      </c>
      <c r="AT28" s="0" t="n">
        <f aca="false">IFERROR(N(INDEX(Registro!$AA$371:$AA$400,MATCH($A28,Registro!$A$371:$A$400,0))),0)</f>
        <v>0</v>
      </c>
      <c r="AU28" s="0" t="n">
        <f aca="false">IFERROR(N(INDEX(Registro!$I$407:$I$436,MATCH($A28,Registro!$A$407:$A$436,0))),0)</f>
        <v>0</v>
      </c>
      <c r="AV28" s="0" t="n">
        <f aca="false">IFERROR(N(INDEX(Registro!$O$407:$O$436,MATCH($A28,Registro!$A$407:$A$436,0))),0)</f>
        <v>0</v>
      </c>
      <c r="AW28" s="0" t="n">
        <f aca="false">IFERROR(N(INDEX(Registro!$U$407:$U$436,MATCH($A28,Registro!$A$407:$A$436,0))),0)</f>
        <v>0</v>
      </c>
      <c r="AX28" s="0" t="n">
        <f aca="false">IFERROR(N(INDEX(Registro!$AA$407:$AA$436,MATCH($A28,Registro!$A$407:$A$436,0))),0)</f>
        <v>0</v>
      </c>
      <c r="AY28" s="0" t="n">
        <f aca="false">IFERROR(N(INDEX(Registro!$I$443:$I$472,MATCH($A28,Registro!$A$443:$A$472,0))),0)</f>
        <v>0</v>
      </c>
      <c r="AZ28" s="0" t="n">
        <f aca="false">IFERROR(N(INDEX(Registro!$O$443:$O$472,MATCH($A28,Registro!$A$443:$A$472,0))),0)</f>
        <v>0</v>
      </c>
      <c r="BA28" s="0" t="n">
        <f aca="false">IFERROR(N(INDEX(Registro!$U$443:$U$472,MATCH($A28,Registro!$A$443:$A$472,0))),0)</f>
        <v>0</v>
      </c>
      <c r="BB28" s="0" t="n">
        <f aca="false">IFERROR(N(INDEX(Registro!$AA$443:$AA$472,MATCH($A28,Registro!$A$443:$A$472,0))),0)</f>
        <v>0</v>
      </c>
      <c r="BC28" s="0" t="n">
        <f aca="false">IFERROR(N(INDEX(Registro!$I$479:$I$508,MATCH($A28,Registro!$A$479:$A$508,0))),0)</f>
        <v>0</v>
      </c>
      <c r="BD28" s="0" t="n">
        <f aca="false">IFERROR(N(INDEX(Registro!$O$479:$O$508,MATCH($A28,Registro!$A$479:$A$508,0))),0)</f>
        <v>0</v>
      </c>
      <c r="BE28" s="0" t="n">
        <f aca="false">IFERROR(N(INDEX(Registro!$U$479:$U$508,MATCH($A28,Registro!$A$479:$A$508,0))),0)</f>
        <v>0</v>
      </c>
      <c r="BF28" s="0" t="n">
        <f aca="false">IFERROR(N(INDEX(Registro!$AA$479:$AA$508,MATCH($A28,Registro!$A$479:$A$508,0))),0)</f>
        <v>0</v>
      </c>
      <c r="BG28" s="0" t="n">
        <f aca="false">IFERROR(N(INDEX(Registro!$I$515:$I$544,MATCH($A28,Registro!$A$515:$A$544,0))),0)</f>
        <v>0</v>
      </c>
      <c r="BH28" s="0" t="n">
        <f aca="false">IFERROR(N(INDEX(Registro!$O$515:$O$544,MATCH($A28,Registro!$A$515:$A$544,0))),0)</f>
        <v>0</v>
      </c>
      <c r="BI28" s="0" t="n">
        <f aca="false">IFERROR(N(INDEX(Registro!$U$515:$U$544,MATCH($A28,Registro!$A$515:$A$544,0))),0)</f>
        <v>0</v>
      </c>
      <c r="BJ28" s="0" t="n">
        <f aca="false">IFERROR(N(INDEX(Registro!$AA$515:$AA$544,MATCH($A28,Registro!$A$515:$A$544,0))),0)</f>
        <v>0</v>
      </c>
      <c r="BK28" s="0" t="n">
        <f aca="false">IFERROR(N(INDEX(Registro!$I$551:$I$580,MATCH($A28,Registro!$A$551:$A$580,0))),0)</f>
        <v>0</v>
      </c>
      <c r="BL28" s="0" t="n">
        <f aca="false">IFERROR(N(INDEX(Registro!$O$551:$O$580,MATCH($A28,Registro!$A$551:$A$580,0))),0)</f>
        <v>0</v>
      </c>
      <c r="BM28" s="0" t="n">
        <f aca="false">IFERROR(N(INDEX(Registro!$U$551:$U$580,MATCH($A28,Registro!$A$551:$A$580,0))),0)</f>
        <v>0</v>
      </c>
      <c r="BN28" s="0" t="n">
        <f aca="false">IFERROR(N(INDEX(Registro!$AA$551:$AA$580,MATCH($A28,Registro!$A$551:$A$580,0))),0)</f>
        <v>0</v>
      </c>
      <c r="BO28" s="0" t="n">
        <f aca="false">IFERROR(N(INDEX(Registro!$I$587:$I$616,MATCH($A28,Registro!$A$587:$A$616,0))),0)</f>
        <v>0</v>
      </c>
      <c r="BP28" s="0" t="n">
        <f aca="false">IFERROR(N(INDEX(Registro!$O$587:$O$616,MATCH($A28,Registro!$A$587:$A$616,0))),0)</f>
        <v>0</v>
      </c>
      <c r="BQ28" s="0" t="n">
        <f aca="false">IFERROR(N(INDEX(Registro!$U$587:$U$616,MATCH($A28,Registro!$A$587:$A$616,0))),0)</f>
        <v>0</v>
      </c>
      <c r="BR28" s="0" t="n">
        <f aca="false">IFERROR(N(INDEX(Registro!$AA$587:$AA$616,MATCH($A28,Registro!$A$587:$A$616,0))),0)</f>
        <v>0</v>
      </c>
      <c r="BS28" s="0" t="n">
        <f aca="false">IFERROR(N(INDEX(Registro!$I$623:$I$652,MATCH($A28,Registro!$A$623:$A$652,0))),0)</f>
        <v>0</v>
      </c>
      <c r="BT28" s="0" t="n">
        <f aca="false">IFERROR(N(INDEX(Registro!$O$623:$O$652,MATCH($A28,Registro!$A$623:$A$652,0))),0)</f>
        <v>0</v>
      </c>
      <c r="BU28" s="0" t="n">
        <f aca="false">IFERROR(N(INDEX(Registro!$U$623:$U$652,MATCH($A28,Registro!$A$623:$A$652,0))),0)</f>
        <v>0</v>
      </c>
      <c r="BV28" s="0" t="n">
        <f aca="false">IFERROR(N(INDEX(Registro!$AA$623:$AA$652,MATCH($A28,Registro!$A$623:$A$652,0))),0)</f>
        <v>0</v>
      </c>
      <c r="BW28" s="0" t="n">
        <f aca="false">IFERROR(N(INDEX(Registro!$I$659:$I$688,MATCH($A28,Registro!$A$659:$A$688,0))),0)</f>
        <v>0</v>
      </c>
      <c r="BX28" s="0" t="n">
        <f aca="false">IFERROR(N(INDEX(Registro!$O$659:$O$688,MATCH($A28,Registro!$A$659:$A$688,0))),0)</f>
        <v>0</v>
      </c>
      <c r="BY28" s="0" t="n">
        <f aca="false">IFERROR(N(INDEX(Registro!$U$659:$U$688,MATCH($A28,Registro!$A$659:$A$688,0))),0)</f>
        <v>0</v>
      </c>
      <c r="BZ28" s="0" t="n">
        <f aca="false">IFERROR(N(INDEX(Registro!$AA$659:$AA$688,MATCH($A28,Registro!$A$659:$A$688,0))),0)</f>
        <v>0</v>
      </c>
      <c r="CA28" s="0" t="n">
        <f aca="false">IFERROR(N(INDEX(Registro!$I$695:$I$724,MATCH($A28,Registro!$A$695:$A$724,0))),0)</f>
        <v>0</v>
      </c>
      <c r="CB28" s="0" t="n">
        <f aca="false">IFERROR(N(INDEX(Registro!$O$695:$O$724,MATCH($A28,Registro!$A$695:$A$724,0))),0)</f>
        <v>0</v>
      </c>
      <c r="CC28" s="0" t="n">
        <f aca="false">IFERROR(N(INDEX(Registro!$U$695:$U$724,MATCH($A28,Registro!$A$695:$A$724,0))),0)</f>
        <v>0</v>
      </c>
      <c r="CD28" s="0" t="n">
        <f aca="false">IFERROR(N(INDEX(Registro!$AA$695:$AA$724,MATCH($A28,Registro!$A$695:$A$724,0))),0)</f>
        <v>0</v>
      </c>
      <c r="CE28" s="0" t="n">
        <f aca="false">IFERROR(IF(ISNUMBER(INDEX(Registro!$I$11:$I$40,MATCH($A28,Registro!$A$11:$A$40,0))),CE$5,0),0)</f>
        <v>0</v>
      </c>
      <c r="CF28" s="0" t="n">
        <f aca="false">IFERROR(IF(ISNUMBER(INDEX(Registro!$O$11:$O$40,MATCH($A28,Registro!$A$11:$A$40,0))),CF$5,0),0)</f>
        <v>0</v>
      </c>
      <c r="CG28" s="0" t="n">
        <f aca="false">IFERROR(IF(ISNUMBER(INDEX(Registro!$U$11:$U$40,MATCH($A28,Registro!$A$11:$A$40,0))),CG$5,0),0)</f>
        <v>0</v>
      </c>
      <c r="CH28" s="0" t="n">
        <f aca="false">IFERROR(IF(ISNUMBER(INDEX(Registro!$AA$11:$AA$40,MATCH($A28,Registro!$A$11:$A$40,0))),CH$5,0),0)</f>
        <v>0</v>
      </c>
      <c r="CI28" s="0" t="n">
        <f aca="false">IFERROR(IF(ISNUMBER(INDEX(Registro!$I$47:$I$76,MATCH($A28,Registro!$A$47:$A$76,0))),CI$5,0),0)</f>
        <v>0</v>
      </c>
      <c r="CJ28" s="0" t="n">
        <f aca="false">IFERROR(IF(ISNUMBER(INDEX(Registro!$O$47:$O$76,MATCH($A28,Registro!$A$47:$A$76,0))),CJ$5,0),0)</f>
        <v>0</v>
      </c>
      <c r="CK28" s="0" t="n">
        <f aca="false">IFERROR(IF(ISNUMBER(INDEX(Registro!$U$47:$U$76,MATCH($A28,Registro!$A$47:$A$76,0))),CK$5,0),0)</f>
        <v>0</v>
      </c>
      <c r="CL28" s="0" t="n">
        <f aca="false">IFERROR(IF(ISNUMBER(INDEX(Registro!$AA$47:$AA$76,MATCH($A28,Registro!$A$47:$A$76,0))),CL$5,0),0)</f>
        <v>0</v>
      </c>
      <c r="CM28" s="0" t="n">
        <f aca="false">IFERROR(IF(ISNUMBER(INDEX(Registro!$I$83:$I$112,MATCH($A28,Registro!$A$83:$A$112,0))),CM$5,0),0)</f>
        <v>0</v>
      </c>
      <c r="CN28" s="0" t="n">
        <f aca="false">IFERROR(IF(ISNUMBER(INDEX(Registro!$O$83:$O$112,MATCH($A28,Registro!$A$83:$A$112,0))),CN$5,0),0)</f>
        <v>0</v>
      </c>
      <c r="CO28" s="0" t="n">
        <f aca="false">IFERROR(IF(ISNUMBER(INDEX(Registro!$U$83:$U$112,MATCH($A28,Registro!$A$83:$A$112,0))),CO$5,0),0)</f>
        <v>0</v>
      </c>
      <c r="CP28" s="0" t="n">
        <f aca="false">IFERROR(IF(ISNUMBER(INDEX(Registro!$AA$83:$AA$112,MATCH($A28,Registro!$A$83:$A$112,0))),CP$5,0),0)</f>
        <v>0</v>
      </c>
      <c r="CQ28" s="0" t="n">
        <f aca="false">IFERROR(IF(ISNUMBER(INDEX(Registro!$I$119:$I$148,MATCH($A28,Registro!$A$119:$A$148,0))),CQ$5,0),0)</f>
        <v>0</v>
      </c>
      <c r="CR28" s="0" t="n">
        <f aca="false">IFERROR(IF(ISNUMBER(INDEX(Registro!$O$119:$O$148,MATCH($A28,Registro!$A$119:$A$148,0))),CR$5,0),0)</f>
        <v>0</v>
      </c>
      <c r="CS28" s="0" t="n">
        <f aca="false">IFERROR(IF(ISNUMBER(INDEX(Registro!$U$119:$U$148,MATCH($A28,Registro!$A$119:$A$148,0))),CS$5,0),0)</f>
        <v>0</v>
      </c>
      <c r="CT28" s="0" t="n">
        <f aca="false">IFERROR(IF(ISNUMBER(INDEX(Registro!$AA$119:$AA$148,MATCH($A28,Registro!$A$119:$A$148,0))),CT$5,0),0)</f>
        <v>0</v>
      </c>
      <c r="CU28" s="0" t="n">
        <f aca="false">IFERROR(IF(ISNUMBER(INDEX(Registro!$I$155:$I$184,MATCH($A28,Registro!$A$155:$A$184,0))),CU$5,0),0)</f>
        <v>0</v>
      </c>
      <c r="CV28" s="0" t="n">
        <f aca="false">IFERROR(IF(ISNUMBER(INDEX(Registro!$O$155:$O$184,MATCH($A28,Registro!$A$155:$A$184,0))),CV$5,0),0)</f>
        <v>0</v>
      </c>
      <c r="CW28" s="0" t="n">
        <f aca="false">IFERROR(IF(ISNUMBER(INDEX(Registro!$U$155:$U$184,MATCH($A28,Registro!$A$155:$A$184,0))),CW$5,0),0)</f>
        <v>0</v>
      </c>
      <c r="CX28" s="0" t="n">
        <f aca="false">IFERROR(IF(ISNUMBER(INDEX(Registro!$AA$155:$AA$184,MATCH($A28,Registro!$A$155:$A$184,0))),CX$5,0),0)</f>
        <v>0</v>
      </c>
      <c r="CY28" s="0" t="n">
        <f aca="false">IFERROR(IF(ISNUMBER(INDEX(Registro!$I$191:$I$220,MATCH($A28,Registro!$A$191:$A$220,0))),CY$5,0),0)</f>
        <v>0</v>
      </c>
      <c r="CZ28" s="0" t="n">
        <f aca="false">IFERROR(IF(ISNUMBER(INDEX(Registro!$O$191:$O$220,MATCH($A28,Registro!$A$191:$A$220,0))),CZ$5,0),0)</f>
        <v>0</v>
      </c>
      <c r="DA28" s="0" t="n">
        <f aca="false">IFERROR(IF(ISNUMBER(INDEX(Registro!$U$191:$U$220,MATCH($A28,Registro!$A$191:$A$220,0))),DA$5,0),0)</f>
        <v>0</v>
      </c>
      <c r="DB28" s="0" t="n">
        <f aca="false">IFERROR(IF(ISNUMBER(INDEX(Registro!$AA$191:$AA$220,MATCH($A28,Registro!$A$191:$A$220,0))),DB$5,0),0)</f>
        <v>0</v>
      </c>
      <c r="DC28" s="0" t="n">
        <f aca="false">IFERROR(IF(ISNUMBER(INDEX(Registro!$I$227:$I$256,MATCH($A28,Registro!$A$227:$A$256,0))),DC$5,0),0)</f>
        <v>0</v>
      </c>
      <c r="DD28" s="0" t="n">
        <f aca="false">IFERROR(IF(ISNUMBER(INDEX(Registro!$O$227:$O$256,MATCH($A28,Registro!$A$227:$A$256,0))),DD$5,0),0)</f>
        <v>0</v>
      </c>
      <c r="DE28" s="0" t="n">
        <f aca="false">IFERROR(IF(ISNUMBER(INDEX(Registro!$U$227:$U$256,MATCH($A28,Registro!$A$227:$A$256,0))),DE$5,0),0)</f>
        <v>0</v>
      </c>
      <c r="DF28" s="0" t="n">
        <f aca="false">IFERROR(IF(ISNUMBER(INDEX(Registro!$AA$227:$AA$256,MATCH($A28,Registro!$A$227:$A$256,0))),DF$5,0),0)</f>
        <v>0</v>
      </c>
      <c r="DG28" s="0" t="n">
        <f aca="false">IFERROR(IF(ISNUMBER(INDEX(Registro!$I$263:$I$292,MATCH($A28,Registro!$A$263:$A$292,0))),DG$5,0),0)</f>
        <v>0</v>
      </c>
      <c r="DH28" s="0" t="n">
        <f aca="false">IFERROR(IF(ISNUMBER(INDEX(Registro!$O$263:$O$292,MATCH($A28,Registro!$A$263:$A$292,0))),DH$5,0),0)</f>
        <v>0</v>
      </c>
      <c r="DI28" s="0" t="n">
        <f aca="false">IFERROR(IF(ISNUMBER(INDEX(Registro!$U$263:$U$292,MATCH($A28,Registro!$A$263:$A$292,0))),DI$5,0),0)</f>
        <v>0</v>
      </c>
      <c r="DJ28" s="0" t="n">
        <f aca="false">IFERROR(IF(ISNUMBER(INDEX(Registro!$AA$263:$AA$292,MATCH($A28,Registro!$A$263:$A$292,0))),DJ$5,0),0)</f>
        <v>0</v>
      </c>
      <c r="DK28" s="0" t="n">
        <f aca="false">IFERROR(IF(ISNUMBER(INDEX(Registro!$I$299:$I$328,MATCH($A28,Registro!$A$299:$A$328,0))),DK$5,0),0)</f>
        <v>0</v>
      </c>
      <c r="DL28" s="0" t="n">
        <f aca="false">IFERROR(IF(ISNUMBER(INDEX(Registro!$O$299:$O$328,MATCH($A28,Registro!$A$299:$A$328,0))),DL$5,0),0)</f>
        <v>0</v>
      </c>
      <c r="DM28" s="0" t="n">
        <f aca="false">IFERROR(IF(ISNUMBER(INDEX(Registro!$U$299:$U$328,MATCH($A28,Registro!$A$299:$A$328,0))),DM$5,0),0)</f>
        <v>0</v>
      </c>
      <c r="DN28" s="0" t="n">
        <f aca="false">IFERROR(IF(ISNUMBER(INDEX(Registro!$AA$299:$AA$328,MATCH($A28,Registro!$A$299:$A$328,0))),DN$5,0),0)</f>
        <v>0</v>
      </c>
      <c r="DO28" s="0" t="n">
        <f aca="false">IFERROR(IF(ISNUMBER(INDEX(Registro!$I$335:$I$364,MATCH($A28,Registro!$A$335:$A$364,0))),DO$5,0),0)</f>
        <v>0</v>
      </c>
      <c r="DP28" s="0" t="n">
        <f aca="false">IFERROR(IF(ISNUMBER(INDEX(Registro!$O$335:$O$364,MATCH($A28,Registro!$A$335:$A$364,0))),DP$5,0),0)</f>
        <v>0</v>
      </c>
      <c r="DQ28" s="0" t="n">
        <f aca="false">IFERROR(IF(ISNUMBER(INDEX(Registro!$U$335:$U$364,MATCH($A28,Registro!$A$335:$A$364,0))),DQ$5,0),0)</f>
        <v>0</v>
      </c>
      <c r="DR28" s="0" t="n">
        <f aca="false">IFERROR(IF(ISNUMBER(INDEX(Registro!$AA$335:$AA$364,MATCH($A28,Registro!$A$335:$A$364,0))),DR$5,0),0)</f>
        <v>0</v>
      </c>
      <c r="DS28" s="0" t="n">
        <f aca="false">IFERROR(IF(ISNUMBER(INDEX(Registro!$I$371:$I$400,MATCH($A28,Registro!$A$371:$A$400,0))),DS$5,0),0)</f>
        <v>0</v>
      </c>
      <c r="DT28" s="0" t="n">
        <f aca="false">IFERROR(IF(ISNUMBER(INDEX(Registro!$O$371:$O$400,MATCH($A28,Registro!$A$371:$A$400,0))),DT$5,0),0)</f>
        <v>0</v>
      </c>
      <c r="DU28" s="0" t="n">
        <f aca="false">IFERROR(IF(ISNUMBER(INDEX(Registro!$U$371:$U$400,MATCH($A28,Registro!$A$371:$A$400,0))),DU$5,0),0)</f>
        <v>0</v>
      </c>
      <c r="DV28" s="0" t="n">
        <f aca="false">IFERROR(IF(ISNUMBER(INDEX(Registro!$AA$371:$AA$400,MATCH($A28,Registro!$A$371:$A$400,0))),DV$5,0),0)</f>
        <v>0</v>
      </c>
      <c r="DW28" s="0" t="n">
        <f aca="false">IFERROR(IF(ISNUMBER(INDEX(Registro!$I$407:$I$436,MATCH($A28,Registro!$A$407:$A$436,0))),DW$5,0),0)</f>
        <v>0</v>
      </c>
      <c r="DX28" s="0" t="n">
        <f aca="false">IFERROR(IF(ISNUMBER(INDEX(Registro!$O$407:$O$436,MATCH($A28,Registro!$A$407:$A$436,0))),DX$5,0),0)</f>
        <v>0</v>
      </c>
      <c r="DY28" s="0" t="n">
        <f aca="false">IFERROR(IF(ISNUMBER(INDEX(Registro!$U$407:$U$436,MATCH($A28,Registro!$A$407:$A$436,0))),DY$5,0),0)</f>
        <v>0</v>
      </c>
      <c r="DZ28" s="0" t="n">
        <f aca="false">IFERROR(IF(ISNUMBER(INDEX(Registro!$AA$407:$AA$436,MATCH($A28,Registro!$A$407:$A$436,0))),DZ$5,0),0)</f>
        <v>0</v>
      </c>
      <c r="EA28" s="0" t="n">
        <f aca="false">IFERROR(IF(ISNUMBER(INDEX(Registro!$I$443:$I$472,MATCH($A28,Registro!$A$443:$A$472,0))),EA$5,0),0)</f>
        <v>0</v>
      </c>
      <c r="EB28" s="0" t="n">
        <f aca="false">IFERROR(IF(ISNUMBER(INDEX(Registro!$O$443:$O$472,MATCH($A28,Registro!$A$443:$A$472,0))),EB$5,0),0)</f>
        <v>0</v>
      </c>
      <c r="EC28" s="0" t="n">
        <f aca="false">IFERROR(IF(ISNUMBER(INDEX(Registro!$U$443:$U$472,MATCH($A28,Registro!$A$443:$A$472,0))),EC$5,0),0)</f>
        <v>0</v>
      </c>
      <c r="ED28" s="0" t="n">
        <f aca="false">IFERROR(IF(ISNUMBER(INDEX(Registro!$AA$443:$AA$472,MATCH($A28,Registro!$A$443:$A$472,0))),ED$5,0),0)</f>
        <v>0</v>
      </c>
      <c r="EE28" s="0" t="n">
        <f aca="false">IFERROR(IF(ISNUMBER(INDEX(Registro!$I$479:$I$508,MATCH($A28,Registro!$A$479:$A$508,0))),EE$5,0),0)</f>
        <v>0</v>
      </c>
      <c r="EF28" s="0" t="n">
        <f aca="false">IFERROR(IF(ISNUMBER(INDEX(Registro!$O$479:$O$508,MATCH($A28,Registro!$A$479:$A$508,0))),EF$5,0),0)</f>
        <v>0</v>
      </c>
      <c r="EG28" s="0" t="n">
        <f aca="false">IFERROR(IF(ISNUMBER(INDEX(Registro!$U$479:$U$508,MATCH($A28,Registro!$A$479:$A$508,0))),EG$5,0),0)</f>
        <v>0</v>
      </c>
      <c r="EH28" s="0" t="n">
        <f aca="false">IFERROR(IF(ISNUMBER(INDEX(Registro!$AA$479:$AA$508,MATCH($A28,Registro!$A$479:$A$508,0))),EH$5,0),0)</f>
        <v>0</v>
      </c>
      <c r="EI28" s="0" t="n">
        <f aca="false">IFERROR(IF(ISNUMBER(INDEX(Registro!$I$515:$I$544,MATCH($A28,Registro!$A$515:$A$544,0))),EI$5,0),0)</f>
        <v>0</v>
      </c>
      <c r="EJ28" s="0" t="n">
        <f aca="false">IFERROR(IF(ISNUMBER(INDEX(Registro!$O$515:$O$544,MATCH($A28,Registro!$A$515:$A$544,0))),EJ$5,0),0)</f>
        <v>0</v>
      </c>
      <c r="EK28" s="0" t="n">
        <f aca="false">IFERROR(IF(ISNUMBER(INDEX(Registro!$U$515:$U$544,MATCH($A28,Registro!$A$515:$A$544,0))),EK$5,0),0)</f>
        <v>0</v>
      </c>
      <c r="EL28" s="0" t="n">
        <f aca="false">IFERROR(IF(ISNUMBER(INDEX(Registro!$AA$515:$AA$544,MATCH($A28,Registro!$A$515:$A$544,0))),EL$5,0),0)</f>
        <v>0</v>
      </c>
      <c r="EM28" s="0" t="n">
        <f aca="false">IFERROR(IF(ISNUMBER(INDEX(Registro!$I$551:$I$580,MATCH($A28,Registro!$A$551:$A$580,0))),EM$5,0),0)</f>
        <v>0</v>
      </c>
      <c r="EN28" s="0" t="n">
        <f aca="false">IFERROR(IF(ISNUMBER(INDEX(Registro!$O$551:$O$580,MATCH($A28,Registro!$A$551:$A$580,0))),EN$5,0),0)</f>
        <v>0</v>
      </c>
      <c r="EO28" s="0" t="n">
        <f aca="false">IFERROR(IF(ISNUMBER(INDEX(Registro!$U$551:$U$580,MATCH($A28,Registro!$A$551:$A$580,0))),EO$5,0),0)</f>
        <v>0</v>
      </c>
      <c r="EP28" s="0" t="n">
        <f aca="false">IFERROR(IF(ISNUMBER(INDEX(Registro!$AA$551:$AA$580,MATCH($A28,Registro!$A$551:$A$580,0))),EP$5,0),0)</f>
        <v>0</v>
      </c>
      <c r="EQ28" s="0" t="n">
        <f aca="false">IFERROR(IF(ISNUMBER(INDEX(Registro!$I$587:$I$616,MATCH($A28,Registro!$A$587:$A$616,0))),EQ$5,0),0)</f>
        <v>0</v>
      </c>
      <c r="ER28" s="0" t="n">
        <f aca="false">IFERROR(IF(ISNUMBER(INDEX(Registro!$O$587:$O$616,MATCH($A28,Registro!$A$587:$A$616,0))),ER$5,0),0)</f>
        <v>0</v>
      </c>
      <c r="ES28" s="0" t="n">
        <f aca="false">IFERROR(IF(ISNUMBER(INDEX(Registro!$U$587:$U$616,MATCH($A28,Registro!$A$587:$A$616,0))),ES$5,0),0)</f>
        <v>0</v>
      </c>
      <c r="ET28" s="0" t="n">
        <f aca="false">IFERROR(IF(ISNUMBER(INDEX(Registro!$AA$587:$AA$616,MATCH($A28,Registro!$A$587:$A$616,0))),ET$5,0),0)</f>
        <v>0</v>
      </c>
      <c r="EU28" s="0" t="n">
        <f aca="false">IFERROR(IF(ISNUMBER(INDEX(Registro!$I$623:$I$652,MATCH($A28,Registro!$A$623:$A$652,0))),EU$5,0),0)</f>
        <v>0</v>
      </c>
      <c r="EV28" s="0" t="n">
        <f aca="false">IFERROR(IF(ISNUMBER(INDEX(Registro!$O$623:$O$652,MATCH($A28,Registro!$A$623:$A$652,0))),EV$5,0),0)</f>
        <v>0</v>
      </c>
      <c r="EW28" s="0" t="n">
        <f aca="false">IFERROR(IF(ISNUMBER(INDEX(Registro!$U$623:$U$652,MATCH($A28,Registro!$A$623:$A$652,0))),EW$5,0),0)</f>
        <v>0</v>
      </c>
      <c r="EX28" s="0" t="n">
        <f aca="false">IFERROR(IF(ISNUMBER(INDEX(Registro!$AA$623:$AA$652,MATCH($A28,Registro!$A$623:$A$652,0))),EX$5,0),0)</f>
        <v>0</v>
      </c>
      <c r="EY28" s="0" t="n">
        <f aca="false">IFERROR(IF(ISNUMBER(INDEX(Registro!$I$659:$I$688,MATCH($A28,Registro!$A$659:$A$688,0))),EY$5,0),0)</f>
        <v>0</v>
      </c>
      <c r="EZ28" s="0" t="n">
        <f aca="false">IFERROR(IF(ISNUMBER(INDEX(Registro!$O$659:$O$688,MATCH($A28,Registro!$A$659:$A$688,0))),EZ$5,0),0)</f>
        <v>0</v>
      </c>
      <c r="FA28" s="0" t="n">
        <f aca="false">IFERROR(IF(ISNUMBER(INDEX(Registro!$U$659:$U$688,MATCH($A28,Registro!$A$659:$A$688,0))),FA$5,0),0)</f>
        <v>0</v>
      </c>
      <c r="FB28" s="0" t="n">
        <f aca="false">IFERROR(IF(ISNUMBER(INDEX(Registro!$AA$659:$AA$688,MATCH($A28,Registro!$A$659:$A$688,0))),FB$5,0),0)</f>
        <v>0</v>
      </c>
      <c r="FC28" s="0" t="n">
        <f aca="false">IFERROR(IF(ISNUMBER(INDEX(Registro!$I$695:$I$724,MATCH($A28,Registro!$A$695:$A$724,0))),FC$5,0),0)</f>
        <v>0</v>
      </c>
      <c r="FD28" s="0" t="n">
        <f aca="false">IFERROR(IF(ISNUMBER(INDEX(Registro!$O$695:$O$724,MATCH($A28,Registro!$A$695:$A$724,0))),FD$5,0),0)</f>
        <v>0</v>
      </c>
      <c r="FE28" s="0" t="n">
        <f aca="false">IFERROR(IF(ISNUMBER(INDEX(Registro!$U$695:$U$724,MATCH($A28,Registro!$A$695:$A$724,0))),FE$5,0),0)</f>
        <v>0</v>
      </c>
      <c r="FF28" s="0" t="n">
        <f aca="false">IFERROR(IF(ISNUMBER(INDEX(Registro!$AA$695:$AA$724,MATCH($A28,Registro!$A$695:$A$724,0))),FF$5,0),0)</f>
        <v>0</v>
      </c>
      <c r="FG28" s="0" t="n">
        <f aca="false">IFERROR(IF(AND(INDEX(Registro!$C$11:$C$40,MATCH($A28,Registro!$A$11:$A$40,0))="AS",INDEX(Registro!$D$11:$D$40,MATCH($A28,Registro!$A$11:$A$40,0))&amp;""=""),1,0),0)</f>
        <v>0</v>
      </c>
      <c r="FH28" s="0" t="n">
        <f aca="false">IFERROR(IF(AND(INDEX(Registro!$C$47:$C$76,MATCH($A28,Registro!$A$47:$A$76,0))="AS",INDEX(Registro!$D$47:$D$76,MATCH($A28,Registro!$A$47:$A$76,0))&amp;""=""),1,0),0)</f>
        <v>0</v>
      </c>
      <c r="FI28" s="0" t="n">
        <f aca="false">IFERROR(IF(AND(INDEX(Registro!$C$83:$C$112,MATCH($A28,Registro!$A$83:$A$112,0))="AS",INDEX(Registro!$D$83:$D$112,MATCH($A28,Registro!$A$83:$A$112,0))&amp;""=""),1,0),0)</f>
        <v>0</v>
      </c>
      <c r="FJ28" s="0" t="n">
        <f aca="false">IFERROR(IF(AND(INDEX(Registro!$C$119:$C$148,MATCH($A28,Registro!$A$119:$A$148,0))="AS",INDEX(Registro!$D$119:$D$148,MATCH($A28,Registro!$A$119:$A$148,0))&amp;""=""),1,0),0)</f>
        <v>0</v>
      </c>
      <c r="FK28" s="0" t="n">
        <f aca="false">IFERROR(IF(AND(INDEX(Registro!$C$155:$C$184,MATCH($A28,Registro!$A$155:$A$184,0))="AS",INDEX(Registro!$D$155:$D$184,MATCH($A28,Registro!$A$155:$A$184,0))&amp;""=""),1,0),0)</f>
        <v>0</v>
      </c>
      <c r="FL28" s="0" t="n">
        <f aca="false">IFERROR(IF(AND(INDEX(Registro!$C$191:$C$220,MATCH($A28,Registro!$A$191:$A$220,0))="AS",INDEX(Registro!$D$191:$D$220,MATCH($A28,Registro!$A$191:$A$220,0))&amp;""=""),1,0),0)</f>
        <v>0</v>
      </c>
      <c r="FM28" s="0" t="n">
        <f aca="false">IFERROR(IF(AND(INDEX(Registro!$C$227:$C$256,MATCH($A28,Registro!$A$227:$A$256,0))="AS",INDEX(Registro!$D$227:$D$256,MATCH($A28,Registro!$A$227:$A$256,0))&amp;""=""),1,0),0)</f>
        <v>0</v>
      </c>
      <c r="FN28" s="0" t="n">
        <f aca="false">IFERROR(IF(AND(INDEX(Registro!$C$263:$C$292,MATCH($A28,Registro!$A$263:$A$292,0))="AS",INDEX(Registro!$D$263:$D$292,MATCH($A28,Registro!$A$263:$A$292,0))&amp;""=""),1,0),0)</f>
        <v>0</v>
      </c>
      <c r="FO28" s="0" t="n">
        <f aca="false">IFERROR(IF(AND(INDEX(Registro!$C$299:$C$328,MATCH($A28,Registro!$A$299:$A$328,0))="AS",INDEX(Registro!$D$299:$D$328,MATCH($A28,Registro!$A$299:$A$328,0))&amp;""=""),1,0),0)</f>
        <v>0</v>
      </c>
      <c r="FP28" s="0" t="n">
        <f aca="false">IFERROR(IF(AND(INDEX(Registro!$C$335:$C$364,MATCH($A28,Registro!$A$335:$A$364,0))="AS",INDEX(Registro!$D$335:$D$364,MATCH($A28,Registro!$A$335:$A$364,0))&amp;""=""),1,0),0)</f>
        <v>0</v>
      </c>
      <c r="FQ28" s="0" t="n">
        <f aca="false">IFERROR(IF(AND(INDEX(Registro!$C$371:$C$400,MATCH($A28,Registro!$A$371:$A$400,0))="AS",INDEX(Registro!$D$371:$D$400,MATCH($A28,Registro!$A$371:$A$400,0))&amp;""=""),1,0),0)</f>
        <v>0</v>
      </c>
      <c r="FR28" s="0" t="n">
        <f aca="false">IFERROR(IF(AND(INDEX(Registro!$C$407:$C$436,MATCH($A28,Registro!$A$407:$A$436,0))="AS",INDEX(Registro!$D$407:$D$436,MATCH($A28,Registro!$A$407:$A$436,0))&amp;""=""),1,0),0)</f>
        <v>0</v>
      </c>
      <c r="FS28" s="0" t="n">
        <f aca="false">IFERROR(IF(AND(INDEX(Registro!$C$443:$C$472,MATCH($A28,Registro!$A$443:$A$472,0))="AS",INDEX(Registro!$D$443:$D$472,MATCH($A28,Registro!$A$443:$A$472,0))&amp;""=""),1,0),0)</f>
        <v>0</v>
      </c>
      <c r="FT28" s="0" t="n">
        <f aca="false">IFERROR(IF(AND(INDEX(Registro!$C$479:$C$508,MATCH($A28,Registro!$A$479:$A$508,0))="AS",INDEX(Registro!$D$479:$D$508,MATCH($A28,Registro!$A$479:$A$508,0))&amp;""=""),1,0),0)</f>
        <v>0</v>
      </c>
      <c r="FU28" s="0" t="n">
        <f aca="false">IFERROR(IF(AND(INDEX(Registro!$C$515:$C$544,MATCH($A28,Registro!$A$515:$A$544,0))="AS",INDEX(Registro!$D$515:$D$544,MATCH($A28,Registro!$A$515:$A$544,0))&amp;""=""),1,0),0)</f>
        <v>0</v>
      </c>
      <c r="FV28" s="0" t="n">
        <f aca="false">IFERROR(IF(AND(INDEX(Registro!$C$551:$C$580,MATCH($A28,Registro!$A$551:$A$580,0))="AS",INDEX(Registro!$D$551:$D$580,MATCH($A28,Registro!$A$551:$A$580,0))&amp;""=""),1,0),0)</f>
        <v>0</v>
      </c>
      <c r="FW28" s="0" t="n">
        <f aca="false">IFERROR(IF(AND(INDEX(Registro!$C$587:$C$616,MATCH($A28,Registro!$A$587:$A$616,0))="AS",INDEX(Registro!$D$587:$D$616,MATCH($A28,Registro!$A$587:$A$616,0))&amp;""=""),1,0),0)</f>
        <v>0</v>
      </c>
      <c r="FX28" s="0" t="n">
        <f aca="false">IFERROR(IF(AND(INDEX(Registro!$C$623:$C$652,MATCH($A28,Registro!$A$623:$A$652,0))="AS",INDEX(Registro!$D$623:$D$652,MATCH($A28,Registro!$A$623:$A$652,0))&amp;""=""),1,0),0)</f>
        <v>0</v>
      </c>
      <c r="FY28" s="0" t="n">
        <f aca="false">IFERROR(IF(AND(INDEX(Registro!$C$659:$C$688,MATCH($A28,Registro!$A$659:$A$688,0))="AS",INDEX(Registro!$D$659:$D$688,MATCH($A28,Registro!$A$659:$A$688,0))&amp;""=""),1,0),0)</f>
        <v>0</v>
      </c>
      <c r="FZ28" s="0" t="n">
        <f aca="false">IFERROR(IF(AND(INDEX(Registro!$C$695:$C$724,MATCH($A28,Registro!$A$695:$A$724,0))="AS",INDEX(Registro!$D$695:$D$724,MATCH($A28,Registro!$A$695:$A$724,0))&amp;""=""),1,0),0)</f>
        <v>0</v>
      </c>
    </row>
    <row r="29" customFormat="false" ht="15" hidden="false" customHeight="false" outlineLevel="0" collapsed="false">
      <c r="A29" s="0" t="n">
        <v>23</v>
      </c>
      <c r="C29" s="0" t="n">
        <f aca="false">IFERROR(N(INDEX(Registro!$I$11:$I$40,MATCH($A29,Registro!$A$11:$A$40,0))),0)</f>
        <v>0</v>
      </c>
      <c r="D29" s="0" t="n">
        <f aca="false">IFERROR(N(INDEX(Registro!$O$11:$O$40,MATCH($A29,Registro!$A$11:$A$40,0))),0)</f>
        <v>0</v>
      </c>
      <c r="E29" s="0" t="n">
        <f aca="false">IFERROR(N(INDEX(Registro!$U$11:$U$40,MATCH($A29,Registro!$A$11:$A$40,0))),0)</f>
        <v>0</v>
      </c>
      <c r="F29" s="0" t="n">
        <f aca="false">IFERROR(N(INDEX(Registro!$AA$11:$AA$40,MATCH($A29,Registro!$A$11:$A$40,0))),0)</f>
        <v>0</v>
      </c>
      <c r="G29" s="0" t="n">
        <f aca="false">IFERROR(N(INDEX(Registro!$I$47:$I$76,MATCH($A29,Registro!$A$47:$A$76,0))),0)</f>
        <v>0</v>
      </c>
      <c r="H29" s="0" t="n">
        <f aca="false">IFERROR(N(INDEX(Registro!$O$47:$O$76,MATCH($A29,Registro!$A$47:$A$76,0))),0)</f>
        <v>0</v>
      </c>
      <c r="I29" s="0" t="n">
        <f aca="false">IFERROR(N(INDEX(Registro!$U$47:$U$76,MATCH($A29,Registro!$A$47:$A$76,0))),0)</f>
        <v>0</v>
      </c>
      <c r="J29" s="0" t="n">
        <f aca="false">IFERROR(N(INDEX(Registro!$AA$47:$AA$76,MATCH($A29,Registro!$A$47:$A$76,0))),0)</f>
        <v>0</v>
      </c>
      <c r="K29" s="0" t="n">
        <f aca="false">IFERROR(N(INDEX(Registro!$I$83:$I$112,MATCH($A29,Registro!$A$83:$A$112,0))),0)</f>
        <v>0</v>
      </c>
      <c r="L29" s="0" t="n">
        <f aca="false">IFERROR(N(INDEX(Registro!$O$83:$O$112,MATCH($A29,Registro!$A$83:$A$112,0))),0)</f>
        <v>0</v>
      </c>
      <c r="M29" s="0" t="n">
        <f aca="false">IFERROR(N(INDEX(Registro!$U$83:$U$112,MATCH($A29,Registro!$A$83:$A$112,0))),0)</f>
        <v>0</v>
      </c>
      <c r="N29" s="0" t="n">
        <f aca="false">IFERROR(N(INDEX(Registro!$AA$83:$AA$112,MATCH($A29,Registro!$A$83:$A$112,0))),0)</f>
        <v>0</v>
      </c>
      <c r="O29" s="0" t="n">
        <f aca="false">IFERROR(N(INDEX(Registro!$I$119:$I$148,MATCH($A29,Registro!$A$119:$A$148,0))),0)</f>
        <v>0</v>
      </c>
      <c r="P29" s="0" t="n">
        <f aca="false">IFERROR(N(INDEX(Registro!$O$119:$O$148,MATCH($A29,Registro!$A$119:$A$148,0))),0)</f>
        <v>0</v>
      </c>
      <c r="Q29" s="0" t="n">
        <f aca="false">IFERROR(N(INDEX(Registro!$U$119:$U$148,MATCH($A29,Registro!$A$119:$A$148,0))),0)</f>
        <v>0</v>
      </c>
      <c r="R29" s="0" t="n">
        <f aca="false">IFERROR(N(INDEX(Registro!$AA$119:$AA$148,MATCH($A29,Registro!$A$119:$A$148,0))),0)</f>
        <v>0</v>
      </c>
      <c r="S29" s="0" t="n">
        <f aca="false">IFERROR(N(INDEX(Registro!$I$155:$I$184,MATCH($A29,Registro!$A$155:$A$184,0))),0)</f>
        <v>0</v>
      </c>
      <c r="T29" s="0" t="n">
        <f aca="false">IFERROR(N(INDEX(Registro!$O$155:$O$184,MATCH($A29,Registro!$A$155:$A$184,0))),0)</f>
        <v>0</v>
      </c>
      <c r="U29" s="0" t="n">
        <f aca="false">IFERROR(N(INDEX(Registro!$U$155:$U$184,MATCH($A29,Registro!$A$155:$A$184,0))),0)</f>
        <v>0</v>
      </c>
      <c r="V29" s="0" t="n">
        <f aca="false">IFERROR(N(INDEX(Registro!$AA$155:$AA$184,MATCH($A29,Registro!$A$155:$A$184,0))),0)</f>
        <v>0</v>
      </c>
      <c r="W29" s="0" t="n">
        <f aca="false">IFERROR(N(INDEX(Registro!$I$191:$I$220,MATCH($A29,Registro!$A$191:$A$220,0))),0)</f>
        <v>0</v>
      </c>
      <c r="X29" s="0" t="n">
        <f aca="false">IFERROR(N(INDEX(Registro!$O$191:$O$220,MATCH($A29,Registro!$A$191:$A$220,0))),0)</f>
        <v>0</v>
      </c>
      <c r="Y29" s="0" t="n">
        <f aca="false">IFERROR(N(INDEX(Registro!$U$191:$U$220,MATCH($A29,Registro!$A$191:$A$220,0))),0)</f>
        <v>0</v>
      </c>
      <c r="Z29" s="0" t="n">
        <f aca="false">IFERROR(N(INDEX(Registro!$AA$191:$AA$220,MATCH($A29,Registro!$A$191:$A$220,0))),0)</f>
        <v>0</v>
      </c>
      <c r="AA29" s="0" t="n">
        <f aca="false">IFERROR(N(INDEX(Registro!$I$227:$I$256,MATCH($A29,Registro!$A$227:$A$256,0))),0)</f>
        <v>0</v>
      </c>
      <c r="AB29" s="0" t="n">
        <f aca="false">IFERROR(N(INDEX(Registro!$O$227:$O$256,MATCH($A29,Registro!$A$227:$A$256,0))),0)</f>
        <v>0</v>
      </c>
      <c r="AC29" s="0" t="n">
        <f aca="false">IFERROR(N(INDEX(Registro!$U$227:$U$256,MATCH($A29,Registro!$A$227:$A$256,0))),0)</f>
        <v>0</v>
      </c>
      <c r="AD29" s="0" t="n">
        <f aca="false">IFERROR(N(INDEX(Registro!$AA$227:$AA$256,MATCH($A29,Registro!$A$227:$A$256,0))),0)</f>
        <v>0</v>
      </c>
      <c r="AE29" s="0" t="n">
        <f aca="false">IFERROR(N(INDEX(Registro!$I$263:$I$292,MATCH($A29,Registro!$A$263:$A$292,0))),0)</f>
        <v>0</v>
      </c>
      <c r="AF29" s="0" t="n">
        <f aca="false">IFERROR(N(INDEX(Registro!$O$263:$O$292,MATCH($A29,Registro!$A$263:$A$292,0))),0)</f>
        <v>0</v>
      </c>
      <c r="AG29" s="0" t="n">
        <f aca="false">IFERROR(N(INDEX(Registro!$U$263:$U$292,MATCH($A29,Registro!$A$263:$A$292,0))),0)</f>
        <v>0</v>
      </c>
      <c r="AH29" s="0" t="n">
        <f aca="false">IFERROR(N(INDEX(Registro!$AA$263:$AA$292,MATCH($A29,Registro!$A$263:$A$292,0))),0)</f>
        <v>0</v>
      </c>
      <c r="AI29" s="0" t="n">
        <f aca="false">IFERROR(N(INDEX(Registro!$I$299:$I$328,MATCH($A29,Registro!$A$299:$A$328,0))),0)</f>
        <v>0</v>
      </c>
      <c r="AJ29" s="0" t="n">
        <f aca="false">IFERROR(N(INDEX(Registro!$O$299:$O$328,MATCH($A29,Registro!$A$299:$A$328,0))),0)</f>
        <v>0</v>
      </c>
      <c r="AK29" s="0" t="n">
        <f aca="false">IFERROR(N(INDEX(Registro!$U$299:$U$328,MATCH($A29,Registro!$A$299:$A$328,0))),0)</f>
        <v>0</v>
      </c>
      <c r="AL29" s="0" t="n">
        <f aca="false">IFERROR(N(INDEX(Registro!$AA$299:$AA$328,MATCH($A29,Registro!$A$299:$A$328,0))),0)</f>
        <v>0</v>
      </c>
      <c r="AM29" s="0" t="n">
        <f aca="false">IFERROR(N(INDEX(Registro!$I$335:$I$364,MATCH($A29,Registro!$A$335:$A$364,0))),0)</f>
        <v>0</v>
      </c>
      <c r="AN29" s="0" t="n">
        <f aca="false">IFERROR(N(INDEX(Registro!$O$335:$O$364,MATCH($A29,Registro!$A$335:$A$364,0))),0)</f>
        <v>0</v>
      </c>
      <c r="AO29" s="0" t="n">
        <f aca="false">IFERROR(N(INDEX(Registro!$U$335:$U$364,MATCH($A29,Registro!$A$335:$A$364,0))),0)</f>
        <v>0</v>
      </c>
      <c r="AP29" s="0" t="n">
        <f aca="false">IFERROR(N(INDEX(Registro!$AA$335:$AA$364,MATCH($A29,Registro!$A$335:$A$364,0))),0)</f>
        <v>0</v>
      </c>
      <c r="AQ29" s="0" t="n">
        <f aca="false">IFERROR(N(INDEX(Registro!$I$371:$I$400,MATCH($A29,Registro!$A$371:$A$400,0))),0)</f>
        <v>0</v>
      </c>
      <c r="AR29" s="0" t="n">
        <f aca="false">IFERROR(N(INDEX(Registro!$O$371:$O$400,MATCH($A29,Registro!$A$371:$A$400,0))),0)</f>
        <v>0</v>
      </c>
      <c r="AS29" s="0" t="n">
        <f aca="false">IFERROR(N(INDEX(Registro!$U$371:$U$400,MATCH($A29,Registro!$A$371:$A$400,0))),0)</f>
        <v>0</v>
      </c>
      <c r="AT29" s="0" t="n">
        <f aca="false">IFERROR(N(INDEX(Registro!$AA$371:$AA$400,MATCH($A29,Registro!$A$371:$A$400,0))),0)</f>
        <v>0</v>
      </c>
      <c r="AU29" s="0" t="n">
        <f aca="false">IFERROR(N(INDEX(Registro!$I$407:$I$436,MATCH($A29,Registro!$A$407:$A$436,0))),0)</f>
        <v>0</v>
      </c>
      <c r="AV29" s="0" t="n">
        <f aca="false">IFERROR(N(INDEX(Registro!$O$407:$O$436,MATCH($A29,Registro!$A$407:$A$436,0))),0)</f>
        <v>0</v>
      </c>
      <c r="AW29" s="0" t="n">
        <f aca="false">IFERROR(N(INDEX(Registro!$U$407:$U$436,MATCH($A29,Registro!$A$407:$A$436,0))),0)</f>
        <v>0</v>
      </c>
      <c r="AX29" s="0" t="n">
        <f aca="false">IFERROR(N(INDEX(Registro!$AA$407:$AA$436,MATCH($A29,Registro!$A$407:$A$436,0))),0)</f>
        <v>0</v>
      </c>
      <c r="AY29" s="0" t="n">
        <f aca="false">IFERROR(N(INDEX(Registro!$I$443:$I$472,MATCH($A29,Registro!$A$443:$A$472,0))),0)</f>
        <v>0</v>
      </c>
      <c r="AZ29" s="0" t="n">
        <f aca="false">IFERROR(N(INDEX(Registro!$O$443:$O$472,MATCH($A29,Registro!$A$443:$A$472,0))),0)</f>
        <v>0</v>
      </c>
      <c r="BA29" s="0" t="n">
        <f aca="false">IFERROR(N(INDEX(Registro!$U$443:$U$472,MATCH($A29,Registro!$A$443:$A$472,0))),0)</f>
        <v>0</v>
      </c>
      <c r="BB29" s="0" t="n">
        <f aca="false">IFERROR(N(INDEX(Registro!$AA$443:$AA$472,MATCH($A29,Registro!$A$443:$A$472,0))),0)</f>
        <v>0</v>
      </c>
      <c r="BC29" s="0" t="n">
        <f aca="false">IFERROR(N(INDEX(Registro!$I$479:$I$508,MATCH($A29,Registro!$A$479:$A$508,0))),0)</f>
        <v>0</v>
      </c>
      <c r="BD29" s="0" t="n">
        <f aca="false">IFERROR(N(INDEX(Registro!$O$479:$O$508,MATCH($A29,Registro!$A$479:$A$508,0))),0)</f>
        <v>0</v>
      </c>
      <c r="BE29" s="0" t="n">
        <f aca="false">IFERROR(N(INDEX(Registro!$U$479:$U$508,MATCH($A29,Registro!$A$479:$A$508,0))),0)</f>
        <v>0</v>
      </c>
      <c r="BF29" s="0" t="n">
        <f aca="false">IFERROR(N(INDEX(Registro!$AA$479:$AA$508,MATCH($A29,Registro!$A$479:$A$508,0))),0)</f>
        <v>0</v>
      </c>
      <c r="BG29" s="0" t="n">
        <f aca="false">IFERROR(N(INDEX(Registro!$I$515:$I$544,MATCH($A29,Registro!$A$515:$A$544,0))),0)</f>
        <v>0</v>
      </c>
      <c r="BH29" s="0" t="n">
        <f aca="false">IFERROR(N(INDEX(Registro!$O$515:$O$544,MATCH($A29,Registro!$A$515:$A$544,0))),0)</f>
        <v>0</v>
      </c>
      <c r="BI29" s="0" t="n">
        <f aca="false">IFERROR(N(INDEX(Registro!$U$515:$U$544,MATCH($A29,Registro!$A$515:$A$544,0))),0)</f>
        <v>0</v>
      </c>
      <c r="BJ29" s="0" t="n">
        <f aca="false">IFERROR(N(INDEX(Registro!$AA$515:$AA$544,MATCH($A29,Registro!$A$515:$A$544,0))),0)</f>
        <v>0</v>
      </c>
      <c r="BK29" s="0" t="n">
        <f aca="false">IFERROR(N(INDEX(Registro!$I$551:$I$580,MATCH($A29,Registro!$A$551:$A$580,0))),0)</f>
        <v>0</v>
      </c>
      <c r="BL29" s="0" t="n">
        <f aca="false">IFERROR(N(INDEX(Registro!$O$551:$O$580,MATCH($A29,Registro!$A$551:$A$580,0))),0)</f>
        <v>0</v>
      </c>
      <c r="BM29" s="0" t="n">
        <f aca="false">IFERROR(N(INDEX(Registro!$U$551:$U$580,MATCH($A29,Registro!$A$551:$A$580,0))),0)</f>
        <v>0</v>
      </c>
      <c r="BN29" s="0" t="n">
        <f aca="false">IFERROR(N(INDEX(Registro!$AA$551:$AA$580,MATCH($A29,Registro!$A$551:$A$580,0))),0)</f>
        <v>0</v>
      </c>
      <c r="BO29" s="0" t="n">
        <f aca="false">IFERROR(N(INDEX(Registro!$I$587:$I$616,MATCH($A29,Registro!$A$587:$A$616,0))),0)</f>
        <v>0</v>
      </c>
      <c r="BP29" s="0" t="n">
        <f aca="false">IFERROR(N(INDEX(Registro!$O$587:$O$616,MATCH($A29,Registro!$A$587:$A$616,0))),0)</f>
        <v>0</v>
      </c>
      <c r="BQ29" s="0" t="n">
        <f aca="false">IFERROR(N(INDEX(Registro!$U$587:$U$616,MATCH($A29,Registro!$A$587:$A$616,0))),0)</f>
        <v>0</v>
      </c>
      <c r="BR29" s="0" t="n">
        <f aca="false">IFERROR(N(INDEX(Registro!$AA$587:$AA$616,MATCH($A29,Registro!$A$587:$A$616,0))),0)</f>
        <v>0</v>
      </c>
      <c r="BS29" s="0" t="n">
        <f aca="false">IFERROR(N(INDEX(Registro!$I$623:$I$652,MATCH($A29,Registro!$A$623:$A$652,0))),0)</f>
        <v>0</v>
      </c>
      <c r="BT29" s="0" t="n">
        <f aca="false">IFERROR(N(INDEX(Registro!$O$623:$O$652,MATCH($A29,Registro!$A$623:$A$652,0))),0)</f>
        <v>0</v>
      </c>
      <c r="BU29" s="0" t="n">
        <f aca="false">IFERROR(N(INDEX(Registro!$U$623:$U$652,MATCH($A29,Registro!$A$623:$A$652,0))),0)</f>
        <v>0</v>
      </c>
      <c r="BV29" s="0" t="n">
        <f aca="false">IFERROR(N(INDEX(Registro!$AA$623:$AA$652,MATCH($A29,Registro!$A$623:$A$652,0))),0)</f>
        <v>0</v>
      </c>
      <c r="BW29" s="0" t="n">
        <f aca="false">IFERROR(N(INDEX(Registro!$I$659:$I$688,MATCH($A29,Registro!$A$659:$A$688,0))),0)</f>
        <v>0</v>
      </c>
      <c r="BX29" s="0" t="n">
        <f aca="false">IFERROR(N(INDEX(Registro!$O$659:$O$688,MATCH($A29,Registro!$A$659:$A$688,0))),0)</f>
        <v>0</v>
      </c>
      <c r="BY29" s="0" t="n">
        <f aca="false">IFERROR(N(INDEX(Registro!$U$659:$U$688,MATCH($A29,Registro!$A$659:$A$688,0))),0)</f>
        <v>0</v>
      </c>
      <c r="BZ29" s="0" t="n">
        <f aca="false">IFERROR(N(INDEX(Registro!$AA$659:$AA$688,MATCH($A29,Registro!$A$659:$A$688,0))),0)</f>
        <v>0</v>
      </c>
      <c r="CA29" s="0" t="n">
        <f aca="false">IFERROR(N(INDEX(Registro!$I$695:$I$724,MATCH($A29,Registro!$A$695:$A$724,0))),0)</f>
        <v>0</v>
      </c>
      <c r="CB29" s="0" t="n">
        <f aca="false">IFERROR(N(INDEX(Registro!$O$695:$O$724,MATCH($A29,Registro!$A$695:$A$724,0))),0)</f>
        <v>0</v>
      </c>
      <c r="CC29" s="0" t="n">
        <f aca="false">IFERROR(N(INDEX(Registro!$U$695:$U$724,MATCH($A29,Registro!$A$695:$A$724,0))),0)</f>
        <v>0</v>
      </c>
      <c r="CD29" s="0" t="n">
        <f aca="false">IFERROR(N(INDEX(Registro!$AA$695:$AA$724,MATCH($A29,Registro!$A$695:$A$724,0))),0)</f>
        <v>0</v>
      </c>
      <c r="CE29" s="0" t="n">
        <f aca="false">IFERROR(IF(ISNUMBER(INDEX(Registro!$I$11:$I$40,MATCH($A29,Registro!$A$11:$A$40,0))),CE$5,0),0)</f>
        <v>0</v>
      </c>
      <c r="CF29" s="0" t="n">
        <f aca="false">IFERROR(IF(ISNUMBER(INDEX(Registro!$O$11:$O$40,MATCH($A29,Registro!$A$11:$A$40,0))),CF$5,0),0)</f>
        <v>0</v>
      </c>
      <c r="CG29" s="0" t="n">
        <f aca="false">IFERROR(IF(ISNUMBER(INDEX(Registro!$U$11:$U$40,MATCH($A29,Registro!$A$11:$A$40,0))),CG$5,0),0)</f>
        <v>0</v>
      </c>
      <c r="CH29" s="0" t="n">
        <f aca="false">IFERROR(IF(ISNUMBER(INDEX(Registro!$AA$11:$AA$40,MATCH($A29,Registro!$A$11:$A$40,0))),CH$5,0),0)</f>
        <v>0</v>
      </c>
      <c r="CI29" s="0" t="n">
        <f aca="false">IFERROR(IF(ISNUMBER(INDEX(Registro!$I$47:$I$76,MATCH($A29,Registro!$A$47:$A$76,0))),CI$5,0),0)</f>
        <v>0</v>
      </c>
      <c r="CJ29" s="0" t="n">
        <f aca="false">IFERROR(IF(ISNUMBER(INDEX(Registro!$O$47:$O$76,MATCH($A29,Registro!$A$47:$A$76,0))),CJ$5,0),0)</f>
        <v>0</v>
      </c>
      <c r="CK29" s="0" t="n">
        <f aca="false">IFERROR(IF(ISNUMBER(INDEX(Registro!$U$47:$U$76,MATCH($A29,Registro!$A$47:$A$76,0))),CK$5,0),0)</f>
        <v>0</v>
      </c>
      <c r="CL29" s="0" t="n">
        <f aca="false">IFERROR(IF(ISNUMBER(INDEX(Registro!$AA$47:$AA$76,MATCH($A29,Registro!$A$47:$A$76,0))),CL$5,0),0)</f>
        <v>0</v>
      </c>
      <c r="CM29" s="0" t="n">
        <f aca="false">IFERROR(IF(ISNUMBER(INDEX(Registro!$I$83:$I$112,MATCH($A29,Registro!$A$83:$A$112,0))),CM$5,0),0)</f>
        <v>0</v>
      </c>
      <c r="CN29" s="0" t="n">
        <f aca="false">IFERROR(IF(ISNUMBER(INDEX(Registro!$O$83:$O$112,MATCH($A29,Registro!$A$83:$A$112,0))),CN$5,0),0)</f>
        <v>0</v>
      </c>
      <c r="CO29" s="0" t="n">
        <f aca="false">IFERROR(IF(ISNUMBER(INDEX(Registro!$U$83:$U$112,MATCH($A29,Registro!$A$83:$A$112,0))),CO$5,0),0)</f>
        <v>0</v>
      </c>
      <c r="CP29" s="0" t="n">
        <f aca="false">IFERROR(IF(ISNUMBER(INDEX(Registro!$AA$83:$AA$112,MATCH($A29,Registro!$A$83:$A$112,0))),CP$5,0),0)</f>
        <v>0</v>
      </c>
      <c r="CQ29" s="0" t="n">
        <f aca="false">IFERROR(IF(ISNUMBER(INDEX(Registro!$I$119:$I$148,MATCH($A29,Registro!$A$119:$A$148,0))),CQ$5,0),0)</f>
        <v>0</v>
      </c>
      <c r="CR29" s="0" t="n">
        <f aca="false">IFERROR(IF(ISNUMBER(INDEX(Registro!$O$119:$O$148,MATCH($A29,Registro!$A$119:$A$148,0))),CR$5,0),0)</f>
        <v>0</v>
      </c>
      <c r="CS29" s="0" t="n">
        <f aca="false">IFERROR(IF(ISNUMBER(INDEX(Registro!$U$119:$U$148,MATCH($A29,Registro!$A$119:$A$148,0))),CS$5,0),0)</f>
        <v>0</v>
      </c>
      <c r="CT29" s="0" t="n">
        <f aca="false">IFERROR(IF(ISNUMBER(INDEX(Registro!$AA$119:$AA$148,MATCH($A29,Registro!$A$119:$A$148,0))),CT$5,0),0)</f>
        <v>0</v>
      </c>
      <c r="CU29" s="0" t="n">
        <f aca="false">IFERROR(IF(ISNUMBER(INDEX(Registro!$I$155:$I$184,MATCH($A29,Registro!$A$155:$A$184,0))),CU$5,0),0)</f>
        <v>0</v>
      </c>
      <c r="CV29" s="0" t="n">
        <f aca="false">IFERROR(IF(ISNUMBER(INDEX(Registro!$O$155:$O$184,MATCH($A29,Registro!$A$155:$A$184,0))),CV$5,0),0)</f>
        <v>0</v>
      </c>
      <c r="CW29" s="0" t="n">
        <f aca="false">IFERROR(IF(ISNUMBER(INDEX(Registro!$U$155:$U$184,MATCH($A29,Registro!$A$155:$A$184,0))),CW$5,0),0)</f>
        <v>0</v>
      </c>
      <c r="CX29" s="0" t="n">
        <f aca="false">IFERROR(IF(ISNUMBER(INDEX(Registro!$AA$155:$AA$184,MATCH($A29,Registro!$A$155:$A$184,0))),CX$5,0),0)</f>
        <v>0</v>
      </c>
      <c r="CY29" s="0" t="n">
        <f aca="false">IFERROR(IF(ISNUMBER(INDEX(Registro!$I$191:$I$220,MATCH($A29,Registro!$A$191:$A$220,0))),CY$5,0),0)</f>
        <v>0</v>
      </c>
      <c r="CZ29" s="0" t="n">
        <f aca="false">IFERROR(IF(ISNUMBER(INDEX(Registro!$O$191:$O$220,MATCH($A29,Registro!$A$191:$A$220,0))),CZ$5,0),0)</f>
        <v>0</v>
      </c>
      <c r="DA29" s="0" t="n">
        <f aca="false">IFERROR(IF(ISNUMBER(INDEX(Registro!$U$191:$U$220,MATCH($A29,Registro!$A$191:$A$220,0))),DA$5,0),0)</f>
        <v>0</v>
      </c>
      <c r="DB29" s="0" t="n">
        <f aca="false">IFERROR(IF(ISNUMBER(INDEX(Registro!$AA$191:$AA$220,MATCH($A29,Registro!$A$191:$A$220,0))),DB$5,0),0)</f>
        <v>0</v>
      </c>
      <c r="DC29" s="0" t="n">
        <f aca="false">IFERROR(IF(ISNUMBER(INDEX(Registro!$I$227:$I$256,MATCH($A29,Registro!$A$227:$A$256,0))),DC$5,0),0)</f>
        <v>0</v>
      </c>
      <c r="DD29" s="0" t="n">
        <f aca="false">IFERROR(IF(ISNUMBER(INDEX(Registro!$O$227:$O$256,MATCH($A29,Registro!$A$227:$A$256,0))),DD$5,0),0)</f>
        <v>0</v>
      </c>
      <c r="DE29" s="0" t="n">
        <f aca="false">IFERROR(IF(ISNUMBER(INDEX(Registro!$U$227:$U$256,MATCH($A29,Registro!$A$227:$A$256,0))),DE$5,0),0)</f>
        <v>0</v>
      </c>
      <c r="DF29" s="0" t="n">
        <f aca="false">IFERROR(IF(ISNUMBER(INDEX(Registro!$AA$227:$AA$256,MATCH($A29,Registro!$A$227:$A$256,0))),DF$5,0),0)</f>
        <v>0</v>
      </c>
      <c r="DG29" s="0" t="n">
        <f aca="false">IFERROR(IF(ISNUMBER(INDEX(Registro!$I$263:$I$292,MATCH($A29,Registro!$A$263:$A$292,0))),DG$5,0),0)</f>
        <v>0</v>
      </c>
      <c r="DH29" s="0" t="n">
        <f aca="false">IFERROR(IF(ISNUMBER(INDEX(Registro!$O$263:$O$292,MATCH($A29,Registro!$A$263:$A$292,0))),DH$5,0),0)</f>
        <v>0</v>
      </c>
      <c r="DI29" s="0" t="n">
        <f aca="false">IFERROR(IF(ISNUMBER(INDEX(Registro!$U$263:$U$292,MATCH($A29,Registro!$A$263:$A$292,0))),DI$5,0),0)</f>
        <v>0</v>
      </c>
      <c r="DJ29" s="0" t="n">
        <f aca="false">IFERROR(IF(ISNUMBER(INDEX(Registro!$AA$263:$AA$292,MATCH($A29,Registro!$A$263:$A$292,0))),DJ$5,0),0)</f>
        <v>0</v>
      </c>
      <c r="DK29" s="0" t="n">
        <f aca="false">IFERROR(IF(ISNUMBER(INDEX(Registro!$I$299:$I$328,MATCH($A29,Registro!$A$299:$A$328,0))),DK$5,0),0)</f>
        <v>0</v>
      </c>
      <c r="DL29" s="0" t="n">
        <f aca="false">IFERROR(IF(ISNUMBER(INDEX(Registro!$O$299:$O$328,MATCH($A29,Registro!$A$299:$A$328,0))),DL$5,0),0)</f>
        <v>0</v>
      </c>
      <c r="DM29" s="0" t="n">
        <f aca="false">IFERROR(IF(ISNUMBER(INDEX(Registro!$U$299:$U$328,MATCH($A29,Registro!$A$299:$A$328,0))),DM$5,0),0)</f>
        <v>0</v>
      </c>
      <c r="DN29" s="0" t="n">
        <f aca="false">IFERROR(IF(ISNUMBER(INDEX(Registro!$AA$299:$AA$328,MATCH($A29,Registro!$A$299:$A$328,0))),DN$5,0),0)</f>
        <v>0</v>
      </c>
      <c r="DO29" s="0" t="n">
        <f aca="false">IFERROR(IF(ISNUMBER(INDEX(Registro!$I$335:$I$364,MATCH($A29,Registro!$A$335:$A$364,0))),DO$5,0),0)</f>
        <v>0</v>
      </c>
      <c r="DP29" s="0" t="n">
        <f aca="false">IFERROR(IF(ISNUMBER(INDEX(Registro!$O$335:$O$364,MATCH($A29,Registro!$A$335:$A$364,0))),DP$5,0),0)</f>
        <v>0</v>
      </c>
      <c r="DQ29" s="0" t="n">
        <f aca="false">IFERROR(IF(ISNUMBER(INDEX(Registro!$U$335:$U$364,MATCH($A29,Registro!$A$335:$A$364,0))),DQ$5,0),0)</f>
        <v>0</v>
      </c>
      <c r="DR29" s="0" t="n">
        <f aca="false">IFERROR(IF(ISNUMBER(INDEX(Registro!$AA$335:$AA$364,MATCH($A29,Registro!$A$335:$A$364,0))),DR$5,0),0)</f>
        <v>0</v>
      </c>
      <c r="DS29" s="0" t="n">
        <f aca="false">IFERROR(IF(ISNUMBER(INDEX(Registro!$I$371:$I$400,MATCH($A29,Registro!$A$371:$A$400,0))),DS$5,0),0)</f>
        <v>0</v>
      </c>
      <c r="DT29" s="0" t="n">
        <f aca="false">IFERROR(IF(ISNUMBER(INDEX(Registro!$O$371:$O$400,MATCH($A29,Registro!$A$371:$A$400,0))),DT$5,0),0)</f>
        <v>0</v>
      </c>
      <c r="DU29" s="0" t="n">
        <f aca="false">IFERROR(IF(ISNUMBER(INDEX(Registro!$U$371:$U$400,MATCH($A29,Registro!$A$371:$A$400,0))),DU$5,0),0)</f>
        <v>0</v>
      </c>
      <c r="DV29" s="0" t="n">
        <f aca="false">IFERROR(IF(ISNUMBER(INDEX(Registro!$AA$371:$AA$400,MATCH($A29,Registro!$A$371:$A$400,0))),DV$5,0),0)</f>
        <v>0</v>
      </c>
      <c r="DW29" s="0" t="n">
        <f aca="false">IFERROR(IF(ISNUMBER(INDEX(Registro!$I$407:$I$436,MATCH($A29,Registro!$A$407:$A$436,0))),DW$5,0),0)</f>
        <v>0</v>
      </c>
      <c r="DX29" s="0" t="n">
        <f aca="false">IFERROR(IF(ISNUMBER(INDEX(Registro!$O$407:$O$436,MATCH($A29,Registro!$A$407:$A$436,0))),DX$5,0),0)</f>
        <v>0</v>
      </c>
      <c r="DY29" s="0" t="n">
        <f aca="false">IFERROR(IF(ISNUMBER(INDEX(Registro!$U$407:$U$436,MATCH($A29,Registro!$A$407:$A$436,0))),DY$5,0),0)</f>
        <v>0</v>
      </c>
      <c r="DZ29" s="0" t="n">
        <f aca="false">IFERROR(IF(ISNUMBER(INDEX(Registro!$AA$407:$AA$436,MATCH($A29,Registro!$A$407:$A$436,0))),DZ$5,0),0)</f>
        <v>0</v>
      </c>
      <c r="EA29" s="0" t="n">
        <f aca="false">IFERROR(IF(ISNUMBER(INDEX(Registro!$I$443:$I$472,MATCH($A29,Registro!$A$443:$A$472,0))),EA$5,0),0)</f>
        <v>0</v>
      </c>
      <c r="EB29" s="0" t="n">
        <f aca="false">IFERROR(IF(ISNUMBER(INDEX(Registro!$O$443:$O$472,MATCH($A29,Registro!$A$443:$A$472,0))),EB$5,0),0)</f>
        <v>0</v>
      </c>
      <c r="EC29" s="0" t="n">
        <f aca="false">IFERROR(IF(ISNUMBER(INDEX(Registro!$U$443:$U$472,MATCH($A29,Registro!$A$443:$A$472,0))),EC$5,0),0)</f>
        <v>0</v>
      </c>
      <c r="ED29" s="0" t="n">
        <f aca="false">IFERROR(IF(ISNUMBER(INDEX(Registro!$AA$443:$AA$472,MATCH($A29,Registro!$A$443:$A$472,0))),ED$5,0),0)</f>
        <v>0</v>
      </c>
      <c r="EE29" s="0" t="n">
        <f aca="false">IFERROR(IF(ISNUMBER(INDEX(Registro!$I$479:$I$508,MATCH($A29,Registro!$A$479:$A$508,0))),EE$5,0),0)</f>
        <v>0</v>
      </c>
      <c r="EF29" s="0" t="n">
        <f aca="false">IFERROR(IF(ISNUMBER(INDEX(Registro!$O$479:$O$508,MATCH($A29,Registro!$A$479:$A$508,0))),EF$5,0),0)</f>
        <v>0</v>
      </c>
      <c r="EG29" s="0" t="n">
        <f aca="false">IFERROR(IF(ISNUMBER(INDEX(Registro!$U$479:$U$508,MATCH($A29,Registro!$A$479:$A$508,0))),EG$5,0),0)</f>
        <v>0</v>
      </c>
      <c r="EH29" s="0" t="n">
        <f aca="false">IFERROR(IF(ISNUMBER(INDEX(Registro!$AA$479:$AA$508,MATCH($A29,Registro!$A$479:$A$508,0))),EH$5,0),0)</f>
        <v>0</v>
      </c>
      <c r="EI29" s="0" t="n">
        <f aca="false">IFERROR(IF(ISNUMBER(INDEX(Registro!$I$515:$I$544,MATCH($A29,Registro!$A$515:$A$544,0))),EI$5,0),0)</f>
        <v>0</v>
      </c>
      <c r="EJ29" s="0" t="n">
        <f aca="false">IFERROR(IF(ISNUMBER(INDEX(Registro!$O$515:$O$544,MATCH($A29,Registro!$A$515:$A$544,0))),EJ$5,0),0)</f>
        <v>0</v>
      </c>
      <c r="EK29" s="0" t="n">
        <f aca="false">IFERROR(IF(ISNUMBER(INDEX(Registro!$U$515:$U$544,MATCH($A29,Registro!$A$515:$A$544,0))),EK$5,0),0)</f>
        <v>0</v>
      </c>
      <c r="EL29" s="0" t="n">
        <f aca="false">IFERROR(IF(ISNUMBER(INDEX(Registro!$AA$515:$AA$544,MATCH($A29,Registro!$A$515:$A$544,0))),EL$5,0),0)</f>
        <v>0</v>
      </c>
      <c r="EM29" s="0" t="n">
        <f aca="false">IFERROR(IF(ISNUMBER(INDEX(Registro!$I$551:$I$580,MATCH($A29,Registro!$A$551:$A$580,0))),EM$5,0),0)</f>
        <v>0</v>
      </c>
      <c r="EN29" s="0" t="n">
        <f aca="false">IFERROR(IF(ISNUMBER(INDEX(Registro!$O$551:$O$580,MATCH($A29,Registro!$A$551:$A$580,0))),EN$5,0),0)</f>
        <v>0</v>
      </c>
      <c r="EO29" s="0" t="n">
        <f aca="false">IFERROR(IF(ISNUMBER(INDEX(Registro!$U$551:$U$580,MATCH($A29,Registro!$A$551:$A$580,0))),EO$5,0),0)</f>
        <v>0</v>
      </c>
      <c r="EP29" s="0" t="n">
        <f aca="false">IFERROR(IF(ISNUMBER(INDEX(Registro!$AA$551:$AA$580,MATCH($A29,Registro!$A$551:$A$580,0))),EP$5,0),0)</f>
        <v>0</v>
      </c>
      <c r="EQ29" s="0" t="n">
        <f aca="false">IFERROR(IF(ISNUMBER(INDEX(Registro!$I$587:$I$616,MATCH($A29,Registro!$A$587:$A$616,0))),EQ$5,0),0)</f>
        <v>0</v>
      </c>
      <c r="ER29" s="0" t="n">
        <f aca="false">IFERROR(IF(ISNUMBER(INDEX(Registro!$O$587:$O$616,MATCH($A29,Registro!$A$587:$A$616,0))),ER$5,0),0)</f>
        <v>0</v>
      </c>
      <c r="ES29" s="0" t="n">
        <f aca="false">IFERROR(IF(ISNUMBER(INDEX(Registro!$U$587:$U$616,MATCH($A29,Registro!$A$587:$A$616,0))),ES$5,0),0)</f>
        <v>0</v>
      </c>
      <c r="ET29" s="0" t="n">
        <f aca="false">IFERROR(IF(ISNUMBER(INDEX(Registro!$AA$587:$AA$616,MATCH($A29,Registro!$A$587:$A$616,0))),ET$5,0),0)</f>
        <v>0</v>
      </c>
      <c r="EU29" s="0" t="n">
        <f aca="false">IFERROR(IF(ISNUMBER(INDEX(Registro!$I$623:$I$652,MATCH($A29,Registro!$A$623:$A$652,0))),EU$5,0),0)</f>
        <v>0</v>
      </c>
      <c r="EV29" s="0" t="n">
        <f aca="false">IFERROR(IF(ISNUMBER(INDEX(Registro!$O$623:$O$652,MATCH($A29,Registro!$A$623:$A$652,0))),EV$5,0),0)</f>
        <v>0</v>
      </c>
      <c r="EW29" s="0" t="n">
        <f aca="false">IFERROR(IF(ISNUMBER(INDEX(Registro!$U$623:$U$652,MATCH($A29,Registro!$A$623:$A$652,0))),EW$5,0),0)</f>
        <v>0</v>
      </c>
      <c r="EX29" s="0" t="n">
        <f aca="false">IFERROR(IF(ISNUMBER(INDEX(Registro!$AA$623:$AA$652,MATCH($A29,Registro!$A$623:$A$652,0))),EX$5,0),0)</f>
        <v>0</v>
      </c>
      <c r="EY29" s="0" t="n">
        <f aca="false">IFERROR(IF(ISNUMBER(INDEX(Registro!$I$659:$I$688,MATCH($A29,Registro!$A$659:$A$688,0))),EY$5,0),0)</f>
        <v>0</v>
      </c>
      <c r="EZ29" s="0" t="n">
        <f aca="false">IFERROR(IF(ISNUMBER(INDEX(Registro!$O$659:$O$688,MATCH($A29,Registro!$A$659:$A$688,0))),EZ$5,0),0)</f>
        <v>0</v>
      </c>
      <c r="FA29" s="0" t="n">
        <f aca="false">IFERROR(IF(ISNUMBER(INDEX(Registro!$U$659:$U$688,MATCH($A29,Registro!$A$659:$A$688,0))),FA$5,0),0)</f>
        <v>0</v>
      </c>
      <c r="FB29" s="0" t="n">
        <f aca="false">IFERROR(IF(ISNUMBER(INDEX(Registro!$AA$659:$AA$688,MATCH($A29,Registro!$A$659:$A$688,0))),FB$5,0),0)</f>
        <v>0</v>
      </c>
      <c r="FC29" s="0" t="n">
        <f aca="false">IFERROR(IF(ISNUMBER(INDEX(Registro!$I$695:$I$724,MATCH($A29,Registro!$A$695:$A$724,0))),FC$5,0),0)</f>
        <v>0</v>
      </c>
      <c r="FD29" s="0" t="n">
        <f aca="false">IFERROR(IF(ISNUMBER(INDEX(Registro!$O$695:$O$724,MATCH($A29,Registro!$A$695:$A$724,0))),FD$5,0),0)</f>
        <v>0</v>
      </c>
      <c r="FE29" s="0" t="n">
        <f aca="false">IFERROR(IF(ISNUMBER(INDEX(Registro!$U$695:$U$724,MATCH($A29,Registro!$A$695:$A$724,0))),FE$5,0),0)</f>
        <v>0</v>
      </c>
      <c r="FF29" s="0" t="n">
        <f aca="false">IFERROR(IF(ISNUMBER(INDEX(Registro!$AA$695:$AA$724,MATCH($A29,Registro!$A$695:$A$724,0))),FF$5,0),0)</f>
        <v>0</v>
      </c>
      <c r="FG29" s="0" t="n">
        <f aca="false">IFERROR(IF(AND(INDEX(Registro!$C$11:$C$40,MATCH($A29,Registro!$A$11:$A$40,0))="AS",INDEX(Registro!$D$11:$D$40,MATCH($A29,Registro!$A$11:$A$40,0))&amp;""=""),1,0),0)</f>
        <v>0</v>
      </c>
      <c r="FH29" s="0" t="n">
        <f aca="false">IFERROR(IF(AND(INDEX(Registro!$C$47:$C$76,MATCH($A29,Registro!$A$47:$A$76,0))="AS",INDEX(Registro!$D$47:$D$76,MATCH($A29,Registro!$A$47:$A$76,0))&amp;""=""),1,0),0)</f>
        <v>0</v>
      </c>
      <c r="FI29" s="0" t="n">
        <f aca="false">IFERROR(IF(AND(INDEX(Registro!$C$83:$C$112,MATCH($A29,Registro!$A$83:$A$112,0))="AS",INDEX(Registro!$D$83:$D$112,MATCH($A29,Registro!$A$83:$A$112,0))&amp;""=""),1,0),0)</f>
        <v>0</v>
      </c>
      <c r="FJ29" s="0" t="n">
        <f aca="false">IFERROR(IF(AND(INDEX(Registro!$C$119:$C$148,MATCH($A29,Registro!$A$119:$A$148,0))="AS",INDEX(Registro!$D$119:$D$148,MATCH($A29,Registro!$A$119:$A$148,0))&amp;""=""),1,0),0)</f>
        <v>0</v>
      </c>
      <c r="FK29" s="0" t="n">
        <f aca="false">IFERROR(IF(AND(INDEX(Registro!$C$155:$C$184,MATCH($A29,Registro!$A$155:$A$184,0))="AS",INDEX(Registro!$D$155:$D$184,MATCH($A29,Registro!$A$155:$A$184,0))&amp;""=""),1,0),0)</f>
        <v>0</v>
      </c>
      <c r="FL29" s="0" t="n">
        <f aca="false">IFERROR(IF(AND(INDEX(Registro!$C$191:$C$220,MATCH($A29,Registro!$A$191:$A$220,0))="AS",INDEX(Registro!$D$191:$D$220,MATCH($A29,Registro!$A$191:$A$220,0))&amp;""=""),1,0),0)</f>
        <v>0</v>
      </c>
      <c r="FM29" s="0" t="n">
        <f aca="false">IFERROR(IF(AND(INDEX(Registro!$C$227:$C$256,MATCH($A29,Registro!$A$227:$A$256,0))="AS",INDEX(Registro!$D$227:$D$256,MATCH($A29,Registro!$A$227:$A$256,0))&amp;""=""),1,0),0)</f>
        <v>0</v>
      </c>
      <c r="FN29" s="0" t="n">
        <f aca="false">IFERROR(IF(AND(INDEX(Registro!$C$263:$C$292,MATCH($A29,Registro!$A$263:$A$292,0))="AS",INDEX(Registro!$D$263:$D$292,MATCH($A29,Registro!$A$263:$A$292,0))&amp;""=""),1,0),0)</f>
        <v>0</v>
      </c>
      <c r="FO29" s="0" t="n">
        <f aca="false">IFERROR(IF(AND(INDEX(Registro!$C$299:$C$328,MATCH($A29,Registro!$A$299:$A$328,0))="AS",INDEX(Registro!$D$299:$D$328,MATCH($A29,Registro!$A$299:$A$328,0))&amp;""=""),1,0),0)</f>
        <v>0</v>
      </c>
      <c r="FP29" s="0" t="n">
        <f aca="false">IFERROR(IF(AND(INDEX(Registro!$C$335:$C$364,MATCH($A29,Registro!$A$335:$A$364,0))="AS",INDEX(Registro!$D$335:$D$364,MATCH($A29,Registro!$A$335:$A$364,0))&amp;""=""),1,0),0)</f>
        <v>0</v>
      </c>
      <c r="FQ29" s="0" t="n">
        <f aca="false">IFERROR(IF(AND(INDEX(Registro!$C$371:$C$400,MATCH($A29,Registro!$A$371:$A$400,0))="AS",INDEX(Registro!$D$371:$D$400,MATCH($A29,Registro!$A$371:$A$400,0))&amp;""=""),1,0),0)</f>
        <v>0</v>
      </c>
      <c r="FR29" s="0" t="n">
        <f aca="false">IFERROR(IF(AND(INDEX(Registro!$C$407:$C$436,MATCH($A29,Registro!$A$407:$A$436,0))="AS",INDEX(Registro!$D$407:$D$436,MATCH($A29,Registro!$A$407:$A$436,0))&amp;""=""),1,0),0)</f>
        <v>0</v>
      </c>
      <c r="FS29" s="0" t="n">
        <f aca="false">IFERROR(IF(AND(INDEX(Registro!$C$443:$C$472,MATCH($A29,Registro!$A$443:$A$472,0))="AS",INDEX(Registro!$D$443:$D$472,MATCH($A29,Registro!$A$443:$A$472,0))&amp;""=""),1,0),0)</f>
        <v>0</v>
      </c>
      <c r="FT29" s="0" t="n">
        <f aca="false">IFERROR(IF(AND(INDEX(Registro!$C$479:$C$508,MATCH($A29,Registro!$A$479:$A$508,0))="AS",INDEX(Registro!$D$479:$D$508,MATCH($A29,Registro!$A$479:$A$508,0))&amp;""=""),1,0),0)</f>
        <v>0</v>
      </c>
      <c r="FU29" s="0" t="n">
        <f aca="false">IFERROR(IF(AND(INDEX(Registro!$C$515:$C$544,MATCH($A29,Registro!$A$515:$A$544,0))="AS",INDEX(Registro!$D$515:$D$544,MATCH($A29,Registro!$A$515:$A$544,0))&amp;""=""),1,0),0)</f>
        <v>0</v>
      </c>
      <c r="FV29" s="0" t="n">
        <f aca="false">IFERROR(IF(AND(INDEX(Registro!$C$551:$C$580,MATCH($A29,Registro!$A$551:$A$580,0))="AS",INDEX(Registro!$D$551:$D$580,MATCH($A29,Registro!$A$551:$A$580,0))&amp;""=""),1,0),0)</f>
        <v>0</v>
      </c>
      <c r="FW29" s="0" t="n">
        <f aca="false">IFERROR(IF(AND(INDEX(Registro!$C$587:$C$616,MATCH($A29,Registro!$A$587:$A$616,0))="AS",INDEX(Registro!$D$587:$D$616,MATCH($A29,Registro!$A$587:$A$616,0))&amp;""=""),1,0),0)</f>
        <v>0</v>
      </c>
      <c r="FX29" s="0" t="n">
        <f aca="false">IFERROR(IF(AND(INDEX(Registro!$C$623:$C$652,MATCH($A29,Registro!$A$623:$A$652,0))="AS",INDEX(Registro!$D$623:$D$652,MATCH($A29,Registro!$A$623:$A$652,0))&amp;""=""),1,0),0)</f>
        <v>0</v>
      </c>
      <c r="FY29" s="0" t="n">
        <f aca="false">IFERROR(IF(AND(INDEX(Registro!$C$659:$C$688,MATCH($A29,Registro!$A$659:$A$688,0))="AS",INDEX(Registro!$D$659:$D$688,MATCH($A29,Registro!$A$659:$A$688,0))&amp;""=""),1,0),0)</f>
        <v>0</v>
      </c>
      <c r="FZ29" s="0" t="n">
        <f aca="false">IFERROR(IF(AND(INDEX(Registro!$C$695:$C$724,MATCH($A29,Registro!$A$695:$A$724,0))="AS",INDEX(Registro!$D$695:$D$724,MATCH($A29,Registro!$A$695:$A$724,0))&amp;""=""),1,0),0)</f>
        <v>0</v>
      </c>
    </row>
    <row r="30" customFormat="false" ht="15" hidden="false" customHeight="false" outlineLevel="0" collapsed="false">
      <c r="A30" s="0" t="n">
        <v>24</v>
      </c>
      <c r="C30" s="0" t="n">
        <f aca="false">IFERROR(N(INDEX(Registro!$I$11:$I$40,MATCH($A30,Registro!$A$11:$A$40,0))),0)</f>
        <v>0</v>
      </c>
      <c r="D30" s="0" t="n">
        <f aca="false">IFERROR(N(INDEX(Registro!$O$11:$O$40,MATCH($A30,Registro!$A$11:$A$40,0))),0)</f>
        <v>0</v>
      </c>
      <c r="E30" s="0" t="n">
        <f aca="false">IFERROR(N(INDEX(Registro!$U$11:$U$40,MATCH($A30,Registro!$A$11:$A$40,0))),0)</f>
        <v>0</v>
      </c>
      <c r="F30" s="0" t="n">
        <f aca="false">IFERROR(N(INDEX(Registro!$AA$11:$AA$40,MATCH($A30,Registro!$A$11:$A$40,0))),0)</f>
        <v>0</v>
      </c>
      <c r="G30" s="0" t="n">
        <f aca="false">IFERROR(N(INDEX(Registro!$I$47:$I$76,MATCH($A30,Registro!$A$47:$A$76,0))),0)</f>
        <v>0</v>
      </c>
      <c r="H30" s="0" t="n">
        <f aca="false">IFERROR(N(INDEX(Registro!$O$47:$O$76,MATCH($A30,Registro!$A$47:$A$76,0))),0)</f>
        <v>0</v>
      </c>
      <c r="I30" s="0" t="n">
        <f aca="false">IFERROR(N(INDEX(Registro!$U$47:$U$76,MATCH($A30,Registro!$A$47:$A$76,0))),0)</f>
        <v>0</v>
      </c>
      <c r="J30" s="0" t="n">
        <f aca="false">IFERROR(N(INDEX(Registro!$AA$47:$AA$76,MATCH($A30,Registro!$A$47:$A$76,0))),0)</f>
        <v>0</v>
      </c>
      <c r="K30" s="0" t="n">
        <f aca="false">IFERROR(N(INDEX(Registro!$I$83:$I$112,MATCH($A30,Registro!$A$83:$A$112,0))),0)</f>
        <v>0</v>
      </c>
      <c r="L30" s="0" t="n">
        <f aca="false">IFERROR(N(INDEX(Registro!$O$83:$O$112,MATCH($A30,Registro!$A$83:$A$112,0))),0)</f>
        <v>0</v>
      </c>
      <c r="M30" s="0" t="n">
        <f aca="false">IFERROR(N(INDEX(Registro!$U$83:$U$112,MATCH($A30,Registro!$A$83:$A$112,0))),0)</f>
        <v>0</v>
      </c>
      <c r="N30" s="0" t="n">
        <f aca="false">IFERROR(N(INDEX(Registro!$AA$83:$AA$112,MATCH($A30,Registro!$A$83:$A$112,0))),0)</f>
        <v>0</v>
      </c>
      <c r="O30" s="0" t="n">
        <f aca="false">IFERROR(N(INDEX(Registro!$I$119:$I$148,MATCH($A30,Registro!$A$119:$A$148,0))),0)</f>
        <v>0</v>
      </c>
      <c r="P30" s="0" t="n">
        <f aca="false">IFERROR(N(INDEX(Registro!$O$119:$O$148,MATCH($A30,Registro!$A$119:$A$148,0))),0)</f>
        <v>0</v>
      </c>
      <c r="Q30" s="0" t="n">
        <f aca="false">IFERROR(N(INDEX(Registro!$U$119:$U$148,MATCH($A30,Registro!$A$119:$A$148,0))),0)</f>
        <v>0</v>
      </c>
      <c r="R30" s="0" t="n">
        <f aca="false">IFERROR(N(INDEX(Registro!$AA$119:$AA$148,MATCH($A30,Registro!$A$119:$A$148,0))),0)</f>
        <v>0</v>
      </c>
      <c r="S30" s="0" t="n">
        <f aca="false">IFERROR(N(INDEX(Registro!$I$155:$I$184,MATCH($A30,Registro!$A$155:$A$184,0))),0)</f>
        <v>0</v>
      </c>
      <c r="T30" s="0" t="n">
        <f aca="false">IFERROR(N(INDEX(Registro!$O$155:$O$184,MATCH($A30,Registro!$A$155:$A$184,0))),0)</f>
        <v>0</v>
      </c>
      <c r="U30" s="0" t="n">
        <f aca="false">IFERROR(N(INDEX(Registro!$U$155:$U$184,MATCH($A30,Registro!$A$155:$A$184,0))),0)</f>
        <v>0</v>
      </c>
      <c r="V30" s="0" t="n">
        <f aca="false">IFERROR(N(INDEX(Registro!$AA$155:$AA$184,MATCH($A30,Registro!$A$155:$A$184,0))),0)</f>
        <v>0</v>
      </c>
      <c r="W30" s="0" t="n">
        <f aca="false">IFERROR(N(INDEX(Registro!$I$191:$I$220,MATCH($A30,Registro!$A$191:$A$220,0))),0)</f>
        <v>0</v>
      </c>
      <c r="X30" s="0" t="n">
        <f aca="false">IFERROR(N(INDEX(Registro!$O$191:$O$220,MATCH($A30,Registro!$A$191:$A$220,0))),0)</f>
        <v>0</v>
      </c>
      <c r="Y30" s="0" t="n">
        <f aca="false">IFERROR(N(INDEX(Registro!$U$191:$U$220,MATCH($A30,Registro!$A$191:$A$220,0))),0)</f>
        <v>0</v>
      </c>
      <c r="Z30" s="0" t="n">
        <f aca="false">IFERROR(N(INDEX(Registro!$AA$191:$AA$220,MATCH($A30,Registro!$A$191:$A$220,0))),0)</f>
        <v>0</v>
      </c>
      <c r="AA30" s="0" t="n">
        <f aca="false">IFERROR(N(INDEX(Registro!$I$227:$I$256,MATCH($A30,Registro!$A$227:$A$256,0))),0)</f>
        <v>0</v>
      </c>
      <c r="AB30" s="0" t="n">
        <f aca="false">IFERROR(N(INDEX(Registro!$O$227:$O$256,MATCH($A30,Registro!$A$227:$A$256,0))),0)</f>
        <v>0</v>
      </c>
      <c r="AC30" s="0" t="n">
        <f aca="false">IFERROR(N(INDEX(Registro!$U$227:$U$256,MATCH($A30,Registro!$A$227:$A$256,0))),0)</f>
        <v>0</v>
      </c>
      <c r="AD30" s="0" t="n">
        <f aca="false">IFERROR(N(INDEX(Registro!$AA$227:$AA$256,MATCH($A30,Registro!$A$227:$A$256,0))),0)</f>
        <v>0</v>
      </c>
      <c r="AE30" s="0" t="n">
        <f aca="false">IFERROR(N(INDEX(Registro!$I$263:$I$292,MATCH($A30,Registro!$A$263:$A$292,0))),0)</f>
        <v>0</v>
      </c>
      <c r="AF30" s="0" t="n">
        <f aca="false">IFERROR(N(INDEX(Registro!$O$263:$O$292,MATCH($A30,Registro!$A$263:$A$292,0))),0)</f>
        <v>0</v>
      </c>
      <c r="AG30" s="0" t="n">
        <f aca="false">IFERROR(N(INDEX(Registro!$U$263:$U$292,MATCH($A30,Registro!$A$263:$A$292,0))),0)</f>
        <v>0</v>
      </c>
      <c r="AH30" s="0" t="n">
        <f aca="false">IFERROR(N(INDEX(Registro!$AA$263:$AA$292,MATCH($A30,Registro!$A$263:$A$292,0))),0)</f>
        <v>0</v>
      </c>
      <c r="AI30" s="0" t="n">
        <f aca="false">IFERROR(N(INDEX(Registro!$I$299:$I$328,MATCH($A30,Registro!$A$299:$A$328,0))),0)</f>
        <v>0</v>
      </c>
      <c r="AJ30" s="0" t="n">
        <f aca="false">IFERROR(N(INDEX(Registro!$O$299:$O$328,MATCH($A30,Registro!$A$299:$A$328,0))),0)</f>
        <v>0</v>
      </c>
      <c r="AK30" s="0" t="n">
        <f aca="false">IFERROR(N(INDEX(Registro!$U$299:$U$328,MATCH($A30,Registro!$A$299:$A$328,0))),0)</f>
        <v>0</v>
      </c>
      <c r="AL30" s="0" t="n">
        <f aca="false">IFERROR(N(INDEX(Registro!$AA$299:$AA$328,MATCH($A30,Registro!$A$299:$A$328,0))),0)</f>
        <v>0</v>
      </c>
      <c r="AM30" s="0" t="n">
        <f aca="false">IFERROR(N(INDEX(Registro!$I$335:$I$364,MATCH($A30,Registro!$A$335:$A$364,0))),0)</f>
        <v>0</v>
      </c>
      <c r="AN30" s="0" t="n">
        <f aca="false">IFERROR(N(INDEX(Registro!$O$335:$O$364,MATCH($A30,Registro!$A$335:$A$364,0))),0)</f>
        <v>0</v>
      </c>
      <c r="AO30" s="0" t="n">
        <f aca="false">IFERROR(N(INDEX(Registro!$U$335:$U$364,MATCH($A30,Registro!$A$335:$A$364,0))),0)</f>
        <v>0</v>
      </c>
      <c r="AP30" s="0" t="n">
        <f aca="false">IFERROR(N(INDEX(Registro!$AA$335:$AA$364,MATCH($A30,Registro!$A$335:$A$364,0))),0)</f>
        <v>0</v>
      </c>
      <c r="AQ30" s="0" t="n">
        <f aca="false">IFERROR(N(INDEX(Registro!$I$371:$I$400,MATCH($A30,Registro!$A$371:$A$400,0))),0)</f>
        <v>0</v>
      </c>
      <c r="AR30" s="0" t="n">
        <f aca="false">IFERROR(N(INDEX(Registro!$O$371:$O$400,MATCH($A30,Registro!$A$371:$A$400,0))),0)</f>
        <v>0</v>
      </c>
      <c r="AS30" s="0" t="n">
        <f aca="false">IFERROR(N(INDEX(Registro!$U$371:$U$400,MATCH($A30,Registro!$A$371:$A$400,0))),0)</f>
        <v>0</v>
      </c>
      <c r="AT30" s="0" t="n">
        <f aca="false">IFERROR(N(INDEX(Registro!$AA$371:$AA$400,MATCH($A30,Registro!$A$371:$A$400,0))),0)</f>
        <v>0</v>
      </c>
      <c r="AU30" s="0" t="n">
        <f aca="false">IFERROR(N(INDEX(Registro!$I$407:$I$436,MATCH($A30,Registro!$A$407:$A$436,0))),0)</f>
        <v>0</v>
      </c>
      <c r="AV30" s="0" t="n">
        <f aca="false">IFERROR(N(INDEX(Registro!$O$407:$O$436,MATCH($A30,Registro!$A$407:$A$436,0))),0)</f>
        <v>0</v>
      </c>
      <c r="AW30" s="0" t="n">
        <f aca="false">IFERROR(N(INDEX(Registro!$U$407:$U$436,MATCH($A30,Registro!$A$407:$A$436,0))),0)</f>
        <v>0</v>
      </c>
      <c r="AX30" s="0" t="n">
        <f aca="false">IFERROR(N(INDEX(Registro!$AA$407:$AA$436,MATCH($A30,Registro!$A$407:$A$436,0))),0)</f>
        <v>0</v>
      </c>
      <c r="AY30" s="0" t="n">
        <f aca="false">IFERROR(N(INDEX(Registro!$I$443:$I$472,MATCH($A30,Registro!$A$443:$A$472,0))),0)</f>
        <v>0</v>
      </c>
      <c r="AZ30" s="0" t="n">
        <f aca="false">IFERROR(N(INDEX(Registro!$O$443:$O$472,MATCH($A30,Registro!$A$443:$A$472,0))),0)</f>
        <v>0</v>
      </c>
      <c r="BA30" s="0" t="n">
        <f aca="false">IFERROR(N(INDEX(Registro!$U$443:$U$472,MATCH($A30,Registro!$A$443:$A$472,0))),0)</f>
        <v>0</v>
      </c>
      <c r="BB30" s="0" t="n">
        <f aca="false">IFERROR(N(INDEX(Registro!$AA$443:$AA$472,MATCH($A30,Registro!$A$443:$A$472,0))),0)</f>
        <v>0</v>
      </c>
      <c r="BC30" s="0" t="n">
        <f aca="false">IFERROR(N(INDEX(Registro!$I$479:$I$508,MATCH($A30,Registro!$A$479:$A$508,0))),0)</f>
        <v>0</v>
      </c>
      <c r="BD30" s="0" t="n">
        <f aca="false">IFERROR(N(INDEX(Registro!$O$479:$O$508,MATCH($A30,Registro!$A$479:$A$508,0))),0)</f>
        <v>0</v>
      </c>
      <c r="BE30" s="0" t="n">
        <f aca="false">IFERROR(N(INDEX(Registro!$U$479:$U$508,MATCH($A30,Registro!$A$479:$A$508,0))),0)</f>
        <v>0</v>
      </c>
      <c r="BF30" s="0" t="n">
        <f aca="false">IFERROR(N(INDEX(Registro!$AA$479:$AA$508,MATCH($A30,Registro!$A$479:$A$508,0))),0)</f>
        <v>0</v>
      </c>
      <c r="BG30" s="0" t="n">
        <f aca="false">IFERROR(N(INDEX(Registro!$I$515:$I$544,MATCH($A30,Registro!$A$515:$A$544,0))),0)</f>
        <v>0</v>
      </c>
      <c r="BH30" s="0" t="n">
        <f aca="false">IFERROR(N(INDEX(Registro!$O$515:$O$544,MATCH($A30,Registro!$A$515:$A$544,0))),0)</f>
        <v>0</v>
      </c>
      <c r="BI30" s="0" t="n">
        <f aca="false">IFERROR(N(INDEX(Registro!$U$515:$U$544,MATCH($A30,Registro!$A$515:$A$544,0))),0)</f>
        <v>0</v>
      </c>
      <c r="BJ30" s="0" t="n">
        <f aca="false">IFERROR(N(INDEX(Registro!$AA$515:$AA$544,MATCH($A30,Registro!$A$515:$A$544,0))),0)</f>
        <v>0</v>
      </c>
      <c r="BK30" s="0" t="n">
        <f aca="false">IFERROR(N(INDEX(Registro!$I$551:$I$580,MATCH($A30,Registro!$A$551:$A$580,0))),0)</f>
        <v>0</v>
      </c>
      <c r="BL30" s="0" t="n">
        <f aca="false">IFERROR(N(INDEX(Registro!$O$551:$O$580,MATCH($A30,Registro!$A$551:$A$580,0))),0)</f>
        <v>0</v>
      </c>
      <c r="BM30" s="0" t="n">
        <f aca="false">IFERROR(N(INDEX(Registro!$U$551:$U$580,MATCH($A30,Registro!$A$551:$A$580,0))),0)</f>
        <v>0</v>
      </c>
      <c r="BN30" s="0" t="n">
        <f aca="false">IFERROR(N(INDEX(Registro!$AA$551:$AA$580,MATCH($A30,Registro!$A$551:$A$580,0))),0)</f>
        <v>0</v>
      </c>
      <c r="BO30" s="0" t="n">
        <f aca="false">IFERROR(N(INDEX(Registro!$I$587:$I$616,MATCH($A30,Registro!$A$587:$A$616,0))),0)</f>
        <v>0</v>
      </c>
      <c r="BP30" s="0" t="n">
        <f aca="false">IFERROR(N(INDEX(Registro!$O$587:$O$616,MATCH($A30,Registro!$A$587:$A$616,0))),0)</f>
        <v>0</v>
      </c>
      <c r="BQ30" s="0" t="n">
        <f aca="false">IFERROR(N(INDEX(Registro!$U$587:$U$616,MATCH($A30,Registro!$A$587:$A$616,0))),0)</f>
        <v>0</v>
      </c>
      <c r="BR30" s="0" t="n">
        <f aca="false">IFERROR(N(INDEX(Registro!$AA$587:$AA$616,MATCH($A30,Registro!$A$587:$A$616,0))),0)</f>
        <v>0</v>
      </c>
      <c r="BS30" s="0" t="n">
        <f aca="false">IFERROR(N(INDEX(Registro!$I$623:$I$652,MATCH($A30,Registro!$A$623:$A$652,0))),0)</f>
        <v>0</v>
      </c>
      <c r="BT30" s="0" t="n">
        <f aca="false">IFERROR(N(INDEX(Registro!$O$623:$O$652,MATCH($A30,Registro!$A$623:$A$652,0))),0)</f>
        <v>0</v>
      </c>
      <c r="BU30" s="0" t="n">
        <f aca="false">IFERROR(N(INDEX(Registro!$U$623:$U$652,MATCH($A30,Registro!$A$623:$A$652,0))),0)</f>
        <v>0</v>
      </c>
      <c r="BV30" s="0" t="n">
        <f aca="false">IFERROR(N(INDEX(Registro!$AA$623:$AA$652,MATCH($A30,Registro!$A$623:$A$652,0))),0)</f>
        <v>0</v>
      </c>
      <c r="BW30" s="0" t="n">
        <f aca="false">IFERROR(N(INDEX(Registro!$I$659:$I$688,MATCH($A30,Registro!$A$659:$A$688,0))),0)</f>
        <v>0</v>
      </c>
      <c r="BX30" s="0" t="n">
        <f aca="false">IFERROR(N(INDEX(Registro!$O$659:$O$688,MATCH($A30,Registro!$A$659:$A$688,0))),0)</f>
        <v>0</v>
      </c>
      <c r="BY30" s="0" t="n">
        <f aca="false">IFERROR(N(INDEX(Registro!$U$659:$U$688,MATCH($A30,Registro!$A$659:$A$688,0))),0)</f>
        <v>0</v>
      </c>
      <c r="BZ30" s="0" t="n">
        <f aca="false">IFERROR(N(INDEX(Registro!$AA$659:$AA$688,MATCH($A30,Registro!$A$659:$A$688,0))),0)</f>
        <v>0</v>
      </c>
      <c r="CA30" s="0" t="n">
        <f aca="false">IFERROR(N(INDEX(Registro!$I$695:$I$724,MATCH($A30,Registro!$A$695:$A$724,0))),0)</f>
        <v>0</v>
      </c>
      <c r="CB30" s="0" t="n">
        <f aca="false">IFERROR(N(INDEX(Registro!$O$695:$O$724,MATCH($A30,Registro!$A$695:$A$724,0))),0)</f>
        <v>0</v>
      </c>
      <c r="CC30" s="0" t="n">
        <f aca="false">IFERROR(N(INDEX(Registro!$U$695:$U$724,MATCH($A30,Registro!$A$695:$A$724,0))),0)</f>
        <v>0</v>
      </c>
      <c r="CD30" s="0" t="n">
        <f aca="false">IFERROR(N(INDEX(Registro!$AA$695:$AA$724,MATCH($A30,Registro!$A$695:$A$724,0))),0)</f>
        <v>0</v>
      </c>
      <c r="CE30" s="0" t="n">
        <f aca="false">IFERROR(IF(ISNUMBER(INDEX(Registro!$I$11:$I$40,MATCH($A30,Registro!$A$11:$A$40,0))),CE$5,0),0)</f>
        <v>0</v>
      </c>
      <c r="CF30" s="0" t="n">
        <f aca="false">IFERROR(IF(ISNUMBER(INDEX(Registro!$O$11:$O$40,MATCH($A30,Registro!$A$11:$A$40,0))),CF$5,0),0)</f>
        <v>0</v>
      </c>
      <c r="CG30" s="0" t="n">
        <f aca="false">IFERROR(IF(ISNUMBER(INDEX(Registro!$U$11:$U$40,MATCH($A30,Registro!$A$11:$A$40,0))),CG$5,0),0)</f>
        <v>0</v>
      </c>
      <c r="CH30" s="0" t="n">
        <f aca="false">IFERROR(IF(ISNUMBER(INDEX(Registro!$AA$11:$AA$40,MATCH($A30,Registro!$A$11:$A$40,0))),CH$5,0),0)</f>
        <v>0</v>
      </c>
      <c r="CI30" s="0" t="n">
        <f aca="false">IFERROR(IF(ISNUMBER(INDEX(Registro!$I$47:$I$76,MATCH($A30,Registro!$A$47:$A$76,0))),CI$5,0),0)</f>
        <v>0</v>
      </c>
      <c r="CJ30" s="0" t="n">
        <f aca="false">IFERROR(IF(ISNUMBER(INDEX(Registro!$O$47:$O$76,MATCH($A30,Registro!$A$47:$A$76,0))),CJ$5,0),0)</f>
        <v>0</v>
      </c>
      <c r="CK30" s="0" t="n">
        <f aca="false">IFERROR(IF(ISNUMBER(INDEX(Registro!$U$47:$U$76,MATCH($A30,Registro!$A$47:$A$76,0))),CK$5,0),0)</f>
        <v>0</v>
      </c>
      <c r="CL30" s="0" t="n">
        <f aca="false">IFERROR(IF(ISNUMBER(INDEX(Registro!$AA$47:$AA$76,MATCH($A30,Registro!$A$47:$A$76,0))),CL$5,0),0)</f>
        <v>0</v>
      </c>
      <c r="CM30" s="0" t="n">
        <f aca="false">IFERROR(IF(ISNUMBER(INDEX(Registro!$I$83:$I$112,MATCH($A30,Registro!$A$83:$A$112,0))),CM$5,0),0)</f>
        <v>0</v>
      </c>
      <c r="CN30" s="0" t="n">
        <f aca="false">IFERROR(IF(ISNUMBER(INDEX(Registro!$O$83:$O$112,MATCH($A30,Registro!$A$83:$A$112,0))),CN$5,0),0)</f>
        <v>0</v>
      </c>
      <c r="CO30" s="0" t="n">
        <f aca="false">IFERROR(IF(ISNUMBER(INDEX(Registro!$U$83:$U$112,MATCH($A30,Registro!$A$83:$A$112,0))),CO$5,0),0)</f>
        <v>0</v>
      </c>
      <c r="CP30" s="0" t="n">
        <f aca="false">IFERROR(IF(ISNUMBER(INDEX(Registro!$AA$83:$AA$112,MATCH($A30,Registro!$A$83:$A$112,0))),CP$5,0),0)</f>
        <v>0</v>
      </c>
      <c r="CQ30" s="0" t="n">
        <f aca="false">IFERROR(IF(ISNUMBER(INDEX(Registro!$I$119:$I$148,MATCH($A30,Registro!$A$119:$A$148,0))),CQ$5,0),0)</f>
        <v>0</v>
      </c>
      <c r="CR30" s="0" t="n">
        <f aca="false">IFERROR(IF(ISNUMBER(INDEX(Registro!$O$119:$O$148,MATCH($A30,Registro!$A$119:$A$148,0))),CR$5,0),0)</f>
        <v>0</v>
      </c>
      <c r="CS30" s="0" t="n">
        <f aca="false">IFERROR(IF(ISNUMBER(INDEX(Registro!$U$119:$U$148,MATCH($A30,Registro!$A$119:$A$148,0))),CS$5,0),0)</f>
        <v>0</v>
      </c>
      <c r="CT30" s="0" t="n">
        <f aca="false">IFERROR(IF(ISNUMBER(INDEX(Registro!$AA$119:$AA$148,MATCH($A30,Registro!$A$119:$A$148,0))),CT$5,0),0)</f>
        <v>0</v>
      </c>
      <c r="CU30" s="0" t="n">
        <f aca="false">IFERROR(IF(ISNUMBER(INDEX(Registro!$I$155:$I$184,MATCH($A30,Registro!$A$155:$A$184,0))),CU$5,0),0)</f>
        <v>0</v>
      </c>
      <c r="CV30" s="0" t="n">
        <f aca="false">IFERROR(IF(ISNUMBER(INDEX(Registro!$O$155:$O$184,MATCH($A30,Registro!$A$155:$A$184,0))),CV$5,0),0)</f>
        <v>0</v>
      </c>
      <c r="CW30" s="0" t="n">
        <f aca="false">IFERROR(IF(ISNUMBER(INDEX(Registro!$U$155:$U$184,MATCH($A30,Registro!$A$155:$A$184,0))),CW$5,0),0)</f>
        <v>0</v>
      </c>
      <c r="CX30" s="0" t="n">
        <f aca="false">IFERROR(IF(ISNUMBER(INDEX(Registro!$AA$155:$AA$184,MATCH($A30,Registro!$A$155:$A$184,0))),CX$5,0),0)</f>
        <v>0</v>
      </c>
      <c r="CY30" s="0" t="n">
        <f aca="false">IFERROR(IF(ISNUMBER(INDEX(Registro!$I$191:$I$220,MATCH($A30,Registro!$A$191:$A$220,0))),CY$5,0),0)</f>
        <v>0</v>
      </c>
      <c r="CZ30" s="0" t="n">
        <f aca="false">IFERROR(IF(ISNUMBER(INDEX(Registro!$O$191:$O$220,MATCH($A30,Registro!$A$191:$A$220,0))),CZ$5,0),0)</f>
        <v>0</v>
      </c>
      <c r="DA30" s="0" t="n">
        <f aca="false">IFERROR(IF(ISNUMBER(INDEX(Registro!$U$191:$U$220,MATCH($A30,Registro!$A$191:$A$220,0))),DA$5,0),0)</f>
        <v>0</v>
      </c>
      <c r="DB30" s="0" t="n">
        <f aca="false">IFERROR(IF(ISNUMBER(INDEX(Registro!$AA$191:$AA$220,MATCH($A30,Registro!$A$191:$A$220,0))),DB$5,0),0)</f>
        <v>0</v>
      </c>
      <c r="DC30" s="0" t="n">
        <f aca="false">IFERROR(IF(ISNUMBER(INDEX(Registro!$I$227:$I$256,MATCH($A30,Registro!$A$227:$A$256,0))),DC$5,0),0)</f>
        <v>0</v>
      </c>
      <c r="DD30" s="0" t="n">
        <f aca="false">IFERROR(IF(ISNUMBER(INDEX(Registro!$O$227:$O$256,MATCH($A30,Registro!$A$227:$A$256,0))),DD$5,0),0)</f>
        <v>0</v>
      </c>
      <c r="DE30" s="0" t="n">
        <f aca="false">IFERROR(IF(ISNUMBER(INDEX(Registro!$U$227:$U$256,MATCH($A30,Registro!$A$227:$A$256,0))),DE$5,0),0)</f>
        <v>0</v>
      </c>
      <c r="DF30" s="0" t="n">
        <f aca="false">IFERROR(IF(ISNUMBER(INDEX(Registro!$AA$227:$AA$256,MATCH($A30,Registro!$A$227:$A$256,0))),DF$5,0),0)</f>
        <v>0</v>
      </c>
      <c r="DG30" s="0" t="n">
        <f aca="false">IFERROR(IF(ISNUMBER(INDEX(Registro!$I$263:$I$292,MATCH($A30,Registro!$A$263:$A$292,0))),DG$5,0),0)</f>
        <v>0</v>
      </c>
      <c r="DH30" s="0" t="n">
        <f aca="false">IFERROR(IF(ISNUMBER(INDEX(Registro!$O$263:$O$292,MATCH($A30,Registro!$A$263:$A$292,0))),DH$5,0),0)</f>
        <v>0</v>
      </c>
      <c r="DI30" s="0" t="n">
        <f aca="false">IFERROR(IF(ISNUMBER(INDEX(Registro!$U$263:$U$292,MATCH($A30,Registro!$A$263:$A$292,0))),DI$5,0),0)</f>
        <v>0</v>
      </c>
      <c r="DJ30" s="0" t="n">
        <f aca="false">IFERROR(IF(ISNUMBER(INDEX(Registro!$AA$263:$AA$292,MATCH($A30,Registro!$A$263:$A$292,0))),DJ$5,0),0)</f>
        <v>0</v>
      </c>
      <c r="DK30" s="0" t="n">
        <f aca="false">IFERROR(IF(ISNUMBER(INDEX(Registro!$I$299:$I$328,MATCH($A30,Registro!$A$299:$A$328,0))),DK$5,0),0)</f>
        <v>0</v>
      </c>
      <c r="DL30" s="0" t="n">
        <f aca="false">IFERROR(IF(ISNUMBER(INDEX(Registro!$O$299:$O$328,MATCH($A30,Registro!$A$299:$A$328,0))),DL$5,0),0)</f>
        <v>0</v>
      </c>
      <c r="DM30" s="0" t="n">
        <f aca="false">IFERROR(IF(ISNUMBER(INDEX(Registro!$U$299:$U$328,MATCH($A30,Registro!$A$299:$A$328,0))),DM$5,0),0)</f>
        <v>0</v>
      </c>
      <c r="DN30" s="0" t="n">
        <f aca="false">IFERROR(IF(ISNUMBER(INDEX(Registro!$AA$299:$AA$328,MATCH($A30,Registro!$A$299:$A$328,0))),DN$5,0),0)</f>
        <v>0</v>
      </c>
      <c r="DO30" s="0" t="n">
        <f aca="false">IFERROR(IF(ISNUMBER(INDEX(Registro!$I$335:$I$364,MATCH($A30,Registro!$A$335:$A$364,0))),DO$5,0),0)</f>
        <v>0</v>
      </c>
      <c r="DP30" s="0" t="n">
        <f aca="false">IFERROR(IF(ISNUMBER(INDEX(Registro!$O$335:$O$364,MATCH($A30,Registro!$A$335:$A$364,0))),DP$5,0),0)</f>
        <v>0</v>
      </c>
      <c r="DQ30" s="0" t="n">
        <f aca="false">IFERROR(IF(ISNUMBER(INDEX(Registro!$U$335:$U$364,MATCH($A30,Registro!$A$335:$A$364,0))),DQ$5,0),0)</f>
        <v>0</v>
      </c>
      <c r="DR30" s="0" t="n">
        <f aca="false">IFERROR(IF(ISNUMBER(INDEX(Registro!$AA$335:$AA$364,MATCH($A30,Registro!$A$335:$A$364,0))),DR$5,0),0)</f>
        <v>0</v>
      </c>
      <c r="DS30" s="0" t="n">
        <f aca="false">IFERROR(IF(ISNUMBER(INDEX(Registro!$I$371:$I$400,MATCH($A30,Registro!$A$371:$A$400,0))),DS$5,0),0)</f>
        <v>0</v>
      </c>
      <c r="DT30" s="0" t="n">
        <f aca="false">IFERROR(IF(ISNUMBER(INDEX(Registro!$O$371:$O$400,MATCH($A30,Registro!$A$371:$A$400,0))),DT$5,0),0)</f>
        <v>0</v>
      </c>
      <c r="DU30" s="0" t="n">
        <f aca="false">IFERROR(IF(ISNUMBER(INDEX(Registro!$U$371:$U$400,MATCH($A30,Registro!$A$371:$A$400,0))),DU$5,0),0)</f>
        <v>0</v>
      </c>
      <c r="DV30" s="0" t="n">
        <f aca="false">IFERROR(IF(ISNUMBER(INDEX(Registro!$AA$371:$AA$400,MATCH($A30,Registro!$A$371:$A$400,0))),DV$5,0),0)</f>
        <v>0</v>
      </c>
      <c r="DW30" s="0" t="n">
        <f aca="false">IFERROR(IF(ISNUMBER(INDEX(Registro!$I$407:$I$436,MATCH($A30,Registro!$A$407:$A$436,0))),DW$5,0),0)</f>
        <v>0</v>
      </c>
      <c r="DX30" s="0" t="n">
        <f aca="false">IFERROR(IF(ISNUMBER(INDEX(Registro!$O$407:$O$436,MATCH($A30,Registro!$A$407:$A$436,0))),DX$5,0),0)</f>
        <v>0</v>
      </c>
      <c r="DY30" s="0" t="n">
        <f aca="false">IFERROR(IF(ISNUMBER(INDEX(Registro!$U$407:$U$436,MATCH($A30,Registro!$A$407:$A$436,0))),DY$5,0),0)</f>
        <v>0</v>
      </c>
      <c r="DZ30" s="0" t="n">
        <f aca="false">IFERROR(IF(ISNUMBER(INDEX(Registro!$AA$407:$AA$436,MATCH($A30,Registro!$A$407:$A$436,0))),DZ$5,0),0)</f>
        <v>0</v>
      </c>
      <c r="EA30" s="0" t="n">
        <f aca="false">IFERROR(IF(ISNUMBER(INDEX(Registro!$I$443:$I$472,MATCH($A30,Registro!$A$443:$A$472,0))),EA$5,0),0)</f>
        <v>0</v>
      </c>
      <c r="EB30" s="0" t="n">
        <f aca="false">IFERROR(IF(ISNUMBER(INDEX(Registro!$O$443:$O$472,MATCH($A30,Registro!$A$443:$A$472,0))),EB$5,0),0)</f>
        <v>0</v>
      </c>
      <c r="EC30" s="0" t="n">
        <f aca="false">IFERROR(IF(ISNUMBER(INDEX(Registro!$U$443:$U$472,MATCH($A30,Registro!$A$443:$A$472,0))),EC$5,0),0)</f>
        <v>0</v>
      </c>
      <c r="ED30" s="0" t="n">
        <f aca="false">IFERROR(IF(ISNUMBER(INDEX(Registro!$AA$443:$AA$472,MATCH($A30,Registro!$A$443:$A$472,0))),ED$5,0),0)</f>
        <v>0</v>
      </c>
      <c r="EE30" s="0" t="n">
        <f aca="false">IFERROR(IF(ISNUMBER(INDEX(Registro!$I$479:$I$508,MATCH($A30,Registro!$A$479:$A$508,0))),EE$5,0),0)</f>
        <v>0</v>
      </c>
      <c r="EF30" s="0" t="n">
        <f aca="false">IFERROR(IF(ISNUMBER(INDEX(Registro!$O$479:$O$508,MATCH($A30,Registro!$A$479:$A$508,0))),EF$5,0),0)</f>
        <v>0</v>
      </c>
      <c r="EG30" s="0" t="n">
        <f aca="false">IFERROR(IF(ISNUMBER(INDEX(Registro!$U$479:$U$508,MATCH($A30,Registro!$A$479:$A$508,0))),EG$5,0),0)</f>
        <v>0</v>
      </c>
      <c r="EH30" s="0" t="n">
        <f aca="false">IFERROR(IF(ISNUMBER(INDEX(Registro!$AA$479:$AA$508,MATCH($A30,Registro!$A$479:$A$508,0))),EH$5,0),0)</f>
        <v>0</v>
      </c>
      <c r="EI30" s="0" t="n">
        <f aca="false">IFERROR(IF(ISNUMBER(INDEX(Registro!$I$515:$I$544,MATCH($A30,Registro!$A$515:$A$544,0))),EI$5,0),0)</f>
        <v>0</v>
      </c>
      <c r="EJ30" s="0" t="n">
        <f aca="false">IFERROR(IF(ISNUMBER(INDEX(Registro!$O$515:$O$544,MATCH($A30,Registro!$A$515:$A$544,0))),EJ$5,0),0)</f>
        <v>0</v>
      </c>
      <c r="EK30" s="0" t="n">
        <f aca="false">IFERROR(IF(ISNUMBER(INDEX(Registro!$U$515:$U$544,MATCH($A30,Registro!$A$515:$A$544,0))),EK$5,0),0)</f>
        <v>0</v>
      </c>
      <c r="EL30" s="0" t="n">
        <f aca="false">IFERROR(IF(ISNUMBER(INDEX(Registro!$AA$515:$AA$544,MATCH($A30,Registro!$A$515:$A$544,0))),EL$5,0),0)</f>
        <v>0</v>
      </c>
      <c r="EM30" s="0" t="n">
        <f aca="false">IFERROR(IF(ISNUMBER(INDEX(Registro!$I$551:$I$580,MATCH($A30,Registro!$A$551:$A$580,0))),EM$5,0),0)</f>
        <v>0</v>
      </c>
      <c r="EN30" s="0" t="n">
        <f aca="false">IFERROR(IF(ISNUMBER(INDEX(Registro!$O$551:$O$580,MATCH($A30,Registro!$A$551:$A$580,0))),EN$5,0),0)</f>
        <v>0</v>
      </c>
      <c r="EO30" s="0" t="n">
        <f aca="false">IFERROR(IF(ISNUMBER(INDEX(Registro!$U$551:$U$580,MATCH($A30,Registro!$A$551:$A$580,0))),EO$5,0),0)</f>
        <v>0</v>
      </c>
      <c r="EP30" s="0" t="n">
        <f aca="false">IFERROR(IF(ISNUMBER(INDEX(Registro!$AA$551:$AA$580,MATCH($A30,Registro!$A$551:$A$580,0))),EP$5,0),0)</f>
        <v>0</v>
      </c>
      <c r="EQ30" s="0" t="n">
        <f aca="false">IFERROR(IF(ISNUMBER(INDEX(Registro!$I$587:$I$616,MATCH($A30,Registro!$A$587:$A$616,0))),EQ$5,0),0)</f>
        <v>0</v>
      </c>
      <c r="ER30" s="0" t="n">
        <f aca="false">IFERROR(IF(ISNUMBER(INDEX(Registro!$O$587:$O$616,MATCH($A30,Registro!$A$587:$A$616,0))),ER$5,0),0)</f>
        <v>0</v>
      </c>
      <c r="ES30" s="0" t="n">
        <f aca="false">IFERROR(IF(ISNUMBER(INDEX(Registro!$U$587:$U$616,MATCH($A30,Registro!$A$587:$A$616,0))),ES$5,0),0)</f>
        <v>0</v>
      </c>
      <c r="ET30" s="0" t="n">
        <f aca="false">IFERROR(IF(ISNUMBER(INDEX(Registro!$AA$587:$AA$616,MATCH($A30,Registro!$A$587:$A$616,0))),ET$5,0),0)</f>
        <v>0</v>
      </c>
      <c r="EU30" s="0" t="n">
        <f aca="false">IFERROR(IF(ISNUMBER(INDEX(Registro!$I$623:$I$652,MATCH($A30,Registro!$A$623:$A$652,0))),EU$5,0),0)</f>
        <v>0</v>
      </c>
      <c r="EV30" s="0" t="n">
        <f aca="false">IFERROR(IF(ISNUMBER(INDEX(Registro!$O$623:$O$652,MATCH($A30,Registro!$A$623:$A$652,0))),EV$5,0),0)</f>
        <v>0</v>
      </c>
      <c r="EW30" s="0" t="n">
        <f aca="false">IFERROR(IF(ISNUMBER(INDEX(Registro!$U$623:$U$652,MATCH($A30,Registro!$A$623:$A$652,0))),EW$5,0),0)</f>
        <v>0</v>
      </c>
      <c r="EX30" s="0" t="n">
        <f aca="false">IFERROR(IF(ISNUMBER(INDEX(Registro!$AA$623:$AA$652,MATCH($A30,Registro!$A$623:$A$652,0))),EX$5,0),0)</f>
        <v>0</v>
      </c>
      <c r="EY30" s="0" t="n">
        <f aca="false">IFERROR(IF(ISNUMBER(INDEX(Registro!$I$659:$I$688,MATCH($A30,Registro!$A$659:$A$688,0))),EY$5,0),0)</f>
        <v>0</v>
      </c>
      <c r="EZ30" s="0" t="n">
        <f aca="false">IFERROR(IF(ISNUMBER(INDEX(Registro!$O$659:$O$688,MATCH($A30,Registro!$A$659:$A$688,0))),EZ$5,0),0)</f>
        <v>0</v>
      </c>
      <c r="FA30" s="0" t="n">
        <f aca="false">IFERROR(IF(ISNUMBER(INDEX(Registro!$U$659:$U$688,MATCH($A30,Registro!$A$659:$A$688,0))),FA$5,0),0)</f>
        <v>0</v>
      </c>
      <c r="FB30" s="0" t="n">
        <f aca="false">IFERROR(IF(ISNUMBER(INDEX(Registro!$AA$659:$AA$688,MATCH($A30,Registro!$A$659:$A$688,0))),FB$5,0),0)</f>
        <v>0</v>
      </c>
      <c r="FC30" s="0" t="n">
        <f aca="false">IFERROR(IF(ISNUMBER(INDEX(Registro!$I$695:$I$724,MATCH($A30,Registro!$A$695:$A$724,0))),FC$5,0),0)</f>
        <v>0</v>
      </c>
      <c r="FD30" s="0" t="n">
        <f aca="false">IFERROR(IF(ISNUMBER(INDEX(Registro!$O$695:$O$724,MATCH($A30,Registro!$A$695:$A$724,0))),FD$5,0),0)</f>
        <v>0</v>
      </c>
      <c r="FE30" s="0" t="n">
        <f aca="false">IFERROR(IF(ISNUMBER(INDEX(Registro!$U$695:$U$724,MATCH($A30,Registro!$A$695:$A$724,0))),FE$5,0),0)</f>
        <v>0</v>
      </c>
      <c r="FF30" s="0" t="n">
        <f aca="false">IFERROR(IF(ISNUMBER(INDEX(Registro!$AA$695:$AA$724,MATCH($A30,Registro!$A$695:$A$724,0))),FF$5,0),0)</f>
        <v>0</v>
      </c>
      <c r="FG30" s="0" t="n">
        <f aca="false">IFERROR(IF(AND(INDEX(Registro!$C$11:$C$40,MATCH($A30,Registro!$A$11:$A$40,0))="AS",INDEX(Registro!$D$11:$D$40,MATCH($A30,Registro!$A$11:$A$40,0))&amp;""=""),1,0),0)</f>
        <v>0</v>
      </c>
      <c r="FH30" s="0" t="n">
        <f aca="false">IFERROR(IF(AND(INDEX(Registro!$C$47:$C$76,MATCH($A30,Registro!$A$47:$A$76,0))="AS",INDEX(Registro!$D$47:$D$76,MATCH($A30,Registro!$A$47:$A$76,0))&amp;""=""),1,0),0)</f>
        <v>0</v>
      </c>
      <c r="FI30" s="0" t="n">
        <f aca="false">IFERROR(IF(AND(INDEX(Registro!$C$83:$C$112,MATCH($A30,Registro!$A$83:$A$112,0))="AS",INDEX(Registro!$D$83:$D$112,MATCH($A30,Registro!$A$83:$A$112,0))&amp;""=""),1,0),0)</f>
        <v>0</v>
      </c>
      <c r="FJ30" s="0" t="n">
        <f aca="false">IFERROR(IF(AND(INDEX(Registro!$C$119:$C$148,MATCH($A30,Registro!$A$119:$A$148,0))="AS",INDEX(Registro!$D$119:$D$148,MATCH($A30,Registro!$A$119:$A$148,0))&amp;""=""),1,0),0)</f>
        <v>0</v>
      </c>
      <c r="FK30" s="0" t="n">
        <f aca="false">IFERROR(IF(AND(INDEX(Registro!$C$155:$C$184,MATCH($A30,Registro!$A$155:$A$184,0))="AS",INDEX(Registro!$D$155:$D$184,MATCH($A30,Registro!$A$155:$A$184,0))&amp;""=""),1,0),0)</f>
        <v>0</v>
      </c>
      <c r="FL30" s="0" t="n">
        <f aca="false">IFERROR(IF(AND(INDEX(Registro!$C$191:$C$220,MATCH($A30,Registro!$A$191:$A$220,0))="AS",INDEX(Registro!$D$191:$D$220,MATCH($A30,Registro!$A$191:$A$220,0))&amp;""=""),1,0),0)</f>
        <v>0</v>
      </c>
      <c r="FM30" s="0" t="n">
        <f aca="false">IFERROR(IF(AND(INDEX(Registro!$C$227:$C$256,MATCH($A30,Registro!$A$227:$A$256,0))="AS",INDEX(Registro!$D$227:$D$256,MATCH($A30,Registro!$A$227:$A$256,0))&amp;""=""),1,0),0)</f>
        <v>0</v>
      </c>
      <c r="FN30" s="0" t="n">
        <f aca="false">IFERROR(IF(AND(INDEX(Registro!$C$263:$C$292,MATCH($A30,Registro!$A$263:$A$292,0))="AS",INDEX(Registro!$D$263:$D$292,MATCH($A30,Registro!$A$263:$A$292,0))&amp;""=""),1,0),0)</f>
        <v>0</v>
      </c>
      <c r="FO30" s="0" t="n">
        <f aca="false">IFERROR(IF(AND(INDEX(Registro!$C$299:$C$328,MATCH($A30,Registro!$A$299:$A$328,0))="AS",INDEX(Registro!$D$299:$D$328,MATCH($A30,Registro!$A$299:$A$328,0))&amp;""=""),1,0),0)</f>
        <v>0</v>
      </c>
      <c r="FP30" s="0" t="n">
        <f aca="false">IFERROR(IF(AND(INDEX(Registro!$C$335:$C$364,MATCH($A30,Registro!$A$335:$A$364,0))="AS",INDEX(Registro!$D$335:$D$364,MATCH($A30,Registro!$A$335:$A$364,0))&amp;""=""),1,0),0)</f>
        <v>0</v>
      </c>
      <c r="FQ30" s="0" t="n">
        <f aca="false">IFERROR(IF(AND(INDEX(Registro!$C$371:$C$400,MATCH($A30,Registro!$A$371:$A$400,0))="AS",INDEX(Registro!$D$371:$D$400,MATCH($A30,Registro!$A$371:$A$400,0))&amp;""=""),1,0),0)</f>
        <v>0</v>
      </c>
      <c r="FR30" s="0" t="n">
        <f aca="false">IFERROR(IF(AND(INDEX(Registro!$C$407:$C$436,MATCH($A30,Registro!$A$407:$A$436,0))="AS",INDEX(Registro!$D$407:$D$436,MATCH($A30,Registro!$A$407:$A$436,0))&amp;""=""),1,0),0)</f>
        <v>0</v>
      </c>
      <c r="FS30" s="0" t="n">
        <f aca="false">IFERROR(IF(AND(INDEX(Registro!$C$443:$C$472,MATCH($A30,Registro!$A$443:$A$472,0))="AS",INDEX(Registro!$D$443:$D$472,MATCH($A30,Registro!$A$443:$A$472,0))&amp;""=""),1,0),0)</f>
        <v>0</v>
      </c>
      <c r="FT30" s="0" t="n">
        <f aca="false">IFERROR(IF(AND(INDEX(Registro!$C$479:$C$508,MATCH($A30,Registro!$A$479:$A$508,0))="AS",INDEX(Registro!$D$479:$D$508,MATCH($A30,Registro!$A$479:$A$508,0))&amp;""=""),1,0),0)</f>
        <v>0</v>
      </c>
      <c r="FU30" s="0" t="n">
        <f aca="false">IFERROR(IF(AND(INDEX(Registro!$C$515:$C$544,MATCH($A30,Registro!$A$515:$A$544,0))="AS",INDEX(Registro!$D$515:$D$544,MATCH($A30,Registro!$A$515:$A$544,0))&amp;""=""),1,0),0)</f>
        <v>0</v>
      </c>
      <c r="FV30" s="0" t="n">
        <f aca="false">IFERROR(IF(AND(INDEX(Registro!$C$551:$C$580,MATCH($A30,Registro!$A$551:$A$580,0))="AS",INDEX(Registro!$D$551:$D$580,MATCH($A30,Registro!$A$551:$A$580,0))&amp;""=""),1,0),0)</f>
        <v>0</v>
      </c>
      <c r="FW30" s="0" t="n">
        <f aca="false">IFERROR(IF(AND(INDEX(Registro!$C$587:$C$616,MATCH($A30,Registro!$A$587:$A$616,0))="AS",INDEX(Registro!$D$587:$D$616,MATCH($A30,Registro!$A$587:$A$616,0))&amp;""=""),1,0),0)</f>
        <v>0</v>
      </c>
      <c r="FX30" s="0" t="n">
        <f aca="false">IFERROR(IF(AND(INDEX(Registro!$C$623:$C$652,MATCH($A30,Registro!$A$623:$A$652,0))="AS",INDEX(Registro!$D$623:$D$652,MATCH($A30,Registro!$A$623:$A$652,0))&amp;""=""),1,0),0)</f>
        <v>0</v>
      </c>
      <c r="FY30" s="0" t="n">
        <f aca="false">IFERROR(IF(AND(INDEX(Registro!$C$659:$C$688,MATCH($A30,Registro!$A$659:$A$688,0))="AS",INDEX(Registro!$D$659:$D$688,MATCH($A30,Registro!$A$659:$A$688,0))&amp;""=""),1,0),0)</f>
        <v>0</v>
      </c>
      <c r="FZ30" s="0" t="n">
        <f aca="false">IFERROR(IF(AND(INDEX(Registro!$C$695:$C$724,MATCH($A30,Registro!$A$695:$A$724,0))="AS",INDEX(Registro!$D$695:$D$724,MATCH($A30,Registro!$A$695:$A$724,0))&amp;""=""),1,0),0)</f>
        <v>0</v>
      </c>
    </row>
    <row r="31" customFormat="false" ht="15" hidden="false" customHeight="false" outlineLevel="0" collapsed="false">
      <c r="A31" s="0" t="n">
        <v>25</v>
      </c>
      <c r="C31" s="0" t="n">
        <f aca="false">IFERROR(N(INDEX(Registro!$I$11:$I$40,MATCH($A31,Registro!$A$11:$A$40,0))),0)</f>
        <v>0</v>
      </c>
      <c r="D31" s="0" t="n">
        <f aca="false">IFERROR(N(INDEX(Registro!$O$11:$O$40,MATCH($A31,Registro!$A$11:$A$40,0))),0)</f>
        <v>0</v>
      </c>
      <c r="E31" s="0" t="n">
        <f aca="false">IFERROR(N(INDEX(Registro!$U$11:$U$40,MATCH($A31,Registro!$A$11:$A$40,0))),0)</f>
        <v>0</v>
      </c>
      <c r="F31" s="0" t="n">
        <f aca="false">IFERROR(N(INDEX(Registro!$AA$11:$AA$40,MATCH($A31,Registro!$A$11:$A$40,0))),0)</f>
        <v>0</v>
      </c>
      <c r="G31" s="0" t="n">
        <f aca="false">IFERROR(N(INDEX(Registro!$I$47:$I$76,MATCH($A31,Registro!$A$47:$A$76,0))),0)</f>
        <v>0</v>
      </c>
      <c r="H31" s="0" t="n">
        <f aca="false">IFERROR(N(INDEX(Registro!$O$47:$O$76,MATCH($A31,Registro!$A$47:$A$76,0))),0)</f>
        <v>0</v>
      </c>
      <c r="I31" s="0" t="n">
        <f aca="false">IFERROR(N(INDEX(Registro!$U$47:$U$76,MATCH($A31,Registro!$A$47:$A$76,0))),0)</f>
        <v>0</v>
      </c>
      <c r="J31" s="0" t="n">
        <f aca="false">IFERROR(N(INDEX(Registro!$AA$47:$AA$76,MATCH($A31,Registro!$A$47:$A$76,0))),0)</f>
        <v>0</v>
      </c>
      <c r="K31" s="0" t="n">
        <f aca="false">IFERROR(N(INDEX(Registro!$I$83:$I$112,MATCH($A31,Registro!$A$83:$A$112,0))),0)</f>
        <v>0</v>
      </c>
      <c r="L31" s="0" t="n">
        <f aca="false">IFERROR(N(INDEX(Registro!$O$83:$O$112,MATCH($A31,Registro!$A$83:$A$112,0))),0)</f>
        <v>0</v>
      </c>
      <c r="M31" s="0" t="n">
        <f aca="false">IFERROR(N(INDEX(Registro!$U$83:$U$112,MATCH($A31,Registro!$A$83:$A$112,0))),0)</f>
        <v>0</v>
      </c>
      <c r="N31" s="0" t="n">
        <f aca="false">IFERROR(N(INDEX(Registro!$AA$83:$AA$112,MATCH($A31,Registro!$A$83:$A$112,0))),0)</f>
        <v>0</v>
      </c>
      <c r="O31" s="0" t="n">
        <f aca="false">IFERROR(N(INDEX(Registro!$I$119:$I$148,MATCH($A31,Registro!$A$119:$A$148,0))),0)</f>
        <v>0</v>
      </c>
      <c r="P31" s="0" t="n">
        <f aca="false">IFERROR(N(INDEX(Registro!$O$119:$O$148,MATCH($A31,Registro!$A$119:$A$148,0))),0)</f>
        <v>0</v>
      </c>
      <c r="Q31" s="0" t="n">
        <f aca="false">IFERROR(N(INDEX(Registro!$U$119:$U$148,MATCH($A31,Registro!$A$119:$A$148,0))),0)</f>
        <v>0</v>
      </c>
      <c r="R31" s="0" t="n">
        <f aca="false">IFERROR(N(INDEX(Registro!$AA$119:$AA$148,MATCH($A31,Registro!$A$119:$A$148,0))),0)</f>
        <v>0</v>
      </c>
      <c r="S31" s="0" t="n">
        <f aca="false">IFERROR(N(INDEX(Registro!$I$155:$I$184,MATCH($A31,Registro!$A$155:$A$184,0))),0)</f>
        <v>0</v>
      </c>
      <c r="T31" s="0" t="n">
        <f aca="false">IFERROR(N(INDEX(Registro!$O$155:$O$184,MATCH($A31,Registro!$A$155:$A$184,0))),0)</f>
        <v>0</v>
      </c>
      <c r="U31" s="0" t="n">
        <f aca="false">IFERROR(N(INDEX(Registro!$U$155:$U$184,MATCH($A31,Registro!$A$155:$A$184,0))),0)</f>
        <v>0</v>
      </c>
      <c r="V31" s="0" t="n">
        <f aca="false">IFERROR(N(INDEX(Registro!$AA$155:$AA$184,MATCH($A31,Registro!$A$155:$A$184,0))),0)</f>
        <v>0</v>
      </c>
      <c r="W31" s="0" t="n">
        <f aca="false">IFERROR(N(INDEX(Registro!$I$191:$I$220,MATCH($A31,Registro!$A$191:$A$220,0))),0)</f>
        <v>0</v>
      </c>
      <c r="X31" s="0" t="n">
        <f aca="false">IFERROR(N(INDEX(Registro!$O$191:$O$220,MATCH($A31,Registro!$A$191:$A$220,0))),0)</f>
        <v>0</v>
      </c>
      <c r="Y31" s="0" t="n">
        <f aca="false">IFERROR(N(INDEX(Registro!$U$191:$U$220,MATCH($A31,Registro!$A$191:$A$220,0))),0)</f>
        <v>0</v>
      </c>
      <c r="Z31" s="0" t="n">
        <f aca="false">IFERROR(N(INDEX(Registro!$AA$191:$AA$220,MATCH($A31,Registro!$A$191:$A$220,0))),0)</f>
        <v>0</v>
      </c>
      <c r="AA31" s="0" t="n">
        <f aca="false">IFERROR(N(INDEX(Registro!$I$227:$I$256,MATCH($A31,Registro!$A$227:$A$256,0))),0)</f>
        <v>0</v>
      </c>
      <c r="AB31" s="0" t="n">
        <f aca="false">IFERROR(N(INDEX(Registro!$O$227:$O$256,MATCH($A31,Registro!$A$227:$A$256,0))),0)</f>
        <v>0</v>
      </c>
      <c r="AC31" s="0" t="n">
        <f aca="false">IFERROR(N(INDEX(Registro!$U$227:$U$256,MATCH($A31,Registro!$A$227:$A$256,0))),0)</f>
        <v>0</v>
      </c>
      <c r="AD31" s="0" t="n">
        <f aca="false">IFERROR(N(INDEX(Registro!$AA$227:$AA$256,MATCH($A31,Registro!$A$227:$A$256,0))),0)</f>
        <v>0</v>
      </c>
      <c r="AE31" s="0" t="n">
        <f aca="false">IFERROR(N(INDEX(Registro!$I$263:$I$292,MATCH($A31,Registro!$A$263:$A$292,0))),0)</f>
        <v>0</v>
      </c>
      <c r="AF31" s="0" t="n">
        <f aca="false">IFERROR(N(INDEX(Registro!$O$263:$O$292,MATCH($A31,Registro!$A$263:$A$292,0))),0)</f>
        <v>0</v>
      </c>
      <c r="AG31" s="0" t="n">
        <f aca="false">IFERROR(N(INDEX(Registro!$U$263:$U$292,MATCH($A31,Registro!$A$263:$A$292,0))),0)</f>
        <v>0</v>
      </c>
      <c r="AH31" s="0" t="n">
        <f aca="false">IFERROR(N(INDEX(Registro!$AA$263:$AA$292,MATCH($A31,Registro!$A$263:$A$292,0))),0)</f>
        <v>0</v>
      </c>
      <c r="AI31" s="0" t="n">
        <f aca="false">IFERROR(N(INDEX(Registro!$I$299:$I$328,MATCH($A31,Registro!$A$299:$A$328,0))),0)</f>
        <v>0</v>
      </c>
      <c r="AJ31" s="0" t="n">
        <f aca="false">IFERROR(N(INDEX(Registro!$O$299:$O$328,MATCH($A31,Registro!$A$299:$A$328,0))),0)</f>
        <v>0</v>
      </c>
      <c r="AK31" s="0" t="n">
        <f aca="false">IFERROR(N(INDEX(Registro!$U$299:$U$328,MATCH($A31,Registro!$A$299:$A$328,0))),0)</f>
        <v>0</v>
      </c>
      <c r="AL31" s="0" t="n">
        <f aca="false">IFERROR(N(INDEX(Registro!$AA$299:$AA$328,MATCH($A31,Registro!$A$299:$A$328,0))),0)</f>
        <v>0</v>
      </c>
      <c r="AM31" s="0" t="n">
        <f aca="false">IFERROR(N(INDEX(Registro!$I$335:$I$364,MATCH($A31,Registro!$A$335:$A$364,0))),0)</f>
        <v>0</v>
      </c>
      <c r="AN31" s="0" t="n">
        <f aca="false">IFERROR(N(INDEX(Registro!$O$335:$O$364,MATCH($A31,Registro!$A$335:$A$364,0))),0)</f>
        <v>0</v>
      </c>
      <c r="AO31" s="0" t="n">
        <f aca="false">IFERROR(N(INDEX(Registro!$U$335:$U$364,MATCH($A31,Registro!$A$335:$A$364,0))),0)</f>
        <v>0</v>
      </c>
      <c r="AP31" s="0" t="n">
        <f aca="false">IFERROR(N(INDEX(Registro!$AA$335:$AA$364,MATCH($A31,Registro!$A$335:$A$364,0))),0)</f>
        <v>0</v>
      </c>
      <c r="AQ31" s="0" t="n">
        <f aca="false">IFERROR(N(INDEX(Registro!$I$371:$I$400,MATCH($A31,Registro!$A$371:$A$400,0))),0)</f>
        <v>0</v>
      </c>
      <c r="AR31" s="0" t="n">
        <f aca="false">IFERROR(N(INDEX(Registro!$O$371:$O$400,MATCH($A31,Registro!$A$371:$A$400,0))),0)</f>
        <v>0</v>
      </c>
      <c r="AS31" s="0" t="n">
        <f aca="false">IFERROR(N(INDEX(Registro!$U$371:$U$400,MATCH($A31,Registro!$A$371:$A$400,0))),0)</f>
        <v>0</v>
      </c>
      <c r="AT31" s="0" t="n">
        <f aca="false">IFERROR(N(INDEX(Registro!$AA$371:$AA$400,MATCH($A31,Registro!$A$371:$A$400,0))),0)</f>
        <v>0</v>
      </c>
      <c r="AU31" s="0" t="n">
        <f aca="false">IFERROR(N(INDEX(Registro!$I$407:$I$436,MATCH($A31,Registro!$A$407:$A$436,0))),0)</f>
        <v>0</v>
      </c>
      <c r="AV31" s="0" t="n">
        <f aca="false">IFERROR(N(INDEX(Registro!$O$407:$O$436,MATCH($A31,Registro!$A$407:$A$436,0))),0)</f>
        <v>0</v>
      </c>
      <c r="AW31" s="0" t="n">
        <f aca="false">IFERROR(N(INDEX(Registro!$U$407:$U$436,MATCH($A31,Registro!$A$407:$A$436,0))),0)</f>
        <v>0</v>
      </c>
      <c r="AX31" s="0" t="n">
        <f aca="false">IFERROR(N(INDEX(Registro!$AA$407:$AA$436,MATCH($A31,Registro!$A$407:$A$436,0))),0)</f>
        <v>0</v>
      </c>
      <c r="AY31" s="0" t="n">
        <f aca="false">IFERROR(N(INDEX(Registro!$I$443:$I$472,MATCH($A31,Registro!$A$443:$A$472,0))),0)</f>
        <v>0</v>
      </c>
      <c r="AZ31" s="0" t="n">
        <f aca="false">IFERROR(N(INDEX(Registro!$O$443:$O$472,MATCH($A31,Registro!$A$443:$A$472,0))),0)</f>
        <v>0</v>
      </c>
      <c r="BA31" s="0" t="n">
        <f aca="false">IFERROR(N(INDEX(Registro!$U$443:$U$472,MATCH($A31,Registro!$A$443:$A$472,0))),0)</f>
        <v>0</v>
      </c>
      <c r="BB31" s="0" t="n">
        <f aca="false">IFERROR(N(INDEX(Registro!$AA$443:$AA$472,MATCH($A31,Registro!$A$443:$A$472,0))),0)</f>
        <v>0</v>
      </c>
      <c r="BC31" s="0" t="n">
        <f aca="false">IFERROR(N(INDEX(Registro!$I$479:$I$508,MATCH($A31,Registro!$A$479:$A$508,0))),0)</f>
        <v>0</v>
      </c>
      <c r="BD31" s="0" t="n">
        <f aca="false">IFERROR(N(INDEX(Registro!$O$479:$O$508,MATCH($A31,Registro!$A$479:$A$508,0))),0)</f>
        <v>0</v>
      </c>
      <c r="BE31" s="0" t="n">
        <f aca="false">IFERROR(N(INDEX(Registro!$U$479:$U$508,MATCH($A31,Registro!$A$479:$A$508,0))),0)</f>
        <v>0</v>
      </c>
      <c r="BF31" s="0" t="n">
        <f aca="false">IFERROR(N(INDEX(Registro!$AA$479:$AA$508,MATCH($A31,Registro!$A$479:$A$508,0))),0)</f>
        <v>0</v>
      </c>
      <c r="BG31" s="0" t="n">
        <f aca="false">IFERROR(N(INDEX(Registro!$I$515:$I$544,MATCH($A31,Registro!$A$515:$A$544,0))),0)</f>
        <v>0</v>
      </c>
      <c r="BH31" s="0" t="n">
        <f aca="false">IFERROR(N(INDEX(Registro!$O$515:$O$544,MATCH($A31,Registro!$A$515:$A$544,0))),0)</f>
        <v>0</v>
      </c>
      <c r="BI31" s="0" t="n">
        <f aca="false">IFERROR(N(INDEX(Registro!$U$515:$U$544,MATCH($A31,Registro!$A$515:$A$544,0))),0)</f>
        <v>0</v>
      </c>
      <c r="BJ31" s="0" t="n">
        <f aca="false">IFERROR(N(INDEX(Registro!$AA$515:$AA$544,MATCH($A31,Registro!$A$515:$A$544,0))),0)</f>
        <v>0</v>
      </c>
      <c r="BK31" s="0" t="n">
        <f aca="false">IFERROR(N(INDEX(Registro!$I$551:$I$580,MATCH($A31,Registro!$A$551:$A$580,0))),0)</f>
        <v>0</v>
      </c>
      <c r="BL31" s="0" t="n">
        <f aca="false">IFERROR(N(INDEX(Registro!$O$551:$O$580,MATCH($A31,Registro!$A$551:$A$580,0))),0)</f>
        <v>0</v>
      </c>
      <c r="BM31" s="0" t="n">
        <f aca="false">IFERROR(N(INDEX(Registro!$U$551:$U$580,MATCH($A31,Registro!$A$551:$A$580,0))),0)</f>
        <v>0</v>
      </c>
      <c r="BN31" s="0" t="n">
        <f aca="false">IFERROR(N(INDEX(Registro!$AA$551:$AA$580,MATCH($A31,Registro!$A$551:$A$580,0))),0)</f>
        <v>0</v>
      </c>
      <c r="BO31" s="0" t="n">
        <f aca="false">IFERROR(N(INDEX(Registro!$I$587:$I$616,MATCH($A31,Registro!$A$587:$A$616,0))),0)</f>
        <v>0</v>
      </c>
      <c r="BP31" s="0" t="n">
        <f aca="false">IFERROR(N(INDEX(Registro!$O$587:$O$616,MATCH($A31,Registro!$A$587:$A$616,0))),0)</f>
        <v>0</v>
      </c>
      <c r="BQ31" s="0" t="n">
        <f aca="false">IFERROR(N(INDEX(Registro!$U$587:$U$616,MATCH($A31,Registro!$A$587:$A$616,0))),0)</f>
        <v>0</v>
      </c>
      <c r="BR31" s="0" t="n">
        <f aca="false">IFERROR(N(INDEX(Registro!$AA$587:$AA$616,MATCH($A31,Registro!$A$587:$A$616,0))),0)</f>
        <v>0</v>
      </c>
      <c r="BS31" s="0" t="n">
        <f aca="false">IFERROR(N(INDEX(Registro!$I$623:$I$652,MATCH($A31,Registro!$A$623:$A$652,0))),0)</f>
        <v>0</v>
      </c>
      <c r="BT31" s="0" t="n">
        <f aca="false">IFERROR(N(INDEX(Registro!$O$623:$O$652,MATCH($A31,Registro!$A$623:$A$652,0))),0)</f>
        <v>0</v>
      </c>
      <c r="BU31" s="0" t="n">
        <f aca="false">IFERROR(N(INDEX(Registro!$U$623:$U$652,MATCH($A31,Registro!$A$623:$A$652,0))),0)</f>
        <v>0</v>
      </c>
      <c r="BV31" s="0" t="n">
        <f aca="false">IFERROR(N(INDEX(Registro!$AA$623:$AA$652,MATCH($A31,Registro!$A$623:$A$652,0))),0)</f>
        <v>0</v>
      </c>
      <c r="BW31" s="0" t="n">
        <f aca="false">IFERROR(N(INDEX(Registro!$I$659:$I$688,MATCH($A31,Registro!$A$659:$A$688,0))),0)</f>
        <v>0</v>
      </c>
      <c r="BX31" s="0" t="n">
        <f aca="false">IFERROR(N(INDEX(Registro!$O$659:$O$688,MATCH($A31,Registro!$A$659:$A$688,0))),0)</f>
        <v>0</v>
      </c>
      <c r="BY31" s="0" t="n">
        <f aca="false">IFERROR(N(INDEX(Registro!$U$659:$U$688,MATCH($A31,Registro!$A$659:$A$688,0))),0)</f>
        <v>0</v>
      </c>
      <c r="BZ31" s="0" t="n">
        <f aca="false">IFERROR(N(INDEX(Registro!$AA$659:$AA$688,MATCH($A31,Registro!$A$659:$A$688,0))),0)</f>
        <v>0</v>
      </c>
      <c r="CA31" s="0" t="n">
        <f aca="false">IFERROR(N(INDEX(Registro!$I$695:$I$724,MATCH($A31,Registro!$A$695:$A$724,0))),0)</f>
        <v>0</v>
      </c>
      <c r="CB31" s="0" t="n">
        <f aca="false">IFERROR(N(INDEX(Registro!$O$695:$O$724,MATCH($A31,Registro!$A$695:$A$724,0))),0)</f>
        <v>0</v>
      </c>
      <c r="CC31" s="0" t="n">
        <f aca="false">IFERROR(N(INDEX(Registro!$U$695:$U$724,MATCH($A31,Registro!$A$695:$A$724,0))),0)</f>
        <v>0</v>
      </c>
      <c r="CD31" s="0" t="n">
        <f aca="false">IFERROR(N(INDEX(Registro!$AA$695:$AA$724,MATCH($A31,Registro!$A$695:$A$724,0))),0)</f>
        <v>0</v>
      </c>
      <c r="CE31" s="0" t="n">
        <f aca="false">IFERROR(IF(ISNUMBER(INDEX(Registro!$I$11:$I$40,MATCH($A31,Registro!$A$11:$A$40,0))),CE$5,0),0)</f>
        <v>0</v>
      </c>
      <c r="CF31" s="0" t="n">
        <f aca="false">IFERROR(IF(ISNUMBER(INDEX(Registro!$O$11:$O$40,MATCH($A31,Registro!$A$11:$A$40,0))),CF$5,0),0)</f>
        <v>0</v>
      </c>
      <c r="CG31" s="0" t="n">
        <f aca="false">IFERROR(IF(ISNUMBER(INDEX(Registro!$U$11:$U$40,MATCH($A31,Registro!$A$11:$A$40,0))),CG$5,0),0)</f>
        <v>0</v>
      </c>
      <c r="CH31" s="0" t="n">
        <f aca="false">IFERROR(IF(ISNUMBER(INDEX(Registro!$AA$11:$AA$40,MATCH($A31,Registro!$A$11:$A$40,0))),CH$5,0),0)</f>
        <v>0</v>
      </c>
      <c r="CI31" s="0" t="n">
        <f aca="false">IFERROR(IF(ISNUMBER(INDEX(Registro!$I$47:$I$76,MATCH($A31,Registro!$A$47:$A$76,0))),CI$5,0),0)</f>
        <v>0</v>
      </c>
      <c r="CJ31" s="0" t="n">
        <f aca="false">IFERROR(IF(ISNUMBER(INDEX(Registro!$O$47:$O$76,MATCH($A31,Registro!$A$47:$A$76,0))),CJ$5,0),0)</f>
        <v>0</v>
      </c>
      <c r="CK31" s="0" t="n">
        <f aca="false">IFERROR(IF(ISNUMBER(INDEX(Registro!$U$47:$U$76,MATCH($A31,Registro!$A$47:$A$76,0))),CK$5,0),0)</f>
        <v>0</v>
      </c>
      <c r="CL31" s="0" t="n">
        <f aca="false">IFERROR(IF(ISNUMBER(INDEX(Registro!$AA$47:$AA$76,MATCH($A31,Registro!$A$47:$A$76,0))),CL$5,0),0)</f>
        <v>0</v>
      </c>
      <c r="CM31" s="0" t="n">
        <f aca="false">IFERROR(IF(ISNUMBER(INDEX(Registro!$I$83:$I$112,MATCH($A31,Registro!$A$83:$A$112,0))),CM$5,0),0)</f>
        <v>0</v>
      </c>
      <c r="CN31" s="0" t="n">
        <f aca="false">IFERROR(IF(ISNUMBER(INDEX(Registro!$O$83:$O$112,MATCH($A31,Registro!$A$83:$A$112,0))),CN$5,0),0)</f>
        <v>0</v>
      </c>
      <c r="CO31" s="0" t="n">
        <f aca="false">IFERROR(IF(ISNUMBER(INDEX(Registro!$U$83:$U$112,MATCH($A31,Registro!$A$83:$A$112,0))),CO$5,0),0)</f>
        <v>0</v>
      </c>
      <c r="CP31" s="0" t="n">
        <f aca="false">IFERROR(IF(ISNUMBER(INDEX(Registro!$AA$83:$AA$112,MATCH($A31,Registro!$A$83:$A$112,0))),CP$5,0),0)</f>
        <v>0</v>
      </c>
      <c r="CQ31" s="0" t="n">
        <f aca="false">IFERROR(IF(ISNUMBER(INDEX(Registro!$I$119:$I$148,MATCH($A31,Registro!$A$119:$A$148,0))),CQ$5,0),0)</f>
        <v>0</v>
      </c>
      <c r="CR31" s="0" t="n">
        <f aca="false">IFERROR(IF(ISNUMBER(INDEX(Registro!$O$119:$O$148,MATCH($A31,Registro!$A$119:$A$148,0))),CR$5,0),0)</f>
        <v>0</v>
      </c>
      <c r="CS31" s="0" t="n">
        <f aca="false">IFERROR(IF(ISNUMBER(INDEX(Registro!$U$119:$U$148,MATCH($A31,Registro!$A$119:$A$148,0))),CS$5,0),0)</f>
        <v>0</v>
      </c>
      <c r="CT31" s="0" t="n">
        <f aca="false">IFERROR(IF(ISNUMBER(INDEX(Registro!$AA$119:$AA$148,MATCH($A31,Registro!$A$119:$A$148,0))),CT$5,0),0)</f>
        <v>0</v>
      </c>
      <c r="CU31" s="0" t="n">
        <f aca="false">IFERROR(IF(ISNUMBER(INDEX(Registro!$I$155:$I$184,MATCH($A31,Registro!$A$155:$A$184,0))),CU$5,0),0)</f>
        <v>0</v>
      </c>
      <c r="CV31" s="0" t="n">
        <f aca="false">IFERROR(IF(ISNUMBER(INDEX(Registro!$O$155:$O$184,MATCH($A31,Registro!$A$155:$A$184,0))),CV$5,0),0)</f>
        <v>0</v>
      </c>
      <c r="CW31" s="0" t="n">
        <f aca="false">IFERROR(IF(ISNUMBER(INDEX(Registro!$U$155:$U$184,MATCH($A31,Registro!$A$155:$A$184,0))),CW$5,0),0)</f>
        <v>0</v>
      </c>
      <c r="CX31" s="0" t="n">
        <f aca="false">IFERROR(IF(ISNUMBER(INDEX(Registro!$AA$155:$AA$184,MATCH($A31,Registro!$A$155:$A$184,0))),CX$5,0),0)</f>
        <v>0</v>
      </c>
      <c r="CY31" s="0" t="n">
        <f aca="false">IFERROR(IF(ISNUMBER(INDEX(Registro!$I$191:$I$220,MATCH($A31,Registro!$A$191:$A$220,0))),CY$5,0),0)</f>
        <v>0</v>
      </c>
      <c r="CZ31" s="0" t="n">
        <f aca="false">IFERROR(IF(ISNUMBER(INDEX(Registro!$O$191:$O$220,MATCH($A31,Registro!$A$191:$A$220,0))),CZ$5,0),0)</f>
        <v>0</v>
      </c>
      <c r="DA31" s="0" t="n">
        <f aca="false">IFERROR(IF(ISNUMBER(INDEX(Registro!$U$191:$U$220,MATCH($A31,Registro!$A$191:$A$220,0))),DA$5,0),0)</f>
        <v>0</v>
      </c>
      <c r="DB31" s="0" t="n">
        <f aca="false">IFERROR(IF(ISNUMBER(INDEX(Registro!$AA$191:$AA$220,MATCH($A31,Registro!$A$191:$A$220,0))),DB$5,0),0)</f>
        <v>0</v>
      </c>
      <c r="DC31" s="0" t="n">
        <f aca="false">IFERROR(IF(ISNUMBER(INDEX(Registro!$I$227:$I$256,MATCH($A31,Registro!$A$227:$A$256,0))),DC$5,0),0)</f>
        <v>0</v>
      </c>
      <c r="DD31" s="0" t="n">
        <f aca="false">IFERROR(IF(ISNUMBER(INDEX(Registro!$O$227:$O$256,MATCH($A31,Registro!$A$227:$A$256,0))),DD$5,0),0)</f>
        <v>0</v>
      </c>
      <c r="DE31" s="0" t="n">
        <f aca="false">IFERROR(IF(ISNUMBER(INDEX(Registro!$U$227:$U$256,MATCH($A31,Registro!$A$227:$A$256,0))),DE$5,0),0)</f>
        <v>0</v>
      </c>
      <c r="DF31" s="0" t="n">
        <f aca="false">IFERROR(IF(ISNUMBER(INDEX(Registro!$AA$227:$AA$256,MATCH($A31,Registro!$A$227:$A$256,0))),DF$5,0),0)</f>
        <v>0</v>
      </c>
      <c r="DG31" s="0" t="n">
        <f aca="false">IFERROR(IF(ISNUMBER(INDEX(Registro!$I$263:$I$292,MATCH($A31,Registro!$A$263:$A$292,0))),DG$5,0),0)</f>
        <v>0</v>
      </c>
      <c r="DH31" s="0" t="n">
        <f aca="false">IFERROR(IF(ISNUMBER(INDEX(Registro!$O$263:$O$292,MATCH($A31,Registro!$A$263:$A$292,0))),DH$5,0),0)</f>
        <v>0</v>
      </c>
      <c r="DI31" s="0" t="n">
        <f aca="false">IFERROR(IF(ISNUMBER(INDEX(Registro!$U$263:$U$292,MATCH($A31,Registro!$A$263:$A$292,0))),DI$5,0),0)</f>
        <v>0</v>
      </c>
      <c r="DJ31" s="0" t="n">
        <f aca="false">IFERROR(IF(ISNUMBER(INDEX(Registro!$AA$263:$AA$292,MATCH($A31,Registro!$A$263:$A$292,0))),DJ$5,0),0)</f>
        <v>0</v>
      </c>
      <c r="DK31" s="0" t="n">
        <f aca="false">IFERROR(IF(ISNUMBER(INDEX(Registro!$I$299:$I$328,MATCH($A31,Registro!$A$299:$A$328,0))),DK$5,0),0)</f>
        <v>0</v>
      </c>
      <c r="DL31" s="0" t="n">
        <f aca="false">IFERROR(IF(ISNUMBER(INDEX(Registro!$O$299:$O$328,MATCH($A31,Registro!$A$299:$A$328,0))),DL$5,0),0)</f>
        <v>0</v>
      </c>
      <c r="DM31" s="0" t="n">
        <f aca="false">IFERROR(IF(ISNUMBER(INDEX(Registro!$U$299:$U$328,MATCH($A31,Registro!$A$299:$A$328,0))),DM$5,0),0)</f>
        <v>0</v>
      </c>
      <c r="DN31" s="0" t="n">
        <f aca="false">IFERROR(IF(ISNUMBER(INDEX(Registro!$AA$299:$AA$328,MATCH($A31,Registro!$A$299:$A$328,0))),DN$5,0),0)</f>
        <v>0</v>
      </c>
      <c r="DO31" s="0" t="n">
        <f aca="false">IFERROR(IF(ISNUMBER(INDEX(Registro!$I$335:$I$364,MATCH($A31,Registro!$A$335:$A$364,0))),DO$5,0),0)</f>
        <v>0</v>
      </c>
      <c r="DP31" s="0" t="n">
        <f aca="false">IFERROR(IF(ISNUMBER(INDEX(Registro!$O$335:$O$364,MATCH($A31,Registro!$A$335:$A$364,0))),DP$5,0),0)</f>
        <v>0</v>
      </c>
      <c r="DQ31" s="0" t="n">
        <f aca="false">IFERROR(IF(ISNUMBER(INDEX(Registro!$U$335:$U$364,MATCH($A31,Registro!$A$335:$A$364,0))),DQ$5,0),0)</f>
        <v>0</v>
      </c>
      <c r="DR31" s="0" t="n">
        <f aca="false">IFERROR(IF(ISNUMBER(INDEX(Registro!$AA$335:$AA$364,MATCH($A31,Registro!$A$335:$A$364,0))),DR$5,0),0)</f>
        <v>0</v>
      </c>
      <c r="DS31" s="0" t="n">
        <f aca="false">IFERROR(IF(ISNUMBER(INDEX(Registro!$I$371:$I$400,MATCH($A31,Registro!$A$371:$A$400,0))),DS$5,0),0)</f>
        <v>0</v>
      </c>
      <c r="DT31" s="0" t="n">
        <f aca="false">IFERROR(IF(ISNUMBER(INDEX(Registro!$O$371:$O$400,MATCH($A31,Registro!$A$371:$A$400,0))),DT$5,0),0)</f>
        <v>0</v>
      </c>
      <c r="DU31" s="0" t="n">
        <f aca="false">IFERROR(IF(ISNUMBER(INDEX(Registro!$U$371:$U$400,MATCH($A31,Registro!$A$371:$A$400,0))),DU$5,0),0)</f>
        <v>0</v>
      </c>
      <c r="DV31" s="0" t="n">
        <f aca="false">IFERROR(IF(ISNUMBER(INDEX(Registro!$AA$371:$AA$400,MATCH($A31,Registro!$A$371:$A$400,0))),DV$5,0),0)</f>
        <v>0</v>
      </c>
      <c r="DW31" s="0" t="n">
        <f aca="false">IFERROR(IF(ISNUMBER(INDEX(Registro!$I$407:$I$436,MATCH($A31,Registro!$A$407:$A$436,0))),DW$5,0),0)</f>
        <v>0</v>
      </c>
      <c r="DX31" s="0" t="n">
        <f aca="false">IFERROR(IF(ISNUMBER(INDEX(Registro!$O$407:$O$436,MATCH($A31,Registro!$A$407:$A$436,0))),DX$5,0),0)</f>
        <v>0</v>
      </c>
      <c r="DY31" s="0" t="n">
        <f aca="false">IFERROR(IF(ISNUMBER(INDEX(Registro!$U$407:$U$436,MATCH($A31,Registro!$A$407:$A$436,0))),DY$5,0),0)</f>
        <v>0</v>
      </c>
      <c r="DZ31" s="0" t="n">
        <f aca="false">IFERROR(IF(ISNUMBER(INDEX(Registro!$AA$407:$AA$436,MATCH($A31,Registro!$A$407:$A$436,0))),DZ$5,0),0)</f>
        <v>0</v>
      </c>
      <c r="EA31" s="0" t="n">
        <f aca="false">IFERROR(IF(ISNUMBER(INDEX(Registro!$I$443:$I$472,MATCH($A31,Registro!$A$443:$A$472,0))),EA$5,0),0)</f>
        <v>0</v>
      </c>
      <c r="EB31" s="0" t="n">
        <f aca="false">IFERROR(IF(ISNUMBER(INDEX(Registro!$O$443:$O$472,MATCH($A31,Registro!$A$443:$A$472,0))),EB$5,0),0)</f>
        <v>0</v>
      </c>
      <c r="EC31" s="0" t="n">
        <f aca="false">IFERROR(IF(ISNUMBER(INDEX(Registro!$U$443:$U$472,MATCH($A31,Registro!$A$443:$A$472,0))),EC$5,0),0)</f>
        <v>0</v>
      </c>
      <c r="ED31" s="0" t="n">
        <f aca="false">IFERROR(IF(ISNUMBER(INDEX(Registro!$AA$443:$AA$472,MATCH($A31,Registro!$A$443:$A$472,0))),ED$5,0),0)</f>
        <v>0</v>
      </c>
      <c r="EE31" s="0" t="n">
        <f aca="false">IFERROR(IF(ISNUMBER(INDEX(Registro!$I$479:$I$508,MATCH($A31,Registro!$A$479:$A$508,0))),EE$5,0),0)</f>
        <v>0</v>
      </c>
      <c r="EF31" s="0" t="n">
        <f aca="false">IFERROR(IF(ISNUMBER(INDEX(Registro!$O$479:$O$508,MATCH($A31,Registro!$A$479:$A$508,0))),EF$5,0),0)</f>
        <v>0</v>
      </c>
      <c r="EG31" s="0" t="n">
        <f aca="false">IFERROR(IF(ISNUMBER(INDEX(Registro!$U$479:$U$508,MATCH($A31,Registro!$A$479:$A$508,0))),EG$5,0),0)</f>
        <v>0</v>
      </c>
      <c r="EH31" s="0" t="n">
        <f aca="false">IFERROR(IF(ISNUMBER(INDEX(Registro!$AA$479:$AA$508,MATCH($A31,Registro!$A$479:$A$508,0))),EH$5,0),0)</f>
        <v>0</v>
      </c>
      <c r="EI31" s="0" t="n">
        <f aca="false">IFERROR(IF(ISNUMBER(INDEX(Registro!$I$515:$I$544,MATCH($A31,Registro!$A$515:$A$544,0))),EI$5,0),0)</f>
        <v>0</v>
      </c>
      <c r="EJ31" s="0" t="n">
        <f aca="false">IFERROR(IF(ISNUMBER(INDEX(Registro!$O$515:$O$544,MATCH($A31,Registro!$A$515:$A$544,0))),EJ$5,0),0)</f>
        <v>0</v>
      </c>
      <c r="EK31" s="0" t="n">
        <f aca="false">IFERROR(IF(ISNUMBER(INDEX(Registro!$U$515:$U$544,MATCH($A31,Registro!$A$515:$A$544,0))),EK$5,0),0)</f>
        <v>0</v>
      </c>
      <c r="EL31" s="0" t="n">
        <f aca="false">IFERROR(IF(ISNUMBER(INDEX(Registro!$AA$515:$AA$544,MATCH($A31,Registro!$A$515:$A$544,0))),EL$5,0),0)</f>
        <v>0</v>
      </c>
      <c r="EM31" s="0" t="n">
        <f aca="false">IFERROR(IF(ISNUMBER(INDEX(Registro!$I$551:$I$580,MATCH($A31,Registro!$A$551:$A$580,0))),EM$5,0),0)</f>
        <v>0</v>
      </c>
      <c r="EN31" s="0" t="n">
        <f aca="false">IFERROR(IF(ISNUMBER(INDEX(Registro!$O$551:$O$580,MATCH($A31,Registro!$A$551:$A$580,0))),EN$5,0),0)</f>
        <v>0</v>
      </c>
      <c r="EO31" s="0" t="n">
        <f aca="false">IFERROR(IF(ISNUMBER(INDEX(Registro!$U$551:$U$580,MATCH($A31,Registro!$A$551:$A$580,0))),EO$5,0),0)</f>
        <v>0</v>
      </c>
      <c r="EP31" s="0" t="n">
        <f aca="false">IFERROR(IF(ISNUMBER(INDEX(Registro!$AA$551:$AA$580,MATCH($A31,Registro!$A$551:$A$580,0))),EP$5,0),0)</f>
        <v>0</v>
      </c>
      <c r="EQ31" s="0" t="n">
        <f aca="false">IFERROR(IF(ISNUMBER(INDEX(Registro!$I$587:$I$616,MATCH($A31,Registro!$A$587:$A$616,0))),EQ$5,0),0)</f>
        <v>0</v>
      </c>
      <c r="ER31" s="0" t="n">
        <f aca="false">IFERROR(IF(ISNUMBER(INDEX(Registro!$O$587:$O$616,MATCH($A31,Registro!$A$587:$A$616,0))),ER$5,0),0)</f>
        <v>0</v>
      </c>
      <c r="ES31" s="0" t="n">
        <f aca="false">IFERROR(IF(ISNUMBER(INDEX(Registro!$U$587:$U$616,MATCH($A31,Registro!$A$587:$A$616,0))),ES$5,0),0)</f>
        <v>0</v>
      </c>
      <c r="ET31" s="0" t="n">
        <f aca="false">IFERROR(IF(ISNUMBER(INDEX(Registro!$AA$587:$AA$616,MATCH($A31,Registro!$A$587:$A$616,0))),ET$5,0),0)</f>
        <v>0</v>
      </c>
      <c r="EU31" s="0" t="n">
        <f aca="false">IFERROR(IF(ISNUMBER(INDEX(Registro!$I$623:$I$652,MATCH($A31,Registro!$A$623:$A$652,0))),EU$5,0),0)</f>
        <v>0</v>
      </c>
      <c r="EV31" s="0" t="n">
        <f aca="false">IFERROR(IF(ISNUMBER(INDEX(Registro!$O$623:$O$652,MATCH($A31,Registro!$A$623:$A$652,0))),EV$5,0),0)</f>
        <v>0</v>
      </c>
      <c r="EW31" s="0" t="n">
        <f aca="false">IFERROR(IF(ISNUMBER(INDEX(Registro!$U$623:$U$652,MATCH($A31,Registro!$A$623:$A$652,0))),EW$5,0),0)</f>
        <v>0</v>
      </c>
      <c r="EX31" s="0" t="n">
        <f aca="false">IFERROR(IF(ISNUMBER(INDEX(Registro!$AA$623:$AA$652,MATCH($A31,Registro!$A$623:$A$652,0))),EX$5,0),0)</f>
        <v>0</v>
      </c>
      <c r="EY31" s="0" t="n">
        <f aca="false">IFERROR(IF(ISNUMBER(INDEX(Registro!$I$659:$I$688,MATCH($A31,Registro!$A$659:$A$688,0))),EY$5,0),0)</f>
        <v>0</v>
      </c>
      <c r="EZ31" s="0" t="n">
        <f aca="false">IFERROR(IF(ISNUMBER(INDEX(Registro!$O$659:$O$688,MATCH($A31,Registro!$A$659:$A$688,0))),EZ$5,0),0)</f>
        <v>0</v>
      </c>
      <c r="FA31" s="0" t="n">
        <f aca="false">IFERROR(IF(ISNUMBER(INDEX(Registro!$U$659:$U$688,MATCH($A31,Registro!$A$659:$A$688,0))),FA$5,0),0)</f>
        <v>0</v>
      </c>
      <c r="FB31" s="0" t="n">
        <f aca="false">IFERROR(IF(ISNUMBER(INDEX(Registro!$AA$659:$AA$688,MATCH($A31,Registro!$A$659:$A$688,0))),FB$5,0),0)</f>
        <v>0</v>
      </c>
      <c r="FC31" s="0" t="n">
        <f aca="false">IFERROR(IF(ISNUMBER(INDEX(Registro!$I$695:$I$724,MATCH($A31,Registro!$A$695:$A$724,0))),FC$5,0),0)</f>
        <v>0</v>
      </c>
      <c r="FD31" s="0" t="n">
        <f aca="false">IFERROR(IF(ISNUMBER(INDEX(Registro!$O$695:$O$724,MATCH($A31,Registro!$A$695:$A$724,0))),FD$5,0),0)</f>
        <v>0</v>
      </c>
      <c r="FE31" s="0" t="n">
        <f aca="false">IFERROR(IF(ISNUMBER(INDEX(Registro!$U$695:$U$724,MATCH($A31,Registro!$A$695:$A$724,0))),FE$5,0),0)</f>
        <v>0</v>
      </c>
      <c r="FF31" s="0" t="n">
        <f aca="false">IFERROR(IF(ISNUMBER(INDEX(Registro!$AA$695:$AA$724,MATCH($A31,Registro!$A$695:$A$724,0))),FF$5,0),0)</f>
        <v>0</v>
      </c>
      <c r="FG31" s="0" t="n">
        <f aca="false">IFERROR(IF(AND(INDEX(Registro!$C$11:$C$40,MATCH($A31,Registro!$A$11:$A$40,0))="AS",INDEX(Registro!$D$11:$D$40,MATCH($A31,Registro!$A$11:$A$40,0))&amp;""=""),1,0),0)</f>
        <v>0</v>
      </c>
      <c r="FH31" s="0" t="n">
        <f aca="false">IFERROR(IF(AND(INDEX(Registro!$C$47:$C$76,MATCH($A31,Registro!$A$47:$A$76,0))="AS",INDEX(Registro!$D$47:$D$76,MATCH($A31,Registro!$A$47:$A$76,0))&amp;""=""),1,0),0)</f>
        <v>0</v>
      </c>
      <c r="FI31" s="0" t="n">
        <f aca="false">IFERROR(IF(AND(INDEX(Registro!$C$83:$C$112,MATCH($A31,Registro!$A$83:$A$112,0))="AS",INDEX(Registro!$D$83:$D$112,MATCH($A31,Registro!$A$83:$A$112,0))&amp;""=""),1,0),0)</f>
        <v>0</v>
      </c>
      <c r="FJ31" s="0" t="n">
        <f aca="false">IFERROR(IF(AND(INDEX(Registro!$C$119:$C$148,MATCH($A31,Registro!$A$119:$A$148,0))="AS",INDEX(Registro!$D$119:$D$148,MATCH($A31,Registro!$A$119:$A$148,0))&amp;""=""),1,0),0)</f>
        <v>0</v>
      </c>
      <c r="FK31" s="0" t="n">
        <f aca="false">IFERROR(IF(AND(INDEX(Registro!$C$155:$C$184,MATCH($A31,Registro!$A$155:$A$184,0))="AS",INDEX(Registro!$D$155:$D$184,MATCH($A31,Registro!$A$155:$A$184,0))&amp;""=""),1,0),0)</f>
        <v>0</v>
      </c>
      <c r="FL31" s="0" t="n">
        <f aca="false">IFERROR(IF(AND(INDEX(Registro!$C$191:$C$220,MATCH($A31,Registro!$A$191:$A$220,0))="AS",INDEX(Registro!$D$191:$D$220,MATCH($A31,Registro!$A$191:$A$220,0))&amp;""=""),1,0),0)</f>
        <v>0</v>
      </c>
      <c r="FM31" s="0" t="n">
        <f aca="false">IFERROR(IF(AND(INDEX(Registro!$C$227:$C$256,MATCH($A31,Registro!$A$227:$A$256,0))="AS",INDEX(Registro!$D$227:$D$256,MATCH($A31,Registro!$A$227:$A$256,0))&amp;""=""),1,0),0)</f>
        <v>0</v>
      </c>
      <c r="FN31" s="0" t="n">
        <f aca="false">IFERROR(IF(AND(INDEX(Registro!$C$263:$C$292,MATCH($A31,Registro!$A$263:$A$292,0))="AS",INDEX(Registro!$D$263:$D$292,MATCH($A31,Registro!$A$263:$A$292,0))&amp;""=""),1,0),0)</f>
        <v>0</v>
      </c>
      <c r="FO31" s="0" t="n">
        <f aca="false">IFERROR(IF(AND(INDEX(Registro!$C$299:$C$328,MATCH($A31,Registro!$A$299:$A$328,0))="AS",INDEX(Registro!$D$299:$D$328,MATCH($A31,Registro!$A$299:$A$328,0))&amp;""=""),1,0),0)</f>
        <v>0</v>
      </c>
      <c r="FP31" s="0" t="n">
        <f aca="false">IFERROR(IF(AND(INDEX(Registro!$C$335:$C$364,MATCH($A31,Registro!$A$335:$A$364,0))="AS",INDEX(Registro!$D$335:$D$364,MATCH($A31,Registro!$A$335:$A$364,0))&amp;""=""),1,0),0)</f>
        <v>0</v>
      </c>
      <c r="FQ31" s="0" t="n">
        <f aca="false">IFERROR(IF(AND(INDEX(Registro!$C$371:$C$400,MATCH($A31,Registro!$A$371:$A$400,0))="AS",INDEX(Registro!$D$371:$D$400,MATCH($A31,Registro!$A$371:$A$400,0))&amp;""=""),1,0),0)</f>
        <v>0</v>
      </c>
      <c r="FR31" s="0" t="n">
        <f aca="false">IFERROR(IF(AND(INDEX(Registro!$C$407:$C$436,MATCH($A31,Registro!$A$407:$A$436,0))="AS",INDEX(Registro!$D$407:$D$436,MATCH($A31,Registro!$A$407:$A$436,0))&amp;""=""),1,0),0)</f>
        <v>0</v>
      </c>
      <c r="FS31" s="0" t="n">
        <f aca="false">IFERROR(IF(AND(INDEX(Registro!$C$443:$C$472,MATCH($A31,Registro!$A$443:$A$472,0))="AS",INDEX(Registro!$D$443:$D$472,MATCH($A31,Registro!$A$443:$A$472,0))&amp;""=""),1,0),0)</f>
        <v>0</v>
      </c>
      <c r="FT31" s="0" t="n">
        <f aca="false">IFERROR(IF(AND(INDEX(Registro!$C$479:$C$508,MATCH($A31,Registro!$A$479:$A$508,0))="AS",INDEX(Registro!$D$479:$D$508,MATCH($A31,Registro!$A$479:$A$508,0))&amp;""=""),1,0),0)</f>
        <v>0</v>
      </c>
      <c r="FU31" s="0" t="n">
        <f aca="false">IFERROR(IF(AND(INDEX(Registro!$C$515:$C$544,MATCH($A31,Registro!$A$515:$A$544,0))="AS",INDEX(Registro!$D$515:$D$544,MATCH($A31,Registro!$A$515:$A$544,0))&amp;""=""),1,0),0)</f>
        <v>0</v>
      </c>
      <c r="FV31" s="0" t="n">
        <f aca="false">IFERROR(IF(AND(INDEX(Registro!$C$551:$C$580,MATCH($A31,Registro!$A$551:$A$580,0))="AS",INDEX(Registro!$D$551:$D$580,MATCH($A31,Registro!$A$551:$A$580,0))&amp;""=""),1,0),0)</f>
        <v>0</v>
      </c>
      <c r="FW31" s="0" t="n">
        <f aca="false">IFERROR(IF(AND(INDEX(Registro!$C$587:$C$616,MATCH($A31,Registro!$A$587:$A$616,0))="AS",INDEX(Registro!$D$587:$D$616,MATCH($A31,Registro!$A$587:$A$616,0))&amp;""=""),1,0),0)</f>
        <v>0</v>
      </c>
      <c r="FX31" s="0" t="n">
        <f aca="false">IFERROR(IF(AND(INDEX(Registro!$C$623:$C$652,MATCH($A31,Registro!$A$623:$A$652,0))="AS",INDEX(Registro!$D$623:$D$652,MATCH($A31,Registro!$A$623:$A$652,0))&amp;""=""),1,0),0)</f>
        <v>0</v>
      </c>
      <c r="FY31" s="0" t="n">
        <f aca="false">IFERROR(IF(AND(INDEX(Registro!$C$659:$C$688,MATCH($A31,Registro!$A$659:$A$688,0))="AS",INDEX(Registro!$D$659:$D$688,MATCH($A31,Registro!$A$659:$A$688,0))&amp;""=""),1,0),0)</f>
        <v>0</v>
      </c>
      <c r="FZ31" s="0" t="n">
        <f aca="false">IFERROR(IF(AND(INDEX(Registro!$C$695:$C$724,MATCH($A31,Registro!$A$695:$A$724,0))="AS",INDEX(Registro!$D$695:$D$724,MATCH($A31,Registro!$A$695:$A$724,0))&amp;""=""),1,0),0)</f>
        <v>0</v>
      </c>
    </row>
    <row r="32" customFormat="false" ht="15" hidden="false" customHeight="false" outlineLevel="0" collapsed="false">
      <c r="A32" s="0" t="n">
        <v>26</v>
      </c>
      <c r="C32" s="0" t="n">
        <f aca="false">IFERROR(N(INDEX(Registro!$I$11:$I$40,MATCH($A32,Registro!$A$11:$A$40,0))),0)</f>
        <v>0</v>
      </c>
      <c r="D32" s="0" t="n">
        <f aca="false">IFERROR(N(INDEX(Registro!$O$11:$O$40,MATCH($A32,Registro!$A$11:$A$40,0))),0)</f>
        <v>0</v>
      </c>
      <c r="E32" s="0" t="n">
        <f aca="false">IFERROR(N(INDEX(Registro!$U$11:$U$40,MATCH($A32,Registro!$A$11:$A$40,0))),0)</f>
        <v>0</v>
      </c>
      <c r="F32" s="0" t="n">
        <f aca="false">IFERROR(N(INDEX(Registro!$AA$11:$AA$40,MATCH($A32,Registro!$A$11:$A$40,0))),0)</f>
        <v>0</v>
      </c>
      <c r="G32" s="0" t="n">
        <f aca="false">IFERROR(N(INDEX(Registro!$I$47:$I$76,MATCH($A32,Registro!$A$47:$A$76,0))),0)</f>
        <v>0</v>
      </c>
      <c r="H32" s="0" t="n">
        <f aca="false">IFERROR(N(INDEX(Registro!$O$47:$O$76,MATCH($A32,Registro!$A$47:$A$76,0))),0)</f>
        <v>0</v>
      </c>
      <c r="I32" s="0" t="n">
        <f aca="false">IFERROR(N(INDEX(Registro!$U$47:$U$76,MATCH($A32,Registro!$A$47:$A$76,0))),0)</f>
        <v>0</v>
      </c>
      <c r="J32" s="0" t="n">
        <f aca="false">IFERROR(N(INDEX(Registro!$AA$47:$AA$76,MATCH($A32,Registro!$A$47:$A$76,0))),0)</f>
        <v>0</v>
      </c>
      <c r="K32" s="0" t="n">
        <f aca="false">IFERROR(N(INDEX(Registro!$I$83:$I$112,MATCH($A32,Registro!$A$83:$A$112,0))),0)</f>
        <v>0</v>
      </c>
      <c r="L32" s="0" t="n">
        <f aca="false">IFERROR(N(INDEX(Registro!$O$83:$O$112,MATCH($A32,Registro!$A$83:$A$112,0))),0)</f>
        <v>0</v>
      </c>
      <c r="M32" s="0" t="n">
        <f aca="false">IFERROR(N(INDEX(Registro!$U$83:$U$112,MATCH($A32,Registro!$A$83:$A$112,0))),0)</f>
        <v>0</v>
      </c>
      <c r="N32" s="0" t="n">
        <f aca="false">IFERROR(N(INDEX(Registro!$AA$83:$AA$112,MATCH($A32,Registro!$A$83:$A$112,0))),0)</f>
        <v>0</v>
      </c>
      <c r="O32" s="0" t="n">
        <f aca="false">IFERROR(N(INDEX(Registro!$I$119:$I$148,MATCH($A32,Registro!$A$119:$A$148,0))),0)</f>
        <v>0</v>
      </c>
      <c r="P32" s="0" t="n">
        <f aca="false">IFERROR(N(INDEX(Registro!$O$119:$O$148,MATCH($A32,Registro!$A$119:$A$148,0))),0)</f>
        <v>0</v>
      </c>
      <c r="Q32" s="0" t="n">
        <f aca="false">IFERROR(N(INDEX(Registro!$U$119:$U$148,MATCH($A32,Registro!$A$119:$A$148,0))),0)</f>
        <v>0</v>
      </c>
      <c r="R32" s="0" t="n">
        <f aca="false">IFERROR(N(INDEX(Registro!$AA$119:$AA$148,MATCH($A32,Registro!$A$119:$A$148,0))),0)</f>
        <v>0</v>
      </c>
      <c r="S32" s="0" t="n">
        <f aca="false">IFERROR(N(INDEX(Registro!$I$155:$I$184,MATCH($A32,Registro!$A$155:$A$184,0))),0)</f>
        <v>0</v>
      </c>
      <c r="T32" s="0" t="n">
        <f aca="false">IFERROR(N(INDEX(Registro!$O$155:$O$184,MATCH($A32,Registro!$A$155:$A$184,0))),0)</f>
        <v>0</v>
      </c>
      <c r="U32" s="0" t="n">
        <f aca="false">IFERROR(N(INDEX(Registro!$U$155:$U$184,MATCH($A32,Registro!$A$155:$A$184,0))),0)</f>
        <v>0</v>
      </c>
      <c r="V32" s="0" t="n">
        <f aca="false">IFERROR(N(INDEX(Registro!$AA$155:$AA$184,MATCH($A32,Registro!$A$155:$A$184,0))),0)</f>
        <v>0</v>
      </c>
      <c r="W32" s="0" t="n">
        <f aca="false">IFERROR(N(INDEX(Registro!$I$191:$I$220,MATCH($A32,Registro!$A$191:$A$220,0))),0)</f>
        <v>0</v>
      </c>
      <c r="X32" s="0" t="n">
        <f aca="false">IFERROR(N(INDEX(Registro!$O$191:$O$220,MATCH($A32,Registro!$A$191:$A$220,0))),0)</f>
        <v>0</v>
      </c>
      <c r="Y32" s="0" t="n">
        <f aca="false">IFERROR(N(INDEX(Registro!$U$191:$U$220,MATCH($A32,Registro!$A$191:$A$220,0))),0)</f>
        <v>0</v>
      </c>
      <c r="Z32" s="0" t="n">
        <f aca="false">IFERROR(N(INDEX(Registro!$AA$191:$AA$220,MATCH($A32,Registro!$A$191:$A$220,0))),0)</f>
        <v>0</v>
      </c>
      <c r="AA32" s="0" t="n">
        <f aca="false">IFERROR(N(INDEX(Registro!$I$227:$I$256,MATCH($A32,Registro!$A$227:$A$256,0))),0)</f>
        <v>0</v>
      </c>
      <c r="AB32" s="0" t="n">
        <f aca="false">IFERROR(N(INDEX(Registro!$O$227:$O$256,MATCH($A32,Registro!$A$227:$A$256,0))),0)</f>
        <v>0</v>
      </c>
      <c r="AC32" s="0" t="n">
        <f aca="false">IFERROR(N(INDEX(Registro!$U$227:$U$256,MATCH($A32,Registro!$A$227:$A$256,0))),0)</f>
        <v>0</v>
      </c>
      <c r="AD32" s="0" t="n">
        <f aca="false">IFERROR(N(INDEX(Registro!$AA$227:$AA$256,MATCH($A32,Registro!$A$227:$A$256,0))),0)</f>
        <v>0</v>
      </c>
      <c r="AE32" s="0" t="n">
        <f aca="false">IFERROR(N(INDEX(Registro!$I$263:$I$292,MATCH($A32,Registro!$A$263:$A$292,0))),0)</f>
        <v>0</v>
      </c>
      <c r="AF32" s="0" t="n">
        <f aca="false">IFERROR(N(INDEX(Registro!$O$263:$O$292,MATCH($A32,Registro!$A$263:$A$292,0))),0)</f>
        <v>0</v>
      </c>
      <c r="AG32" s="0" t="n">
        <f aca="false">IFERROR(N(INDEX(Registro!$U$263:$U$292,MATCH($A32,Registro!$A$263:$A$292,0))),0)</f>
        <v>0</v>
      </c>
      <c r="AH32" s="0" t="n">
        <f aca="false">IFERROR(N(INDEX(Registro!$AA$263:$AA$292,MATCH($A32,Registro!$A$263:$A$292,0))),0)</f>
        <v>0</v>
      </c>
      <c r="AI32" s="0" t="n">
        <f aca="false">IFERROR(N(INDEX(Registro!$I$299:$I$328,MATCH($A32,Registro!$A$299:$A$328,0))),0)</f>
        <v>0</v>
      </c>
      <c r="AJ32" s="0" t="n">
        <f aca="false">IFERROR(N(INDEX(Registro!$O$299:$O$328,MATCH($A32,Registro!$A$299:$A$328,0))),0)</f>
        <v>0</v>
      </c>
      <c r="AK32" s="0" t="n">
        <f aca="false">IFERROR(N(INDEX(Registro!$U$299:$U$328,MATCH($A32,Registro!$A$299:$A$328,0))),0)</f>
        <v>0</v>
      </c>
      <c r="AL32" s="0" t="n">
        <f aca="false">IFERROR(N(INDEX(Registro!$AA$299:$AA$328,MATCH($A32,Registro!$A$299:$A$328,0))),0)</f>
        <v>0</v>
      </c>
      <c r="AM32" s="0" t="n">
        <f aca="false">IFERROR(N(INDEX(Registro!$I$335:$I$364,MATCH($A32,Registro!$A$335:$A$364,0))),0)</f>
        <v>0</v>
      </c>
      <c r="AN32" s="0" t="n">
        <f aca="false">IFERROR(N(INDEX(Registro!$O$335:$O$364,MATCH($A32,Registro!$A$335:$A$364,0))),0)</f>
        <v>0</v>
      </c>
      <c r="AO32" s="0" t="n">
        <f aca="false">IFERROR(N(INDEX(Registro!$U$335:$U$364,MATCH($A32,Registro!$A$335:$A$364,0))),0)</f>
        <v>0</v>
      </c>
      <c r="AP32" s="0" t="n">
        <f aca="false">IFERROR(N(INDEX(Registro!$AA$335:$AA$364,MATCH($A32,Registro!$A$335:$A$364,0))),0)</f>
        <v>0</v>
      </c>
      <c r="AQ32" s="0" t="n">
        <f aca="false">IFERROR(N(INDEX(Registro!$I$371:$I$400,MATCH($A32,Registro!$A$371:$A$400,0))),0)</f>
        <v>0</v>
      </c>
      <c r="AR32" s="0" t="n">
        <f aca="false">IFERROR(N(INDEX(Registro!$O$371:$O$400,MATCH($A32,Registro!$A$371:$A$400,0))),0)</f>
        <v>0</v>
      </c>
      <c r="AS32" s="0" t="n">
        <f aca="false">IFERROR(N(INDEX(Registro!$U$371:$U$400,MATCH($A32,Registro!$A$371:$A$400,0))),0)</f>
        <v>0</v>
      </c>
      <c r="AT32" s="0" t="n">
        <f aca="false">IFERROR(N(INDEX(Registro!$AA$371:$AA$400,MATCH($A32,Registro!$A$371:$A$400,0))),0)</f>
        <v>0</v>
      </c>
      <c r="AU32" s="0" t="n">
        <f aca="false">IFERROR(N(INDEX(Registro!$I$407:$I$436,MATCH($A32,Registro!$A$407:$A$436,0))),0)</f>
        <v>0</v>
      </c>
      <c r="AV32" s="0" t="n">
        <f aca="false">IFERROR(N(INDEX(Registro!$O$407:$O$436,MATCH($A32,Registro!$A$407:$A$436,0))),0)</f>
        <v>0</v>
      </c>
      <c r="AW32" s="0" t="n">
        <f aca="false">IFERROR(N(INDEX(Registro!$U$407:$U$436,MATCH($A32,Registro!$A$407:$A$436,0))),0)</f>
        <v>0</v>
      </c>
      <c r="AX32" s="0" t="n">
        <f aca="false">IFERROR(N(INDEX(Registro!$AA$407:$AA$436,MATCH($A32,Registro!$A$407:$A$436,0))),0)</f>
        <v>0</v>
      </c>
      <c r="AY32" s="0" t="n">
        <f aca="false">IFERROR(N(INDEX(Registro!$I$443:$I$472,MATCH($A32,Registro!$A$443:$A$472,0))),0)</f>
        <v>0</v>
      </c>
      <c r="AZ32" s="0" t="n">
        <f aca="false">IFERROR(N(INDEX(Registro!$O$443:$O$472,MATCH($A32,Registro!$A$443:$A$472,0))),0)</f>
        <v>0</v>
      </c>
      <c r="BA32" s="0" t="n">
        <f aca="false">IFERROR(N(INDEX(Registro!$U$443:$U$472,MATCH($A32,Registro!$A$443:$A$472,0))),0)</f>
        <v>0</v>
      </c>
      <c r="BB32" s="0" t="n">
        <f aca="false">IFERROR(N(INDEX(Registro!$AA$443:$AA$472,MATCH($A32,Registro!$A$443:$A$472,0))),0)</f>
        <v>0</v>
      </c>
      <c r="BC32" s="0" t="n">
        <f aca="false">IFERROR(N(INDEX(Registro!$I$479:$I$508,MATCH($A32,Registro!$A$479:$A$508,0))),0)</f>
        <v>0</v>
      </c>
      <c r="BD32" s="0" t="n">
        <f aca="false">IFERROR(N(INDEX(Registro!$O$479:$O$508,MATCH($A32,Registro!$A$479:$A$508,0))),0)</f>
        <v>0</v>
      </c>
      <c r="BE32" s="0" t="n">
        <f aca="false">IFERROR(N(INDEX(Registro!$U$479:$U$508,MATCH($A32,Registro!$A$479:$A$508,0))),0)</f>
        <v>0</v>
      </c>
      <c r="BF32" s="0" t="n">
        <f aca="false">IFERROR(N(INDEX(Registro!$AA$479:$AA$508,MATCH($A32,Registro!$A$479:$A$508,0))),0)</f>
        <v>0</v>
      </c>
      <c r="BG32" s="0" t="n">
        <f aca="false">IFERROR(N(INDEX(Registro!$I$515:$I$544,MATCH($A32,Registro!$A$515:$A$544,0))),0)</f>
        <v>0</v>
      </c>
      <c r="BH32" s="0" t="n">
        <f aca="false">IFERROR(N(INDEX(Registro!$O$515:$O$544,MATCH($A32,Registro!$A$515:$A$544,0))),0)</f>
        <v>0</v>
      </c>
      <c r="BI32" s="0" t="n">
        <f aca="false">IFERROR(N(INDEX(Registro!$U$515:$U$544,MATCH($A32,Registro!$A$515:$A$544,0))),0)</f>
        <v>0</v>
      </c>
      <c r="BJ32" s="0" t="n">
        <f aca="false">IFERROR(N(INDEX(Registro!$AA$515:$AA$544,MATCH($A32,Registro!$A$515:$A$544,0))),0)</f>
        <v>0</v>
      </c>
      <c r="BK32" s="0" t="n">
        <f aca="false">IFERROR(N(INDEX(Registro!$I$551:$I$580,MATCH($A32,Registro!$A$551:$A$580,0))),0)</f>
        <v>0</v>
      </c>
      <c r="BL32" s="0" t="n">
        <f aca="false">IFERROR(N(INDEX(Registro!$O$551:$O$580,MATCH($A32,Registro!$A$551:$A$580,0))),0)</f>
        <v>0</v>
      </c>
      <c r="BM32" s="0" t="n">
        <f aca="false">IFERROR(N(INDEX(Registro!$U$551:$U$580,MATCH($A32,Registro!$A$551:$A$580,0))),0)</f>
        <v>0</v>
      </c>
      <c r="BN32" s="0" t="n">
        <f aca="false">IFERROR(N(INDEX(Registro!$AA$551:$AA$580,MATCH($A32,Registro!$A$551:$A$580,0))),0)</f>
        <v>0</v>
      </c>
      <c r="BO32" s="0" t="n">
        <f aca="false">IFERROR(N(INDEX(Registro!$I$587:$I$616,MATCH($A32,Registro!$A$587:$A$616,0))),0)</f>
        <v>0</v>
      </c>
      <c r="BP32" s="0" t="n">
        <f aca="false">IFERROR(N(INDEX(Registro!$O$587:$O$616,MATCH($A32,Registro!$A$587:$A$616,0))),0)</f>
        <v>0</v>
      </c>
      <c r="BQ32" s="0" t="n">
        <f aca="false">IFERROR(N(INDEX(Registro!$U$587:$U$616,MATCH($A32,Registro!$A$587:$A$616,0))),0)</f>
        <v>0</v>
      </c>
      <c r="BR32" s="0" t="n">
        <f aca="false">IFERROR(N(INDEX(Registro!$AA$587:$AA$616,MATCH($A32,Registro!$A$587:$A$616,0))),0)</f>
        <v>0</v>
      </c>
      <c r="BS32" s="0" t="n">
        <f aca="false">IFERROR(N(INDEX(Registro!$I$623:$I$652,MATCH($A32,Registro!$A$623:$A$652,0))),0)</f>
        <v>0</v>
      </c>
      <c r="BT32" s="0" t="n">
        <f aca="false">IFERROR(N(INDEX(Registro!$O$623:$O$652,MATCH($A32,Registro!$A$623:$A$652,0))),0)</f>
        <v>0</v>
      </c>
      <c r="BU32" s="0" t="n">
        <f aca="false">IFERROR(N(INDEX(Registro!$U$623:$U$652,MATCH($A32,Registro!$A$623:$A$652,0))),0)</f>
        <v>0</v>
      </c>
      <c r="BV32" s="0" t="n">
        <f aca="false">IFERROR(N(INDEX(Registro!$AA$623:$AA$652,MATCH($A32,Registro!$A$623:$A$652,0))),0)</f>
        <v>0</v>
      </c>
      <c r="BW32" s="0" t="n">
        <f aca="false">IFERROR(N(INDEX(Registro!$I$659:$I$688,MATCH($A32,Registro!$A$659:$A$688,0))),0)</f>
        <v>0</v>
      </c>
      <c r="BX32" s="0" t="n">
        <f aca="false">IFERROR(N(INDEX(Registro!$O$659:$O$688,MATCH($A32,Registro!$A$659:$A$688,0))),0)</f>
        <v>0</v>
      </c>
      <c r="BY32" s="0" t="n">
        <f aca="false">IFERROR(N(INDEX(Registro!$U$659:$U$688,MATCH($A32,Registro!$A$659:$A$688,0))),0)</f>
        <v>0</v>
      </c>
      <c r="BZ32" s="0" t="n">
        <f aca="false">IFERROR(N(INDEX(Registro!$AA$659:$AA$688,MATCH($A32,Registro!$A$659:$A$688,0))),0)</f>
        <v>0</v>
      </c>
      <c r="CA32" s="0" t="n">
        <f aca="false">IFERROR(N(INDEX(Registro!$I$695:$I$724,MATCH($A32,Registro!$A$695:$A$724,0))),0)</f>
        <v>0</v>
      </c>
      <c r="CB32" s="0" t="n">
        <f aca="false">IFERROR(N(INDEX(Registro!$O$695:$O$724,MATCH($A32,Registro!$A$695:$A$724,0))),0)</f>
        <v>0</v>
      </c>
      <c r="CC32" s="0" t="n">
        <f aca="false">IFERROR(N(INDEX(Registro!$U$695:$U$724,MATCH($A32,Registro!$A$695:$A$724,0))),0)</f>
        <v>0</v>
      </c>
      <c r="CD32" s="0" t="n">
        <f aca="false">IFERROR(N(INDEX(Registro!$AA$695:$AA$724,MATCH($A32,Registro!$A$695:$A$724,0))),0)</f>
        <v>0</v>
      </c>
      <c r="CE32" s="0" t="n">
        <f aca="false">IFERROR(IF(ISNUMBER(INDEX(Registro!$I$11:$I$40,MATCH($A32,Registro!$A$11:$A$40,0))),CE$5,0),0)</f>
        <v>0</v>
      </c>
      <c r="CF32" s="0" t="n">
        <f aca="false">IFERROR(IF(ISNUMBER(INDEX(Registro!$O$11:$O$40,MATCH($A32,Registro!$A$11:$A$40,0))),CF$5,0),0)</f>
        <v>0</v>
      </c>
      <c r="CG32" s="0" t="n">
        <f aca="false">IFERROR(IF(ISNUMBER(INDEX(Registro!$U$11:$U$40,MATCH($A32,Registro!$A$11:$A$40,0))),CG$5,0),0)</f>
        <v>0</v>
      </c>
      <c r="CH32" s="0" t="n">
        <f aca="false">IFERROR(IF(ISNUMBER(INDEX(Registro!$AA$11:$AA$40,MATCH($A32,Registro!$A$11:$A$40,0))),CH$5,0),0)</f>
        <v>0</v>
      </c>
      <c r="CI32" s="0" t="n">
        <f aca="false">IFERROR(IF(ISNUMBER(INDEX(Registro!$I$47:$I$76,MATCH($A32,Registro!$A$47:$A$76,0))),CI$5,0),0)</f>
        <v>0</v>
      </c>
      <c r="CJ32" s="0" t="n">
        <f aca="false">IFERROR(IF(ISNUMBER(INDEX(Registro!$O$47:$O$76,MATCH($A32,Registro!$A$47:$A$76,0))),CJ$5,0),0)</f>
        <v>0</v>
      </c>
      <c r="CK32" s="0" t="n">
        <f aca="false">IFERROR(IF(ISNUMBER(INDEX(Registro!$U$47:$U$76,MATCH($A32,Registro!$A$47:$A$76,0))),CK$5,0),0)</f>
        <v>0</v>
      </c>
      <c r="CL32" s="0" t="n">
        <f aca="false">IFERROR(IF(ISNUMBER(INDEX(Registro!$AA$47:$AA$76,MATCH($A32,Registro!$A$47:$A$76,0))),CL$5,0),0)</f>
        <v>0</v>
      </c>
      <c r="CM32" s="0" t="n">
        <f aca="false">IFERROR(IF(ISNUMBER(INDEX(Registro!$I$83:$I$112,MATCH($A32,Registro!$A$83:$A$112,0))),CM$5,0),0)</f>
        <v>0</v>
      </c>
      <c r="CN32" s="0" t="n">
        <f aca="false">IFERROR(IF(ISNUMBER(INDEX(Registro!$O$83:$O$112,MATCH($A32,Registro!$A$83:$A$112,0))),CN$5,0),0)</f>
        <v>0</v>
      </c>
      <c r="CO32" s="0" t="n">
        <f aca="false">IFERROR(IF(ISNUMBER(INDEX(Registro!$U$83:$U$112,MATCH($A32,Registro!$A$83:$A$112,0))),CO$5,0),0)</f>
        <v>0</v>
      </c>
      <c r="CP32" s="0" t="n">
        <f aca="false">IFERROR(IF(ISNUMBER(INDEX(Registro!$AA$83:$AA$112,MATCH($A32,Registro!$A$83:$A$112,0))),CP$5,0),0)</f>
        <v>0</v>
      </c>
      <c r="CQ32" s="0" t="n">
        <f aca="false">IFERROR(IF(ISNUMBER(INDEX(Registro!$I$119:$I$148,MATCH($A32,Registro!$A$119:$A$148,0))),CQ$5,0),0)</f>
        <v>0</v>
      </c>
      <c r="CR32" s="0" t="n">
        <f aca="false">IFERROR(IF(ISNUMBER(INDEX(Registro!$O$119:$O$148,MATCH($A32,Registro!$A$119:$A$148,0))),CR$5,0),0)</f>
        <v>0</v>
      </c>
      <c r="CS32" s="0" t="n">
        <f aca="false">IFERROR(IF(ISNUMBER(INDEX(Registro!$U$119:$U$148,MATCH($A32,Registro!$A$119:$A$148,0))),CS$5,0),0)</f>
        <v>0</v>
      </c>
      <c r="CT32" s="0" t="n">
        <f aca="false">IFERROR(IF(ISNUMBER(INDEX(Registro!$AA$119:$AA$148,MATCH($A32,Registro!$A$119:$A$148,0))),CT$5,0),0)</f>
        <v>0</v>
      </c>
      <c r="CU32" s="0" t="n">
        <f aca="false">IFERROR(IF(ISNUMBER(INDEX(Registro!$I$155:$I$184,MATCH($A32,Registro!$A$155:$A$184,0))),CU$5,0),0)</f>
        <v>0</v>
      </c>
      <c r="CV32" s="0" t="n">
        <f aca="false">IFERROR(IF(ISNUMBER(INDEX(Registro!$O$155:$O$184,MATCH($A32,Registro!$A$155:$A$184,0))),CV$5,0),0)</f>
        <v>0</v>
      </c>
      <c r="CW32" s="0" t="n">
        <f aca="false">IFERROR(IF(ISNUMBER(INDEX(Registro!$U$155:$U$184,MATCH($A32,Registro!$A$155:$A$184,0))),CW$5,0),0)</f>
        <v>0</v>
      </c>
      <c r="CX32" s="0" t="n">
        <f aca="false">IFERROR(IF(ISNUMBER(INDEX(Registro!$AA$155:$AA$184,MATCH($A32,Registro!$A$155:$A$184,0))),CX$5,0),0)</f>
        <v>0</v>
      </c>
      <c r="CY32" s="0" t="n">
        <f aca="false">IFERROR(IF(ISNUMBER(INDEX(Registro!$I$191:$I$220,MATCH($A32,Registro!$A$191:$A$220,0))),CY$5,0),0)</f>
        <v>0</v>
      </c>
      <c r="CZ32" s="0" t="n">
        <f aca="false">IFERROR(IF(ISNUMBER(INDEX(Registro!$O$191:$O$220,MATCH($A32,Registro!$A$191:$A$220,0))),CZ$5,0),0)</f>
        <v>0</v>
      </c>
      <c r="DA32" s="0" t="n">
        <f aca="false">IFERROR(IF(ISNUMBER(INDEX(Registro!$U$191:$U$220,MATCH($A32,Registro!$A$191:$A$220,0))),DA$5,0),0)</f>
        <v>0</v>
      </c>
      <c r="DB32" s="0" t="n">
        <f aca="false">IFERROR(IF(ISNUMBER(INDEX(Registro!$AA$191:$AA$220,MATCH($A32,Registro!$A$191:$A$220,0))),DB$5,0),0)</f>
        <v>0</v>
      </c>
      <c r="DC32" s="0" t="n">
        <f aca="false">IFERROR(IF(ISNUMBER(INDEX(Registro!$I$227:$I$256,MATCH($A32,Registro!$A$227:$A$256,0))),DC$5,0),0)</f>
        <v>0</v>
      </c>
      <c r="DD32" s="0" t="n">
        <f aca="false">IFERROR(IF(ISNUMBER(INDEX(Registro!$O$227:$O$256,MATCH($A32,Registro!$A$227:$A$256,0))),DD$5,0),0)</f>
        <v>0</v>
      </c>
      <c r="DE32" s="0" t="n">
        <f aca="false">IFERROR(IF(ISNUMBER(INDEX(Registro!$U$227:$U$256,MATCH($A32,Registro!$A$227:$A$256,0))),DE$5,0),0)</f>
        <v>0</v>
      </c>
      <c r="DF32" s="0" t="n">
        <f aca="false">IFERROR(IF(ISNUMBER(INDEX(Registro!$AA$227:$AA$256,MATCH($A32,Registro!$A$227:$A$256,0))),DF$5,0),0)</f>
        <v>0</v>
      </c>
      <c r="DG32" s="0" t="n">
        <f aca="false">IFERROR(IF(ISNUMBER(INDEX(Registro!$I$263:$I$292,MATCH($A32,Registro!$A$263:$A$292,0))),DG$5,0),0)</f>
        <v>0</v>
      </c>
      <c r="DH32" s="0" t="n">
        <f aca="false">IFERROR(IF(ISNUMBER(INDEX(Registro!$O$263:$O$292,MATCH($A32,Registro!$A$263:$A$292,0))),DH$5,0),0)</f>
        <v>0</v>
      </c>
      <c r="DI32" s="0" t="n">
        <f aca="false">IFERROR(IF(ISNUMBER(INDEX(Registro!$U$263:$U$292,MATCH($A32,Registro!$A$263:$A$292,0))),DI$5,0),0)</f>
        <v>0</v>
      </c>
      <c r="DJ32" s="0" t="n">
        <f aca="false">IFERROR(IF(ISNUMBER(INDEX(Registro!$AA$263:$AA$292,MATCH($A32,Registro!$A$263:$A$292,0))),DJ$5,0),0)</f>
        <v>0</v>
      </c>
      <c r="DK32" s="0" t="n">
        <f aca="false">IFERROR(IF(ISNUMBER(INDEX(Registro!$I$299:$I$328,MATCH($A32,Registro!$A$299:$A$328,0))),DK$5,0),0)</f>
        <v>0</v>
      </c>
      <c r="DL32" s="0" t="n">
        <f aca="false">IFERROR(IF(ISNUMBER(INDEX(Registro!$O$299:$O$328,MATCH($A32,Registro!$A$299:$A$328,0))),DL$5,0),0)</f>
        <v>0</v>
      </c>
      <c r="DM32" s="0" t="n">
        <f aca="false">IFERROR(IF(ISNUMBER(INDEX(Registro!$U$299:$U$328,MATCH($A32,Registro!$A$299:$A$328,0))),DM$5,0),0)</f>
        <v>0</v>
      </c>
      <c r="DN32" s="0" t="n">
        <f aca="false">IFERROR(IF(ISNUMBER(INDEX(Registro!$AA$299:$AA$328,MATCH($A32,Registro!$A$299:$A$328,0))),DN$5,0),0)</f>
        <v>0</v>
      </c>
      <c r="DO32" s="0" t="n">
        <f aca="false">IFERROR(IF(ISNUMBER(INDEX(Registro!$I$335:$I$364,MATCH($A32,Registro!$A$335:$A$364,0))),DO$5,0),0)</f>
        <v>0</v>
      </c>
      <c r="DP32" s="0" t="n">
        <f aca="false">IFERROR(IF(ISNUMBER(INDEX(Registro!$O$335:$O$364,MATCH($A32,Registro!$A$335:$A$364,0))),DP$5,0),0)</f>
        <v>0</v>
      </c>
      <c r="DQ32" s="0" t="n">
        <f aca="false">IFERROR(IF(ISNUMBER(INDEX(Registro!$U$335:$U$364,MATCH($A32,Registro!$A$335:$A$364,0))),DQ$5,0),0)</f>
        <v>0</v>
      </c>
      <c r="DR32" s="0" t="n">
        <f aca="false">IFERROR(IF(ISNUMBER(INDEX(Registro!$AA$335:$AA$364,MATCH($A32,Registro!$A$335:$A$364,0))),DR$5,0),0)</f>
        <v>0</v>
      </c>
      <c r="DS32" s="0" t="n">
        <f aca="false">IFERROR(IF(ISNUMBER(INDEX(Registro!$I$371:$I$400,MATCH($A32,Registro!$A$371:$A$400,0))),DS$5,0),0)</f>
        <v>0</v>
      </c>
      <c r="DT32" s="0" t="n">
        <f aca="false">IFERROR(IF(ISNUMBER(INDEX(Registro!$O$371:$O$400,MATCH($A32,Registro!$A$371:$A$400,0))),DT$5,0),0)</f>
        <v>0</v>
      </c>
      <c r="DU32" s="0" t="n">
        <f aca="false">IFERROR(IF(ISNUMBER(INDEX(Registro!$U$371:$U$400,MATCH($A32,Registro!$A$371:$A$400,0))),DU$5,0),0)</f>
        <v>0</v>
      </c>
      <c r="DV32" s="0" t="n">
        <f aca="false">IFERROR(IF(ISNUMBER(INDEX(Registro!$AA$371:$AA$400,MATCH($A32,Registro!$A$371:$A$400,0))),DV$5,0),0)</f>
        <v>0</v>
      </c>
      <c r="DW32" s="0" t="n">
        <f aca="false">IFERROR(IF(ISNUMBER(INDEX(Registro!$I$407:$I$436,MATCH($A32,Registro!$A$407:$A$436,0))),DW$5,0),0)</f>
        <v>0</v>
      </c>
      <c r="DX32" s="0" t="n">
        <f aca="false">IFERROR(IF(ISNUMBER(INDEX(Registro!$O$407:$O$436,MATCH($A32,Registro!$A$407:$A$436,0))),DX$5,0),0)</f>
        <v>0</v>
      </c>
      <c r="DY32" s="0" t="n">
        <f aca="false">IFERROR(IF(ISNUMBER(INDEX(Registro!$U$407:$U$436,MATCH($A32,Registro!$A$407:$A$436,0))),DY$5,0),0)</f>
        <v>0</v>
      </c>
      <c r="DZ32" s="0" t="n">
        <f aca="false">IFERROR(IF(ISNUMBER(INDEX(Registro!$AA$407:$AA$436,MATCH($A32,Registro!$A$407:$A$436,0))),DZ$5,0),0)</f>
        <v>0</v>
      </c>
      <c r="EA32" s="0" t="n">
        <f aca="false">IFERROR(IF(ISNUMBER(INDEX(Registro!$I$443:$I$472,MATCH($A32,Registro!$A$443:$A$472,0))),EA$5,0),0)</f>
        <v>0</v>
      </c>
      <c r="EB32" s="0" t="n">
        <f aca="false">IFERROR(IF(ISNUMBER(INDEX(Registro!$O$443:$O$472,MATCH($A32,Registro!$A$443:$A$472,0))),EB$5,0),0)</f>
        <v>0</v>
      </c>
      <c r="EC32" s="0" t="n">
        <f aca="false">IFERROR(IF(ISNUMBER(INDEX(Registro!$U$443:$U$472,MATCH($A32,Registro!$A$443:$A$472,0))),EC$5,0),0)</f>
        <v>0</v>
      </c>
      <c r="ED32" s="0" t="n">
        <f aca="false">IFERROR(IF(ISNUMBER(INDEX(Registro!$AA$443:$AA$472,MATCH($A32,Registro!$A$443:$A$472,0))),ED$5,0),0)</f>
        <v>0</v>
      </c>
      <c r="EE32" s="0" t="n">
        <f aca="false">IFERROR(IF(ISNUMBER(INDEX(Registro!$I$479:$I$508,MATCH($A32,Registro!$A$479:$A$508,0))),EE$5,0),0)</f>
        <v>0</v>
      </c>
      <c r="EF32" s="0" t="n">
        <f aca="false">IFERROR(IF(ISNUMBER(INDEX(Registro!$O$479:$O$508,MATCH($A32,Registro!$A$479:$A$508,0))),EF$5,0),0)</f>
        <v>0</v>
      </c>
      <c r="EG32" s="0" t="n">
        <f aca="false">IFERROR(IF(ISNUMBER(INDEX(Registro!$U$479:$U$508,MATCH($A32,Registro!$A$479:$A$508,0))),EG$5,0),0)</f>
        <v>0</v>
      </c>
      <c r="EH32" s="0" t="n">
        <f aca="false">IFERROR(IF(ISNUMBER(INDEX(Registro!$AA$479:$AA$508,MATCH($A32,Registro!$A$479:$A$508,0))),EH$5,0),0)</f>
        <v>0</v>
      </c>
      <c r="EI32" s="0" t="n">
        <f aca="false">IFERROR(IF(ISNUMBER(INDEX(Registro!$I$515:$I$544,MATCH($A32,Registro!$A$515:$A$544,0))),EI$5,0),0)</f>
        <v>0</v>
      </c>
      <c r="EJ32" s="0" t="n">
        <f aca="false">IFERROR(IF(ISNUMBER(INDEX(Registro!$O$515:$O$544,MATCH($A32,Registro!$A$515:$A$544,0))),EJ$5,0),0)</f>
        <v>0</v>
      </c>
      <c r="EK32" s="0" t="n">
        <f aca="false">IFERROR(IF(ISNUMBER(INDEX(Registro!$U$515:$U$544,MATCH($A32,Registro!$A$515:$A$544,0))),EK$5,0),0)</f>
        <v>0</v>
      </c>
      <c r="EL32" s="0" t="n">
        <f aca="false">IFERROR(IF(ISNUMBER(INDEX(Registro!$AA$515:$AA$544,MATCH($A32,Registro!$A$515:$A$544,0))),EL$5,0),0)</f>
        <v>0</v>
      </c>
      <c r="EM32" s="0" t="n">
        <f aca="false">IFERROR(IF(ISNUMBER(INDEX(Registro!$I$551:$I$580,MATCH($A32,Registro!$A$551:$A$580,0))),EM$5,0),0)</f>
        <v>0</v>
      </c>
      <c r="EN32" s="0" t="n">
        <f aca="false">IFERROR(IF(ISNUMBER(INDEX(Registro!$O$551:$O$580,MATCH($A32,Registro!$A$551:$A$580,0))),EN$5,0),0)</f>
        <v>0</v>
      </c>
      <c r="EO32" s="0" t="n">
        <f aca="false">IFERROR(IF(ISNUMBER(INDEX(Registro!$U$551:$U$580,MATCH($A32,Registro!$A$551:$A$580,0))),EO$5,0),0)</f>
        <v>0</v>
      </c>
      <c r="EP32" s="0" t="n">
        <f aca="false">IFERROR(IF(ISNUMBER(INDEX(Registro!$AA$551:$AA$580,MATCH($A32,Registro!$A$551:$A$580,0))),EP$5,0),0)</f>
        <v>0</v>
      </c>
      <c r="EQ32" s="0" t="n">
        <f aca="false">IFERROR(IF(ISNUMBER(INDEX(Registro!$I$587:$I$616,MATCH($A32,Registro!$A$587:$A$616,0))),EQ$5,0),0)</f>
        <v>0</v>
      </c>
      <c r="ER32" s="0" t="n">
        <f aca="false">IFERROR(IF(ISNUMBER(INDEX(Registro!$O$587:$O$616,MATCH($A32,Registro!$A$587:$A$616,0))),ER$5,0),0)</f>
        <v>0</v>
      </c>
      <c r="ES32" s="0" t="n">
        <f aca="false">IFERROR(IF(ISNUMBER(INDEX(Registro!$U$587:$U$616,MATCH($A32,Registro!$A$587:$A$616,0))),ES$5,0),0)</f>
        <v>0</v>
      </c>
      <c r="ET32" s="0" t="n">
        <f aca="false">IFERROR(IF(ISNUMBER(INDEX(Registro!$AA$587:$AA$616,MATCH($A32,Registro!$A$587:$A$616,0))),ET$5,0),0)</f>
        <v>0</v>
      </c>
      <c r="EU32" s="0" t="n">
        <f aca="false">IFERROR(IF(ISNUMBER(INDEX(Registro!$I$623:$I$652,MATCH($A32,Registro!$A$623:$A$652,0))),EU$5,0),0)</f>
        <v>0</v>
      </c>
      <c r="EV32" s="0" t="n">
        <f aca="false">IFERROR(IF(ISNUMBER(INDEX(Registro!$O$623:$O$652,MATCH($A32,Registro!$A$623:$A$652,0))),EV$5,0),0)</f>
        <v>0</v>
      </c>
      <c r="EW32" s="0" t="n">
        <f aca="false">IFERROR(IF(ISNUMBER(INDEX(Registro!$U$623:$U$652,MATCH($A32,Registro!$A$623:$A$652,0))),EW$5,0),0)</f>
        <v>0</v>
      </c>
      <c r="EX32" s="0" t="n">
        <f aca="false">IFERROR(IF(ISNUMBER(INDEX(Registro!$AA$623:$AA$652,MATCH($A32,Registro!$A$623:$A$652,0))),EX$5,0),0)</f>
        <v>0</v>
      </c>
      <c r="EY32" s="0" t="n">
        <f aca="false">IFERROR(IF(ISNUMBER(INDEX(Registro!$I$659:$I$688,MATCH($A32,Registro!$A$659:$A$688,0))),EY$5,0),0)</f>
        <v>0</v>
      </c>
      <c r="EZ32" s="0" t="n">
        <f aca="false">IFERROR(IF(ISNUMBER(INDEX(Registro!$O$659:$O$688,MATCH($A32,Registro!$A$659:$A$688,0))),EZ$5,0),0)</f>
        <v>0</v>
      </c>
      <c r="FA32" s="0" t="n">
        <f aca="false">IFERROR(IF(ISNUMBER(INDEX(Registro!$U$659:$U$688,MATCH($A32,Registro!$A$659:$A$688,0))),FA$5,0),0)</f>
        <v>0</v>
      </c>
      <c r="FB32" s="0" t="n">
        <f aca="false">IFERROR(IF(ISNUMBER(INDEX(Registro!$AA$659:$AA$688,MATCH($A32,Registro!$A$659:$A$688,0))),FB$5,0),0)</f>
        <v>0</v>
      </c>
      <c r="FC32" s="0" t="n">
        <f aca="false">IFERROR(IF(ISNUMBER(INDEX(Registro!$I$695:$I$724,MATCH($A32,Registro!$A$695:$A$724,0))),FC$5,0),0)</f>
        <v>0</v>
      </c>
      <c r="FD32" s="0" t="n">
        <f aca="false">IFERROR(IF(ISNUMBER(INDEX(Registro!$O$695:$O$724,MATCH($A32,Registro!$A$695:$A$724,0))),FD$5,0),0)</f>
        <v>0</v>
      </c>
      <c r="FE32" s="0" t="n">
        <f aca="false">IFERROR(IF(ISNUMBER(INDEX(Registro!$U$695:$U$724,MATCH($A32,Registro!$A$695:$A$724,0))),FE$5,0),0)</f>
        <v>0</v>
      </c>
      <c r="FF32" s="0" t="n">
        <f aca="false">IFERROR(IF(ISNUMBER(INDEX(Registro!$AA$695:$AA$724,MATCH($A32,Registro!$A$695:$A$724,0))),FF$5,0),0)</f>
        <v>0</v>
      </c>
      <c r="FG32" s="0" t="n">
        <f aca="false">IFERROR(IF(AND(INDEX(Registro!$C$11:$C$40,MATCH($A32,Registro!$A$11:$A$40,0))="AS",INDEX(Registro!$D$11:$D$40,MATCH($A32,Registro!$A$11:$A$40,0))&amp;""=""),1,0),0)</f>
        <v>0</v>
      </c>
      <c r="FH32" s="0" t="n">
        <f aca="false">IFERROR(IF(AND(INDEX(Registro!$C$47:$C$76,MATCH($A32,Registro!$A$47:$A$76,0))="AS",INDEX(Registro!$D$47:$D$76,MATCH($A32,Registro!$A$47:$A$76,0))&amp;""=""),1,0),0)</f>
        <v>0</v>
      </c>
      <c r="FI32" s="0" t="n">
        <f aca="false">IFERROR(IF(AND(INDEX(Registro!$C$83:$C$112,MATCH($A32,Registro!$A$83:$A$112,0))="AS",INDEX(Registro!$D$83:$D$112,MATCH($A32,Registro!$A$83:$A$112,0))&amp;""=""),1,0),0)</f>
        <v>0</v>
      </c>
      <c r="FJ32" s="0" t="n">
        <f aca="false">IFERROR(IF(AND(INDEX(Registro!$C$119:$C$148,MATCH($A32,Registro!$A$119:$A$148,0))="AS",INDEX(Registro!$D$119:$D$148,MATCH($A32,Registro!$A$119:$A$148,0))&amp;""=""),1,0),0)</f>
        <v>0</v>
      </c>
      <c r="FK32" s="0" t="n">
        <f aca="false">IFERROR(IF(AND(INDEX(Registro!$C$155:$C$184,MATCH($A32,Registro!$A$155:$A$184,0))="AS",INDEX(Registro!$D$155:$D$184,MATCH($A32,Registro!$A$155:$A$184,0))&amp;""=""),1,0),0)</f>
        <v>0</v>
      </c>
      <c r="FL32" s="0" t="n">
        <f aca="false">IFERROR(IF(AND(INDEX(Registro!$C$191:$C$220,MATCH($A32,Registro!$A$191:$A$220,0))="AS",INDEX(Registro!$D$191:$D$220,MATCH($A32,Registro!$A$191:$A$220,0))&amp;""=""),1,0),0)</f>
        <v>0</v>
      </c>
      <c r="FM32" s="0" t="n">
        <f aca="false">IFERROR(IF(AND(INDEX(Registro!$C$227:$C$256,MATCH($A32,Registro!$A$227:$A$256,0))="AS",INDEX(Registro!$D$227:$D$256,MATCH($A32,Registro!$A$227:$A$256,0))&amp;""=""),1,0),0)</f>
        <v>0</v>
      </c>
      <c r="FN32" s="0" t="n">
        <f aca="false">IFERROR(IF(AND(INDEX(Registro!$C$263:$C$292,MATCH($A32,Registro!$A$263:$A$292,0))="AS",INDEX(Registro!$D$263:$D$292,MATCH($A32,Registro!$A$263:$A$292,0))&amp;""=""),1,0),0)</f>
        <v>0</v>
      </c>
      <c r="FO32" s="0" t="n">
        <f aca="false">IFERROR(IF(AND(INDEX(Registro!$C$299:$C$328,MATCH($A32,Registro!$A$299:$A$328,0))="AS",INDEX(Registro!$D$299:$D$328,MATCH($A32,Registro!$A$299:$A$328,0))&amp;""=""),1,0),0)</f>
        <v>0</v>
      </c>
      <c r="FP32" s="0" t="n">
        <f aca="false">IFERROR(IF(AND(INDEX(Registro!$C$335:$C$364,MATCH($A32,Registro!$A$335:$A$364,0))="AS",INDEX(Registro!$D$335:$D$364,MATCH($A32,Registro!$A$335:$A$364,0))&amp;""=""),1,0),0)</f>
        <v>0</v>
      </c>
      <c r="FQ32" s="0" t="n">
        <f aca="false">IFERROR(IF(AND(INDEX(Registro!$C$371:$C$400,MATCH($A32,Registro!$A$371:$A$400,0))="AS",INDEX(Registro!$D$371:$D$400,MATCH($A32,Registro!$A$371:$A$400,0))&amp;""=""),1,0),0)</f>
        <v>0</v>
      </c>
      <c r="FR32" s="0" t="n">
        <f aca="false">IFERROR(IF(AND(INDEX(Registro!$C$407:$C$436,MATCH($A32,Registro!$A$407:$A$436,0))="AS",INDEX(Registro!$D$407:$D$436,MATCH($A32,Registro!$A$407:$A$436,0))&amp;""=""),1,0),0)</f>
        <v>0</v>
      </c>
      <c r="FS32" s="0" t="n">
        <f aca="false">IFERROR(IF(AND(INDEX(Registro!$C$443:$C$472,MATCH($A32,Registro!$A$443:$A$472,0))="AS",INDEX(Registro!$D$443:$D$472,MATCH($A32,Registro!$A$443:$A$472,0))&amp;""=""),1,0),0)</f>
        <v>0</v>
      </c>
      <c r="FT32" s="0" t="n">
        <f aca="false">IFERROR(IF(AND(INDEX(Registro!$C$479:$C$508,MATCH($A32,Registro!$A$479:$A$508,0))="AS",INDEX(Registro!$D$479:$D$508,MATCH($A32,Registro!$A$479:$A$508,0))&amp;""=""),1,0),0)</f>
        <v>0</v>
      </c>
      <c r="FU32" s="0" t="n">
        <f aca="false">IFERROR(IF(AND(INDEX(Registro!$C$515:$C$544,MATCH($A32,Registro!$A$515:$A$544,0))="AS",INDEX(Registro!$D$515:$D$544,MATCH($A32,Registro!$A$515:$A$544,0))&amp;""=""),1,0),0)</f>
        <v>0</v>
      </c>
      <c r="FV32" s="0" t="n">
        <f aca="false">IFERROR(IF(AND(INDEX(Registro!$C$551:$C$580,MATCH($A32,Registro!$A$551:$A$580,0))="AS",INDEX(Registro!$D$551:$D$580,MATCH($A32,Registro!$A$551:$A$580,0))&amp;""=""),1,0),0)</f>
        <v>0</v>
      </c>
      <c r="FW32" s="0" t="n">
        <f aca="false">IFERROR(IF(AND(INDEX(Registro!$C$587:$C$616,MATCH($A32,Registro!$A$587:$A$616,0))="AS",INDEX(Registro!$D$587:$D$616,MATCH($A32,Registro!$A$587:$A$616,0))&amp;""=""),1,0),0)</f>
        <v>0</v>
      </c>
      <c r="FX32" s="0" t="n">
        <f aca="false">IFERROR(IF(AND(INDEX(Registro!$C$623:$C$652,MATCH($A32,Registro!$A$623:$A$652,0))="AS",INDEX(Registro!$D$623:$D$652,MATCH($A32,Registro!$A$623:$A$652,0))&amp;""=""),1,0),0)</f>
        <v>0</v>
      </c>
      <c r="FY32" s="0" t="n">
        <f aca="false">IFERROR(IF(AND(INDEX(Registro!$C$659:$C$688,MATCH($A32,Registro!$A$659:$A$688,0))="AS",INDEX(Registro!$D$659:$D$688,MATCH($A32,Registro!$A$659:$A$688,0))&amp;""=""),1,0),0)</f>
        <v>0</v>
      </c>
      <c r="FZ32" s="0" t="n">
        <f aca="false">IFERROR(IF(AND(INDEX(Registro!$C$695:$C$724,MATCH($A32,Registro!$A$695:$A$724,0))="AS",INDEX(Registro!$D$695:$D$724,MATCH($A32,Registro!$A$695:$A$724,0))&amp;""=""),1,0),0)</f>
        <v>0</v>
      </c>
    </row>
    <row r="33" customFormat="false" ht="15" hidden="false" customHeight="false" outlineLevel="0" collapsed="false">
      <c r="A33" s="0" t="n">
        <v>27</v>
      </c>
      <c r="C33" s="0" t="n">
        <f aca="false">IFERROR(N(INDEX(Registro!$I$11:$I$40,MATCH($A33,Registro!$A$11:$A$40,0))),0)</f>
        <v>0</v>
      </c>
      <c r="D33" s="0" t="n">
        <f aca="false">IFERROR(N(INDEX(Registro!$O$11:$O$40,MATCH($A33,Registro!$A$11:$A$40,0))),0)</f>
        <v>0</v>
      </c>
      <c r="E33" s="0" t="n">
        <f aca="false">IFERROR(N(INDEX(Registro!$U$11:$U$40,MATCH($A33,Registro!$A$11:$A$40,0))),0)</f>
        <v>0</v>
      </c>
      <c r="F33" s="0" t="n">
        <f aca="false">IFERROR(N(INDEX(Registro!$AA$11:$AA$40,MATCH($A33,Registro!$A$11:$A$40,0))),0)</f>
        <v>0</v>
      </c>
      <c r="G33" s="0" t="n">
        <f aca="false">IFERROR(N(INDEX(Registro!$I$47:$I$76,MATCH($A33,Registro!$A$47:$A$76,0))),0)</f>
        <v>0</v>
      </c>
      <c r="H33" s="0" t="n">
        <f aca="false">IFERROR(N(INDEX(Registro!$O$47:$O$76,MATCH($A33,Registro!$A$47:$A$76,0))),0)</f>
        <v>0</v>
      </c>
      <c r="I33" s="0" t="n">
        <f aca="false">IFERROR(N(INDEX(Registro!$U$47:$U$76,MATCH($A33,Registro!$A$47:$A$76,0))),0)</f>
        <v>0</v>
      </c>
      <c r="J33" s="0" t="n">
        <f aca="false">IFERROR(N(INDEX(Registro!$AA$47:$AA$76,MATCH($A33,Registro!$A$47:$A$76,0))),0)</f>
        <v>0</v>
      </c>
      <c r="K33" s="0" t="n">
        <f aca="false">IFERROR(N(INDEX(Registro!$I$83:$I$112,MATCH($A33,Registro!$A$83:$A$112,0))),0)</f>
        <v>0</v>
      </c>
      <c r="L33" s="0" t="n">
        <f aca="false">IFERROR(N(INDEX(Registro!$O$83:$O$112,MATCH($A33,Registro!$A$83:$A$112,0))),0)</f>
        <v>0</v>
      </c>
      <c r="M33" s="0" t="n">
        <f aca="false">IFERROR(N(INDEX(Registro!$U$83:$U$112,MATCH($A33,Registro!$A$83:$A$112,0))),0)</f>
        <v>0</v>
      </c>
      <c r="N33" s="0" t="n">
        <f aca="false">IFERROR(N(INDEX(Registro!$AA$83:$AA$112,MATCH($A33,Registro!$A$83:$A$112,0))),0)</f>
        <v>0</v>
      </c>
      <c r="O33" s="0" t="n">
        <f aca="false">IFERROR(N(INDEX(Registro!$I$119:$I$148,MATCH($A33,Registro!$A$119:$A$148,0))),0)</f>
        <v>0</v>
      </c>
      <c r="P33" s="0" t="n">
        <f aca="false">IFERROR(N(INDEX(Registro!$O$119:$O$148,MATCH($A33,Registro!$A$119:$A$148,0))),0)</f>
        <v>0</v>
      </c>
      <c r="Q33" s="0" t="n">
        <f aca="false">IFERROR(N(INDEX(Registro!$U$119:$U$148,MATCH($A33,Registro!$A$119:$A$148,0))),0)</f>
        <v>0</v>
      </c>
      <c r="R33" s="0" t="n">
        <f aca="false">IFERROR(N(INDEX(Registro!$AA$119:$AA$148,MATCH($A33,Registro!$A$119:$A$148,0))),0)</f>
        <v>0</v>
      </c>
      <c r="S33" s="0" t="n">
        <f aca="false">IFERROR(N(INDEX(Registro!$I$155:$I$184,MATCH($A33,Registro!$A$155:$A$184,0))),0)</f>
        <v>0</v>
      </c>
      <c r="T33" s="0" t="n">
        <f aca="false">IFERROR(N(INDEX(Registro!$O$155:$O$184,MATCH($A33,Registro!$A$155:$A$184,0))),0)</f>
        <v>0</v>
      </c>
      <c r="U33" s="0" t="n">
        <f aca="false">IFERROR(N(INDEX(Registro!$U$155:$U$184,MATCH($A33,Registro!$A$155:$A$184,0))),0)</f>
        <v>0</v>
      </c>
      <c r="V33" s="0" t="n">
        <f aca="false">IFERROR(N(INDEX(Registro!$AA$155:$AA$184,MATCH($A33,Registro!$A$155:$A$184,0))),0)</f>
        <v>0</v>
      </c>
      <c r="W33" s="0" t="n">
        <f aca="false">IFERROR(N(INDEX(Registro!$I$191:$I$220,MATCH($A33,Registro!$A$191:$A$220,0))),0)</f>
        <v>0</v>
      </c>
      <c r="X33" s="0" t="n">
        <f aca="false">IFERROR(N(INDEX(Registro!$O$191:$O$220,MATCH($A33,Registro!$A$191:$A$220,0))),0)</f>
        <v>0</v>
      </c>
      <c r="Y33" s="0" t="n">
        <f aca="false">IFERROR(N(INDEX(Registro!$U$191:$U$220,MATCH($A33,Registro!$A$191:$A$220,0))),0)</f>
        <v>0</v>
      </c>
      <c r="Z33" s="0" t="n">
        <f aca="false">IFERROR(N(INDEX(Registro!$AA$191:$AA$220,MATCH($A33,Registro!$A$191:$A$220,0))),0)</f>
        <v>0</v>
      </c>
      <c r="AA33" s="0" t="n">
        <f aca="false">IFERROR(N(INDEX(Registro!$I$227:$I$256,MATCH($A33,Registro!$A$227:$A$256,0))),0)</f>
        <v>0</v>
      </c>
      <c r="AB33" s="0" t="n">
        <f aca="false">IFERROR(N(INDEX(Registro!$O$227:$O$256,MATCH($A33,Registro!$A$227:$A$256,0))),0)</f>
        <v>0</v>
      </c>
      <c r="AC33" s="0" t="n">
        <f aca="false">IFERROR(N(INDEX(Registro!$U$227:$U$256,MATCH($A33,Registro!$A$227:$A$256,0))),0)</f>
        <v>0</v>
      </c>
      <c r="AD33" s="0" t="n">
        <f aca="false">IFERROR(N(INDEX(Registro!$AA$227:$AA$256,MATCH($A33,Registro!$A$227:$A$256,0))),0)</f>
        <v>0</v>
      </c>
      <c r="AE33" s="0" t="n">
        <f aca="false">IFERROR(N(INDEX(Registro!$I$263:$I$292,MATCH($A33,Registro!$A$263:$A$292,0))),0)</f>
        <v>0</v>
      </c>
      <c r="AF33" s="0" t="n">
        <f aca="false">IFERROR(N(INDEX(Registro!$O$263:$O$292,MATCH($A33,Registro!$A$263:$A$292,0))),0)</f>
        <v>0</v>
      </c>
      <c r="AG33" s="0" t="n">
        <f aca="false">IFERROR(N(INDEX(Registro!$U$263:$U$292,MATCH($A33,Registro!$A$263:$A$292,0))),0)</f>
        <v>0</v>
      </c>
      <c r="AH33" s="0" t="n">
        <f aca="false">IFERROR(N(INDEX(Registro!$AA$263:$AA$292,MATCH($A33,Registro!$A$263:$A$292,0))),0)</f>
        <v>0</v>
      </c>
      <c r="AI33" s="0" t="n">
        <f aca="false">IFERROR(N(INDEX(Registro!$I$299:$I$328,MATCH($A33,Registro!$A$299:$A$328,0))),0)</f>
        <v>0</v>
      </c>
      <c r="AJ33" s="0" t="n">
        <f aca="false">IFERROR(N(INDEX(Registro!$O$299:$O$328,MATCH($A33,Registro!$A$299:$A$328,0))),0)</f>
        <v>0</v>
      </c>
      <c r="AK33" s="0" t="n">
        <f aca="false">IFERROR(N(INDEX(Registro!$U$299:$U$328,MATCH($A33,Registro!$A$299:$A$328,0))),0)</f>
        <v>0</v>
      </c>
      <c r="AL33" s="0" t="n">
        <f aca="false">IFERROR(N(INDEX(Registro!$AA$299:$AA$328,MATCH($A33,Registro!$A$299:$A$328,0))),0)</f>
        <v>0</v>
      </c>
      <c r="AM33" s="0" t="n">
        <f aca="false">IFERROR(N(INDEX(Registro!$I$335:$I$364,MATCH($A33,Registro!$A$335:$A$364,0))),0)</f>
        <v>0</v>
      </c>
      <c r="AN33" s="0" t="n">
        <f aca="false">IFERROR(N(INDEX(Registro!$O$335:$O$364,MATCH($A33,Registro!$A$335:$A$364,0))),0)</f>
        <v>0</v>
      </c>
      <c r="AO33" s="0" t="n">
        <f aca="false">IFERROR(N(INDEX(Registro!$U$335:$U$364,MATCH($A33,Registro!$A$335:$A$364,0))),0)</f>
        <v>0</v>
      </c>
      <c r="AP33" s="0" t="n">
        <f aca="false">IFERROR(N(INDEX(Registro!$AA$335:$AA$364,MATCH($A33,Registro!$A$335:$A$364,0))),0)</f>
        <v>0</v>
      </c>
      <c r="AQ33" s="0" t="n">
        <f aca="false">IFERROR(N(INDEX(Registro!$I$371:$I$400,MATCH($A33,Registro!$A$371:$A$400,0))),0)</f>
        <v>0</v>
      </c>
      <c r="AR33" s="0" t="n">
        <f aca="false">IFERROR(N(INDEX(Registro!$O$371:$O$400,MATCH($A33,Registro!$A$371:$A$400,0))),0)</f>
        <v>0</v>
      </c>
      <c r="AS33" s="0" t="n">
        <f aca="false">IFERROR(N(INDEX(Registro!$U$371:$U$400,MATCH($A33,Registro!$A$371:$A$400,0))),0)</f>
        <v>0</v>
      </c>
      <c r="AT33" s="0" t="n">
        <f aca="false">IFERROR(N(INDEX(Registro!$AA$371:$AA$400,MATCH($A33,Registro!$A$371:$A$400,0))),0)</f>
        <v>0</v>
      </c>
      <c r="AU33" s="0" t="n">
        <f aca="false">IFERROR(N(INDEX(Registro!$I$407:$I$436,MATCH($A33,Registro!$A$407:$A$436,0))),0)</f>
        <v>0</v>
      </c>
      <c r="AV33" s="0" t="n">
        <f aca="false">IFERROR(N(INDEX(Registro!$O$407:$O$436,MATCH($A33,Registro!$A$407:$A$436,0))),0)</f>
        <v>0</v>
      </c>
      <c r="AW33" s="0" t="n">
        <f aca="false">IFERROR(N(INDEX(Registro!$U$407:$U$436,MATCH($A33,Registro!$A$407:$A$436,0))),0)</f>
        <v>0</v>
      </c>
      <c r="AX33" s="0" t="n">
        <f aca="false">IFERROR(N(INDEX(Registro!$AA$407:$AA$436,MATCH($A33,Registro!$A$407:$A$436,0))),0)</f>
        <v>0</v>
      </c>
      <c r="AY33" s="0" t="n">
        <f aca="false">IFERROR(N(INDEX(Registro!$I$443:$I$472,MATCH($A33,Registro!$A$443:$A$472,0))),0)</f>
        <v>0</v>
      </c>
      <c r="AZ33" s="0" t="n">
        <f aca="false">IFERROR(N(INDEX(Registro!$O$443:$O$472,MATCH($A33,Registro!$A$443:$A$472,0))),0)</f>
        <v>0</v>
      </c>
      <c r="BA33" s="0" t="n">
        <f aca="false">IFERROR(N(INDEX(Registro!$U$443:$U$472,MATCH($A33,Registro!$A$443:$A$472,0))),0)</f>
        <v>0</v>
      </c>
      <c r="BB33" s="0" t="n">
        <f aca="false">IFERROR(N(INDEX(Registro!$AA$443:$AA$472,MATCH($A33,Registro!$A$443:$A$472,0))),0)</f>
        <v>0</v>
      </c>
      <c r="BC33" s="0" t="n">
        <f aca="false">IFERROR(N(INDEX(Registro!$I$479:$I$508,MATCH($A33,Registro!$A$479:$A$508,0))),0)</f>
        <v>0</v>
      </c>
      <c r="BD33" s="0" t="n">
        <f aca="false">IFERROR(N(INDEX(Registro!$O$479:$O$508,MATCH($A33,Registro!$A$479:$A$508,0))),0)</f>
        <v>0</v>
      </c>
      <c r="BE33" s="0" t="n">
        <f aca="false">IFERROR(N(INDEX(Registro!$U$479:$U$508,MATCH($A33,Registro!$A$479:$A$508,0))),0)</f>
        <v>0</v>
      </c>
      <c r="BF33" s="0" t="n">
        <f aca="false">IFERROR(N(INDEX(Registro!$AA$479:$AA$508,MATCH($A33,Registro!$A$479:$A$508,0))),0)</f>
        <v>0</v>
      </c>
      <c r="BG33" s="0" t="n">
        <f aca="false">IFERROR(N(INDEX(Registro!$I$515:$I$544,MATCH($A33,Registro!$A$515:$A$544,0))),0)</f>
        <v>0</v>
      </c>
      <c r="BH33" s="0" t="n">
        <f aca="false">IFERROR(N(INDEX(Registro!$O$515:$O$544,MATCH($A33,Registro!$A$515:$A$544,0))),0)</f>
        <v>0</v>
      </c>
      <c r="BI33" s="0" t="n">
        <f aca="false">IFERROR(N(INDEX(Registro!$U$515:$U$544,MATCH($A33,Registro!$A$515:$A$544,0))),0)</f>
        <v>0</v>
      </c>
      <c r="BJ33" s="0" t="n">
        <f aca="false">IFERROR(N(INDEX(Registro!$AA$515:$AA$544,MATCH($A33,Registro!$A$515:$A$544,0))),0)</f>
        <v>0</v>
      </c>
      <c r="BK33" s="0" t="n">
        <f aca="false">IFERROR(N(INDEX(Registro!$I$551:$I$580,MATCH($A33,Registro!$A$551:$A$580,0))),0)</f>
        <v>0</v>
      </c>
      <c r="BL33" s="0" t="n">
        <f aca="false">IFERROR(N(INDEX(Registro!$O$551:$O$580,MATCH($A33,Registro!$A$551:$A$580,0))),0)</f>
        <v>0</v>
      </c>
      <c r="BM33" s="0" t="n">
        <f aca="false">IFERROR(N(INDEX(Registro!$U$551:$U$580,MATCH($A33,Registro!$A$551:$A$580,0))),0)</f>
        <v>0</v>
      </c>
      <c r="BN33" s="0" t="n">
        <f aca="false">IFERROR(N(INDEX(Registro!$AA$551:$AA$580,MATCH($A33,Registro!$A$551:$A$580,0))),0)</f>
        <v>0</v>
      </c>
      <c r="BO33" s="0" t="n">
        <f aca="false">IFERROR(N(INDEX(Registro!$I$587:$I$616,MATCH($A33,Registro!$A$587:$A$616,0))),0)</f>
        <v>0</v>
      </c>
      <c r="BP33" s="0" t="n">
        <f aca="false">IFERROR(N(INDEX(Registro!$O$587:$O$616,MATCH($A33,Registro!$A$587:$A$616,0))),0)</f>
        <v>0</v>
      </c>
      <c r="BQ33" s="0" t="n">
        <f aca="false">IFERROR(N(INDEX(Registro!$U$587:$U$616,MATCH($A33,Registro!$A$587:$A$616,0))),0)</f>
        <v>0</v>
      </c>
      <c r="BR33" s="0" t="n">
        <f aca="false">IFERROR(N(INDEX(Registro!$AA$587:$AA$616,MATCH($A33,Registro!$A$587:$A$616,0))),0)</f>
        <v>0</v>
      </c>
      <c r="BS33" s="0" t="n">
        <f aca="false">IFERROR(N(INDEX(Registro!$I$623:$I$652,MATCH($A33,Registro!$A$623:$A$652,0))),0)</f>
        <v>0</v>
      </c>
      <c r="BT33" s="0" t="n">
        <f aca="false">IFERROR(N(INDEX(Registro!$O$623:$O$652,MATCH($A33,Registro!$A$623:$A$652,0))),0)</f>
        <v>0</v>
      </c>
      <c r="BU33" s="0" t="n">
        <f aca="false">IFERROR(N(INDEX(Registro!$U$623:$U$652,MATCH($A33,Registro!$A$623:$A$652,0))),0)</f>
        <v>0</v>
      </c>
      <c r="BV33" s="0" t="n">
        <f aca="false">IFERROR(N(INDEX(Registro!$AA$623:$AA$652,MATCH($A33,Registro!$A$623:$A$652,0))),0)</f>
        <v>0</v>
      </c>
      <c r="BW33" s="0" t="n">
        <f aca="false">IFERROR(N(INDEX(Registro!$I$659:$I$688,MATCH($A33,Registro!$A$659:$A$688,0))),0)</f>
        <v>0</v>
      </c>
      <c r="BX33" s="0" t="n">
        <f aca="false">IFERROR(N(INDEX(Registro!$O$659:$O$688,MATCH($A33,Registro!$A$659:$A$688,0))),0)</f>
        <v>0</v>
      </c>
      <c r="BY33" s="0" t="n">
        <f aca="false">IFERROR(N(INDEX(Registro!$U$659:$U$688,MATCH($A33,Registro!$A$659:$A$688,0))),0)</f>
        <v>0</v>
      </c>
      <c r="BZ33" s="0" t="n">
        <f aca="false">IFERROR(N(INDEX(Registro!$AA$659:$AA$688,MATCH($A33,Registro!$A$659:$A$688,0))),0)</f>
        <v>0</v>
      </c>
      <c r="CA33" s="0" t="n">
        <f aca="false">IFERROR(N(INDEX(Registro!$I$695:$I$724,MATCH($A33,Registro!$A$695:$A$724,0))),0)</f>
        <v>0</v>
      </c>
      <c r="CB33" s="0" t="n">
        <f aca="false">IFERROR(N(INDEX(Registro!$O$695:$O$724,MATCH($A33,Registro!$A$695:$A$724,0))),0)</f>
        <v>0</v>
      </c>
      <c r="CC33" s="0" t="n">
        <f aca="false">IFERROR(N(INDEX(Registro!$U$695:$U$724,MATCH($A33,Registro!$A$695:$A$724,0))),0)</f>
        <v>0</v>
      </c>
      <c r="CD33" s="0" t="n">
        <f aca="false">IFERROR(N(INDEX(Registro!$AA$695:$AA$724,MATCH($A33,Registro!$A$695:$A$724,0))),0)</f>
        <v>0</v>
      </c>
      <c r="CE33" s="0" t="n">
        <f aca="false">IFERROR(IF(ISNUMBER(INDEX(Registro!$I$11:$I$40,MATCH($A33,Registro!$A$11:$A$40,0))),CE$5,0),0)</f>
        <v>0</v>
      </c>
      <c r="CF33" s="0" t="n">
        <f aca="false">IFERROR(IF(ISNUMBER(INDEX(Registro!$O$11:$O$40,MATCH($A33,Registro!$A$11:$A$40,0))),CF$5,0),0)</f>
        <v>0</v>
      </c>
      <c r="CG33" s="0" t="n">
        <f aca="false">IFERROR(IF(ISNUMBER(INDEX(Registro!$U$11:$U$40,MATCH($A33,Registro!$A$11:$A$40,0))),CG$5,0),0)</f>
        <v>0</v>
      </c>
      <c r="CH33" s="0" t="n">
        <f aca="false">IFERROR(IF(ISNUMBER(INDEX(Registro!$AA$11:$AA$40,MATCH($A33,Registro!$A$11:$A$40,0))),CH$5,0),0)</f>
        <v>0</v>
      </c>
      <c r="CI33" s="0" t="n">
        <f aca="false">IFERROR(IF(ISNUMBER(INDEX(Registro!$I$47:$I$76,MATCH($A33,Registro!$A$47:$A$76,0))),CI$5,0),0)</f>
        <v>0</v>
      </c>
      <c r="CJ33" s="0" t="n">
        <f aca="false">IFERROR(IF(ISNUMBER(INDEX(Registro!$O$47:$O$76,MATCH($A33,Registro!$A$47:$A$76,0))),CJ$5,0),0)</f>
        <v>0</v>
      </c>
      <c r="CK33" s="0" t="n">
        <f aca="false">IFERROR(IF(ISNUMBER(INDEX(Registro!$U$47:$U$76,MATCH($A33,Registro!$A$47:$A$76,0))),CK$5,0),0)</f>
        <v>0</v>
      </c>
      <c r="CL33" s="0" t="n">
        <f aca="false">IFERROR(IF(ISNUMBER(INDEX(Registro!$AA$47:$AA$76,MATCH($A33,Registro!$A$47:$A$76,0))),CL$5,0),0)</f>
        <v>0</v>
      </c>
      <c r="CM33" s="0" t="n">
        <f aca="false">IFERROR(IF(ISNUMBER(INDEX(Registro!$I$83:$I$112,MATCH($A33,Registro!$A$83:$A$112,0))),CM$5,0),0)</f>
        <v>0</v>
      </c>
      <c r="CN33" s="0" t="n">
        <f aca="false">IFERROR(IF(ISNUMBER(INDEX(Registro!$O$83:$O$112,MATCH($A33,Registro!$A$83:$A$112,0))),CN$5,0),0)</f>
        <v>0</v>
      </c>
      <c r="CO33" s="0" t="n">
        <f aca="false">IFERROR(IF(ISNUMBER(INDEX(Registro!$U$83:$U$112,MATCH($A33,Registro!$A$83:$A$112,0))),CO$5,0),0)</f>
        <v>0</v>
      </c>
      <c r="CP33" s="0" t="n">
        <f aca="false">IFERROR(IF(ISNUMBER(INDEX(Registro!$AA$83:$AA$112,MATCH($A33,Registro!$A$83:$A$112,0))),CP$5,0),0)</f>
        <v>0</v>
      </c>
      <c r="CQ33" s="0" t="n">
        <f aca="false">IFERROR(IF(ISNUMBER(INDEX(Registro!$I$119:$I$148,MATCH($A33,Registro!$A$119:$A$148,0))),CQ$5,0),0)</f>
        <v>0</v>
      </c>
      <c r="CR33" s="0" t="n">
        <f aca="false">IFERROR(IF(ISNUMBER(INDEX(Registro!$O$119:$O$148,MATCH($A33,Registro!$A$119:$A$148,0))),CR$5,0),0)</f>
        <v>0</v>
      </c>
      <c r="CS33" s="0" t="n">
        <f aca="false">IFERROR(IF(ISNUMBER(INDEX(Registro!$U$119:$U$148,MATCH($A33,Registro!$A$119:$A$148,0))),CS$5,0),0)</f>
        <v>0</v>
      </c>
      <c r="CT33" s="0" t="n">
        <f aca="false">IFERROR(IF(ISNUMBER(INDEX(Registro!$AA$119:$AA$148,MATCH($A33,Registro!$A$119:$A$148,0))),CT$5,0),0)</f>
        <v>0</v>
      </c>
      <c r="CU33" s="0" t="n">
        <f aca="false">IFERROR(IF(ISNUMBER(INDEX(Registro!$I$155:$I$184,MATCH($A33,Registro!$A$155:$A$184,0))),CU$5,0),0)</f>
        <v>0</v>
      </c>
      <c r="CV33" s="0" t="n">
        <f aca="false">IFERROR(IF(ISNUMBER(INDEX(Registro!$O$155:$O$184,MATCH($A33,Registro!$A$155:$A$184,0))),CV$5,0),0)</f>
        <v>0</v>
      </c>
      <c r="CW33" s="0" t="n">
        <f aca="false">IFERROR(IF(ISNUMBER(INDEX(Registro!$U$155:$U$184,MATCH($A33,Registro!$A$155:$A$184,0))),CW$5,0),0)</f>
        <v>0</v>
      </c>
      <c r="CX33" s="0" t="n">
        <f aca="false">IFERROR(IF(ISNUMBER(INDEX(Registro!$AA$155:$AA$184,MATCH($A33,Registro!$A$155:$A$184,0))),CX$5,0),0)</f>
        <v>0</v>
      </c>
      <c r="CY33" s="0" t="n">
        <f aca="false">IFERROR(IF(ISNUMBER(INDEX(Registro!$I$191:$I$220,MATCH($A33,Registro!$A$191:$A$220,0))),CY$5,0),0)</f>
        <v>0</v>
      </c>
      <c r="CZ33" s="0" t="n">
        <f aca="false">IFERROR(IF(ISNUMBER(INDEX(Registro!$O$191:$O$220,MATCH($A33,Registro!$A$191:$A$220,0))),CZ$5,0),0)</f>
        <v>0</v>
      </c>
      <c r="DA33" s="0" t="n">
        <f aca="false">IFERROR(IF(ISNUMBER(INDEX(Registro!$U$191:$U$220,MATCH($A33,Registro!$A$191:$A$220,0))),DA$5,0),0)</f>
        <v>0</v>
      </c>
      <c r="DB33" s="0" t="n">
        <f aca="false">IFERROR(IF(ISNUMBER(INDEX(Registro!$AA$191:$AA$220,MATCH($A33,Registro!$A$191:$A$220,0))),DB$5,0),0)</f>
        <v>0</v>
      </c>
      <c r="DC33" s="0" t="n">
        <f aca="false">IFERROR(IF(ISNUMBER(INDEX(Registro!$I$227:$I$256,MATCH($A33,Registro!$A$227:$A$256,0))),DC$5,0),0)</f>
        <v>0</v>
      </c>
      <c r="DD33" s="0" t="n">
        <f aca="false">IFERROR(IF(ISNUMBER(INDEX(Registro!$O$227:$O$256,MATCH($A33,Registro!$A$227:$A$256,0))),DD$5,0),0)</f>
        <v>0</v>
      </c>
      <c r="DE33" s="0" t="n">
        <f aca="false">IFERROR(IF(ISNUMBER(INDEX(Registro!$U$227:$U$256,MATCH($A33,Registro!$A$227:$A$256,0))),DE$5,0),0)</f>
        <v>0</v>
      </c>
      <c r="DF33" s="0" t="n">
        <f aca="false">IFERROR(IF(ISNUMBER(INDEX(Registro!$AA$227:$AA$256,MATCH($A33,Registro!$A$227:$A$256,0))),DF$5,0),0)</f>
        <v>0</v>
      </c>
      <c r="DG33" s="0" t="n">
        <f aca="false">IFERROR(IF(ISNUMBER(INDEX(Registro!$I$263:$I$292,MATCH($A33,Registro!$A$263:$A$292,0))),DG$5,0),0)</f>
        <v>0</v>
      </c>
      <c r="DH33" s="0" t="n">
        <f aca="false">IFERROR(IF(ISNUMBER(INDEX(Registro!$O$263:$O$292,MATCH($A33,Registro!$A$263:$A$292,0))),DH$5,0),0)</f>
        <v>0</v>
      </c>
      <c r="DI33" s="0" t="n">
        <f aca="false">IFERROR(IF(ISNUMBER(INDEX(Registro!$U$263:$U$292,MATCH($A33,Registro!$A$263:$A$292,0))),DI$5,0),0)</f>
        <v>0</v>
      </c>
      <c r="DJ33" s="0" t="n">
        <f aca="false">IFERROR(IF(ISNUMBER(INDEX(Registro!$AA$263:$AA$292,MATCH($A33,Registro!$A$263:$A$292,0))),DJ$5,0),0)</f>
        <v>0</v>
      </c>
      <c r="DK33" s="0" t="n">
        <f aca="false">IFERROR(IF(ISNUMBER(INDEX(Registro!$I$299:$I$328,MATCH($A33,Registro!$A$299:$A$328,0))),DK$5,0),0)</f>
        <v>0</v>
      </c>
      <c r="DL33" s="0" t="n">
        <f aca="false">IFERROR(IF(ISNUMBER(INDEX(Registro!$O$299:$O$328,MATCH($A33,Registro!$A$299:$A$328,0))),DL$5,0),0)</f>
        <v>0</v>
      </c>
      <c r="DM33" s="0" t="n">
        <f aca="false">IFERROR(IF(ISNUMBER(INDEX(Registro!$U$299:$U$328,MATCH($A33,Registro!$A$299:$A$328,0))),DM$5,0),0)</f>
        <v>0</v>
      </c>
      <c r="DN33" s="0" t="n">
        <f aca="false">IFERROR(IF(ISNUMBER(INDEX(Registro!$AA$299:$AA$328,MATCH($A33,Registro!$A$299:$A$328,0))),DN$5,0),0)</f>
        <v>0</v>
      </c>
      <c r="DO33" s="0" t="n">
        <f aca="false">IFERROR(IF(ISNUMBER(INDEX(Registro!$I$335:$I$364,MATCH($A33,Registro!$A$335:$A$364,0))),DO$5,0),0)</f>
        <v>0</v>
      </c>
      <c r="DP33" s="0" t="n">
        <f aca="false">IFERROR(IF(ISNUMBER(INDEX(Registro!$O$335:$O$364,MATCH($A33,Registro!$A$335:$A$364,0))),DP$5,0),0)</f>
        <v>0</v>
      </c>
      <c r="DQ33" s="0" t="n">
        <f aca="false">IFERROR(IF(ISNUMBER(INDEX(Registro!$U$335:$U$364,MATCH($A33,Registro!$A$335:$A$364,0))),DQ$5,0),0)</f>
        <v>0</v>
      </c>
      <c r="DR33" s="0" t="n">
        <f aca="false">IFERROR(IF(ISNUMBER(INDEX(Registro!$AA$335:$AA$364,MATCH($A33,Registro!$A$335:$A$364,0))),DR$5,0),0)</f>
        <v>0</v>
      </c>
      <c r="DS33" s="0" t="n">
        <f aca="false">IFERROR(IF(ISNUMBER(INDEX(Registro!$I$371:$I$400,MATCH($A33,Registro!$A$371:$A$400,0))),DS$5,0),0)</f>
        <v>0</v>
      </c>
      <c r="DT33" s="0" t="n">
        <f aca="false">IFERROR(IF(ISNUMBER(INDEX(Registro!$O$371:$O$400,MATCH($A33,Registro!$A$371:$A$400,0))),DT$5,0),0)</f>
        <v>0</v>
      </c>
      <c r="DU33" s="0" t="n">
        <f aca="false">IFERROR(IF(ISNUMBER(INDEX(Registro!$U$371:$U$400,MATCH($A33,Registro!$A$371:$A$400,0))),DU$5,0),0)</f>
        <v>0</v>
      </c>
      <c r="DV33" s="0" t="n">
        <f aca="false">IFERROR(IF(ISNUMBER(INDEX(Registro!$AA$371:$AA$400,MATCH($A33,Registro!$A$371:$A$400,0))),DV$5,0),0)</f>
        <v>0</v>
      </c>
      <c r="DW33" s="0" t="n">
        <f aca="false">IFERROR(IF(ISNUMBER(INDEX(Registro!$I$407:$I$436,MATCH($A33,Registro!$A$407:$A$436,0))),DW$5,0),0)</f>
        <v>0</v>
      </c>
      <c r="DX33" s="0" t="n">
        <f aca="false">IFERROR(IF(ISNUMBER(INDEX(Registro!$O$407:$O$436,MATCH($A33,Registro!$A$407:$A$436,0))),DX$5,0),0)</f>
        <v>0</v>
      </c>
      <c r="DY33" s="0" t="n">
        <f aca="false">IFERROR(IF(ISNUMBER(INDEX(Registro!$U$407:$U$436,MATCH($A33,Registro!$A$407:$A$436,0))),DY$5,0),0)</f>
        <v>0</v>
      </c>
      <c r="DZ33" s="0" t="n">
        <f aca="false">IFERROR(IF(ISNUMBER(INDEX(Registro!$AA$407:$AA$436,MATCH($A33,Registro!$A$407:$A$436,0))),DZ$5,0),0)</f>
        <v>0</v>
      </c>
      <c r="EA33" s="0" t="n">
        <f aca="false">IFERROR(IF(ISNUMBER(INDEX(Registro!$I$443:$I$472,MATCH($A33,Registro!$A$443:$A$472,0))),EA$5,0),0)</f>
        <v>0</v>
      </c>
      <c r="EB33" s="0" t="n">
        <f aca="false">IFERROR(IF(ISNUMBER(INDEX(Registro!$O$443:$O$472,MATCH($A33,Registro!$A$443:$A$472,0))),EB$5,0),0)</f>
        <v>0</v>
      </c>
      <c r="EC33" s="0" t="n">
        <f aca="false">IFERROR(IF(ISNUMBER(INDEX(Registro!$U$443:$U$472,MATCH($A33,Registro!$A$443:$A$472,0))),EC$5,0),0)</f>
        <v>0</v>
      </c>
      <c r="ED33" s="0" t="n">
        <f aca="false">IFERROR(IF(ISNUMBER(INDEX(Registro!$AA$443:$AA$472,MATCH($A33,Registro!$A$443:$A$472,0))),ED$5,0),0)</f>
        <v>0</v>
      </c>
      <c r="EE33" s="0" t="n">
        <f aca="false">IFERROR(IF(ISNUMBER(INDEX(Registro!$I$479:$I$508,MATCH($A33,Registro!$A$479:$A$508,0))),EE$5,0),0)</f>
        <v>0</v>
      </c>
      <c r="EF33" s="0" t="n">
        <f aca="false">IFERROR(IF(ISNUMBER(INDEX(Registro!$O$479:$O$508,MATCH($A33,Registro!$A$479:$A$508,0))),EF$5,0),0)</f>
        <v>0</v>
      </c>
      <c r="EG33" s="0" t="n">
        <f aca="false">IFERROR(IF(ISNUMBER(INDEX(Registro!$U$479:$U$508,MATCH($A33,Registro!$A$479:$A$508,0))),EG$5,0),0)</f>
        <v>0</v>
      </c>
      <c r="EH33" s="0" t="n">
        <f aca="false">IFERROR(IF(ISNUMBER(INDEX(Registro!$AA$479:$AA$508,MATCH($A33,Registro!$A$479:$A$508,0))),EH$5,0),0)</f>
        <v>0</v>
      </c>
      <c r="EI33" s="0" t="n">
        <f aca="false">IFERROR(IF(ISNUMBER(INDEX(Registro!$I$515:$I$544,MATCH($A33,Registro!$A$515:$A$544,0))),EI$5,0),0)</f>
        <v>0</v>
      </c>
      <c r="EJ33" s="0" t="n">
        <f aca="false">IFERROR(IF(ISNUMBER(INDEX(Registro!$O$515:$O$544,MATCH($A33,Registro!$A$515:$A$544,0))),EJ$5,0),0)</f>
        <v>0</v>
      </c>
      <c r="EK33" s="0" t="n">
        <f aca="false">IFERROR(IF(ISNUMBER(INDEX(Registro!$U$515:$U$544,MATCH($A33,Registro!$A$515:$A$544,0))),EK$5,0),0)</f>
        <v>0</v>
      </c>
      <c r="EL33" s="0" t="n">
        <f aca="false">IFERROR(IF(ISNUMBER(INDEX(Registro!$AA$515:$AA$544,MATCH($A33,Registro!$A$515:$A$544,0))),EL$5,0),0)</f>
        <v>0</v>
      </c>
      <c r="EM33" s="0" t="n">
        <f aca="false">IFERROR(IF(ISNUMBER(INDEX(Registro!$I$551:$I$580,MATCH($A33,Registro!$A$551:$A$580,0))),EM$5,0),0)</f>
        <v>0</v>
      </c>
      <c r="EN33" s="0" t="n">
        <f aca="false">IFERROR(IF(ISNUMBER(INDEX(Registro!$O$551:$O$580,MATCH($A33,Registro!$A$551:$A$580,0))),EN$5,0),0)</f>
        <v>0</v>
      </c>
      <c r="EO33" s="0" t="n">
        <f aca="false">IFERROR(IF(ISNUMBER(INDEX(Registro!$U$551:$U$580,MATCH($A33,Registro!$A$551:$A$580,0))),EO$5,0),0)</f>
        <v>0</v>
      </c>
      <c r="EP33" s="0" t="n">
        <f aca="false">IFERROR(IF(ISNUMBER(INDEX(Registro!$AA$551:$AA$580,MATCH($A33,Registro!$A$551:$A$580,0))),EP$5,0),0)</f>
        <v>0</v>
      </c>
      <c r="EQ33" s="0" t="n">
        <f aca="false">IFERROR(IF(ISNUMBER(INDEX(Registro!$I$587:$I$616,MATCH($A33,Registro!$A$587:$A$616,0))),EQ$5,0),0)</f>
        <v>0</v>
      </c>
      <c r="ER33" s="0" t="n">
        <f aca="false">IFERROR(IF(ISNUMBER(INDEX(Registro!$O$587:$O$616,MATCH($A33,Registro!$A$587:$A$616,0))),ER$5,0),0)</f>
        <v>0</v>
      </c>
      <c r="ES33" s="0" t="n">
        <f aca="false">IFERROR(IF(ISNUMBER(INDEX(Registro!$U$587:$U$616,MATCH($A33,Registro!$A$587:$A$616,0))),ES$5,0),0)</f>
        <v>0</v>
      </c>
      <c r="ET33" s="0" t="n">
        <f aca="false">IFERROR(IF(ISNUMBER(INDEX(Registro!$AA$587:$AA$616,MATCH($A33,Registro!$A$587:$A$616,0))),ET$5,0),0)</f>
        <v>0</v>
      </c>
      <c r="EU33" s="0" t="n">
        <f aca="false">IFERROR(IF(ISNUMBER(INDEX(Registro!$I$623:$I$652,MATCH($A33,Registro!$A$623:$A$652,0))),EU$5,0),0)</f>
        <v>0</v>
      </c>
      <c r="EV33" s="0" t="n">
        <f aca="false">IFERROR(IF(ISNUMBER(INDEX(Registro!$O$623:$O$652,MATCH($A33,Registro!$A$623:$A$652,0))),EV$5,0),0)</f>
        <v>0</v>
      </c>
      <c r="EW33" s="0" t="n">
        <f aca="false">IFERROR(IF(ISNUMBER(INDEX(Registro!$U$623:$U$652,MATCH($A33,Registro!$A$623:$A$652,0))),EW$5,0),0)</f>
        <v>0</v>
      </c>
      <c r="EX33" s="0" t="n">
        <f aca="false">IFERROR(IF(ISNUMBER(INDEX(Registro!$AA$623:$AA$652,MATCH($A33,Registro!$A$623:$A$652,0))),EX$5,0),0)</f>
        <v>0</v>
      </c>
      <c r="EY33" s="0" t="n">
        <f aca="false">IFERROR(IF(ISNUMBER(INDEX(Registro!$I$659:$I$688,MATCH($A33,Registro!$A$659:$A$688,0))),EY$5,0),0)</f>
        <v>0</v>
      </c>
      <c r="EZ33" s="0" t="n">
        <f aca="false">IFERROR(IF(ISNUMBER(INDEX(Registro!$O$659:$O$688,MATCH($A33,Registro!$A$659:$A$688,0))),EZ$5,0),0)</f>
        <v>0</v>
      </c>
      <c r="FA33" s="0" t="n">
        <f aca="false">IFERROR(IF(ISNUMBER(INDEX(Registro!$U$659:$U$688,MATCH($A33,Registro!$A$659:$A$688,0))),FA$5,0),0)</f>
        <v>0</v>
      </c>
      <c r="FB33" s="0" t="n">
        <f aca="false">IFERROR(IF(ISNUMBER(INDEX(Registro!$AA$659:$AA$688,MATCH($A33,Registro!$A$659:$A$688,0))),FB$5,0),0)</f>
        <v>0</v>
      </c>
      <c r="FC33" s="0" t="n">
        <f aca="false">IFERROR(IF(ISNUMBER(INDEX(Registro!$I$695:$I$724,MATCH($A33,Registro!$A$695:$A$724,0))),FC$5,0),0)</f>
        <v>0</v>
      </c>
      <c r="FD33" s="0" t="n">
        <f aca="false">IFERROR(IF(ISNUMBER(INDEX(Registro!$O$695:$O$724,MATCH($A33,Registro!$A$695:$A$724,0))),FD$5,0),0)</f>
        <v>0</v>
      </c>
      <c r="FE33" s="0" t="n">
        <f aca="false">IFERROR(IF(ISNUMBER(INDEX(Registro!$U$695:$U$724,MATCH($A33,Registro!$A$695:$A$724,0))),FE$5,0),0)</f>
        <v>0</v>
      </c>
      <c r="FF33" s="0" t="n">
        <f aca="false">IFERROR(IF(ISNUMBER(INDEX(Registro!$AA$695:$AA$724,MATCH($A33,Registro!$A$695:$A$724,0))),FF$5,0),0)</f>
        <v>0</v>
      </c>
      <c r="FG33" s="0" t="n">
        <f aca="false">IFERROR(IF(AND(INDEX(Registro!$C$11:$C$40,MATCH($A33,Registro!$A$11:$A$40,0))="AS",INDEX(Registro!$D$11:$D$40,MATCH($A33,Registro!$A$11:$A$40,0))&amp;""=""),1,0),0)</f>
        <v>0</v>
      </c>
      <c r="FH33" s="0" t="n">
        <f aca="false">IFERROR(IF(AND(INDEX(Registro!$C$47:$C$76,MATCH($A33,Registro!$A$47:$A$76,0))="AS",INDEX(Registro!$D$47:$D$76,MATCH($A33,Registro!$A$47:$A$76,0))&amp;""=""),1,0),0)</f>
        <v>0</v>
      </c>
      <c r="FI33" s="0" t="n">
        <f aca="false">IFERROR(IF(AND(INDEX(Registro!$C$83:$C$112,MATCH($A33,Registro!$A$83:$A$112,0))="AS",INDEX(Registro!$D$83:$D$112,MATCH($A33,Registro!$A$83:$A$112,0))&amp;""=""),1,0),0)</f>
        <v>0</v>
      </c>
      <c r="FJ33" s="0" t="n">
        <f aca="false">IFERROR(IF(AND(INDEX(Registro!$C$119:$C$148,MATCH($A33,Registro!$A$119:$A$148,0))="AS",INDEX(Registro!$D$119:$D$148,MATCH($A33,Registro!$A$119:$A$148,0))&amp;""=""),1,0),0)</f>
        <v>0</v>
      </c>
      <c r="FK33" s="0" t="n">
        <f aca="false">IFERROR(IF(AND(INDEX(Registro!$C$155:$C$184,MATCH($A33,Registro!$A$155:$A$184,0))="AS",INDEX(Registro!$D$155:$D$184,MATCH($A33,Registro!$A$155:$A$184,0))&amp;""=""),1,0),0)</f>
        <v>0</v>
      </c>
      <c r="FL33" s="0" t="n">
        <f aca="false">IFERROR(IF(AND(INDEX(Registro!$C$191:$C$220,MATCH($A33,Registro!$A$191:$A$220,0))="AS",INDEX(Registro!$D$191:$D$220,MATCH($A33,Registro!$A$191:$A$220,0))&amp;""=""),1,0),0)</f>
        <v>0</v>
      </c>
      <c r="FM33" s="0" t="n">
        <f aca="false">IFERROR(IF(AND(INDEX(Registro!$C$227:$C$256,MATCH($A33,Registro!$A$227:$A$256,0))="AS",INDEX(Registro!$D$227:$D$256,MATCH($A33,Registro!$A$227:$A$256,0))&amp;""=""),1,0),0)</f>
        <v>0</v>
      </c>
      <c r="FN33" s="0" t="n">
        <f aca="false">IFERROR(IF(AND(INDEX(Registro!$C$263:$C$292,MATCH($A33,Registro!$A$263:$A$292,0))="AS",INDEX(Registro!$D$263:$D$292,MATCH($A33,Registro!$A$263:$A$292,0))&amp;""=""),1,0),0)</f>
        <v>0</v>
      </c>
      <c r="FO33" s="0" t="n">
        <f aca="false">IFERROR(IF(AND(INDEX(Registro!$C$299:$C$328,MATCH($A33,Registro!$A$299:$A$328,0))="AS",INDEX(Registro!$D$299:$D$328,MATCH($A33,Registro!$A$299:$A$328,0))&amp;""=""),1,0),0)</f>
        <v>0</v>
      </c>
      <c r="FP33" s="0" t="n">
        <f aca="false">IFERROR(IF(AND(INDEX(Registro!$C$335:$C$364,MATCH($A33,Registro!$A$335:$A$364,0))="AS",INDEX(Registro!$D$335:$D$364,MATCH($A33,Registro!$A$335:$A$364,0))&amp;""=""),1,0),0)</f>
        <v>0</v>
      </c>
      <c r="FQ33" s="0" t="n">
        <f aca="false">IFERROR(IF(AND(INDEX(Registro!$C$371:$C$400,MATCH($A33,Registro!$A$371:$A$400,0))="AS",INDEX(Registro!$D$371:$D$400,MATCH($A33,Registro!$A$371:$A$400,0))&amp;""=""),1,0),0)</f>
        <v>0</v>
      </c>
      <c r="FR33" s="0" t="n">
        <f aca="false">IFERROR(IF(AND(INDEX(Registro!$C$407:$C$436,MATCH($A33,Registro!$A$407:$A$436,0))="AS",INDEX(Registro!$D$407:$D$436,MATCH($A33,Registro!$A$407:$A$436,0))&amp;""=""),1,0),0)</f>
        <v>0</v>
      </c>
      <c r="FS33" s="0" t="n">
        <f aca="false">IFERROR(IF(AND(INDEX(Registro!$C$443:$C$472,MATCH($A33,Registro!$A$443:$A$472,0))="AS",INDEX(Registro!$D$443:$D$472,MATCH($A33,Registro!$A$443:$A$472,0))&amp;""=""),1,0),0)</f>
        <v>0</v>
      </c>
      <c r="FT33" s="0" t="n">
        <f aca="false">IFERROR(IF(AND(INDEX(Registro!$C$479:$C$508,MATCH($A33,Registro!$A$479:$A$508,0))="AS",INDEX(Registro!$D$479:$D$508,MATCH($A33,Registro!$A$479:$A$508,0))&amp;""=""),1,0),0)</f>
        <v>0</v>
      </c>
      <c r="FU33" s="0" t="n">
        <f aca="false">IFERROR(IF(AND(INDEX(Registro!$C$515:$C$544,MATCH($A33,Registro!$A$515:$A$544,0))="AS",INDEX(Registro!$D$515:$D$544,MATCH($A33,Registro!$A$515:$A$544,0))&amp;""=""),1,0),0)</f>
        <v>0</v>
      </c>
      <c r="FV33" s="0" t="n">
        <f aca="false">IFERROR(IF(AND(INDEX(Registro!$C$551:$C$580,MATCH($A33,Registro!$A$551:$A$580,0))="AS",INDEX(Registro!$D$551:$D$580,MATCH($A33,Registro!$A$551:$A$580,0))&amp;""=""),1,0),0)</f>
        <v>0</v>
      </c>
      <c r="FW33" s="0" t="n">
        <f aca="false">IFERROR(IF(AND(INDEX(Registro!$C$587:$C$616,MATCH($A33,Registro!$A$587:$A$616,0))="AS",INDEX(Registro!$D$587:$D$616,MATCH($A33,Registro!$A$587:$A$616,0))&amp;""=""),1,0),0)</f>
        <v>0</v>
      </c>
      <c r="FX33" s="0" t="n">
        <f aca="false">IFERROR(IF(AND(INDEX(Registro!$C$623:$C$652,MATCH($A33,Registro!$A$623:$A$652,0))="AS",INDEX(Registro!$D$623:$D$652,MATCH($A33,Registro!$A$623:$A$652,0))&amp;""=""),1,0),0)</f>
        <v>0</v>
      </c>
      <c r="FY33" s="0" t="n">
        <f aca="false">IFERROR(IF(AND(INDEX(Registro!$C$659:$C$688,MATCH($A33,Registro!$A$659:$A$688,0))="AS",INDEX(Registro!$D$659:$D$688,MATCH($A33,Registro!$A$659:$A$688,0))&amp;""=""),1,0),0)</f>
        <v>0</v>
      </c>
      <c r="FZ33" s="0" t="n">
        <f aca="false">IFERROR(IF(AND(INDEX(Registro!$C$695:$C$724,MATCH($A33,Registro!$A$695:$A$724,0))="AS",INDEX(Registro!$D$695:$D$724,MATCH($A33,Registro!$A$695:$A$724,0))&amp;""=""),1,0),0)</f>
        <v>0</v>
      </c>
    </row>
    <row r="34" customFormat="false" ht="15" hidden="false" customHeight="false" outlineLevel="0" collapsed="false">
      <c r="A34" s="0" t="n">
        <v>28</v>
      </c>
      <c r="C34" s="0" t="n">
        <f aca="false">IFERROR(N(INDEX(Registro!$I$11:$I$40,MATCH($A34,Registro!$A$11:$A$40,0))),0)</f>
        <v>0</v>
      </c>
      <c r="D34" s="0" t="n">
        <f aca="false">IFERROR(N(INDEX(Registro!$O$11:$O$40,MATCH($A34,Registro!$A$11:$A$40,0))),0)</f>
        <v>0</v>
      </c>
      <c r="E34" s="0" t="n">
        <f aca="false">IFERROR(N(INDEX(Registro!$U$11:$U$40,MATCH($A34,Registro!$A$11:$A$40,0))),0)</f>
        <v>0</v>
      </c>
      <c r="F34" s="0" t="n">
        <f aca="false">IFERROR(N(INDEX(Registro!$AA$11:$AA$40,MATCH($A34,Registro!$A$11:$A$40,0))),0)</f>
        <v>0</v>
      </c>
      <c r="G34" s="0" t="n">
        <f aca="false">IFERROR(N(INDEX(Registro!$I$47:$I$76,MATCH($A34,Registro!$A$47:$A$76,0))),0)</f>
        <v>0</v>
      </c>
      <c r="H34" s="0" t="n">
        <f aca="false">IFERROR(N(INDEX(Registro!$O$47:$O$76,MATCH($A34,Registro!$A$47:$A$76,0))),0)</f>
        <v>0</v>
      </c>
      <c r="I34" s="0" t="n">
        <f aca="false">IFERROR(N(INDEX(Registro!$U$47:$U$76,MATCH($A34,Registro!$A$47:$A$76,0))),0)</f>
        <v>0</v>
      </c>
      <c r="J34" s="0" t="n">
        <f aca="false">IFERROR(N(INDEX(Registro!$AA$47:$AA$76,MATCH($A34,Registro!$A$47:$A$76,0))),0)</f>
        <v>0</v>
      </c>
      <c r="K34" s="0" t="n">
        <f aca="false">IFERROR(N(INDEX(Registro!$I$83:$I$112,MATCH($A34,Registro!$A$83:$A$112,0))),0)</f>
        <v>0</v>
      </c>
      <c r="L34" s="0" t="n">
        <f aca="false">IFERROR(N(INDEX(Registro!$O$83:$O$112,MATCH($A34,Registro!$A$83:$A$112,0))),0)</f>
        <v>0</v>
      </c>
      <c r="M34" s="0" t="n">
        <f aca="false">IFERROR(N(INDEX(Registro!$U$83:$U$112,MATCH($A34,Registro!$A$83:$A$112,0))),0)</f>
        <v>0</v>
      </c>
      <c r="N34" s="0" t="n">
        <f aca="false">IFERROR(N(INDEX(Registro!$AA$83:$AA$112,MATCH($A34,Registro!$A$83:$A$112,0))),0)</f>
        <v>0</v>
      </c>
      <c r="O34" s="0" t="n">
        <f aca="false">IFERROR(N(INDEX(Registro!$I$119:$I$148,MATCH($A34,Registro!$A$119:$A$148,0))),0)</f>
        <v>0</v>
      </c>
      <c r="P34" s="0" t="n">
        <f aca="false">IFERROR(N(INDEX(Registro!$O$119:$O$148,MATCH($A34,Registro!$A$119:$A$148,0))),0)</f>
        <v>0</v>
      </c>
      <c r="Q34" s="0" t="n">
        <f aca="false">IFERROR(N(INDEX(Registro!$U$119:$U$148,MATCH($A34,Registro!$A$119:$A$148,0))),0)</f>
        <v>0</v>
      </c>
      <c r="R34" s="0" t="n">
        <f aca="false">IFERROR(N(INDEX(Registro!$AA$119:$AA$148,MATCH($A34,Registro!$A$119:$A$148,0))),0)</f>
        <v>0</v>
      </c>
      <c r="S34" s="0" t="n">
        <f aca="false">IFERROR(N(INDEX(Registro!$I$155:$I$184,MATCH($A34,Registro!$A$155:$A$184,0))),0)</f>
        <v>0</v>
      </c>
      <c r="T34" s="0" t="n">
        <f aca="false">IFERROR(N(INDEX(Registro!$O$155:$O$184,MATCH($A34,Registro!$A$155:$A$184,0))),0)</f>
        <v>0</v>
      </c>
      <c r="U34" s="0" t="n">
        <f aca="false">IFERROR(N(INDEX(Registro!$U$155:$U$184,MATCH($A34,Registro!$A$155:$A$184,0))),0)</f>
        <v>0</v>
      </c>
      <c r="V34" s="0" t="n">
        <f aca="false">IFERROR(N(INDEX(Registro!$AA$155:$AA$184,MATCH($A34,Registro!$A$155:$A$184,0))),0)</f>
        <v>0</v>
      </c>
      <c r="W34" s="0" t="n">
        <f aca="false">IFERROR(N(INDEX(Registro!$I$191:$I$220,MATCH($A34,Registro!$A$191:$A$220,0))),0)</f>
        <v>0</v>
      </c>
      <c r="X34" s="0" t="n">
        <f aca="false">IFERROR(N(INDEX(Registro!$O$191:$O$220,MATCH($A34,Registro!$A$191:$A$220,0))),0)</f>
        <v>0</v>
      </c>
      <c r="Y34" s="0" t="n">
        <f aca="false">IFERROR(N(INDEX(Registro!$U$191:$U$220,MATCH($A34,Registro!$A$191:$A$220,0))),0)</f>
        <v>0</v>
      </c>
      <c r="Z34" s="0" t="n">
        <f aca="false">IFERROR(N(INDEX(Registro!$AA$191:$AA$220,MATCH($A34,Registro!$A$191:$A$220,0))),0)</f>
        <v>0</v>
      </c>
      <c r="AA34" s="0" t="n">
        <f aca="false">IFERROR(N(INDEX(Registro!$I$227:$I$256,MATCH($A34,Registro!$A$227:$A$256,0))),0)</f>
        <v>0</v>
      </c>
      <c r="AB34" s="0" t="n">
        <f aca="false">IFERROR(N(INDEX(Registro!$O$227:$O$256,MATCH($A34,Registro!$A$227:$A$256,0))),0)</f>
        <v>0</v>
      </c>
      <c r="AC34" s="0" t="n">
        <f aca="false">IFERROR(N(INDEX(Registro!$U$227:$U$256,MATCH($A34,Registro!$A$227:$A$256,0))),0)</f>
        <v>0</v>
      </c>
      <c r="AD34" s="0" t="n">
        <f aca="false">IFERROR(N(INDEX(Registro!$AA$227:$AA$256,MATCH($A34,Registro!$A$227:$A$256,0))),0)</f>
        <v>0</v>
      </c>
      <c r="AE34" s="0" t="n">
        <f aca="false">IFERROR(N(INDEX(Registro!$I$263:$I$292,MATCH($A34,Registro!$A$263:$A$292,0))),0)</f>
        <v>0</v>
      </c>
      <c r="AF34" s="0" t="n">
        <f aca="false">IFERROR(N(INDEX(Registro!$O$263:$O$292,MATCH($A34,Registro!$A$263:$A$292,0))),0)</f>
        <v>0</v>
      </c>
      <c r="AG34" s="0" t="n">
        <f aca="false">IFERROR(N(INDEX(Registro!$U$263:$U$292,MATCH($A34,Registro!$A$263:$A$292,0))),0)</f>
        <v>0</v>
      </c>
      <c r="AH34" s="0" t="n">
        <f aca="false">IFERROR(N(INDEX(Registro!$AA$263:$AA$292,MATCH($A34,Registro!$A$263:$A$292,0))),0)</f>
        <v>0</v>
      </c>
      <c r="AI34" s="0" t="n">
        <f aca="false">IFERROR(N(INDEX(Registro!$I$299:$I$328,MATCH($A34,Registro!$A$299:$A$328,0))),0)</f>
        <v>0</v>
      </c>
      <c r="AJ34" s="0" t="n">
        <f aca="false">IFERROR(N(INDEX(Registro!$O$299:$O$328,MATCH($A34,Registro!$A$299:$A$328,0))),0)</f>
        <v>0</v>
      </c>
      <c r="AK34" s="0" t="n">
        <f aca="false">IFERROR(N(INDEX(Registro!$U$299:$U$328,MATCH($A34,Registro!$A$299:$A$328,0))),0)</f>
        <v>0</v>
      </c>
      <c r="AL34" s="0" t="n">
        <f aca="false">IFERROR(N(INDEX(Registro!$AA$299:$AA$328,MATCH($A34,Registro!$A$299:$A$328,0))),0)</f>
        <v>0</v>
      </c>
      <c r="AM34" s="0" t="n">
        <f aca="false">IFERROR(N(INDEX(Registro!$I$335:$I$364,MATCH($A34,Registro!$A$335:$A$364,0))),0)</f>
        <v>0</v>
      </c>
      <c r="AN34" s="0" t="n">
        <f aca="false">IFERROR(N(INDEX(Registro!$O$335:$O$364,MATCH($A34,Registro!$A$335:$A$364,0))),0)</f>
        <v>0</v>
      </c>
      <c r="AO34" s="0" t="n">
        <f aca="false">IFERROR(N(INDEX(Registro!$U$335:$U$364,MATCH($A34,Registro!$A$335:$A$364,0))),0)</f>
        <v>0</v>
      </c>
      <c r="AP34" s="0" t="n">
        <f aca="false">IFERROR(N(INDEX(Registro!$AA$335:$AA$364,MATCH($A34,Registro!$A$335:$A$364,0))),0)</f>
        <v>0</v>
      </c>
      <c r="AQ34" s="0" t="n">
        <f aca="false">IFERROR(N(INDEX(Registro!$I$371:$I$400,MATCH($A34,Registro!$A$371:$A$400,0))),0)</f>
        <v>0</v>
      </c>
      <c r="AR34" s="0" t="n">
        <f aca="false">IFERROR(N(INDEX(Registro!$O$371:$O$400,MATCH($A34,Registro!$A$371:$A$400,0))),0)</f>
        <v>0</v>
      </c>
      <c r="AS34" s="0" t="n">
        <f aca="false">IFERROR(N(INDEX(Registro!$U$371:$U$400,MATCH($A34,Registro!$A$371:$A$400,0))),0)</f>
        <v>0</v>
      </c>
      <c r="AT34" s="0" t="n">
        <f aca="false">IFERROR(N(INDEX(Registro!$AA$371:$AA$400,MATCH($A34,Registro!$A$371:$A$400,0))),0)</f>
        <v>0</v>
      </c>
      <c r="AU34" s="0" t="n">
        <f aca="false">IFERROR(N(INDEX(Registro!$I$407:$I$436,MATCH($A34,Registro!$A$407:$A$436,0))),0)</f>
        <v>0</v>
      </c>
      <c r="AV34" s="0" t="n">
        <f aca="false">IFERROR(N(INDEX(Registro!$O$407:$O$436,MATCH($A34,Registro!$A$407:$A$436,0))),0)</f>
        <v>0</v>
      </c>
      <c r="AW34" s="0" t="n">
        <f aca="false">IFERROR(N(INDEX(Registro!$U$407:$U$436,MATCH($A34,Registro!$A$407:$A$436,0))),0)</f>
        <v>0</v>
      </c>
      <c r="AX34" s="0" t="n">
        <f aca="false">IFERROR(N(INDEX(Registro!$AA$407:$AA$436,MATCH($A34,Registro!$A$407:$A$436,0))),0)</f>
        <v>0</v>
      </c>
      <c r="AY34" s="0" t="n">
        <f aca="false">IFERROR(N(INDEX(Registro!$I$443:$I$472,MATCH($A34,Registro!$A$443:$A$472,0))),0)</f>
        <v>0</v>
      </c>
      <c r="AZ34" s="0" t="n">
        <f aca="false">IFERROR(N(INDEX(Registro!$O$443:$O$472,MATCH($A34,Registro!$A$443:$A$472,0))),0)</f>
        <v>0</v>
      </c>
      <c r="BA34" s="0" t="n">
        <f aca="false">IFERROR(N(INDEX(Registro!$U$443:$U$472,MATCH($A34,Registro!$A$443:$A$472,0))),0)</f>
        <v>0</v>
      </c>
      <c r="BB34" s="0" t="n">
        <f aca="false">IFERROR(N(INDEX(Registro!$AA$443:$AA$472,MATCH($A34,Registro!$A$443:$A$472,0))),0)</f>
        <v>0</v>
      </c>
      <c r="BC34" s="0" t="n">
        <f aca="false">IFERROR(N(INDEX(Registro!$I$479:$I$508,MATCH($A34,Registro!$A$479:$A$508,0))),0)</f>
        <v>0</v>
      </c>
      <c r="BD34" s="0" t="n">
        <f aca="false">IFERROR(N(INDEX(Registro!$O$479:$O$508,MATCH($A34,Registro!$A$479:$A$508,0))),0)</f>
        <v>0</v>
      </c>
      <c r="BE34" s="0" t="n">
        <f aca="false">IFERROR(N(INDEX(Registro!$U$479:$U$508,MATCH($A34,Registro!$A$479:$A$508,0))),0)</f>
        <v>0</v>
      </c>
      <c r="BF34" s="0" t="n">
        <f aca="false">IFERROR(N(INDEX(Registro!$AA$479:$AA$508,MATCH($A34,Registro!$A$479:$A$508,0))),0)</f>
        <v>0</v>
      </c>
      <c r="BG34" s="0" t="n">
        <f aca="false">IFERROR(N(INDEX(Registro!$I$515:$I$544,MATCH($A34,Registro!$A$515:$A$544,0))),0)</f>
        <v>0</v>
      </c>
      <c r="BH34" s="0" t="n">
        <f aca="false">IFERROR(N(INDEX(Registro!$O$515:$O$544,MATCH($A34,Registro!$A$515:$A$544,0))),0)</f>
        <v>0</v>
      </c>
      <c r="BI34" s="0" t="n">
        <f aca="false">IFERROR(N(INDEX(Registro!$U$515:$U$544,MATCH($A34,Registro!$A$515:$A$544,0))),0)</f>
        <v>0</v>
      </c>
      <c r="BJ34" s="0" t="n">
        <f aca="false">IFERROR(N(INDEX(Registro!$AA$515:$AA$544,MATCH($A34,Registro!$A$515:$A$544,0))),0)</f>
        <v>0</v>
      </c>
      <c r="BK34" s="0" t="n">
        <f aca="false">IFERROR(N(INDEX(Registro!$I$551:$I$580,MATCH($A34,Registro!$A$551:$A$580,0))),0)</f>
        <v>0</v>
      </c>
      <c r="BL34" s="0" t="n">
        <f aca="false">IFERROR(N(INDEX(Registro!$O$551:$O$580,MATCH($A34,Registro!$A$551:$A$580,0))),0)</f>
        <v>0</v>
      </c>
      <c r="BM34" s="0" t="n">
        <f aca="false">IFERROR(N(INDEX(Registro!$U$551:$U$580,MATCH($A34,Registro!$A$551:$A$580,0))),0)</f>
        <v>0</v>
      </c>
      <c r="BN34" s="0" t="n">
        <f aca="false">IFERROR(N(INDEX(Registro!$AA$551:$AA$580,MATCH($A34,Registro!$A$551:$A$580,0))),0)</f>
        <v>0</v>
      </c>
      <c r="BO34" s="0" t="n">
        <f aca="false">IFERROR(N(INDEX(Registro!$I$587:$I$616,MATCH($A34,Registro!$A$587:$A$616,0))),0)</f>
        <v>0</v>
      </c>
      <c r="BP34" s="0" t="n">
        <f aca="false">IFERROR(N(INDEX(Registro!$O$587:$O$616,MATCH($A34,Registro!$A$587:$A$616,0))),0)</f>
        <v>0</v>
      </c>
      <c r="BQ34" s="0" t="n">
        <f aca="false">IFERROR(N(INDEX(Registro!$U$587:$U$616,MATCH($A34,Registro!$A$587:$A$616,0))),0)</f>
        <v>0</v>
      </c>
      <c r="BR34" s="0" t="n">
        <f aca="false">IFERROR(N(INDEX(Registro!$AA$587:$AA$616,MATCH($A34,Registro!$A$587:$A$616,0))),0)</f>
        <v>0</v>
      </c>
      <c r="BS34" s="0" t="n">
        <f aca="false">IFERROR(N(INDEX(Registro!$I$623:$I$652,MATCH($A34,Registro!$A$623:$A$652,0))),0)</f>
        <v>0</v>
      </c>
      <c r="BT34" s="0" t="n">
        <f aca="false">IFERROR(N(INDEX(Registro!$O$623:$O$652,MATCH($A34,Registro!$A$623:$A$652,0))),0)</f>
        <v>0</v>
      </c>
      <c r="BU34" s="0" t="n">
        <f aca="false">IFERROR(N(INDEX(Registro!$U$623:$U$652,MATCH($A34,Registro!$A$623:$A$652,0))),0)</f>
        <v>0</v>
      </c>
      <c r="BV34" s="0" t="n">
        <f aca="false">IFERROR(N(INDEX(Registro!$AA$623:$AA$652,MATCH($A34,Registro!$A$623:$A$652,0))),0)</f>
        <v>0</v>
      </c>
      <c r="BW34" s="0" t="n">
        <f aca="false">IFERROR(N(INDEX(Registro!$I$659:$I$688,MATCH($A34,Registro!$A$659:$A$688,0))),0)</f>
        <v>0</v>
      </c>
      <c r="BX34" s="0" t="n">
        <f aca="false">IFERROR(N(INDEX(Registro!$O$659:$O$688,MATCH($A34,Registro!$A$659:$A$688,0))),0)</f>
        <v>0</v>
      </c>
      <c r="BY34" s="0" t="n">
        <f aca="false">IFERROR(N(INDEX(Registro!$U$659:$U$688,MATCH($A34,Registro!$A$659:$A$688,0))),0)</f>
        <v>0</v>
      </c>
      <c r="BZ34" s="0" t="n">
        <f aca="false">IFERROR(N(INDEX(Registro!$AA$659:$AA$688,MATCH($A34,Registro!$A$659:$A$688,0))),0)</f>
        <v>0</v>
      </c>
      <c r="CA34" s="0" t="n">
        <f aca="false">IFERROR(N(INDEX(Registro!$I$695:$I$724,MATCH($A34,Registro!$A$695:$A$724,0))),0)</f>
        <v>0</v>
      </c>
      <c r="CB34" s="0" t="n">
        <f aca="false">IFERROR(N(INDEX(Registro!$O$695:$O$724,MATCH($A34,Registro!$A$695:$A$724,0))),0)</f>
        <v>0</v>
      </c>
      <c r="CC34" s="0" t="n">
        <f aca="false">IFERROR(N(INDEX(Registro!$U$695:$U$724,MATCH($A34,Registro!$A$695:$A$724,0))),0)</f>
        <v>0</v>
      </c>
      <c r="CD34" s="0" t="n">
        <f aca="false">IFERROR(N(INDEX(Registro!$AA$695:$AA$724,MATCH($A34,Registro!$A$695:$A$724,0))),0)</f>
        <v>0</v>
      </c>
      <c r="CE34" s="0" t="n">
        <f aca="false">IFERROR(IF(ISNUMBER(INDEX(Registro!$I$11:$I$40,MATCH($A34,Registro!$A$11:$A$40,0))),CE$5,0),0)</f>
        <v>0</v>
      </c>
      <c r="CF34" s="0" t="n">
        <f aca="false">IFERROR(IF(ISNUMBER(INDEX(Registro!$O$11:$O$40,MATCH($A34,Registro!$A$11:$A$40,0))),CF$5,0),0)</f>
        <v>0</v>
      </c>
      <c r="CG34" s="0" t="n">
        <f aca="false">IFERROR(IF(ISNUMBER(INDEX(Registro!$U$11:$U$40,MATCH($A34,Registro!$A$11:$A$40,0))),CG$5,0),0)</f>
        <v>0</v>
      </c>
      <c r="CH34" s="0" t="n">
        <f aca="false">IFERROR(IF(ISNUMBER(INDEX(Registro!$AA$11:$AA$40,MATCH($A34,Registro!$A$11:$A$40,0))),CH$5,0),0)</f>
        <v>0</v>
      </c>
      <c r="CI34" s="0" t="n">
        <f aca="false">IFERROR(IF(ISNUMBER(INDEX(Registro!$I$47:$I$76,MATCH($A34,Registro!$A$47:$A$76,0))),CI$5,0),0)</f>
        <v>0</v>
      </c>
      <c r="CJ34" s="0" t="n">
        <f aca="false">IFERROR(IF(ISNUMBER(INDEX(Registro!$O$47:$O$76,MATCH($A34,Registro!$A$47:$A$76,0))),CJ$5,0),0)</f>
        <v>0</v>
      </c>
      <c r="CK34" s="0" t="n">
        <f aca="false">IFERROR(IF(ISNUMBER(INDEX(Registro!$U$47:$U$76,MATCH($A34,Registro!$A$47:$A$76,0))),CK$5,0),0)</f>
        <v>0</v>
      </c>
      <c r="CL34" s="0" t="n">
        <f aca="false">IFERROR(IF(ISNUMBER(INDEX(Registro!$AA$47:$AA$76,MATCH($A34,Registro!$A$47:$A$76,0))),CL$5,0),0)</f>
        <v>0</v>
      </c>
      <c r="CM34" s="0" t="n">
        <f aca="false">IFERROR(IF(ISNUMBER(INDEX(Registro!$I$83:$I$112,MATCH($A34,Registro!$A$83:$A$112,0))),CM$5,0),0)</f>
        <v>0</v>
      </c>
      <c r="CN34" s="0" t="n">
        <f aca="false">IFERROR(IF(ISNUMBER(INDEX(Registro!$O$83:$O$112,MATCH($A34,Registro!$A$83:$A$112,0))),CN$5,0),0)</f>
        <v>0</v>
      </c>
      <c r="CO34" s="0" t="n">
        <f aca="false">IFERROR(IF(ISNUMBER(INDEX(Registro!$U$83:$U$112,MATCH($A34,Registro!$A$83:$A$112,0))),CO$5,0),0)</f>
        <v>0</v>
      </c>
      <c r="CP34" s="0" t="n">
        <f aca="false">IFERROR(IF(ISNUMBER(INDEX(Registro!$AA$83:$AA$112,MATCH($A34,Registro!$A$83:$A$112,0))),CP$5,0),0)</f>
        <v>0</v>
      </c>
      <c r="CQ34" s="0" t="n">
        <f aca="false">IFERROR(IF(ISNUMBER(INDEX(Registro!$I$119:$I$148,MATCH($A34,Registro!$A$119:$A$148,0))),CQ$5,0),0)</f>
        <v>0</v>
      </c>
      <c r="CR34" s="0" t="n">
        <f aca="false">IFERROR(IF(ISNUMBER(INDEX(Registro!$O$119:$O$148,MATCH($A34,Registro!$A$119:$A$148,0))),CR$5,0),0)</f>
        <v>0</v>
      </c>
      <c r="CS34" s="0" t="n">
        <f aca="false">IFERROR(IF(ISNUMBER(INDEX(Registro!$U$119:$U$148,MATCH($A34,Registro!$A$119:$A$148,0))),CS$5,0),0)</f>
        <v>0</v>
      </c>
      <c r="CT34" s="0" t="n">
        <f aca="false">IFERROR(IF(ISNUMBER(INDEX(Registro!$AA$119:$AA$148,MATCH($A34,Registro!$A$119:$A$148,0))),CT$5,0),0)</f>
        <v>0</v>
      </c>
      <c r="CU34" s="0" t="n">
        <f aca="false">IFERROR(IF(ISNUMBER(INDEX(Registro!$I$155:$I$184,MATCH($A34,Registro!$A$155:$A$184,0))),CU$5,0),0)</f>
        <v>0</v>
      </c>
      <c r="CV34" s="0" t="n">
        <f aca="false">IFERROR(IF(ISNUMBER(INDEX(Registro!$O$155:$O$184,MATCH($A34,Registro!$A$155:$A$184,0))),CV$5,0),0)</f>
        <v>0</v>
      </c>
      <c r="CW34" s="0" t="n">
        <f aca="false">IFERROR(IF(ISNUMBER(INDEX(Registro!$U$155:$U$184,MATCH($A34,Registro!$A$155:$A$184,0))),CW$5,0),0)</f>
        <v>0</v>
      </c>
      <c r="CX34" s="0" t="n">
        <f aca="false">IFERROR(IF(ISNUMBER(INDEX(Registro!$AA$155:$AA$184,MATCH($A34,Registro!$A$155:$A$184,0))),CX$5,0),0)</f>
        <v>0</v>
      </c>
      <c r="CY34" s="0" t="n">
        <f aca="false">IFERROR(IF(ISNUMBER(INDEX(Registro!$I$191:$I$220,MATCH($A34,Registro!$A$191:$A$220,0))),CY$5,0),0)</f>
        <v>0</v>
      </c>
      <c r="CZ34" s="0" t="n">
        <f aca="false">IFERROR(IF(ISNUMBER(INDEX(Registro!$O$191:$O$220,MATCH($A34,Registro!$A$191:$A$220,0))),CZ$5,0),0)</f>
        <v>0</v>
      </c>
      <c r="DA34" s="0" t="n">
        <f aca="false">IFERROR(IF(ISNUMBER(INDEX(Registro!$U$191:$U$220,MATCH($A34,Registro!$A$191:$A$220,0))),DA$5,0),0)</f>
        <v>0</v>
      </c>
      <c r="DB34" s="0" t="n">
        <f aca="false">IFERROR(IF(ISNUMBER(INDEX(Registro!$AA$191:$AA$220,MATCH($A34,Registro!$A$191:$A$220,0))),DB$5,0),0)</f>
        <v>0</v>
      </c>
      <c r="DC34" s="0" t="n">
        <f aca="false">IFERROR(IF(ISNUMBER(INDEX(Registro!$I$227:$I$256,MATCH($A34,Registro!$A$227:$A$256,0))),DC$5,0),0)</f>
        <v>0</v>
      </c>
      <c r="DD34" s="0" t="n">
        <f aca="false">IFERROR(IF(ISNUMBER(INDEX(Registro!$O$227:$O$256,MATCH($A34,Registro!$A$227:$A$256,0))),DD$5,0),0)</f>
        <v>0</v>
      </c>
      <c r="DE34" s="0" t="n">
        <f aca="false">IFERROR(IF(ISNUMBER(INDEX(Registro!$U$227:$U$256,MATCH($A34,Registro!$A$227:$A$256,0))),DE$5,0),0)</f>
        <v>0</v>
      </c>
      <c r="DF34" s="0" t="n">
        <f aca="false">IFERROR(IF(ISNUMBER(INDEX(Registro!$AA$227:$AA$256,MATCH($A34,Registro!$A$227:$A$256,0))),DF$5,0),0)</f>
        <v>0</v>
      </c>
      <c r="DG34" s="0" t="n">
        <f aca="false">IFERROR(IF(ISNUMBER(INDEX(Registro!$I$263:$I$292,MATCH($A34,Registro!$A$263:$A$292,0))),DG$5,0),0)</f>
        <v>0</v>
      </c>
      <c r="DH34" s="0" t="n">
        <f aca="false">IFERROR(IF(ISNUMBER(INDEX(Registro!$O$263:$O$292,MATCH($A34,Registro!$A$263:$A$292,0))),DH$5,0),0)</f>
        <v>0</v>
      </c>
      <c r="DI34" s="0" t="n">
        <f aca="false">IFERROR(IF(ISNUMBER(INDEX(Registro!$U$263:$U$292,MATCH($A34,Registro!$A$263:$A$292,0))),DI$5,0),0)</f>
        <v>0</v>
      </c>
      <c r="DJ34" s="0" t="n">
        <f aca="false">IFERROR(IF(ISNUMBER(INDEX(Registro!$AA$263:$AA$292,MATCH($A34,Registro!$A$263:$A$292,0))),DJ$5,0),0)</f>
        <v>0</v>
      </c>
      <c r="DK34" s="0" t="n">
        <f aca="false">IFERROR(IF(ISNUMBER(INDEX(Registro!$I$299:$I$328,MATCH($A34,Registro!$A$299:$A$328,0))),DK$5,0),0)</f>
        <v>0</v>
      </c>
      <c r="DL34" s="0" t="n">
        <f aca="false">IFERROR(IF(ISNUMBER(INDEX(Registro!$O$299:$O$328,MATCH($A34,Registro!$A$299:$A$328,0))),DL$5,0),0)</f>
        <v>0</v>
      </c>
      <c r="DM34" s="0" t="n">
        <f aca="false">IFERROR(IF(ISNUMBER(INDEX(Registro!$U$299:$U$328,MATCH($A34,Registro!$A$299:$A$328,0))),DM$5,0),0)</f>
        <v>0</v>
      </c>
      <c r="DN34" s="0" t="n">
        <f aca="false">IFERROR(IF(ISNUMBER(INDEX(Registro!$AA$299:$AA$328,MATCH($A34,Registro!$A$299:$A$328,0))),DN$5,0),0)</f>
        <v>0</v>
      </c>
      <c r="DO34" s="0" t="n">
        <f aca="false">IFERROR(IF(ISNUMBER(INDEX(Registro!$I$335:$I$364,MATCH($A34,Registro!$A$335:$A$364,0))),DO$5,0),0)</f>
        <v>0</v>
      </c>
      <c r="DP34" s="0" t="n">
        <f aca="false">IFERROR(IF(ISNUMBER(INDEX(Registro!$O$335:$O$364,MATCH($A34,Registro!$A$335:$A$364,0))),DP$5,0),0)</f>
        <v>0</v>
      </c>
      <c r="DQ34" s="0" t="n">
        <f aca="false">IFERROR(IF(ISNUMBER(INDEX(Registro!$U$335:$U$364,MATCH($A34,Registro!$A$335:$A$364,0))),DQ$5,0),0)</f>
        <v>0</v>
      </c>
      <c r="DR34" s="0" t="n">
        <f aca="false">IFERROR(IF(ISNUMBER(INDEX(Registro!$AA$335:$AA$364,MATCH($A34,Registro!$A$335:$A$364,0))),DR$5,0),0)</f>
        <v>0</v>
      </c>
      <c r="DS34" s="0" t="n">
        <f aca="false">IFERROR(IF(ISNUMBER(INDEX(Registro!$I$371:$I$400,MATCH($A34,Registro!$A$371:$A$400,0))),DS$5,0),0)</f>
        <v>0</v>
      </c>
      <c r="DT34" s="0" t="n">
        <f aca="false">IFERROR(IF(ISNUMBER(INDEX(Registro!$O$371:$O$400,MATCH($A34,Registro!$A$371:$A$400,0))),DT$5,0),0)</f>
        <v>0</v>
      </c>
      <c r="DU34" s="0" t="n">
        <f aca="false">IFERROR(IF(ISNUMBER(INDEX(Registro!$U$371:$U$400,MATCH($A34,Registro!$A$371:$A$400,0))),DU$5,0),0)</f>
        <v>0</v>
      </c>
      <c r="DV34" s="0" t="n">
        <f aca="false">IFERROR(IF(ISNUMBER(INDEX(Registro!$AA$371:$AA$400,MATCH($A34,Registro!$A$371:$A$400,0))),DV$5,0),0)</f>
        <v>0</v>
      </c>
      <c r="DW34" s="0" t="n">
        <f aca="false">IFERROR(IF(ISNUMBER(INDEX(Registro!$I$407:$I$436,MATCH($A34,Registro!$A$407:$A$436,0))),DW$5,0),0)</f>
        <v>0</v>
      </c>
      <c r="DX34" s="0" t="n">
        <f aca="false">IFERROR(IF(ISNUMBER(INDEX(Registro!$O$407:$O$436,MATCH($A34,Registro!$A$407:$A$436,0))),DX$5,0),0)</f>
        <v>0</v>
      </c>
      <c r="DY34" s="0" t="n">
        <f aca="false">IFERROR(IF(ISNUMBER(INDEX(Registro!$U$407:$U$436,MATCH($A34,Registro!$A$407:$A$436,0))),DY$5,0),0)</f>
        <v>0</v>
      </c>
      <c r="DZ34" s="0" t="n">
        <f aca="false">IFERROR(IF(ISNUMBER(INDEX(Registro!$AA$407:$AA$436,MATCH($A34,Registro!$A$407:$A$436,0))),DZ$5,0),0)</f>
        <v>0</v>
      </c>
      <c r="EA34" s="0" t="n">
        <f aca="false">IFERROR(IF(ISNUMBER(INDEX(Registro!$I$443:$I$472,MATCH($A34,Registro!$A$443:$A$472,0))),EA$5,0),0)</f>
        <v>0</v>
      </c>
      <c r="EB34" s="0" t="n">
        <f aca="false">IFERROR(IF(ISNUMBER(INDEX(Registro!$O$443:$O$472,MATCH($A34,Registro!$A$443:$A$472,0))),EB$5,0),0)</f>
        <v>0</v>
      </c>
      <c r="EC34" s="0" t="n">
        <f aca="false">IFERROR(IF(ISNUMBER(INDEX(Registro!$U$443:$U$472,MATCH($A34,Registro!$A$443:$A$472,0))),EC$5,0),0)</f>
        <v>0</v>
      </c>
      <c r="ED34" s="0" t="n">
        <f aca="false">IFERROR(IF(ISNUMBER(INDEX(Registro!$AA$443:$AA$472,MATCH($A34,Registro!$A$443:$A$472,0))),ED$5,0),0)</f>
        <v>0</v>
      </c>
      <c r="EE34" s="0" t="n">
        <f aca="false">IFERROR(IF(ISNUMBER(INDEX(Registro!$I$479:$I$508,MATCH($A34,Registro!$A$479:$A$508,0))),EE$5,0),0)</f>
        <v>0</v>
      </c>
      <c r="EF34" s="0" t="n">
        <f aca="false">IFERROR(IF(ISNUMBER(INDEX(Registro!$O$479:$O$508,MATCH($A34,Registro!$A$479:$A$508,0))),EF$5,0),0)</f>
        <v>0</v>
      </c>
      <c r="EG34" s="0" t="n">
        <f aca="false">IFERROR(IF(ISNUMBER(INDEX(Registro!$U$479:$U$508,MATCH($A34,Registro!$A$479:$A$508,0))),EG$5,0),0)</f>
        <v>0</v>
      </c>
      <c r="EH34" s="0" t="n">
        <f aca="false">IFERROR(IF(ISNUMBER(INDEX(Registro!$AA$479:$AA$508,MATCH($A34,Registro!$A$479:$A$508,0))),EH$5,0),0)</f>
        <v>0</v>
      </c>
      <c r="EI34" s="0" t="n">
        <f aca="false">IFERROR(IF(ISNUMBER(INDEX(Registro!$I$515:$I$544,MATCH($A34,Registro!$A$515:$A$544,0))),EI$5,0),0)</f>
        <v>0</v>
      </c>
      <c r="EJ34" s="0" t="n">
        <f aca="false">IFERROR(IF(ISNUMBER(INDEX(Registro!$O$515:$O$544,MATCH($A34,Registro!$A$515:$A$544,0))),EJ$5,0),0)</f>
        <v>0</v>
      </c>
      <c r="EK34" s="0" t="n">
        <f aca="false">IFERROR(IF(ISNUMBER(INDEX(Registro!$U$515:$U$544,MATCH($A34,Registro!$A$515:$A$544,0))),EK$5,0),0)</f>
        <v>0</v>
      </c>
      <c r="EL34" s="0" t="n">
        <f aca="false">IFERROR(IF(ISNUMBER(INDEX(Registro!$AA$515:$AA$544,MATCH($A34,Registro!$A$515:$A$544,0))),EL$5,0),0)</f>
        <v>0</v>
      </c>
      <c r="EM34" s="0" t="n">
        <f aca="false">IFERROR(IF(ISNUMBER(INDEX(Registro!$I$551:$I$580,MATCH($A34,Registro!$A$551:$A$580,0))),EM$5,0),0)</f>
        <v>0</v>
      </c>
      <c r="EN34" s="0" t="n">
        <f aca="false">IFERROR(IF(ISNUMBER(INDEX(Registro!$O$551:$O$580,MATCH($A34,Registro!$A$551:$A$580,0))),EN$5,0),0)</f>
        <v>0</v>
      </c>
      <c r="EO34" s="0" t="n">
        <f aca="false">IFERROR(IF(ISNUMBER(INDEX(Registro!$U$551:$U$580,MATCH($A34,Registro!$A$551:$A$580,0))),EO$5,0),0)</f>
        <v>0</v>
      </c>
      <c r="EP34" s="0" t="n">
        <f aca="false">IFERROR(IF(ISNUMBER(INDEX(Registro!$AA$551:$AA$580,MATCH($A34,Registro!$A$551:$A$580,0))),EP$5,0),0)</f>
        <v>0</v>
      </c>
      <c r="EQ34" s="0" t="n">
        <f aca="false">IFERROR(IF(ISNUMBER(INDEX(Registro!$I$587:$I$616,MATCH($A34,Registro!$A$587:$A$616,0))),EQ$5,0),0)</f>
        <v>0</v>
      </c>
      <c r="ER34" s="0" t="n">
        <f aca="false">IFERROR(IF(ISNUMBER(INDEX(Registro!$O$587:$O$616,MATCH($A34,Registro!$A$587:$A$616,0))),ER$5,0),0)</f>
        <v>0</v>
      </c>
      <c r="ES34" s="0" t="n">
        <f aca="false">IFERROR(IF(ISNUMBER(INDEX(Registro!$U$587:$U$616,MATCH($A34,Registro!$A$587:$A$616,0))),ES$5,0),0)</f>
        <v>0</v>
      </c>
      <c r="ET34" s="0" t="n">
        <f aca="false">IFERROR(IF(ISNUMBER(INDEX(Registro!$AA$587:$AA$616,MATCH($A34,Registro!$A$587:$A$616,0))),ET$5,0),0)</f>
        <v>0</v>
      </c>
      <c r="EU34" s="0" t="n">
        <f aca="false">IFERROR(IF(ISNUMBER(INDEX(Registro!$I$623:$I$652,MATCH($A34,Registro!$A$623:$A$652,0))),EU$5,0),0)</f>
        <v>0</v>
      </c>
      <c r="EV34" s="0" t="n">
        <f aca="false">IFERROR(IF(ISNUMBER(INDEX(Registro!$O$623:$O$652,MATCH($A34,Registro!$A$623:$A$652,0))),EV$5,0),0)</f>
        <v>0</v>
      </c>
      <c r="EW34" s="0" t="n">
        <f aca="false">IFERROR(IF(ISNUMBER(INDEX(Registro!$U$623:$U$652,MATCH($A34,Registro!$A$623:$A$652,0))),EW$5,0),0)</f>
        <v>0</v>
      </c>
      <c r="EX34" s="0" t="n">
        <f aca="false">IFERROR(IF(ISNUMBER(INDEX(Registro!$AA$623:$AA$652,MATCH($A34,Registro!$A$623:$A$652,0))),EX$5,0),0)</f>
        <v>0</v>
      </c>
      <c r="EY34" s="0" t="n">
        <f aca="false">IFERROR(IF(ISNUMBER(INDEX(Registro!$I$659:$I$688,MATCH($A34,Registro!$A$659:$A$688,0))),EY$5,0),0)</f>
        <v>0</v>
      </c>
      <c r="EZ34" s="0" t="n">
        <f aca="false">IFERROR(IF(ISNUMBER(INDEX(Registro!$O$659:$O$688,MATCH($A34,Registro!$A$659:$A$688,0))),EZ$5,0),0)</f>
        <v>0</v>
      </c>
      <c r="FA34" s="0" t="n">
        <f aca="false">IFERROR(IF(ISNUMBER(INDEX(Registro!$U$659:$U$688,MATCH($A34,Registro!$A$659:$A$688,0))),FA$5,0),0)</f>
        <v>0</v>
      </c>
      <c r="FB34" s="0" t="n">
        <f aca="false">IFERROR(IF(ISNUMBER(INDEX(Registro!$AA$659:$AA$688,MATCH($A34,Registro!$A$659:$A$688,0))),FB$5,0),0)</f>
        <v>0</v>
      </c>
      <c r="FC34" s="0" t="n">
        <f aca="false">IFERROR(IF(ISNUMBER(INDEX(Registro!$I$695:$I$724,MATCH($A34,Registro!$A$695:$A$724,0))),FC$5,0),0)</f>
        <v>0</v>
      </c>
      <c r="FD34" s="0" t="n">
        <f aca="false">IFERROR(IF(ISNUMBER(INDEX(Registro!$O$695:$O$724,MATCH($A34,Registro!$A$695:$A$724,0))),FD$5,0),0)</f>
        <v>0</v>
      </c>
      <c r="FE34" s="0" t="n">
        <f aca="false">IFERROR(IF(ISNUMBER(INDEX(Registro!$U$695:$U$724,MATCH($A34,Registro!$A$695:$A$724,0))),FE$5,0),0)</f>
        <v>0</v>
      </c>
      <c r="FF34" s="0" t="n">
        <f aca="false">IFERROR(IF(ISNUMBER(INDEX(Registro!$AA$695:$AA$724,MATCH($A34,Registro!$A$695:$A$724,0))),FF$5,0),0)</f>
        <v>0</v>
      </c>
      <c r="FG34" s="0" t="n">
        <f aca="false">IFERROR(IF(AND(INDEX(Registro!$C$11:$C$40,MATCH($A34,Registro!$A$11:$A$40,0))="AS",INDEX(Registro!$D$11:$D$40,MATCH($A34,Registro!$A$11:$A$40,0))&amp;""=""),1,0),0)</f>
        <v>0</v>
      </c>
      <c r="FH34" s="0" t="n">
        <f aca="false">IFERROR(IF(AND(INDEX(Registro!$C$47:$C$76,MATCH($A34,Registro!$A$47:$A$76,0))="AS",INDEX(Registro!$D$47:$D$76,MATCH($A34,Registro!$A$47:$A$76,0))&amp;""=""),1,0),0)</f>
        <v>0</v>
      </c>
      <c r="FI34" s="0" t="n">
        <f aca="false">IFERROR(IF(AND(INDEX(Registro!$C$83:$C$112,MATCH($A34,Registro!$A$83:$A$112,0))="AS",INDEX(Registro!$D$83:$D$112,MATCH($A34,Registro!$A$83:$A$112,0))&amp;""=""),1,0),0)</f>
        <v>0</v>
      </c>
      <c r="FJ34" s="0" t="n">
        <f aca="false">IFERROR(IF(AND(INDEX(Registro!$C$119:$C$148,MATCH($A34,Registro!$A$119:$A$148,0))="AS",INDEX(Registro!$D$119:$D$148,MATCH($A34,Registro!$A$119:$A$148,0))&amp;""=""),1,0),0)</f>
        <v>0</v>
      </c>
      <c r="FK34" s="0" t="n">
        <f aca="false">IFERROR(IF(AND(INDEX(Registro!$C$155:$C$184,MATCH($A34,Registro!$A$155:$A$184,0))="AS",INDEX(Registro!$D$155:$D$184,MATCH($A34,Registro!$A$155:$A$184,0))&amp;""=""),1,0),0)</f>
        <v>0</v>
      </c>
      <c r="FL34" s="0" t="n">
        <f aca="false">IFERROR(IF(AND(INDEX(Registro!$C$191:$C$220,MATCH($A34,Registro!$A$191:$A$220,0))="AS",INDEX(Registro!$D$191:$D$220,MATCH($A34,Registro!$A$191:$A$220,0))&amp;""=""),1,0),0)</f>
        <v>0</v>
      </c>
      <c r="FM34" s="0" t="n">
        <f aca="false">IFERROR(IF(AND(INDEX(Registro!$C$227:$C$256,MATCH($A34,Registro!$A$227:$A$256,0))="AS",INDEX(Registro!$D$227:$D$256,MATCH($A34,Registro!$A$227:$A$256,0))&amp;""=""),1,0),0)</f>
        <v>0</v>
      </c>
      <c r="FN34" s="0" t="n">
        <f aca="false">IFERROR(IF(AND(INDEX(Registro!$C$263:$C$292,MATCH($A34,Registro!$A$263:$A$292,0))="AS",INDEX(Registro!$D$263:$D$292,MATCH($A34,Registro!$A$263:$A$292,0))&amp;""=""),1,0),0)</f>
        <v>0</v>
      </c>
      <c r="FO34" s="0" t="n">
        <f aca="false">IFERROR(IF(AND(INDEX(Registro!$C$299:$C$328,MATCH($A34,Registro!$A$299:$A$328,0))="AS",INDEX(Registro!$D$299:$D$328,MATCH($A34,Registro!$A$299:$A$328,0))&amp;""=""),1,0),0)</f>
        <v>0</v>
      </c>
      <c r="FP34" s="0" t="n">
        <f aca="false">IFERROR(IF(AND(INDEX(Registro!$C$335:$C$364,MATCH($A34,Registro!$A$335:$A$364,0))="AS",INDEX(Registro!$D$335:$D$364,MATCH($A34,Registro!$A$335:$A$364,0))&amp;""=""),1,0),0)</f>
        <v>0</v>
      </c>
      <c r="FQ34" s="0" t="n">
        <f aca="false">IFERROR(IF(AND(INDEX(Registro!$C$371:$C$400,MATCH($A34,Registro!$A$371:$A$400,0))="AS",INDEX(Registro!$D$371:$D$400,MATCH($A34,Registro!$A$371:$A$400,0))&amp;""=""),1,0),0)</f>
        <v>0</v>
      </c>
      <c r="FR34" s="0" t="n">
        <f aca="false">IFERROR(IF(AND(INDEX(Registro!$C$407:$C$436,MATCH($A34,Registro!$A$407:$A$436,0))="AS",INDEX(Registro!$D$407:$D$436,MATCH($A34,Registro!$A$407:$A$436,0))&amp;""=""),1,0),0)</f>
        <v>0</v>
      </c>
      <c r="FS34" s="0" t="n">
        <f aca="false">IFERROR(IF(AND(INDEX(Registro!$C$443:$C$472,MATCH($A34,Registro!$A$443:$A$472,0))="AS",INDEX(Registro!$D$443:$D$472,MATCH($A34,Registro!$A$443:$A$472,0))&amp;""=""),1,0),0)</f>
        <v>0</v>
      </c>
      <c r="FT34" s="0" t="n">
        <f aca="false">IFERROR(IF(AND(INDEX(Registro!$C$479:$C$508,MATCH($A34,Registro!$A$479:$A$508,0))="AS",INDEX(Registro!$D$479:$D$508,MATCH($A34,Registro!$A$479:$A$508,0))&amp;""=""),1,0),0)</f>
        <v>0</v>
      </c>
      <c r="FU34" s="0" t="n">
        <f aca="false">IFERROR(IF(AND(INDEX(Registro!$C$515:$C$544,MATCH($A34,Registro!$A$515:$A$544,0))="AS",INDEX(Registro!$D$515:$D$544,MATCH($A34,Registro!$A$515:$A$544,0))&amp;""=""),1,0),0)</f>
        <v>0</v>
      </c>
      <c r="FV34" s="0" t="n">
        <f aca="false">IFERROR(IF(AND(INDEX(Registro!$C$551:$C$580,MATCH($A34,Registro!$A$551:$A$580,0))="AS",INDEX(Registro!$D$551:$D$580,MATCH($A34,Registro!$A$551:$A$580,0))&amp;""=""),1,0),0)</f>
        <v>0</v>
      </c>
      <c r="FW34" s="0" t="n">
        <f aca="false">IFERROR(IF(AND(INDEX(Registro!$C$587:$C$616,MATCH($A34,Registro!$A$587:$A$616,0))="AS",INDEX(Registro!$D$587:$D$616,MATCH($A34,Registro!$A$587:$A$616,0))&amp;""=""),1,0),0)</f>
        <v>0</v>
      </c>
      <c r="FX34" s="0" t="n">
        <f aca="false">IFERROR(IF(AND(INDEX(Registro!$C$623:$C$652,MATCH($A34,Registro!$A$623:$A$652,0))="AS",INDEX(Registro!$D$623:$D$652,MATCH($A34,Registro!$A$623:$A$652,0))&amp;""=""),1,0),0)</f>
        <v>0</v>
      </c>
      <c r="FY34" s="0" t="n">
        <f aca="false">IFERROR(IF(AND(INDEX(Registro!$C$659:$C$688,MATCH($A34,Registro!$A$659:$A$688,0))="AS",INDEX(Registro!$D$659:$D$688,MATCH($A34,Registro!$A$659:$A$688,0))&amp;""=""),1,0),0)</f>
        <v>0</v>
      </c>
      <c r="FZ34" s="0" t="n">
        <f aca="false">IFERROR(IF(AND(INDEX(Registro!$C$695:$C$724,MATCH($A34,Registro!$A$695:$A$724,0))="AS",INDEX(Registro!$D$695:$D$724,MATCH($A34,Registro!$A$695:$A$724,0))&amp;""=""),1,0),0)</f>
        <v>0</v>
      </c>
    </row>
    <row r="35" customFormat="false" ht="15" hidden="false" customHeight="false" outlineLevel="0" collapsed="false">
      <c r="A35" s="0" t="n">
        <v>29</v>
      </c>
      <c r="C35" s="0" t="n">
        <f aca="false">IFERROR(N(INDEX(Registro!$I$11:$I$40,MATCH($A35,Registro!$A$11:$A$40,0))),0)</f>
        <v>0</v>
      </c>
      <c r="D35" s="0" t="n">
        <f aca="false">IFERROR(N(INDEX(Registro!$O$11:$O$40,MATCH($A35,Registro!$A$11:$A$40,0))),0)</f>
        <v>0</v>
      </c>
      <c r="E35" s="0" t="n">
        <f aca="false">IFERROR(N(INDEX(Registro!$U$11:$U$40,MATCH($A35,Registro!$A$11:$A$40,0))),0)</f>
        <v>0</v>
      </c>
      <c r="F35" s="0" t="n">
        <f aca="false">IFERROR(N(INDEX(Registro!$AA$11:$AA$40,MATCH($A35,Registro!$A$11:$A$40,0))),0)</f>
        <v>0</v>
      </c>
      <c r="G35" s="0" t="n">
        <f aca="false">IFERROR(N(INDEX(Registro!$I$47:$I$76,MATCH($A35,Registro!$A$47:$A$76,0))),0)</f>
        <v>0</v>
      </c>
      <c r="H35" s="0" t="n">
        <f aca="false">IFERROR(N(INDEX(Registro!$O$47:$O$76,MATCH($A35,Registro!$A$47:$A$76,0))),0)</f>
        <v>0</v>
      </c>
      <c r="I35" s="0" t="n">
        <f aca="false">IFERROR(N(INDEX(Registro!$U$47:$U$76,MATCH($A35,Registro!$A$47:$A$76,0))),0)</f>
        <v>0</v>
      </c>
      <c r="J35" s="0" t="n">
        <f aca="false">IFERROR(N(INDEX(Registro!$AA$47:$AA$76,MATCH($A35,Registro!$A$47:$A$76,0))),0)</f>
        <v>0</v>
      </c>
      <c r="K35" s="0" t="n">
        <f aca="false">IFERROR(N(INDEX(Registro!$I$83:$I$112,MATCH($A35,Registro!$A$83:$A$112,0))),0)</f>
        <v>0</v>
      </c>
      <c r="L35" s="0" t="n">
        <f aca="false">IFERROR(N(INDEX(Registro!$O$83:$O$112,MATCH($A35,Registro!$A$83:$A$112,0))),0)</f>
        <v>0</v>
      </c>
      <c r="M35" s="0" t="n">
        <f aca="false">IFERROR(N(INDEX(Registro!$U$83:$U$112,MATCH($A35,Registro!$A$83:$A$112,0))),0)</f>
        <v>0</v>
      </c>
      <c r="N35" s="0" t="n">
        <f aca="false">IFERROR(N(INDEX(Registro!$AA$83:$AA$112,MATCH($A35,Registro!$A$83:$A$112,0))),0)</f>
        <v>0</v>
      </c>
      <c r="O35" s="0" t="n">
        <f aca="false">IFERROR(N(INDEX(Registro!$I$119:$I$148,MATCH($A35,Registro!$A$119:$A$148,0))),0)</f>
        <v>0</v>
      </c>
      <c r="P35" s="0" t="n">
        <f aca="false">IFERROR(N(INDEX(Registro!$O$119:$O$148,MATCH($A35,Registro!$A$119:$A$148,0))),0)</f>
        <v>0</v>
      </c>
      <c r="Q35" s="0" t="n">
        <f aca="false">IFERROR(N(INDEX(Registro!$U$119:$U$148,MATCH($A35,Registro!$A$119:$A$148,0))),0)</f>
        <v>0</v>
      </c>
      <c r="R35" s="0" t="n">
        <f aca="false">IFERROR(N(INDEX(Registro!$AA$119:$AA$148,MATCH($A35,Registro!$A$119:$A$148,0))),0)</f>
        <v>0</v>
      </c>
      <c r="S35" s="0" t="n">
        <f aca="false">IFERROR(N(INDEX(Registro!$I$155:$I$184,MATCH($A35,Registro!$A$155:$A$184,0))),0)</f>
        <v>0</v>
      </c>
      <c r="T35" s="0" t="n">
        <f aca="false">IFERROR(N(INDEX(Registro!$O$155:$O$184,MATCH($A35,Registro!$A$155:$A$184,0))),0)</f>
        <v>0</v>
      </c>
      <c r="U35" s="0" t="n">
        <f aca="false">IFERROR(N(INDEX(Registro!$U$155:$U$184,MATCH($A35,Registro!$A$155:$A$184,0))),0)</f>
        <v>0</v>
      </c>
      <c r="V35" s="0" t="n">
        <f aca="false">IFERROR(N(INDEX(Registro!$AA$155:$AA$184,MATCH($A35,Registro!$A$155:$A$184,0))),0)</f>
        <v>0</v>
      </c>
      <c r="W35" s="0" t="n">
        <f aca="false">IFERROR(N(INDEX(Registro!$I$191:$I$220,MATCH($A35,Registro!$A$191:$A$220,0))),0)</f>
        <v>0</v>
      </c>
      <c r="X35" s="0" t="n">
        <f aca="false">IFERROR(N(INDEX(Registro!$O$191:$O$220,MATCH($A35,Registro!$A$191:$A$220,0))),0)</f>
        <v>0</v>
      </c>
      <c r="Y35" s="0" t="n">
        <f aca="false">IFERROR(N(INDEX(Registro!$U$191:$U$220,MATCH($A35,Registro!$A$191:$A$220,0))),0)</f>
        <v>0</v>
      </c>
      <c r="Z35" s="0" t="n">
        <f aca="false">IFERROR(N(INDEX(Registro!$AA$191:$AA$220,MATCH($A35,Registro!$A$191:$A$220,0))),0)</f>
        <v>0</v>
      </c>
      <c r="AA35" s="0" t="n">
        <f aca="false">IFERROR(N(INDEX(Registro!$I$227:$I$256,MATCH($A35,Registro!$A$227:$A$256,0))),0)</f>
        <v>0</v>
      </c>
      <c r="AB35" s="0" t="n">
        <f aca="false">IFERROR(N(INDEX(Registro!$O$227:$O$256,MATCH($A35,Registro!$A$227:$A$256,0))),0)</f>
        <v>0</v>
      </c>
      <c r="AC35" s="0" t="n">
        <f aca="false">IFERROR(N(INDEX(Registro!$U$227:$U$256,MATCH($A35,Registro!$A$227:$A$256,0))),0)</f>
        <v>0</v>
      </c>
      <c r="AD35" s="0" t="n">
        <f aca="false">IFERROR(N(INDEX(Registro!$AA$227:$AA$256,MATCH($A35,Registro!$A$227:$A$256,0))),0)</f>
        <v>0</v>
      </c>
      <c r="AE35" s="0" t="n">
        <f aca="false">IFERROR(N(INDEX(Registro!$I$263:$I$292,MATCH($A35,Registro!$A$263:$A$292,0))),0)</f>
        <v>0</v>
      </c>
      <c r="AF35" s="0" t="n">
        <f aca="false">IFERROR(N(INDEX(Registro!$O$263:$O$292,MATCH($A35,Registro!$A$263:$A$292,0))),0)</f>
        <v>0</v>
      </c>
      <c r="AG35" s="0" t="n">
        <f aca="false">IFERROR(N(INDEX(Registro!$U$263:$U$292,MATCH($A35,Registro!$A$263:$A$292,0))),0)</f>
        <v>0</v>
      </c>
      <c r="AH35" s="0" t="n">
        <f aca="false">IFERROR(N(INDEX(Registro!$AA$263:$AA$292,MATCH($A35,Registro!$A$263:$A$292,0))),0)</f>
        <v>0</v>
      </c>
      <c r="AI35" s="0" t="n">
        <f aca="false">IFERROR(N(INDEX(Registro!$I$299:$I$328,MATCH($A35,Registro!$A$299:$A$328,0))),0)</f>
        <v>0</v>
      </c>
      <c r="AJ35" s="0" t="n">
        <f aca="false">IFERROR(N(INDEX(Registro!$O$299:$O$328,MATCH($A35,Registro!$A$299:$A$328,0))),0)</f>
        <v>0</v>
      </c>
      <c r="AK35" s="0" t="n">
        <f aca="false">IFERROR(N(INDEX(Registro!$U$299:$U$328,MATCH($A35,Registro!$A$299:$A$328,0))),0)</f>
        <v>0</v>
      </c>
      <c r="AL35" s="0" t="n">
        <f aca="false">IFERROR(N(INDEX(Registro!$AA$299:$AA$328,MATCH($A35,Registro!$A$299:$A$328,0))),0)</f>
        <v>0</v>
      </c>
      <c r="AM35" s="0" t="n">
        <f aca="false">IFERROR(N(INDEX(Registro!$I$335:$I$364,MATCH($A35,Registro!$A$335:$A$364,0))),0)</f>
        <v>0</v>
      </c>
      <c r="AN35" s="0" t="n">
        <f aca="false">IFERROR(N(INDEX(Registro!$O$335:$O$364,MATCH($A35,Registro!$A$335:$A$364,0))),0)</f>
        <v>0</v>
      </c>
      <c r="AO35" s="0" t="n">
        <f aca="false">IFERROR(N(INDEX(Registro!$U$335:$U$364,MATCH($A35,Registro!$A$335:$A$364,0))),0)</f>
        <v>0</v>
      </c>
      <c r="AP35" s="0" t="n">
        <f aca="false">IFERROR(N(INDEX(Registro!$AA$335:$AA$364,MATCH($A35,Registro!$A$335:$A$364,0))),0)</f>
        <v>0</v>
      </c>
      <c r="AQ35" s="0" t="n">
        <f aca="false">IFERROR(N(INDEX(Registro!$I$371:$I$400,MATCH($A35,Registro!$A$371:$A$400,0))),0)</f>
        <v>0</v>
      </c>
      <c r="AR35" s="0" t="n">
        <f aca="false">IFERROR(N(INDEX(Registro!$O$371:$O$400,MATCH($A35,Registro!$A$371:$A$400,0))),0)</f>
        <v>0</v>
      </c>
      <c r="AS35" s="0" t="n">
        <f aca="false">IFERROR(N(INDEX(Registro!$U$371:$U$400,MATCH($A35,Registro!$A$371:$A$400,0))),0)</f>
        <v>0</v>
      </c>
      <c r="AT35" s="0" t="n">
        <f aca="false">IFERROR(N(INDEX(Registro!$AA$371:$AA$400,MATCH($A35,Registro!$A$371:$A$400,0))),0)</f>
        <v>0</v>
      </c>
      <c r="AU35" s="0" t="n">
        <f aca="false">IFERROR(N(INDEX(Registro!$I$407:$I$436,MATCH($A35,Registro!$A$407:$A$436,0))),0)</f>
        <v>0</v>
      </c>
      <c r="AV35" s="0" t="n">
        <f aca="false">IFERROR(N(INDEX(Registro!$O$407:$O$436,MATCH($A35,Registro!$A$407:$A$436,0))),0)</f>
        <v>0</v>
      </c>
      <c r="AW35" s="0" t="n">
        <f aca="false">IFERROR(N(INDEX(Registro!$U$407:$U$436,MATCH($A35,Registro!$A$407:$A$436,0))),0)</f>
        <v>0</v>
      </c>
      <c r="AX35" s="0" t="n">
        <f aca="false">IFERROR(N(INDEX(Registro!$AA$407:$AA$436,MATCH($A35,Registro!$A$407:$A$436,0))),0)</f>
        <v>0</v>
      </c>
      <c r="AY35" s="0" t="n">
        <f aca="false">IFERROR(N(INDEX(Registro!$I$443:$I$472,MATCH($A35,Registro!$A$443:$A$472,0))),0)</f>
        <v>0</v>
      </c>
      <c r="AZ35" s="0" t="n">
        <f aca="false">IFERROR(N(INDEX(Registro!$O$443:$O$472,MATCH($A35,Registro!$A$443:$A$472,0))),0)</f>
        <v>0</v>
      </c>
      <c r="BA35" s="0" t="n">
        <f aca="false">IFERROR(N(INDEX(Registro!$U$443:$U$472,MATCH($A35,Registro!$A$443:$A$472,0))),0)</f>
        <v>0</v>
      </c>
      <c r="BB35" s="0" t="n">
        <f aca="false">IFERROR(N(INDEX(Registro!$AA$443:$AA$472,MATCH($A35,Registro!$A$443:$A$472,0))),0)</f>
        <v>0</v>
      </c>
      <c r="BC35" s="0" t="n">
        <f aca="false">IFERROR(N(INDEX(Registro!$I$479:$I$508,MATCH($A35,Registro!$A$479:$A$508,0))),0)</f>
        <v>0</v>
      </c>
      <c r="BD35" s="0" t="n">
        <f aca="false">IFERROR(N(INDEX(Registro!$O$479:$O$508,MATCH($A35,Registro!$A$479:$A$508,0))),0)</f>
        <v>0</v>
      </c>
      <c r="BE35" s="0" t="n">
        <f aca="false">IFERROR(N(INDEX(Registro!$U$479:$U$508,MATCH($A35,Registro!$A$479:$A$508,0))),0)</f>
        <v>0</v>
      </c>
      <c r="BF35" s="0" t="n">
        <f aca="false">IFERROR(N(INDEX(Registro!$AA$479:$AA$508,MATCH($A35,Registro!$A$479:$A$508,0))),0)</f>
        <v>0</v>
      </c>
      <c r="BG35" s="0" t="n">
        <f aca="false">IFERROR(N(INDEX(Registro!$I$515:$I$544,MATCH($A35,Registro!$A$515:$A$544,0))),0)</f>
        <v>0</v>
      </c>
      <c r="BH35" s="0" t="n">
        <f aca="false">IFERROR(N(INDEX(Registro!$O$515:$O$544,MATCH($A35,Registro!$A$515:$A$544,0))),0)</f>
        <v>0</v>
      </c>
      <c r="BI35" s="0" t="n">
        <f aca="false">IFERROR(N(INDEX(Registro!$U$515:$U$544,MATCH($A35,Registro!$A$515:$A$544,0))),0)</f>
        <v>0</v>
      </c>
      <c r="BJ35" s="0" t="n">
        <f aca="false">IFERROR(N(INDEX(Registro!$AA$515:$AA$544,MATCH($A35,Registro!$A$515:$A$544,0))),0)</f>
        <v>0</v>
      </c>
      <c r="BK35" s="0" t="n">
        <f aca="false">IFERROR(N(INDEX(Registro!$I$551:$I$580,MATCH($A35,Registro!$A$551:$A$580,0))),0)</f>
        <v>0</v>
      </c>
      <c r="BL35" s="0" t="n">
        <f aca="false">IFERROR(N(INDEX(Registro!$O$551:$O$580,MATCH($A35,Registro!$A$551:$A$580,0))),0)</f>
        <v>0</v>
      </c>
      <c r="BM35" s="0" t="n">
        <f aca="false">IFERROR(N(INDEX(Registro!$U$551:$U$580,MATCH($A35,Registro!$A$551:$A$580,0))),0)</f>
        <v>0</v>
      </c>
      <c r="BN35" s="0" t="n">
        <f aca="false">IFERROR(N(INDEX(Registro!$AA$551:$AA$580,MATCH($A35,Registro!$A$551:$A$580,0))),0)</f>
        <v>0</v>
      </c>
      <c r="BO35" s="0" t="n">
        <f aca="false">IFERROR(N(INDEX(Registro!$I$587:$I$616,MATCH($A35,Registro!$A$587:$A$616,0))),0)</f>
        <v>0</v>
      </c>
      <c r="BP35" s="0" t="n">
        <f aca="false">IFERROR(N(INDEX(Registro!$O$587:$O$616,MATCH($A35,Registro!$A$587:$A$616,0))),0)</f>
        <v>0</v>
      </c>
      <c r="BQ35" s="0" t="n">
        <f aca="false">IFERROR(N(INDEX(Registro!$U$587:$U$616,MATCH($A35,Registro!$A$587:$A$616,0))),0)</f>
        <v>0</v>
      </c>
      <c r="BR35" s="0" t="n">
        <f aca="false">IFERROR(N(INDEX(Registro!$AA$587:$AA$616,MATCH($A35,Registro!$A$587:$A$616,0))),0)</f>
        <v>0</v>
      </c>
      <c r="BS35" s="0" t="n">
        <f aca="false">IFERROR(N(INDEX(Registro!$I$623:$I$652,MATCH($A35,Registro!$A$623:$A$652,0))),0)</f>
        <v>0</v>
      </c>
      <c r="BT35" s="0" t="n">
        <f aca="false">IFERROR(N(INDEX(Registro!$O$623:$O$652,MATCH($A35,Registro!$A$623:$A$652,0))),0)</f>
        <v>0</v>
      </c>
      <c r="BU35" s="0" t="n">
        <f aca="false">IFERROR(N(INDEX(Registro!$U$623:$U$652,MATCH($A35,Registro!$A$623:$A$652,0))),0)</f>
        <v>0</v>
      </c>
      <c r="BV35" s="0" t="n">
        <f aca="false">IFERROR(N(INDEX(Registro!$AA$623:$AA$652,MATCH($A35,Registro!$A$623:$A$652,0))),0)</f>
        <v>0</v>
      </c>
      <c r="BW35" s="0" t="n">
        <f aca="false">IFERROR(N(INDEX(Registro!$I$659:$I$688,MATCH($A35,Registro!$A$659:$A$688,0))),0)</f>
        <v>0</v>
      </c>
      <c r="BX35" s="0" t="n">
        <f aca="false">IFERROR(N(INDEX(Registro!$O$659:$O$688,MATCH($A35,Registro!$A$659:$A$688,0))),0)</f>
        <v>0</v>
      </c>
      <c r="BY35" s="0" t="n">
        <f aca="false">IFERROR(N(INDEX(Registro!$U$659:$U$688,MATCH($A35,Registro!$A$659:$A$688,0))),0)</f>
        <v>0</v>
      </c>
      <c r="BZ35" s="0" t="n">
        <f aca="false">IFERROR(N(INDEX(Registro!$AA$659:$AA$688,MATCH($A35,Registro!$A$659:$A$688,0))),0)</f>
        <v>0</v>
      </c>
      <c r="CA35" s="0" t="n">
        <f aca="false">IFERROR(N(INDEX(Registro!$I$695:$I$724,MATCH($A35,Registro!$A$695:$A$724,0))),0)</f>
        <v>0</v>
      </c>
      <c r="CB35" s="0" t="n">
        <f aca="false">IFERROR(N(INDEX(Registro!$O$695:$O$724,MATCH($A35,Registro!$A$695:$A$724,0))),0)</f>
        <v>0</v>
      </c>
      <c r="CC35" s="0" t="n">
        <f aca="false">IFERROR(N(INDEX(Registro!$U$695:$U$724,MATCH($A35,Registro!$A$695:$A$724,0))),0)</f>
        <v>0</v>
      </c>
      <c r="CD35" s="0" t="n">
        <f aca="false">IFERROR(N(INDEX(Registro!$AA$695:$AA$724,MATCH($A35,Registro!$A$695:$A$724,0))),0)</f>
        <v>0</v>
      </c>
      <c r="CE35" s="0" t="n">
        <f aca="false">IFERROR(IF(ISNUMBER(INDEX(Registro!$I$11:$I$40,MATCH($A35,Registro!$A$11:$A$40,0))),CE$5,0),0)</f>
        <v>0</v>
      </c>
      <c r="CF35" s="0" t="n">
        <f aca="false">IFERROR(IF(ISNUMBER(INDEX(Registro!$O$11:$O$40,MATCH($A35,Registro!$A$11:$A$40,0))),CF$5,0),0)</f>
        <v>0</v>
      </c>
      <c r="CG35" s="0" t="n">
        <f aca="false">IFERROR(IF(ISNUMBER(INDEX(Registro!$U$11:$U$40,MATCH($A35,Registro!$A$11:$A$40,0))),CG$5,0),0)</f>
        <v>0</v>
      </c>
      <c r="CH35" s="0" t="n">
        <f aca="false">IFERROR(IF(ISNUMBER(INDEX(Registro!$AA$11:$AA$40,MATCH($A35,Registro!$A$11:$A$40,0))),CH$5,0),0)</f>
        <v>0</v>
      </c>
      <c r="CI35" s="0" t="n">
        <f aca="false">IFERROR(IF(ISNUMBER(INDEX(Registro!$I$47:$I$76,MATCH($A35,Registro!$A$47:$A$76,0))),CI$5,0),0)</f>
        <v>0</v>
      </c>
      <c r="CJ35" s="0" t="n">
        <f aca="false">IFERROR(IF(ISNUMBER(INDEX(Registro!$O$47:$O$76,MATCH($A35,Registro!$A$47:$A$76,0))),CJ$5,0),0)</f>
        <v>0</v>
      </c>
      <c r="CK35" s="0" t="n">
        <f aca="false">IFERROR(IF(ISNUMBER(INDEX(Registro!$U$47:$U$76,MATCH($A35,Registro!$A$47:$A$76,0))),CK$5,0),0)</f>
        <v>0</v>
      </c>
      <c r="CL35" s="0" t="n">
        <f aca="false">IFERROR(IF(ISNUMBER(INDEX(Registro!$AA$47:$AA$76,MATCH($A35,Registro!$A$47:$A$76,0))),CL$5,0),0)</f>
        <v>0</v>
      </c>
      <c r="CM35" s="0" t="n">
        <f aca="false">IFERROR(IF(ISNUMBER(INDEX(Registro!$I$83:$I$112,MATCH($A35,Registro!$A$83:$A$112,0))),CM$5,0),0)</f>
        <v>0</v>
      </c>
      <c r="CN35" s="0" t="n">
        <f aca="false">IFERROR(IF(ISNUMBER(INDEX(Registro!$O$83:$O$112,MATCH($A35,Registro!$A$83:$A$112,0))),CN$5,0),0)</f>
        <v>0</v>
      </c>
      <c r="CO35" s="0" t="n">
        <f aca="false">IFERROR(IF(ISNUMBER(INDEX(Registro!$U$83:$U$112,MATCH($A35,Registro!$A$83:$A$112,0))),CO$5,0),0)</f>
        <v>0</v>
      </c>
      <c r="CP35" s="0" t="n">
        <f aca="false">IFERROR(IF(ISNUMBER(INDEX(Registro!$AA$83:$AA$112,MATCH($A35,Registro!$A$83:$A$112,0))),CP$5,0),0)</f>
        <v>0</v>
      </c>
      <c r="CQ35" s="0" t="n">
        <f aca="false">IFERROR(IF(ISNUMBER(INDEX(Registro!$I$119:$I$148,MATCH($A35,Registro!$A$119:$A$148,0))),CQ$5,0),0)</f>
        <v>0</v>
      </c>
      <c r="CR35" s="0" t="n">
        <f aca="false">IFERROR(IF(ISNUMBER(INDEX(Registro!$O$119:$O$148,MATCH($A35,Registro!$A$119:$A$148,0))),CR$5,0),0)</f>
        <v>0</v>
      </c>
      <c r="CS35" s="0" t="n">
        <f aca="false">IFERROR(IF(ISNUMBER(INDEX(Registro!$U$119:$U$148,MATCH($A35,Registro!$A$119:$A$148,0))),CS$5,0),0)</f>
        <v>0</v>
      </c>
      <c r="CT35" s="0" t="n">
        <f aca="false">IFERROR(IF(ISNUMBER(INDEX(Registro!$AA$119:$AA$148,MATCH($A35,Registro!$A$119:$A$148,0))),CT$5,0),0)</f>
        <v>0</v>
      </c>
      <c r="CU35" s="0" t="n">
        <f aca="false">IFERROR(IF(ISNUMBER(INDEX(Registro!$I$155:$I$184,MATCH($A35,Registro!$A$155:$A$184,0))),CU$5,0),0)</f>
        <v>0</v>
      </c>
      <c r="CV35" s="0" t="n">
        <f aca="false">IFERROR(IF(ISNUMBER(INDEX(Registro!$O$155:$O$184,MATCH($A35,Registro!$A$155:$A$184,0))),CV$5,0),0)</f>
        <v>0</v>
      </c>
      <c r="CW35" s="0" t="n">
        <f aca="false">IFERROR(IF(ISNUMBER(INDEX(Registro!$U$155:$U$184,MATCH($A35,Registro!$A$155:$A$184,0))),CW$5,0),0)</f>
        <v>0</v>
      </c>
      <c r="CX35" s="0" t="n">
        <f aca="false">IFERROR(IF(ISNUMBER(INDEX(Registro!$AA$155:$AA$184,MATCH($A35,Registro!$A$155:$A$184,0))),CX$5,0),0)</f>
        <v>0</v>
      </c>
      <c r="CY35" s="0" t="n">
        <f aca="false">IFERROR(IF(ISNUMBER(INDEX(Registro!$I$191:$I$220,MATCH($A35,Registro!$A$191:$A$220,0))),CY$5,0),0)</f>
        <v>0</v>
      </c>
      <c r="CZ35" s="0" t="n">
        <f aca="false">IFERROR(IF(ISNUMBER(INDEX(Registro!$O$191:$O$220,MATCH($A35,Registro!$A$191:$A$220,0))),CZ$5,0),0)</f>
        <v>0</v>
      </c>
      <c r="DA35" s="0" t="n">
        <f aca="false">IFERROR(IF(ISNUMBER(INDEX(Registro!$U$191:$U$220,MATCH($A35,Registro!$A$191:$A$220,0))),DA$5,0),0)</f>
        <v>0</v>
      </c>
      <c r="DB35" s="0" t="n">
        <f aca="false">IFERROR(IF(ISNUMBER(INDEX(Registro!$AA$191:$AA$220,MATCH($A35,Registro!$A$191:$A$220,0))),DB$5,0),0)</f>
        <v>0</v>
      </c>
      <c r="DC35" s="0" t="n">
        <f aca="false">IFERROR(IF(ISNUMBER(INDEX(Registro!$I$227:$I$256,MATCH($A35,Registro!$A$227:$A$256,0))),DC$5,0),0)</f>
        <v>0</v>
      </c>
      <c r="DD35" s="0" t="n">
        <f aca="false">IFERROR(IF(ISNUMBER(INDEX(Registro!$O$227:$O$256,MATCH($A35,Registro!$A$227:$A$256,0))),DD$5,0),0)</f>
        <v>0</v>
      </c>
      <c r="DE35" s="0" t="n">
        <f aca="false">IFERROR(IF(ISNUMBER(INDEX(Registro!$U$227:$U$256,MATCH($A35,Registro!$A$227:$A$256,0))),DE$5,0),0)</f>
        <v>0</v>
      </c>
      <c r="DF35" s="0" t="n">
        <f aca="false">IFERROR(IF(ISNUMBER(INDEX(Registro!$AA$227:$AA$256,MATCH($A35,Registro!$A$227:$A$256,0))),DF$5,0),0)</f>
        <v>0</v>
      </c>
      <c r="DG35" s="0" t="n">
        <f aca="false">IFERROR(IF(ISNUMBER(INDEX(Registro!$I$263:$I$292,MATCH($A35,Registro!$A$263:$A$292,0))),DG$5,0),0)</f>
        <v>0</v>
      </c>
      <c r="DH35" s="0" t="n">
        <f aca="false">IFERROR(IF(ISNUMBER(INDEX(Registro!$O$263:$O$292,MATCH($A35,Registro!$A$263:$A$292,0))),DH$5,0),0)</f>
        <v>0</v>
      </c>
      <c r="DI35" s="0" t="n">
        <f aca="false">IFERROR(IF(ISNUMBER(INDEX(Registro!$U$263:$U$292,MATCH($A35,Registro!$A$263:$A$292,0))),DI$5,0),0)</f>
        <v>0</v>
      </c>
      <c r="DJ35" s="0" t="n">
        <f aca="false">IFERROR(IF(ISNUMBER(INDEX(Registro!$AA$263:$AA$292,MATCH($A35,Registro!$A$263:$A$292,0))),DJ$5,0),0)</f>
        <v>0</v>
      </c>
      <c r="DK35" s="0" t="n">
        <f aca="false">IFERROR(IF(ISNUMBER(INDEX(Registro!$I$299:$I$328,MATCH($A35,Registro!$A$299:$A$328,0))),DK$5,0),0)</f>
        <v>0</v>
      </c>
      <c r="DL35" s="0" t="n">
        <f aca="false">IFERROR(IF(ISNUMBER(INDEX(Registro!$O$299:$O$328,MATCH($A35,Registro!$A$299:$A$328,0))),DL$5,0),0)</f>
        <v>0</v>
      </c>
      <c r="DM35" s="0" t="n">
        <f aca="false">IFERROR(IF(ISNUMBER(INDEX(Registro!$U$299:$U$328,MATCH($A35,Registro!$A$299:$A$328,0))),DM$5,0),0)</f>
        <v>0</v>
      </c>
      <c r="DN35" s="0" t="n">
        <f aca="false">IFERROR(IF(ISNUMBER(INDEX(Registro!$AA$299:$AA$328,MATCH($A35,Registro!$A$299:$A$328,0))),DN$5,0),0)</f>
        <v>0</v>
      </c>
      <c r="DO35" s="0" t="n">
        <f aca="false">IFERROR(IF(ISNUMBER(INDEX(Registro!$I$335:$I$364,MATCH($A35,Registro!$A$335:$A$364,0))),DO$5,0),0)</f>
        <v>0</v>
      </c>
      <c r="DP35" s="0" t="n">
        <f aca="false">IFERROR(IF(ISNUMBER(INDEX(Registro!$O$335:$O$364,MATCH($A35,Registro!$A$335:$A$364,0))),DP$5,0),0)</f>
        <v>0</v>
      </c>
      <c r="DQ35" s="0" t="n">
        <f aca="false">IFERROR(IF(ISNUMBER(INDEX(Registro!$U$335:$U$364,MATCH($A35,Registro!$A$335:$A$364,0))),DQ$5,0),0)</f>
        <v>0</v>
      </c>
      <c r="DR35" s="0" t="n">
        <f aca="false">IFERROR(IF(ISNUMBER(INDEX(Registro!$AA$335:$AA$364,MATCH($A35,Registro!$A$335:$A$364,0))),DR$5,0),0)</f>
        <v>0</v>
      </c>
      <c r="DS35" s="0" t="n">
        <f aca="false">IFERROR(IF(ISNUMBER(INDEX(Registro!$I$371:$I$400,MATCH($A35,Registro!$A$371:$A$400,0))),DS$5,0),0)</f>
        <v>0</v>
      </c>
      <c r="DT35" s="0" t="n">
        <f aca="false">IFERROR(IF(ISNUMBER(INDEX(Registro!$O$371:$O$400,MATCH($A35,Registro!$A$371:$A$400,0))),DT$5,0),0)</f>
        <v>0</v>
      </c>
      <c r="DU35" s="0" t="n">
        <f aca="false">IFERROR(IF(ISNUMBER(INDEX(Registro!$U$371:$U$400,MATCH($A35,Registro!$A$371:$A$400,0))),DU$5,0),0)</f>
        <v>0</v>
      </c>
      <c r="DV35" s="0" t="n">
        <f aca="false">IFERROR(IF(ISNUMBER(INDEX(Registro!$AA$371:$AA$400,MATCH($A35,Registro!$A$371:$A$400,0))),DV$5,0),0)</f>
        <v>0</v>
      </c>
      <c r="DW35" s="0" t="n">
        <f aca="false">IFERROR(IF(ISNUMBER(INDEX(Registro!$I$407:$I$436,MATCH($A35,Registro!$A$407:$A$436,0))),DW$5,0),0)</f>
        <v>0</v>
      </c>
      <c r="DX35" s="0" t="n">
        <f aca="false">IFERROR(IF(ISNUMBER(INDEX(Registro!$O$407:$O$436,MATCH($A35,Registro!$A$407:$A$436,0))),DX$5,0),0)</f>
        <v>0</v>
      </c>
      <c r="DY35" s="0" t="n">
        <f aca="false">IFERROR(IF(ISNUMBER(INDEX(Registro!$U$407:$U$436,MATCH($A35,Registro!$A$407:$A$436,0))),DY$5,0),0)</f>
        <v>0</v>
      </c>
      <c r="DZ35" s="0" t="n">
        <f aca="false">IFERROR(IF(ISNUMBER(INDEX(Registro!$AA$407:$AA$436,MATCH($A35,Registro!$A$407:$A$436,0))),DZ$5,0),0)</f>
        <v>0</v>
      </c>
      <c r="EA35" s="0" t="n">
        <f aca="false">IFERROR(IF(ISNUMBER(INDEX(Registro!$I$443:$I$472,MATCH($A35,Registro!$A$443:$A$472,0))),EA$5,0),0)</f>
        <v>0</v>
      </c>
      <c r="EB35" s="0" t="n">
        <f aca="false">IFERROR(IF(ISNUMBER(INDEX(Registro!$O$443:$O$472,MATCH($A35,Registro!$A$443:$A$472,0))),EB$5,0),0)</f>
        <v>0</v>
      </c>
      <c r="EC35" s="0" t="n">
        <f aca="false">IFERROR(IF(ISNUMBER(INDEX(Registro!$U$443:$U$472,MATCH($A35,Registro!$A$443:$A$472,0))),EC$5,0),0)</f>
        <v>0</v>
      </c>
      <c r="ED35" s="0" t="n">
        <f aca="false">IFERROR(IF(ISNUMBER(INDEX(Registro!$AA$443:$AA$472,MATCH($A35,Registro!$A$443:$A$472,0))),ED$5,0),0)</f>
        <v>0</v>
      </c>
      <c r="EE35" s="0" t="n">
        <f aca="false">IFERROR(IF(ISNUMBER(INDEX(Registro!$I$479:$I$508,MATCH($A35,Registro!$A$479:$A$508,0))),EE$5,0),0)</f>
        <v>0</v>
      </c>
      <c r="EF35" s="0" t="n">
        <f aca="false">IFERROR(IF(ISNUMBER(INDEX(Registro!$O$479:$O$508,MATCH($A35,Registro!$A$479:$A$508,0))),EF$5,0),0)</f>
        <v>0</v>
      </c>
      <c r="EG35" s="0" t="n">
        <f aca="false">IFERROR(IF(ISNUMBER(INDEX(Registro!$U$479:$U$508,MATCH($A35,Registro!$A$479:$A$508,0))),EG$5,0),0)</f>
        <v>0</v>
      </c>
      <c r="EH35" s="0" t="n">
        <f aca="false">IFERROR(IF(ISNUMBER(INDEX(Registro!$AA$479:$AA$508,MATCH($A35,Registro!$A$479:$A$508,0))),EH$5,0),0)</f>
        <v>0</v>
      </c>
      <c r="EI35" s="0" t="n">
        <f aca="false">IFERROR(IF(ISNUMBER(INDEX(Registro!$I$515:$I$544,MATCH($A35,Registro!$A$515:$A$544,0))),EI$5,0),0)</f>
        <v>0</v>
      </c>
      <c r="EJ35" s="0" t="n">
        <f aca="false">IFERROR(IF(ISNUMBER(INDEX(Registro!$O$515:$O$544,MATCH($A35,Registro!$A$515:$A$544,0))),EJ$5,0),0)</f>
        <v>0</v>
      </c>
      <c r="EK35" s="0" t="n">
        <f aca="false">IFERROR(IF(ISNUMBER(INDEX(Registro!$U$515:$U$544,MATCH($A35,Registro!$A$515:$A$544,0))),EK$5,0),0)</f>
        <v>0</v>
      </c>
      <c r="EL35" s="0" t="n">
        <f aca="false">IFERROR(IF(ISNUMBER(INDEX(Registro!$AA$515:$AA$544,MATCH($A35,Registro!$A$515:$A$544,0))),EL$5,0),0)</f>
        <v>0</v>
      </c>
      <c r="EM35" s="0" t="n">
        <f aca="false">IFERROR(IF(ISNUMBER(INDEX(Registro!$I$551:$I$580,MATCH($A35,Registro!$A$551:$A$580,0))),EM$5,0),0)</f>
        <v>0</v>
      </c>
      <c r="EN35" s="0" t="n">
        <f aca="false">IFERROR(IF(ISNUMBER(INDEX(Registro!$O$551:$O$580,MATCH($A35,Registro!$A$551:$A$580,0))),EN$5,0),0)</f>
        <v>0</v>
      </c>
      <c r="EO35" s="0" t="n">
        <f aca="false">IFERROR(IF(ISNUMBER(INDEX(Registro!$U$551:$U$580,MATCH($A35,Registro!$A$551:$A$580,0))),EO$5,0),0)</f>
        <v>0</v>
      </c>
      <c r="EP35" s="0" t="n">
        <f aca="false">IFERROR(IF(ISNUMBER(INDEX(Registro!$AA$551:$AA$580,MATCH($A35,Registro!$A$551:$A$580,0))),EP$5,0),0)</f>
        <v>0</v>
      </c>
      <c r="EQ35" s="0" t="n">
        <f aca="false">IFERROR(IF(ISNUMBER(INDEX(Registro!$I$587:$I$616,MATCH($A35,Registro!$A$587:$A$616,0))),EQ$5,0),0)</f>
        <v>0</v>
      </c>
      <c r="ER35" s="0" t="n">
        <f aca="false">IFERROR(IF(ISNUMBER(INDEX(Registro!$O$587:$O$616,MATCH($A35,Registro!$A$587:$A$616,0))),ER$5,0),0)</f>
        <v>0</v>
      </c>
      <c r="ES35" s="0" t="n">
        <f aca="false">IFERROR(IF(ISNUMBER(INDEX(Registro!$U$587:$U$616,MATCH($A35,Registro!$A$587:$A$616,0))),ES$5,0),0)</f>
        <v>0</v>
      </c>
      <c r="ET35" s="0" t="n">
        <f aca="false">IFERROR(IF(ISNUMBER(INDEX(Registro!$AA$587:$AA$616,MATCH($A35,Registro!$A$587:$A$616,0))),ET$5,0),0)</f>
        <v>0</v>
      </c>
      <c r="EU35" s="0" t="n">
        <f aca="false">IFERROR(IF(ISNUMBER(INDEX(Registro!$I$623:$I$652,MATCH($A35,Registro!$A$623:$A$652,0))),EU$5,0),0)</f>
        <v>0</v>
      </c>
      <c r="EV35" s="0" t="n">
        <f aca="false">IFERROR(IF(ISNUMBER(INDEX(Registro!$O$623:$O$652,MATCH($A35,Registro!$A$623:$A$652,0))),EV$5,0),0)</f>
        <v>0</v>
      </c>
      <c r="EW35" s="0" t="n">
        <f aca="false">IFERROR(IF(ISNUMBER(INDEX(Registro!$U$623:$U$652,MATCH($A35,Registro!$A$623:$A$652,0))),EW$5,0),0)</f>
        <v>0</v>
      </c>
      <c r="EX35" s="0" t="n">
        <f aca="false">IFERROR(IF(ISNUMBER(INDEX(Registro!$AA$623:$AA$652,MATCH($A35,Registro!$A$623:$A$652,0))),EX$5,0),0)</f>
        <v>0</v>
      </c>
      <c r="EY35" s="0" t="n">
        <f aca="false">IFERROR(IF(ISNUMBER(INDEX(Registro!$I$659:$I$688,MATCH($A35,Registro!$A$659:$A$688,0))),EY$5,0),0)</f>
        <v>0</v>
      </c>
      <c r="EZ35" s="0" t="n">
        <f aca="false">IFERROR(IF(ISNUMBER(INDEX(Registro!$O$659:$O$688,MATCH($A35,Registro!$A$659:$A$688,0))),EZ$5,0),0)</f>
        <v>0</v>
      </c>
      <c r="FA35" s="0" t="n">
        <f aca="false">IFERROR(IF(ISNUMBER(INDEX(Registro!$U$659:$U$688,MATCH($A35,Registro!$A$659:$A$688,0))),FA$5,0),0)</f>
        <v>0</v>
      </c>
      <c r="FB35" s="0" t="n">
        <f aca="false">IFERROR(IF(ISNUMBER(INDEX(Registro!$AA$659:$AA$688,MATCH($A35,Registro!$A$659:$A$688,0))),FB$5,0),0)</f>
        <v>0</v>
      </c>
      <c r="FC35" s="0" t="n">
        <f aca="false">IFERROR(IF(ISNUMBER(INDEX(Registro!$I$695:$I$724,MATCH($A35,Registro!$A$695:$A$724,0))),FC$5,0),0)</f>
        <v>0</v>
      </c>
      <c r="FD35" s="0" t="n">
        <f aca="false">IFERROR(IF(ISNUMBER(INDEX(Registro!$O$695:$O$724,MATCH($A35,Registro!$A$695:$A$724,0))),FD$5,0),0)</f>
        <v>0</v>
      </c>
      <c r="FE35" s="0" t="n">
        <f aca="false">IFERROR(IF(ISNUMBER(INDEX(Registro!$U$695:$U$724,MATCH($A35,Registro!$A$695:$A$724,0))),FE$5,0),0)</f>
        <v>0</v>
      </c>
      <c r="FF35" s="0" t="n">
        <f aca="false">IFERROR(IF(ISNUMBER(INDEX(Registro!$AA$695:$AA$724,MATCH($A35,Registro!$A$695:$A$724,0))),FF$5,0),0)</f>
        <v>0</v>
      </c>
      <c r="FG35" s="0" t="n">
        <f aca="false">IFERROR(IF(AND(INDEX(Registro!$C$11:$C$40,MATCH($A35,Registro!$A$11:$A$40,0))="AS",INDEX(Registro!$D$11:$D$40,MATCH($A35,Registro!$A$11:$A$40,0))&amp;""=""),1,0),0)</f>
        <v>0</v>
      </c>
      <c r="FH35" s="0" t="n">
        <f aca="false">IFERROR(IF(AND(INDEX(Registro!$C$47:$C$76,MATCH($A35,Registro!$A$47:$A$76,0))="AS",INDEX(Registro!$D$47:$D$76,MATCH($A35,Registro!$A$47:$A$76,0))&amp;""=""),1,0),0)</f>
        <v>0</v>
      </c>
      <c r="FI35" s="0" t="n">
        <f aca="false">IFERROR(IF(AND(INDEX(Registro!$C$83:$C$112,MATCH($A35,Registro!$A$83:$A$112,0))="AS",INDEX(Registro!$D$83:$D$112,MATCH($A35,Registro!$A$83:$A$112,0))&amp;""=""),1,0),0)</f>
        <v>0</v>
      </c>
      <c r="FJ35" s="0" t="n">
        <f aca="false">IFERROR(IF(AND(INDEX(Registro!$C$119:$C$148,MATCH($A35,Registro!$A$119:$A$148,0))="AS",INDEX(Registro!$D$119:$D$148,MATCH($A35,Registro!$A$119:$A$148,0))&amp;""=""),1,0),0)</f>
        <v>0</v>
      </c>
      <c r="FK35" s="0" t="n">
        <f aca="false">IFERROR(IF(AND(INDEX(Registro!$C$155:$C$184,MATCH($A35,Registro!$A$155:$A$184,0))="AS",INDEX(Registro!$D$155:$D$184,MATCH($A35,Registro!$A$155:$A$184,0))&amp;""=""),1,0),0)</f>
        <v>0</v>
      </c>
      <c r="FL35" s="0" t="n">
        <f aca="false">IFERROR(IF(AND(INDEX(Registro!$C$191:$C$220,MATCH($A35,Registro!$A$191:$A$220,0))="AS",INDEX(Registro!$D$191:$D$220,MATCH($A35,Registro!$A$191:$A$220,0))&amp;""=""),1,0),0)</f>
        <v>0</v>
      </c>
      <c r="FM35" s="0" t="n">
        <f aca="false">IFERROR(IF(AND(INDEX(Registro!$C$227:$C$256,MATCH($A35,Registro!$A$227:$A$256,0))="AS",INDEX(Registro!$D$227:$D$256,MATCH($A35,Registro!$A$227:$A$256,0))&amp;""=""),1,0),0)</f>
        <v>0</v>
      </c>
      <c r="FN35" s="0" t="n">
        <f aca="false">IFERROR(IF(AND(INDEX(Registro!$C$263:$C$292,MATCH($A35,Registro!$A$263:$A$292,0))="AS",INDEX(Registro!$D$263:$D$292,MATCH($A35,Registro!$A$263:$A$292,0))&amp;""=""),1,0),0)</f>
        <v>0</v>
      </c>
      <c r="FO35" s="0" t="n">
        <f aca="false">IFERROR(IF(AND(INDEX(Registro!$C$299:$C$328,MATCH($A35,Registro!$A$299:$A$328,0))="AS",INDEX(Registro!$D$299:$D$328,MATCH($A35,Registro!$A$299:$A$328,0))&amp;""=""),1,0),0)</f>
        <v>0</v>
      </c>
      <c r="FP35" s="0" t="n">
        <f aca="false">IFERROR(IF(AND(INDEX(Registro!$C$335:$C$364,MATCH($A35,Registro!$A$335:$A$364,0))="AS",INDEX(Registro!$D$335:$D$364,MATCH($A35,Registro!$A$335:$A$364,0))&amp;""=""),1,0),0)</f>
        <v>0</v>
      </c>
      <c r="FQ35" s="0" t="n">
        <f aca="false">IFERROR(IF(AND(INDEX(Registro!$C$371:$C$400,MATCH($A35,Registro!$A$371:$A$400,0))="AS",INDEX(Registro!$D$371:$D$400,MATCH($A35,Registro!$A$371:$A$400,0))&amp;""=""),1,0),0)</f>
        <v>0</v>
      </c>
      <c r="FR35" s="0" t="n">
        <f aca="false">IFERROR(IF(AND(INDEX(Registro!$C$407:$C$436,MATCH($A35,Registro!$A$407:$A$436,0))="AS",INDEX(Registro!$D$407:$D$436,MATCH($A35,Registro!$A$407:$A$436,0))&amp;""=""),1,0),0)</f>
        <v>0</v>
      </c>
      <c r="FS35" s="0" t="n">
        <f aca="false">IFERROR(IF(AND(INDEX(Registro!$C$443:$C$472,MATCH($A35,Registro!$A$443:$A$472,0))="AS",INDEX(Registro!$D$443:$D$472,MATCH($A35,Registro!$A$443:$A$472,0))&amp;""=""),1,0),0)</f>
        <v>0</v>
      </c>
      <c r="FT35" s="0" t="n">
        <f aca="false">IFERROR(IF(AND(INDEX(Registro!$C$479:$C$508,MATCH($A35,Registro!$A$479:$A$508,0))="AS",INDEX(Registro!$D$479:$D$508,MATCH($A35,Registro!$A$479:$A$508,0))&amp;""=""),1,0),0)</f>
        <v>0</v>
      </c>
      <c r="FU35" s="0" t="n">
        <f aca="false">IFERROR(IF(AND(INDEX(Registro!$C$515:$C$544,MATCH($A35,Registro!$A$515:$A$544,0))="AS",INDEX(Registro!$D$515:$D$544,MATCH($A35,Registro!$A$515:$A$544,0))&amp;""=""),1,0),0)</f>
        <v>0</v>
      </c>
      <c r="FV35" s="0" t="n">
        <f aca="false">IFERROR(IF(AND(INDEX(Registro!$C$551:$C$580,MATCH($A35,Registro!$A$551:$A$580,0))="AS",INDEX(Registro!$D$551:$D$580,MATCH($A35,Registro!$A$551:$A$580,0))&amp;""=""),1,0),0)</f>
        <v>0</v>
      </c>
      <c r="FW35" s="0" t="n">
        <f aca="false">IFERROR(IF(AND(INDEX(Registro!$C$587:$C$616,MATCH($A35,Registro!$A$587:$A$616,0))="AS",INDEX(Registro!$D$587:$D$616,MATCH($A35,Registro!$A$587:$A$616,0))&amp;""=""),1,0),0)</f>
        <v>0</v>
      </c>
      <c r="FX35" s="0" t="n">
        <f aca="false">IFERROR(IF(AND(INDEX(Registro!$C$623:$C$652,MATCH($A35,Registro!$A$623:$A$652,0))="AS",INDEX(Registro!$D$623:$D$652,MATCH($A35,Registro!$A$623:$A$652,0))&amp;""=""),1,0),0)</f>
        <v>0</v>
      </c>
      <c r="FY35" s="0" t="n">
        <f aca="false">IFERROR(IF(AND(INDEX(Registro!$C$659:$C$688,MATCH($A35,Registro!$A$659:$A$688,0))="AS",INDEX(Registro!$D$659:$D$688,MATCH($A35,Registro!$A$659:$A$688,0))&amp;""=""),1,0),0)</f>
        <v>0</v>
      </c>
      <c r="FZ35" s="0" t="n">
        <f aca="false">IFERROR(IF(AND(INDEX(Registro!$C$695:$C$724,MATCH($A35,Registro!$A$695:$A$724,0))="AS",INDEX(Registro!$D$695:$D$724,MATCH($A35,Registro!$A$695:$A$724,0))&amp;""=""),1,0),0)</f>
        <v>0</v>
      </c>
    </row>
    <row r="36" customFormat="false" ht="15" hidden="false" customHeight="false" outlineLevel="0" collapsed="false">
      <c r="A36" s="0" t="n">
        <v>30</v>
      </c>
      <c r="C36" s="0" t="n">
        <f aca="false">IFERROR(N(INDEX(Registro!$I$11:$I$40,MATCH($A36,Registro!$A$11:$A$40,0))),0)</f>
        <v>0</v>
      </c>
      <c r="D36" s="0" t="n">
        <f aca="false">IFERROR(N(INDEX(Registro!$O$11:$O$40,MATCH($A36,Registro!$A$11:$A$40,0))),0)</f>
        <v>0</v>
      </c>
      <c r="E36" s="0" t="n">
        <f aca="false">IFERROR(N(INDEX(Registro!$U$11:$U$40,MATCH($A36,Registro!$A$11:$A$40,0))),0)</f>
        <v>0</v>
      </c>
      <c r="F36" s="0" t="n">
        <f aca="false">IFERROR(N(INDEX(Registro!$AA$11:$AA$40,MATCH($A36,Registro!$A$11:$A$40,0))),0)</f>
        <v>0</v>
      </c>
      <c r="G36" s="0" t="n">
        <f aca="false">IFERROR(N(INDEX(Registro!$I$47:$I$76,MATCH($A36,Registro!$A$47:$A$76,0))),0)</f>
        <v>0</v>
      </c>
      <c r="H36" s="0" t="n">
        <f aca="false">IFERROR(N(INDEX(Registro!$O$47:$O$76,MATCH($A36,Registro!$A$47:$A$76,0))),0)</f>
        <v>0</v>
      </c>
      <c r="I36" s="0" t="n">
        <f aca="false">IFERROR(N(INDEX(Registro!$U$47:$U$76,MATCH($A36,Registro!$A$47:$A$76,0))),0)</f>
        <v>0</v>
      </c>
      <c r="J36" s="0" t="n">
        <f aca="false">IFERROR(N(INDEX(Registro!$AA$47:$AA$76,MATCH($A36,Registro!$A$47:$A$76,0))),0)</f>
        <v>0</v>
      </c>
      <c r="K36" s="0" t="n">
        <f aca="false">IFERROR(N(INDEX(Registro!$I$83:$I$112,MATCH($A36,Registro!$A$83:$A$112,0))),0)</f>
        <v>0</v>
      </c>
      <c r="L36" s="0" t="n">
        <f aca="false">IFERROR(N(INDEX(Registro!$O$83:$O$112,MATCH($A36,Registro!$A$83:$A$112,0))),0)</f>
        <v>0</v>
      </c>
      <c r="M36" s="0" t="n">
        <f aca="false">IFERROR(N(INDEX(Registro!$U$83:$U$112,MATCH($A36,Registro!$A$83:$A$112,0))),0)</f>
        <v>0</v>
      </c>
      <c r="N36" s="0" t="n">
        <f aca="false">IFERROR(N(INDEX(Registro!$AA$83:$AA$112,MATCH($A36,Registro!$A$83:$A$112,0))),0)</f>
        <v>0</v>
      </c>
      <c r="O36" s="0" t="n">
        <f aca="false">IFERROR(N(INDEX(Registro!$I$119:$I$148,MATCH($A36,Registro!$A$119:$A$148,0))),0)</f>
        <v>0</v>
      </c>
      <c r="P36" s="0" t="n">
        <f aca="false">IFERROR(N(INDEX(Registro!$O$119:$O$148,MATCH($A36,Registro!$A$119:$A$148,0))),0)</f>
        <v>0</v>
      </c>
      <c r="Q36" s="0" t="n">
        <f aca="false">IFERROR(N(INDEX(Registro!$U$119:$U$148,MATCH($A36,Registro!$A$119:$A$148,0))),0)</f>
        <v>0</v>
      </c>
      <c r="R36" s="0" t="n">
        <f aca="false">IFERROR(N(INDEX(Registro!$AA$119:$AA$148,MATCH($A36,Registro!$A$119:$A$148,0))),0)</f>
        <v>0</v>
      </c>
      <c r="S36" s="0" t="n">
        <f aca="false">IFERROR(N(INDEX(Registro!$I$155:$I$184,MATCH($A36,Registro!$A$155:$A$184,0))),0)</f>
        <v>0</v>
      </c>
      <c r="T36" s="0" t="n">
        <f aca="false">IFERROR(N(INDEX(Registro!$O$155:$O$184,MATCH($A36,Registro!$A$155:$A$184,0))),0)</f>
        <v>0</v>
      </c>
      <c r="U36" s="0" t="n">
        <f aca="false">IFERROR(N(INDEX(Registro!$U$155:$U$184,MATCH($A36,Registro!$A$155:$A$184,0))),0)</f>
        <v>0</v>
      </c>
      <c r="V36" s="0" t="n">
        <f aca="false">IFERROR(N(INDEX(Registro!$AA$155:$AA$184,MATCH($A36,Registro!$A$155:$A$184,0))),0)</f>
        <v>0</v>
      </c>
      <c r="W36" s="0" t="n">
        <f aca="false">IFERROR(N(INDEX(Registro!$I$191:$I$220,MATCH($A36,Registro!$A$191:$A$220,0))),0)</f>
        <v>0</v>
      </c>
      <c r="X36" s="0" t="n">
        <f aca="false">IFERROR(N(INDEX(Registro!$O$191:$O$220,MATCH($A36,Registro!$A$191:$A$220,0))),0)</f>
        <v>0</v>
      </c>
      <c r="Y36" s="0" t="n">
        <f aca="false">IFERROR(N(INDEX(Registro!$U$191:$U$220,MATCH($A36,Registro!$A$191:$A$220,0))),0)</f>
        <v>0</v>
      </c>
      <c r="Z36" s="0" t="n">
        <f aca="false">IFERROR(N(INDEX(Registro!$AA$191:$AA$220,MATCH($A36,Registro!$A$191:$A$220,0))),0)</f>
        <v>0</v>
      </c>
      <c r="AA36" s="0" t="n">
        <f aca="false">IFERROR(N(INDEX(Registro!$I$227:$I$256,MATCH($A36,Registro!$A$227:$A$256,0))),0)</f>
        <v>0</v>
      </c>
      <c r="AB36" s="0" t="n">
        <f aca="false">IFERROR(N(INDEX(Registro!$O$227:$O$256,MATCH($A36,Registro!$A$227:$A$256,0))),0)</f>
        <v>0</v>
      </c>
      <c r="AC36" s="0" t="n">
        <f aca="false">IFERROR(N(INDEX(Registro!$U$227:$U$256,MATCH($A36,Registro!$A$227:$A$256,0))),0)</f>
        <v>0</v>
      </c>
      <c r="AD36" s="0" t="n">
        <f aca="false">IFERROR(N(INDEX(Registro!$AA$227:$AA$256,MATCH($A36,Registro!$A$227:$A$256,0))),0)</f>
        <v>0</v>
      </c>
      <c r="AE36" s="0" t="n">
        <f aca="false">IFERROR(N(INDEX(Registro!$I$263:$I$292,MATCH($A36,Registro!$A$263:$A$292,0))),0)</f>
        <v>0</v>
      </c>
      <c r="AF36" s="0" t="n">
        <f aca="false">IFERROR(N(INDEX(Registro!$O$263:$O$292,MATCH($A36,Registro!$A$263:$A$292,0))),0)</f>
        <v>0</v>
      </c>
      <c r="AG36" s="0" t="n">
        <f aca="false">IFERROR(N(INDEX(Registro!$U$263:$U$292,MATCH($A36,Registro!$A$263:$A$292,0))),0)</f>
        <v>0</v>
      </c>
      <c r="AH36" s="0" t="n">
        <f aca="false">IFERROR(N(INDEX(Registro!$AA$263:$AA$292,MATCH($A36,Registro!$A$263:$A$292,0))),0)</f>
        <v>0</v>
      </c>
      <c r="AI36" s="0" t="n">
        <f aca="false">IFERROR(N(INDEX(Registro!$I$299:$I$328,MATCH($A36,Registro!$A$299:$A$328,0))),0)</f>
        <v>0</v>
      </c>
      <c r="AJ36" s="0" t="n">
        <f aca="false">IFERROR(N(INDEX(Registro!$O$299:$O$328,MATCH($A36,Registro!$A$299:$A$328,0))),0)</f>
        <v>0</v>
      </c>
      <c r="AK36" s="0" t="n">
        <f aca="false">IFERROR(N(INDEX(Registro!$U$299:$U$328,MATCH($A36,Registro!$A$299:$A$328,0))),0)</f>
        <v>0</v>
      </c>
      <c r="AL36" s="0" t="n">
        <f aca="false">IFERROR(N(INDEX(Registro!$AA$299:$AA$328,MATCH($A36,Registro!$A$299:$A$328,0))),0)</f>
        <v>0</v>
      </c>
      <c r="AM36" s="0" t="n">
        <f aca="false">IFERROR(N(INDEX(Registro!$I$335:$I$364,MATCH($A36,Registro!$A$335:$A$364,0))),0)</f>
        <v>0</v>
      </c>
      <c r="AN36" s="0" t="n">
        <f aca="false">IFERROR(N(INDEX(Registro!$O$335:$O$364,MATCH($A36,Registro!$A$335:$A$364,0))),0)</f>
        <v>0</v>
      </c>
      <c r="AO36" s="0" t="n">
        <f aca="false">IFERROR(N(INDEX(Registro!$U$335:$U$364,MATCH($A36,Registro!$A$335:$A$364,0))),0)</f>
        <v>0</v>
      </c>
      <c r="AP36" s="0" t="n">
        <f aca="false">IFERROR(N(INDEX(Registro!$AA$335:$AA$364,MATCH($A36,Registro!$A$335:$A$364,0))),0)</f>
        <v>0</v>
      </c>
      <c r="AQ36" s="0" t="n">
        <f aca="false">IFERROR(N(INDEX(Registro!$I$371:$I$400,MATCH($A36,Registro!$A$371:$A$400,0))),0)</f>
        <v>0</v>
      </c>
      <c r="AR36" s="0" t="n">
        <f aca="false">IFERROR(N(INDEX(Registro!$O$371:$O$400,MATCH($A36,Registro!$A$371:$A$400,0))),0)</f>
        <v>0</v>
      </c>
      <c r="AS36" s="0" t="n">
        <f aca="false">IFERROR(N(INDEX(Registro!$U$371:$U$400,MATCH($A36,Registro!$A$371:$A$400,0))),0)</f>
        <v>0</v>
      </c>
      <c r="AT36" s="0" t="n">
        <f aca="false">IFERROR(N(INDEX(Registro!$AA$371:$AA$400,MATCH($A36,Registro!$A$371:$A$400,0))),0)</f>
        <v>0</v>
      </c>
      <c r="AU36" s="0" t="n">
        <f aca="false">IFERROR(N(INDEX(Registro!$I$407:$I$436,MATCH($A36,Registro!$A$407:$A$436,0))),0)</f>
        <v>0</v>
      </c>
      <c r="AV36" s="0" t="n">
        <f aca="false">IFERROR(N(INDEX(Registro!$O$407:$O$436,MATCH($A36,Registro!$A$407:$A$436,0))),0)</f>
        <v>0</v>
      </c>
      <c r="AW36" s="0" t="n">
        <f aca="false">IFERROR(N(INDEX(Registro!$U$407:$U$436,MATCH($A36,Registro!$A$407:$A$436,0))),0)</f>
        <v>0</v>
      </c>
      <c r="AX36" s="0" t="n">
        <f aca="false">IFERROR(N(INDEX(Registro!$AA$407:$AA$436,MATCH($A36,Registro!$A$407:$A$436,0))),0)</f>
        <v>0</v>
      </c>
      <c r="AY36" s="0" t="n">
        <f aca="false">IFERROR(N(INDEX(Registro!$I$443:$I$472,MATCH($A36,Registro!$A$443:$A$472,0))),0)</f>
        <v>0</v>
      </c>
      <c r="AZ36" s="0" t="n">
        <f aca="false">IFERROR(N(INDEX(Registro!$O$443:$O$472,MATCH($A36,Registro!$A$443:$A$472,0))),0)</f>
        <v>0</v>
      </c>
      <c r="BA36" s="0" t="n">
        <f aca="false">IFERROR(N(INDEX(Registro!$U$443:$U$472,MATCH($A36,Registro!$A$443:$A$472,0))),0)</f>
        <v>0</v>
      </c>
      <c r="BB36" s="0" t="n">
        <f aca="false">IFERROR(N(INDEX(Registro!$AA$443:$AA$472,MATCH($A36,Registro!$A$443:$A$472,0))),0)</f>
        <v>0</v>
      </c>
      <c r="BC36" s="0" t="n">
        <f aca="false">IFERROR(N(INDEX(Registro!$I$479:$I$508,MATCH($A36,Registro!$A$479:$A$508,0))),0)</f>
        <v>0</v>
      </c>
      <c r="BD36" s="0" t="n">
        <f aca="false">IFERROR(N(INDEX(Registro!$O$479:$O$508,MATCH($A36,Registro!$A$479:$A$508,0))),0)</f>
        <v>0</v>
      </c>
      <c r="BE36" s="0" t="n">
        <f aca="false">IFERROR(N(INDEX(Registro!$U$479:$U$508,MATCH($A36,Registro!$A$479:$A$508,0))),0)</f>
        <v>0</v>
      </c>
      <c r="BF36" s="0" t="n">
        <f aca="false">IFERROR(N(INDEX(Registro!$AA$479:$AA$508,MATCH($A36,Registro!$A$479:$A$508,0))),0)</f>
        <v>0</v>
      </c>
      <c r="BG36" s="0" t="n">
        <f aca="false">IFERROR(N(INDEX(Registro!$I$515:$I$544,MATCH($A36,Registro!$A$515:$A$544,0))),0)</f>
        <v>0</v>
      </c>
      <c r="BH36" s="0" t="n">
        <f aca="false">IFERROR(N(INDEX(Registro!$O$515:$O$544,MATCH($A36,Registro!$A$515:$A$544,0))),0)</f>
        <v>0</v>
      </c>
      <c r="BI36" s="0" t="n">
        <f aca="false">IFERROR(N(INDEX(Registro!$U$515:$U$544,MATCH($A36,Registro!$A$515:$A$544,0))),0)</f>
        <v>0</v>
      </c>
      <c r="BJ36" s="0" t="n">
        <f aca="false">IFERROR(N(INDEX(Registro!$AA$515:$AA$544,MATCH($A36,Registro!$A$515:$A$544,0))),0)</f>
        <v>0</v>
      </c>
      <c r="BK36" s="0" t="n">
        <f aca="false">IFERROR(N(INDEX(Registro!$I$551:$I$580,MATCH($A36,Registro!$A$551:$A$580,0))),0)</f>
        <v>0</v>
      </c>
      <c r="BL36" s="0" t="n">
        <f aca="false">IFERROR(N(INDEX(Registro!$O$551:$O$580,MATCH($A36,Registro!$A$551:$A$580,0))),0)</f>
        <v>0</v>
      </c>
      <c r="BM36" s="0" t="n">
        <f aca="false">IFERROR(N(INDEX(Registro!$U$551:$U$580,MATCH($A36,Registro!$A$551:$A$580,0))),0)</f>
        <v>0</v>
      </c>
      <c r="BN36" s="0" t="n">
        <f aca="false">IFERROR(N(INDEX(Registro!$AA$551:$AA$580,MATCH($A36,Registro!$A$551:$A$580,0))),0)</f>
        <v>0</v>
      </c>
      <c r="BO36" s="0" t="n">
        <f aca="false">IFERROR(N(INDEX(Registro!$I$587:$I$616,MATCH($A36,Registro!$A$587:$A$616,0))),0)</f>
        <v>0</v>
      </c>
      <c r="BP36" s="0" t="n">
        <f aca="false">IFERROR(N(INDEX(Registro!$O$587:$O$616,MATCH($A36,Registro!$A$587:$A$616,0))),0)</f>
        <v>0</v>
      </c>
      <c r="BQ36" s="0" t="n">
        <f aca="false">IFERROR(N(INDEX(Registro!$U$587:$U$616,MATCH($A36,Registro!$A$587:$A$616,0))),0)</f>
        <v>0</v>
      </c>
      <c r="BR36" s="0" t="n">
        <f aca="false">IFERROR(N(INDEX(Registro!$AA$587:$AA$616,MATCH($A36,Registro!$A$587:$A$616,0))),0)</f>
        <v>0</v>
      </c>
      <c r="BS36" s="0" t="n">
        <f aca="false">IFERROR(N(INDEX(Registro!$I$623:$I$652,MATCH($A36,Registro!$A$623:$A$652,0))),0)</f>
        <v>0</v>
      </c>
      <c r="BT36" s="0" t="n">
        <f aca="false">IFERROR(N(INDEX(Registro!$O$623:$O$652,MATCH($A36,Registro!$A$623:$A$652,0))),0)</f>
        <v>0</v>
      </c>
      <c r="BU36" s="0" t="n">
        <f aca="false">IFERROR(N(INDEX(Registro!$U$623:$U$652,MATCH($A36,Registro!$A$623:$A$652,0))),0)</f>
        <v>0</v>
      </c>
      <c r="BV36" s="0" t="n">
        <f aca="false">IFERROR(N(INDEX(Registro!$AA$623:$AA$652,MATCH($A36,Registro!$A$623:$A$652,0))),0)</f>
        <v>0</v>
      </c>
      <c r="BW36" s="0" t="n">
        <f aca="false">IFERROR(N(INDEX(Registro!$I$659:$I$688,MATCH($A36,Registro!$A$659:$A$688,0))),0)</f>
        <v>0</v>
      </c>
      <c r="BX36" s="0" t="n">
        <f aca="false">IFERROR(N(INDEX(Registro!$O$659:$O$688,MATCH($A36,Registro!$A$659:$A$688,0))),0)</f>
        <v>0</v>
      </c>
      <c r="BY36" s="0" t="n">
        <f aca="false">IFERROR(N(INDEX(Registro!$U$659:$U$688,MATCH($A36,Registro!$A$659:$A$688,0))),0)</f>
        <v>0</v>
      </c>
      <c r="BZ36" s="0" t="n">
        <f aca="false">IFERROR(N(INDEX(Registro!$AA$659:$AA$688,MATCH($A36,Registro!$A$659:$A$688,0))),0)</f>
        <v>0</v>
      </c>
      <c r="CA36" s="0" t="n">
        <f aca="false">IFERROR(N(INDEX(Registro!$I$695:$I$724,MATCH($A36,Registro!$A$695:$A$724,0))),0)</f>
        <v>0</v>
      </c>
      <c r="CB36" s="0" t="n">
        <f aca="false">IFERROR(N(INDEX(Registro!$O$695:$O$724,MATCH($A36,Registro!$A$695:$A$724,0))),0)</f>
        <v>0</v>
      </c>
      <c r="CC36" s="0" t="n">
        <f aca="false">IFERROR(N(INDEX(Registro!$U$695:$U$724,MATCH($A36,Registro!$A$695:$A$724,0))),0)</f>
        <v>0</v>
      </c>
      <c r="CD36" s="0" t="n">
        <f aca="false">IFERROR(N(INDEX(Registro!$AA$695:$AA$724,MATCH($A36,Registro!$A$695:$A$724,0))),0)</f>
        <v>0</v>
      </c>
      <c r="CE36" s="0" t="n">
        <f aca="false">IFERROR(IF(ISNUMBER(INDEX(Registro!$I$11:$I$40,MATCH($A36,Registro!$A$11:$A$40,0))),CE$5,0),0)</f>
        <v>0</v>
      </c>
      <c r="CF36" s="0" t="n">
        <f aca="false">IFERROR(IF(ISNUMBER(INDEX(Registro!$O$11:$O$40,MATCH($A36,Registro!$A$11:$A$40,0))),CF$5,0),0)</f>
        <v>0</v>
      </c>
      <c r="CG36" s="0" t="n">
        <f aca="false">IFERROR(IF(ISNUMBER(INDEX(Registro!$U$11:$U$40,MATCH($A36,Registro!$A$11:$A$40,0))),CG$5,0),0)</f>
        <v>0</v>
      </c>
      <c r="CH36" s="0" t="n">
        <f aca="false">IFERROR(IF(ISNUMBER(INDEX(Registro!$AA$11:$AA$40,MATCH($A36,Registro!$A$11:$A$40,0))),CH$5,0),0)</f>
        <v>0</v>
      </c>
      <c r="CI36" s="0" t="n">
        <f aca="false">IFERROR(IF(ISNUMBER(INDEX(Registro!$I$47:$I$76,MATCH($A36,Registro!$A$47:$A$76,0))),CI$5,0),0)</f>
        <v>0</v>
      </c>
      <c r="CJ36" s="0" t="n">
        <f aca="false">IFERROR(IF(ISNUMBER(INDEX(Registro!$O$47:$O$76,MATCH($A36,Registro!$A$47:$A$76,0))),CJ$5,0),0)</f>
        <v>0</v>
      </c>
      <c r="CK36" s="0" t="n">
        <f aca="false">IFERROR(IF(ISNUMBER(INDEX(Registro!$U$47:$U$76,MATCH($A36,Registro!$A$47:$A$76,0))),CK$5,0),0)</f>
        <v>0</v>
      </c>
      <c r="CL36" s="0" t="n">
        <f aca="false">IFERROR(IF(ISNUMBER(INDEX(Registro!$AA$47:$AA$76,MATCH($A36,Registro!$A$47:$A$76,0))),CL$5,0),0)</f>
        <v>0</v>
      </c>
      <c r="CM36" s="0" t="n">
        <f aca="false">IFERROR(IF(ISNUMBER(INDEX(Registro!$I$83:$I$112,MATCH($A36,Registro!$A$83:$A$112,0))),CM$5,0),0)</f>
        <v>0</v>
      </c>
      <c r="CN36" s="0" t="n">
        <f aca="false">IFERROR(IF(ISNUMBER(INDEX(Registro!$O$83:$O$112,MATCH($A36,Registro!$A$83:$A$112,0))),CN$5,0),0)</f>
        <v>0</v>
      </c>
      <c r="CO36" s="0" t="n">
        <f aca="false">IFERROR(IF(ISNUMBER(INDEX(Registro!$U$83:$U$112,MATCH($A36,Registro!$A$83:$A$112,0))),CO$5,0),0)</f>
        <v>0</v>
      </c>
      <c r="CP36" s="0" t="n">
        <f aca="false">IFERROR(IF(ISNUMBER(INDEX(Registro!$AA$83:$AA$112,MATCH($A36,Registro!$A$83:$A$112,0))),CP$5,0),0)</f>
        <v>0</v>
      </c>
      <c r="CQ36" s="0" t="n">
        <f aca="false">IFERROR(IF(ISNUMBER(INDEX(Registro!$I$119:$I$148,MATCH($A36,Registro!$A$119:$A$148,0))),CQ$5,0),0)</f>
        <v>0</v>
      </c>
      <c r="CR36" s="0" t="n">
        <f aca="false">IFERROR(IF(ISNUMBER(INDEX(Registro!$O$119:$O$148,MATCH($A36,Registro!$A$119:$A$148,0))),CR$5,0),0)</f>
        <v>0</v>
      </c>
      <c r="CS36" s="0" t="n">
        <f aca="false">IFERROR(IF(ISNUMBER(INDEX(Registro!$U$119:$U$148,MATCH($A36,Registro!$A$119:$A$148,0))),CS$5,0),0)</f>
        <v>0</v>
      </c>
      <c r="CT36" s="0" t="n">
        <f aca="false">IFERROR(IF(ISNUMBER(INDEX(Registro!$AA$119:$AA$148,MATCH($A36,Registro!$A$119:$A$148,0))),CT$5,0),0)</f>
        <v>0</v>
      </c>
      <c r="CU36" s="0" t="n">
        <f aca="false">IFERROR(IF(ISNUMBER(INDEX(Registro!$I$155:$I$184,MATCH($A36,Registro!$A$155:$A$184,0))),CU$5,0),0)</f>
        <v>0</v>
      </c>
      <c r="CV36" s="0" t="n">
        <f aca="false">IFERROR(IF(ISNUMBER(INDEX(Registro!$O$155:$O$184,MATCH($A36,Registro!$A$155:$A$184,0))),CV$5,0),0)</f>
        <v>0</v>
      </c>
      <c r="CW36" s="0" t="n">
        <f aca="false">IFERROR(IF(ISNUMBER(INDEX(Registro!$U$155:$U$184,MATCH($A36,Registro!$A$155:$A$184,0))),CW$5,0),0)</f>
        <v>0</v>
      </c>
      <c r="CX36" s="0" t="n">
        <f aca="false">IFERROR(IF(ISNUMBER(INDEX(Registro!$AA$155:$AA$184,MATCH($A36,Registro!$A$155:$A$184,0))),CX$5,0),0)</f>
        <v>0</v>
      </c>
      <c r="CY36" s="0" t="n">
        <f aca="false">IFERROR(IF(ISNUMBER(INDEX(Registro!$I$191:$I$220,MATCH($A36,Registro!$A$191:$A$220,0))),CY$5,0),0)</f>
        <v>0</v>
      </c>
      <c r="CZ36" s="0" t="n">
        <f aca="false">IFERROR(IF(ISNUMBER(INDEX(Registro!$O$191:$O$220,MATCH($A36,Registro!$A$191:$A$220,0))),CZ$5,0),0)</f>
        <v>0</v>
      </c>
      <c r="DA36" s="0" t="n">
        <f aca="false">IFERROR(IF(ISNUMBER(INDEX(Registro!$U$191:$U$220,MATCH($A36,Registro!$A$191:$A$220,0))),DA$5,0),0)</f>
        <v>0</v>
      </c>
      <c r="DB36" s="0" t="n">
        <f aca="false">IFERROR(IF(ISNUMBER(INDEX(Registro!$AA$191:$AA$220,MATCH($A36,Registro!$A$191:$A$220,0))),DB$5,0),0)</f>
        <v>0</v>
      </c>
      <c r="DC36" s="0" t="n">
        <f aca="false">IFERROR(IF(ISNUMBER(INDEX(Registro!$I$227:$I$256,MATCH($A36,Registro!$A$227:$A$256,0))),DC$5,0),0)</f>
        <v>0</v>
      </c>
      <c r="DD36" s="0" t="n">
        <f aca="false">IFERROR(IF(ISNUMBER(INDEX(Registro!$O$227:$O$256,MATCH($A36,Registro!$A$227:$A$256,0))),DD$5,0),0)</f>
        <v>0</v>
      </c>
      <c r="DE36" s="0" t="n">
        <f aca="false">IFERROR(IF(ISNUMBER(INDEX(Registro!$U$227:$U$256,MATCH($A36,Registro!$A$227:$A$256,0))),DE$5,0),0)</f>
        <v>0</v>
      </c>
      <c r="DF36" s="0" t="n">
        <f aca="false">IFERROR(IF(ISNUMBER(INDEX(Registro!$AA$227:$AA$256,MATCH($A36,Registro!$A$227:$A$256,0))),DF$5,0),0)</f>
        <v>0</v>
      </c>
      <c r="DG36" s="0" t="n">
        <f aca="false">IFERROR(IF(ISNUMBER(INDEX(Registro!$I$263:$I$292,MATCH($A36,Registro!$A$263:$A$292,0))),DG$5,0),0)</f>
        <v>0</v>
      </c>
      <c r="DH36" s="0" t="n">
        <f aca="false">IFERROR(IF(ISNUMBER(INDEX(Registro!$O$263:$O$292,MATCH($A36,Registro!$A$263:$A$292,0))),DH$5,0),0)</f>
        <v>0</v>
      </c>
      <c r="DI36" s="0" t="n">
        <f aca="false">IFERROR(IF(ISNUMBER(INDEX(Registro!$U$263:$U$292,MATCH($A36,Registro!$A$263:$A$292,0))),DI$5,0),0)</f>
        <v>0</v>
      </c>
      <c r="DJ36" s="0" t="n">
        <f aca="false">IFERROR(IF(ISNUMBER(INDEX(Registro!$AA$263:$AA$292,MATCH($A36,Registro!$A$263:$A$292,0))),DJ$5,0),0)</f>
        <v>0</v>
      </c>
      <c r="DK36" s="0" t="n">
        <f aca="false">IFERROR(IF(ISNUMBER(INDEX(Registro!$I$299:$I$328,MATCH($A36,Registro!$A$299:$A$328,0))),DK$5,0),0)</f>
        <v>0</v>
      </c>
      <c r="DL36" s="0" t="n">
        <f aca="false">IFERROR(IF(ISNUMBER(INDEX(Registro!$O$299:$O$328,MATCH($A36,Registro!$A$299:$A$328,0))),DL$5,0),0)</f>
        <v>0</v>
      </c>
      <c r="DM36" s="0" t="n">
        <f aca="false">IFERROR(IF(ISNUMBER(INDEX(Registro!$U$299:$U$328,MATCH($A36,Registro!$A$299:$A$328,0))),DM$5,0),0)</f>
        <v>0</v>
      </c>
      <c r="DN36" s="0" t="n">
        <f aca="false">IFERROR(IF(ISNUMBER(INDEX(Registro!$AA$299:$AA$328,MATCH($A36,Registro!$A$299:$A$328,0))),DN$5,0),0)</f>
        <v>0</v>
      </c>
      <c r="DO36" s="0" t="n">
        <f aca="false">IFERROR(IF(ISNUMBER(INDEX(Registro!$I$335:$I$364,MATCH($A36,Registro!$A$335:$A$364,0))),DO$5,0),0)</f>
        <v>0</v>
      </c>
      <c r="DP36" s="0" t="n">
        <f aca="false">IFERROR(IF(ISNUMBER(INDEX(Registro!$O$335:$O$364,MATCH($A36,Registro!$A$335:$A$364,0))),DP$5,0),0)</f>
        <v>0</v>
      </c>
      <c r="DQ36" s="0" t="n">
        <f aca="false">IFERROR(IF(ISNUMBER(INDEX(Registro!$U$335:$U$364,MATCH($A36,Registro!$A$335:$A$364,0))),DQ$5,0),0)</f>
        <v>0</v>
      </c>
      <c r="DR36" s="0" t="n">
        <f aca="false">IFERROR(IF(ISNUMBER(INDEX(Registro!$AA$335:$AA$364,MATCH($A36,Registro!$A$335:$A$364,0))),DR$5,0),0)</f>
        <v>0</v>
      </c>
      <c r="DS36" s="0" t="n">
        <f aca="false">IFERROR(IF(ISNUMBER(INDEX(Registro!$I$371:$I$400,MATCH($A36,Registro!$A$371:$A$400,0))),DS$5,0),0)</f>
        <v>0</v>
      </c>
      <c r="DT36" s="0" t="n">
        <f aca="false">IFERROR(IF(ISNUMBER(INDEX(Registro!$O$371:$O$400,MATCH($A36,Registro!$A$371:$A$400,0))),DT$5,0),0)</f>
        <v>0</v>
      </c>
      <c r="DU36" s="0" t="n">
        <f aca="false">IFERROR(IF(ISNUMBER(INDEX(Registro!$U$371:$U$400,MATCH($A36,Registro!$A$371:$A$400,0))),DU$5,0),0)</f>
        <v>0</v>
      </c>
      <c r="DV36" s="0" t="n">
        <f aca="false">IFERROR(IF(ISNUMBER(INDEX(Registro!$AA$371:$AA$400,MATCH($A36,Registro!$A$371:$A$400,0))),DV$5,0),0)</f>
        <v>0</v>
      </c>
      <c r="DW36" s="0" t="n">
        <f aca="false">IFERROR(IF(ISNUMBER(INDEX(Registro!$I$407:$I$436,MATCH($A36,Registro!$A$407:$A$436,0))),DW$5,0),0)</f>
        <v>0</v>
      </c>
      <c r="DX36" s="0" t="n">
        <f aca="false">IFERROR(IF(ISNUMBER(INDEX(Registro!$O$407:$O$436,MATCH($A36,Registro!$A$407:$A$436,0))),DX$5,0),0)</f>
        <v>0</v>
      </c>
      <c r="DY36" s="0" t="n">
        <f aca="false">IFERROR(IF(ISNUMBER(INDEX(Registro!$U$407:$U$436,MATCH($A36,Registro!$A$407:$A$436,0))),DY$5,0),0)</f>
        <v>0</v>
      </c>
      <c r="DZ36" s="0" t="n">
        <f aca="false">IFERROR(IF(ISNUMBER(INDEX(Registro!$AA$407:$AA$436,MATCH($A36,Registro!$A$407:$A$436,0))),DZ$5,0),0)</f>
        <v>0</v>
      </c>
      <c r="EA36" s="0" t="n">
        <f aca="false">IFERROR(IF(ISNUMBER(INDEX(Registro!$I$443:$I$472,MATCH($A36,Registro!$A$443:$A$472,0))),EA$5,0),0)</f>
        <v>0</v>
      </c>
      <c r="EB36" s="0" t="n">
        <f aca="false">IFERROR(IF(ISNUMBER(INDEX(Registro!$O$443:$O$472,MATCH($A36,Registro!$A$443:$A$472,0))),EB$5,0),0)</f>
        <v>0</v>
      </c>
      <c r="EC36" s="0" t="n">
        <f aca="false">IFERROR(IF(ISNUMBER(INDEX(Registro!$U$443:$U$472,MATCH($A36,Registro!$A$443:$A$472,0))),EC$5,0),0)</f>
        <v>0</v>
      </c>
      <c r="ED36" s="0" t="n">
        <f aca="false">IFERROR(IF(ISNUMBER(INDEX(Registro!$AA$443:$AA$472,MATCH($A36,Registro!$A$443:$A$472,0))),ED$5,0),0)</f>
        <v>0</v>
      </c>
      <c r="EE36" s="0" t="n">
        <f aca="false">IFERROR(IF(ISNUMBER(INDEX(Registro!$I$479:$I$508,MATCH($A36,Registro!$A$479:$A$508,0))),EE$5,0),0)</f>
        <v>0</v>
      </c>
      <c r="EF36" s="0" t="n">
        <f aca="false">IFERROR(IF(ISNUMBER(INDEX(Registro!$O$479:$O$508,MATCH($A36,Registro!$A$479:$A$508,0))),EF$5,0),0)</f>
        <v>0</v>
      </c>
      <c r="EG36" s="0" t="n">
        <f aca="false">IFERROR(IF(ISNUMBER(INDEX(Registro!$U$479:$U$508,MATCH($A36,Registro!$A$479:$A$508,0))),EG$5,0),0)</f>
        <v>0</v>
      </c>
      <c r="EH36" s="0" t="n">
        <f aca="false">IFERROR(IF(ISNUMBER(INDEX(Registro!$AA$479:$AA$508,MATCH($A36,Registro!$A$479:$A$508,0))),EH$5,0),0)</f>
        <v>0</v>
      </c>
      <c r="EI36" s="0" t="n">
        <f aca="false">IFERROR(IF(ISNUMBER(INDEX(Registro!$I$515:$I$544,MATCH($A36,Registro!$A$515:$A$544,0))),EI$5,0),0)</f>
        <v>0</v>
      </c>
      <c r="EJ36" s="0" t="n">
        <f aca="false">IFERROR(IF(ISNUMBER(INDEX(Registro!$O$515:$O$544,MATCH($A36,Registro!$A$515:$A$544,0))),EJ$5,0),0)</f>
        <v>0</v>
      </c>
      <c r="EK36" s="0" t="n">
        <f aca="false">IFERROR(IF(ISNUMBER(INDEX(Registro!$U$515:$U$544,MATCH($A36,Registro!$A$515:$A$544,0))),EK$5,0),0)</f>
        <v>0</v>
      </c>
      <c r="EL36" s="0" t="n">
        <f aca="false">IFERROR(IF(ISNUMBER(INDEX(Registro!$AA$515:$AA$544,MATCH($A36,Registro!$A$515:$A$544,0))),EL$5,0),0)</f>
        <v>0</v>
      </c>
      <c r="EM36" s="0" t="n">
        <f aca="false">IFERROR(IF(ISNUMBER(INDEX(Registro!$I$551:$I$580,MATCH($A36,Registro!$A$551:$A$580,0))),EM$5,0),0)</f>
        <v>0</v>
      </c>
      <c r="EN36" s="0" t="n">
        <f aca="false">IFERROR(IF(ISNUMBER(INDEX(Registro!$O$551:$O$580,MATCH($A36,Registro!$A$551:$A$580,0))),EN$5,0),0)</f>
        <v>0</v>
      </c>
      <c r="EO36" s="0" t="n">
        <f aca="false">IFERROR(IF(ISNUMBER(INDEX(Registro!$U$551:$U$580,MATCH($A36,Registro!$A$551:$A$580,0))),EO$5,0),0)</f>
        <v>0</v>
      </c>
      <c r="EP36" s="0" t="n">
        <f aca="false">IFERROR(IF(ISNUMBER(INDEX(Registro!$AA$551:$AA$580,MATCH($A36,Registro!$A$551:$A$580,0))),EP$5,0),0)</f>
        <v>0</v>
      </c>
      <c r="EQ36" s="0" t="n">
        <f aca="false">IFERROR(IF(ISNUMBER(INDEX(Registro!$I$587:$I$616,MATCH($A36,Registro!$A$587:$A$616,0))),EQ$5,0),0)</f>
        <v>0</v>
      </c>
      <c r="ER36" s="0" t="n">
        <f aca="false">IFERROR(IF(ISNUMBER(INDEX(Registro!$O$587:$O$616,MATCH($A36,Registro!$A$587:$A$616,0))),ER$5,0),0)</f>
        <v>0</v>
      </c>
      <c r="ES36" s="0" t="n">
        <f aca="false">IFERROR(IF(ISNUMBER(INDEX(Registro!$U$587:$U$616,MATCH($A36,Registro!$A$587:$A$616,0))),ES$5,0),0)</f>
        <v>0</v>
      </c>
      <c r="ET36" s="0" t="n">
        <f aca="false">IFERROR(IF(ISNUMBER(INDEX(Registro!$AA$587:$AA$616,MATCH($A36,Registro!$A$587:$A$616,0))),ET$5,0),0)</f>
        <v>0</v>
      </c>
      <c r="EU36" s="0" t="n">
        <f aca="false">IFERROR(IF(ISNUMBER(INDEX(Registro!$I$623:$I$652,MATCH($A36,Registro!$A$623:$A$652,0))),EU$5,0),0)</f>
        <v>0</v>
      </c>
      <c r="EV36" s="0" t="n">
        <f aca="false">IFERROR(IF(ISNUMBER(INDEX(Registro!$O$623:$O$652,MATCH($A36,Registro!$A$623:$A$652,0))),EV$5,0),0)</f>
        <v>0</v>
      </c>
      <c r="EW36" s="0" t="n">
        <f aca="false">IFERROR(IF(ISNUMBER(INDEX(Registro!$U$623:$U$652,MATCH($A36,Registro!$A$623:$A$652,0))),EW$5,0),0)</f>
        <v>0</v>
      </c>
      <c r="EX36" s="0" t="n">
        <f aca="false">IFERROR(IF(ISNUMBER(INDEX(Registro!$AA$623:$AA$652,MATCH($A36,Registro!$A$623:$A$652,0))),EX$5,0),0)</f>
        <v>0</v>
      </c>
      <c r="EY36" s="0" t="n">
        <f aca="false">IFERROR(IF(ISNUMBER(INDEX(Registro!$I$659:$I$688,MATCH($A36,Registro!$A$659:$A$688,0))),EY$5,0),0)</f>
        <v>0</v>
      </c>
      <c r="EZ36" s="0" t="n">
        <f aca="false">IFERROR(IF(ISNUMBER(INDEX(Registro!$O$659:$O$688,MATCH($A36,Registro!$A$659:$A$688,0))),EZ$5,0),0)</f>
        <v>0</v>
      </c>
      <c r="FA36" s="0" t="n">
        <f aca="false">IFERROR(IF(ISNUMBER(INDEX(Registro!$U$659:$U$688,MATCH($A36,Registro!$A$659:$A$688,0))),FA$5,0),0)</f>
        <v>0</v>
      </c>
      <c r="FB36" s="0" t="n">
        <f aca="false">IFERROR(IF(ISNUMBER(INDEX(Registro!$AA$659:$AA$688,MATCH($A36,Registro!$A$659:$A$688,0))),FB$5,0),0)</f>
        <v>0</v>
      </c>
      <c r="FC36" s="0" t="n">
        <f aca="false">IFERROR(IF(ISNUMBER(INDEX(Registro!$I$695:$I$724,MATCH($A36,Registro!$A$695:$A$724,0))),FC$5,0),0)</f>
        <v>0</v>
      </c>
      <c r="FD36" s="0" t="n">
        <f aca="false">IFERROR(IF(ISNUMBER(INDEX(Registro!$O$695:$O$724,MATCH($A36,Registro!$A$695:$A$724,0))),FD$5,0),0)</f>
        <v>0</v>
      </c>
      <c r="FE36" s="0" t="n">
        <f aca="false">IFERROR(IF(ISNUMBER(INDEX(Registro!$U$695:$U$724,MATCH($A36,Registro!$A$695:$A$724,0))),FE$5,0),0)</f>
        <v>0</v>
      </c>
      <c r="FF36" s="0" t="n">
        <f aca="false">IFERROR(IF(ISNUMBER(INDEX(Registro!$AA$695:$AA$724,MATCH($A36,Registro!$A$695:$A$724,0))),FF$5,0),0)</f>
        <v>0</v>
      </c>
      <c r="FG36" s="0" t="n">
        <f aca="false">IFERROR(IF(AND(INDEX(Registro!$C$11:$C$40,MATCH($A36,Registro!$A$11:$A$40,0))="AS",INDEX(Registro!$D$11:$D$40,MATCH($A36,Registro!$A$11:$A$40,0))&amp;""=""),1,0),0)</f>
        <v>0</v>
      </c>
      <c r="FH36" s="0" t="n">
        <f aca="false">IFERROR(IF(AND(INDEX(Registro!$C$47:$C$76,MATCH($A36,Registro!$A$47:$A$76,0))="AS",INDEX(Registro!$D$47:$D$76,MATCH($A36,Registro!$A$47:$A$76,0))&amp;""=""),1,0),0)</f>
        <v>0</v>
      </c>
      <c r="FI36" s="0" t="n">
        <f aca="false">IFERROR(IF(AND(INDEX(Registro!$C$83:$C$112,MATCH($A36,Registro!$A$83:$A$112,0))="AS",INDEX(Registro!$D$83:$D$112,MATCH($A36,Registro!$A$83:$A$112,0))&amp;""=""),1,0),0)</f>
        <v>0</v>
      </c>
      <c r="FJ36" s="0" t="n">
        <f aca="false">IFERROR(IF(AND(INDEX(Registro!$C$119:$C$148,MATCH($A36,Registro!$A$119:$A$148,0))="AS",INDEX(Registro!$D$119:$D$148,MATCH($A36,Registro!$A$119:$A$148,0))&amp;""=""),1,0),0)</f>
        <v>0</v>
      </c>
      <c r="FK36" s="0" t="n">
        <f aca="false">IFERROR(IF(AND(INDEX(Registro!$C$155:$C$184,MATCH($A36,Registro!$A$155:$A$184,0))="AS",INDEX(Registro!$D$155:$D$184,MATCH($A36,Registro!$A$155:$A$184,0))&amp;""=""),1,0),0)</f>
        <v>0</v>
      </c>
      <c r="FL36" s="0" t="n">
        <f aca="false">IFERROR(IF(AND(INDEX(Registro!$C$191:$C$220,MATCH($A36,Registro!$A$191:$A$220,0))="AS",INDEX(Registro!$D$191:$D$220,MATCH($A36,Registro!$A$191:$A$220,0))&amp;""=""),1,0),0)</f>
        <v>0</v>
      </c>
      <c r="FM36" s="0" t="n">
        <f aca="false">IFERROR(IF(AND(INDEX(Registro!$C$227:$C$256,MATCH($A36,Registro!$A$227:$A$256,0))="AS",INDEX(Registro!$D$227:$D$256,MATCH($A36,Registro!$A$227:$A$256,0))&amp;""=""),1,0),0)</f>
        <v>0</v>
      </c>
      <c r="FN36" s="0" t="n">
        <f aca="false">IFERROR(IF(AND(INDEX(Registro!$C$263:$C$292,MATCH($A36,Registro!$A$263:$A$292,0))="AS",INDEX(Registro!$D$263:$D$292,MATCH($A36,Registro!$A$263:$A$292,0))&amp;""=""),1,0),0)</f>
        <v>0</v>
      </c>
      <c r="FO36" s="0" t="n">
        <f aca="false">IFERROR(IF(AND(INDEX(Registro!$C$299:$C$328,MATCH($A36,Registro!$A$299:$A$328,0))="AS",INDEX(Registro!$D$299:$D$328,MATCH($A36,Registro!$A$299:$A$328,0))&amp;""=""),1,0),0)</f>
        <v>0</v>
      </c>
      <c r="FP36" s="0" t="n">
        <f aca="false">IFERROR(IF(AND(INDEX(Registro!$C$335:$C$364,MATCH($A36,Registro!$A$335:$A$364,0))="AS",INDEX(Registro!$D$335:$D$364,MATCH($A36,Registro!$A$335:$A$364,0))&amp;""=""),1,0),0)</f>
        <v>0</v>
      </c>
      <c r="FQ36" s="0" t="n">
        <f aca="false">IFERROR(IF(AND(INDEX(Registro!$C$371:$C$400,MATCH($A36,Registro!$A$371:$A$400,0))="AS",INDEX(Registro!$D$371:$D$400,MATCH($A36,Registro!$A$371:$A$400,0))&amp;""=""),1,0),0)</f>
        <v>0</v>
      </c>
      <c r="FR36" s="0" t="n">
        <f aca="false">IFERROR(IF(AND(INDEX(Registro!$C$407:$C$436,MATCH($A36,Registro!$A$407:$A$436,0))="AS",INDEX(Registro!$D$407:$D$436,MATCH($A36,Registro!$A$407:$A$436,0))&amp;""=""),1,0),0)</f>
        <v>0</v>
      </c>
      <c r="FS36" s="0" t="n">
        <f aca="false">IFERROR(IF(AND(INDEX(Registro!$C$443:$C$472,MATCH($A36,Registro!$A$443:$A$472,0))="AS",INDEX(Registro!$D$443:$D$472,MATCH($A36,Registro!$A$443:$A$472,0))&amp;""=""),1,0),0)</f>
        <v>0</v>
      </c>
      <c r="FT36" s="0" t="n">
        <f aca="false">IFERROR(IF(AND(INDEX(Registro!$C$479:$C$508,MATCH($A36,Registro!$A$479:$A$508,0))="AS",INDEX(Registro!$D$479:$D$508,MATCH($A36,Registro!$A$479:$A$508,0))&amp;""=""),1,0),0)</f>
        <v>0</v>
      </c>
      <c r="FU36" s="0" t="n">
        <f aca="false">IFERROR(IF(AND(INDEX(Registro!$C$515:$C$544,MATCH($A36,Registro!$A$515:$A$544,0))="AS",INDEX(Registro!$D$515:$D$544,MATCH($A36,Registro!$A$515:$A$544,0))&amp;""=""),1,0),0)</f>
        <v>0</v>
      </c>
      <c r="FV36" s="0" t="n">
        <f aca="false">IFERROR(IF(AND(INDEX(Registro!$C$551:$C$580,MATCH($A36,Registro!$A$551:$A$580,0))="AS",INDEX(Registro!$D$551:$D$580,MATCH($A36,Registro!$A$551:$A$580,0))&amp;""=""),1,0),0)</f>
        <v>0</v>
      </c>
      <c r="FW36" s="0" t="n">
        <f aca="false">IFERROR(IF(AND(INDEX(Registro!$C$587:$C$616,MATCH($A36,Registro!$A$587:$A$616,0))="AS",INDEX(Registro!$D$587:$D$616,MATCH($A36,Registro!$A$587:$A$616,0))&amp;""=""),1,0),0)</f>
        <v>0</v>
      </c>
      <c r="FX36" s="0" t="n">
        <f aca="false">IFERROR(IF(AND(INDEX(Registro!$C$623:$C$652,MATCH($A36,Registro!$A$623:$A$652,0))="AS",INDEX(Registro!$D$623:$D$652,MATCH($A36,Registro!$A$623:$A$652,0))&amp;""=""),1,0),0)</f>
        <v>0</v>
      </c>
      <c r="FY36" s="0" t="n">
        <f aca="false">IFERROR(IF(AND(INDEX(Registro!$C$659:$C$688,MATCH($A36,Registro!$A$659:$A$688,0))="AS",INDEX(Registro!$D$659:$D$688,MATCH($A36,Registro!$A$659:$A$688,0))&amp;""=""),1,0),0)</f>
        <v>0</v>
      </c>
      <c r="FZ36" s="0" t="n">
        <f aca="false">IFERROR(IF(AND(INDEX(Registro!$C$695:$C$724,MATCH($A36,Registro!$A$695:$A$724,0))="AS",INDEX(Registro!$D$695:$D$724,MATCH($A36,Registro!$A$695:$A$724,0))&amp;""=""),1,0),0)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2026-10-06T14:12:41Z</dcterms:created>
  <dc:creator>openpyxl</dc:creator>
  <dc:description/>
  <dc:language>en-US</dc:language>
  <cp:lastModifiedBy/>
  <dcterms:modified xsi:type="dcterms:W3CDTF">2026-10-06T14:12:45Z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